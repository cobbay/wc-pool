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Development\wc-pool\app\data\"/>
    </mc:Choice>
  </mc:AlternateContent>
  <xr:revisionPtr revIDLastSave="0" documentId="13_ncr:1_{A49E1AD9-EB5A-4D83-A81F-0AA36BC623A6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Include" sheetId="2" r:id="rId1"/>
    <sheet name="PickList" sheetId="7" r:id="rId2"/>
    <sheet name="Entries" sheetId="1" r:id="rId3"/>
    <sheet name="Standings" sheetId="3" r:id="rId4"/>
    <sheet name="Teams" sheetId="6" r:id="rId5"/>
    <sheet name="Payouts" sheetId="4" r:id="rId6"/>
    <sheet name="Match Results" sheetId="5" r:id="rId7"/>
  </sheets>
  <externalReferences>
    <externalReference r:id="rId8"/>
  </externalReferences>
  <definedNames>
    <definedName name="ExternalData_1" localSheetId="1" hidden="1">PickList!$A$1:$D$649</definedName>
    <definedName name="_xlnm.Print_Area" localSheetId="3">Standings!$A$3:$BB$113</definedName>
    <definedName name="teams">[1]Prices!$B$3:$I$34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W12" i="5" l="1"/>
  <c r="AV12" i="5"/>
  <c r="AU12" i="5"/>
  <c r="AT12" i="5"/>
  <c r="AS12" i="5"/>
  <c r="AR12" i="5"/>
  <c r="AQ12" i="5"/>
  <c r="AP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AC12" i="5"/>
  <c r="AB12" i="5"/>
  <c r="AA12" i="5"/>
  <c r="Z12" i="5"/>
  <c r="Y12" i="5"/>
  <c r="X12" i="5"/>
  <c r="W12" i="5"/>
  <c r="V12" i="5"/>
  <c r="U12" i="5"/>
  <c r="T12" i="5"/>
  <c r="S12" i="5"/>
  <c r="R12" i="5"/>
  <c r="Q12" i="5"/>
  <c r="P12" i="5"/>
  <c r="O12" i="5"/>
  <c r="N12" i="5"/>
  <c r="M12" i="5"/>
  <c r="L12" i="5"/>
  <c r="K12" i="5"/>
  <c r="J12" i="5"/>
  <c r="I12" i="5"/>
  <c r="H12" i="5"/>
  <c r="G12" i="5"/>
  <c r="F12" i="5"/>
  <c r="E12" i="5"/>
  <c r="D12" i="5"/>
  <c r="C12" i="5"/>
  <c r="B12" i="5"/>
  <c r="BA6" i="3"/>
  <c r="AZ6" i="3"/>
  <c r="AY6" i="3"/>
  <c r="AY105" i="3" s="1"/>
  <c r="AX6" i="3"/>
  <c r="AX106" i="3" s="1"/>
  <c r="AW6" i="3"/>
  <c r="AV6" i="3"/>
  <c r="AV109" i="3" s="1"/>
  <c r="AU6" i="3"/>
  <c r="AT6" i="3"/>
  <c r="AT109" i="3" s="1"/>
  <c r="AS6" i="3"/>
  <c r="AR6" i="3"/>
  <c r="AR105" i="3" s="1"/>
  <c r="AQ6" i="3"/>
  <c r="AQ109" i="3" s="1"/>
  <c r="AP6" i="3"/>
  <c r="AP107" i="3" s="1"/>
  <c r="AO6" i="3"/>
  <c r="AN6" i="3"/>
  <c r="AM6" i="3"/>
  <c r="AM109" i="3" s="1"/>
  <c r="AL6" i="3"/>
  <c r="AL108" i="3" s="1"/>
  <c r="AK6" i="3"/>
  <c r="AI6" i="3"/>
  <c r="AH6" i="3"/>
  <c r="AH106" i="3" s="1"/>
  <c r="AG6" i="3"/>
  <c r="AF6" i="3"/>
  <c r="AE6" i="3"/>
  <c r="AD6" i="3"/>
  <c r="AC6" i="3"/>
  <c r="AB6" i="3"/>
  <c r="AA6" i="3"/>
  <c r="AA109" i="3" s="1"/>
  <c r="Z6" i="3"/>
  <c r="Y6" i="3"/>
  <c r="Y105" i="3" s="1"/>
  <c r="X6" i="3"/>
  <c r="X109" i="3" s="1"/>
  <c r="W6" i="3"/>
  <c r="V6" i="3"/>
  <c r="U6" i="3"/>
  <c r="U105" i="3" s="1"/>
  <c r="T6" i="3"/>
  <c r="Q6" i="3"/>
  <c r="P6" i="3"/>
  <c r="O6" i="3"/>
  <c r="O109" i="3" s="1"/>
  <c r="N6" i="3"/>
  <c r="L6" i="3"/>
  <c r="K6" i="3"/>
  <c r="C18" i="4"/>
  <c r="DB109" i="3"/>
  <c r="DA109" i="3"/>
  <c r="CZ109" i="3"/>
  <c r="CY109" i="3"/>
  <c r="CX109" i="3"/>
  <c r="CW109" i="3"/>
  <c r="CV109" i="3"/>
  <c r="CU109" i="3"/>
  <c r="CT109" i="3"/>
  <c r="AS109" i="3" s="1"/>
  <c r="CS109" i="3"/>
  <c r="CR109" i="3"/>
  <c r="CQ109" i="3"/>
  <c r="CP109" i="3"/>
  <c r="CO109" i="3"/>
  <c r="CN109" i="3"/>
  <c r="CM109" i="3"/>
  <c r="CL109" i="3"/>
  <c r="CK109" i="3"/>
  <c r="CJ109" i="3"/>
  <c r="CI109" i="3"/>
  <c r="CH109" i="3"/>
  <c r="CG109" i="3"/>
  <c r="CF109" i="3"/>
  <c r="AE109" i="3" s="1"/>
  <c r="CE109" i="3"/>
  <c r="AD109" i="3" s="1"/>
  <c r="CD109" i="3"/>
  <c r="AC109" i="3" s="1"/>
  <c r="CC109" i="3"/>
  <c r="AB109" i="3" s="1"/>
  <c r="CB109" i="3"/>
  <c r="CA109" i="3"/>
  <c r="BZ109" i="3"/>
  <c r="BY109" i="3"/>
  <c r="BX109" i="3"/>
  <c r="BW109" i="3"/>
  <c r="BV109" i="3"/>
  <c r="BU109" i="3"/>
  <c r="BT109" i="3"/>
  <c r="BS109" i="3"/>
  <c r="BR109" i="3"/>
  <c r="BQ109" i="3"/>
  <c r="BP109" i="3"/>
  <c r="BO109" i="3"/>
  <c r="N109" i="3" s="1"/>
  <c r="BN109" i="3"/>
  <c r="M109" i="3" s="1"/>
  <c r="BM109" i="3"/>
  <c r="BL109" i="3"/>
  <c r="K109" i="3" s="1"/>
  <c r="BK109" i="3"/>
  <c r="BJ109" i="3"/>
  <c r="BI109" i="3"/>
  <c r="BH109" i="3"/>
  <c r="BG109" i="3"/>
  <c r="BA109" i="3"/>
  <c r="AZ109" i="3"/>
  <c r="AY109" i="3"/>
  <c r="AX109" i="3"/>
  <c r="AW109" i="3"/>
  <c r="AU109" i="3"/>
  <c r="AR109" i="3"/>
  <c r="AP109" i="3"/>
  <c r="AO109" i="3"/>
  <c r="AN109" i="3"/>
  <c r="AL109" i="3"/>
  <c r="AK109" i="3"/>
  <c r="AJ109" i="3"/>
  <c r="AI109" i="3"/>
  <c r="AH109" i="3"/>
  <c r="AG109" i="3"/>
  <c r="AF109" i="3"/>
  <c r="Z109" i="3"/>
  <c r="Y109" i="3"/>
  <c r="W109" i="3"/>
  <c r="V109" i="3"/>
  <c r="U109" i="3"/>
  <c r="T109" i="3"/>
  <c r="S109" i="3"/>
  <c r="Q109" i="3"/>
  <c r="P109" i="3"/>
  <c r="L109" i="3"/>
  <c r="H109" i="3"/>
  <c r="G109" i="3"/>
  <c r="F109" i="3"/>
  <c r="C109" i="3"/>
  <c r="DB108" i="3"/>
  <c r="DA108" i="3"/>
  <c r="CZ108" i="3"/>
  <c r="CY108" i="3"/>
  <c r="CX108" i="3"/>
  <c r="CW108" i="3"/>
  <c r="CV108" i="3"/>
  <c r="AU108" i="3" s="1"/>
  <c r="CU108" i="3"/>
  <c r="CT108" i="3"/>
  <c r="CS108" i="3"/>
  <c r="CR108" i="3"/>
  <c r="CQ108" i="3"/>
  <c r="CP108" i="3"/>
  <c r="CO108" i="3"/>
  <c r="CN108" i="3"/>
  <c r="CM108" i="3"/>
  <c r="CL108" i="3"/>
  <c r="CK108" i="3"/>
  <c r="CJ108" i="3"/>
  <c r="CI108" i="3"/>
  <c r="CH108" i="3"/>
  <c r="AG108" i="3" s="1"/>
  <c r="CG108" i="3"/>
  <c r="AF108" i="3" s="1"/>
  <c r="CF108" i="3"/>
  <c r="AE108" i="3" s="1"/>
  <c r="CE108" i="3"/>
  <c r="AD108" i="3" s="1"/>
  <c r="CD108" i="3"/>
  <c r="CC108" i="3"/>
  <c r="CB108" i="3"/>
  <c r="CA108" i="3"/>
  <c r="BZ108" i="3"/>
  <c r="BY108" i="3"/>
  <c r="BX108" i="3"/>
  <c r="BW108" i="3"/>
  <c r="BV108" i="3"/>
  <c r="BU108" i="3"/>
  <c r="BT108" i="3"/>
  <c r="BS108" i="3"/>
  <c r="BR108" i="3"/>
  <c r="BQ108" i="3"/>
  <c r="P108" i="3" s="1"/>
  <c r="BP108" i="3"/>
  <c r="BO108" i="3"/>
  <c r="N108" i="3" s="1"/>
  <c r="BN108" i="3"/>
  <c r="BM108" i="3"/>
  <c r="BL108" i="3"/>
  <c r="BK108" i="3"/>
  <c r="BJ108" i="3"/>
  <c r="BI108" i="3"/>
  <c r="BH108" i="3"/>
  <c r="BG108" i="3"/>
  <c r="F108" i="3" s="1"/>
  <c r="BA108" i="3"/>
  <c r="AZ108" i="3"/>
  <c r="AY108" i="3"/>
  <c r="AW108" i="3"/>
  <c r="AV108" i="3"/>
  <c r="AS108" i="3"/>
  <c r="AR108" i="3"/>
  <c r="AQ108" i="3"/>
  <c r="AP108" i="3"/>
  <c r="AO108" i="3"/>
  <c r="AN108" i="3"/>
  <c r="AM108" i="3"/>
  <c r="AK108" i="3"/>
  <c r="AJ108" i="3"/>
  <c r="AI108" i="3"/>
  <c r="AH108" i="3"/>
  <c r="AC108" i="3"/>
  <c r="AB108" i="3"/>
  <c r="AA108" i="3"/>
  <c r="Z108" i="3"/>
  <c r="Y108" i="3"/>
  <c r="X108" i="3"/>
  <c r="W108" i="3"/>
  <c r="V108" i="3"/>
  <c r="U108" i="3"/>
  <c r="T108" i="3"/>
  <c r="S108" i="3"/>
  <c r="R108" i="3"/>
  <c r="Q108" i="3"/>
  <c r="M108" i="3"/>
  <c r="L108" i="3"/>
  <c r="K108" i="3"/>
  <c r="J108" i="3"/>
  <c r="I108" i="3"/>
  <c r="H108" i="3"/>
  <c r="G108" i="3"/>
  <c r="DB107" i="3"/>
  <c r="DA107" i="3"/>
  <c r="CZ107" i="3"/>
  <c r="AY107" i="3" s="1"/>
  <c r="CY107" i="3"/>
  <c r="AX107" i="3" s="1"/>
  <c r="CX107" i="3"/>
  <c r="AW107" i="3" s="1"/>
  <c r="CW107" i="3"/>
  <c r="CV107" i="3"/>
  <c r="CU107" i="3"/>
  <c r="CT107" i="3"/>
  <c r="CS107" i="3"/>
  <c r="CR107" i="3"/>
  <c r="CQ107" i="3"/>
  <c r="CP107" i="3"/>
  <c r="CO107" i="3"/>
  <c r="CN107" i="3"/>
  <c r="CM107" i="3"/>
  <c r="CL107" i="3"/>
  <c r="AK107" i="3" s="1"/>
  <c r="CK107" i="3"/>
  <c r="CJ107" i="3"/>
  <c r="AI107" i="3" s="1"/>
  <c r="CI107" i="3"/>
  <c r="AH107" i="3" s="1"/>
  <c r="CH107" i="3"/>
  <c r="AG107" i="3" s="1"/>
  <c r="CG107" i="3"/>
  <c r="CF107" i="3"/>
  <c r="CE107" i="3"/>
  <c r="CD107" i="3"/>
  <c r="CC107" i="3"/>
  <c r="CB107" i="3"/>
  <c r="CA107" i="3"/>
  <c r="BZ107" i="3"/>
  <c r="BY107" i="3"/>
  <c r="BX107" i="3"/>
  <c r="BW107" i="3"/>
  <c r="BV107" i="3"/>
  <c r="BU107" i="3"/>
  <c r="T107" i="3" s="1"/>
  <c r="BT107" i="3"/>
  <c r="S107" i="3" s="1"/>
  <c r="BS107" i="3"/>
  <c r="BR107" i="3"/>
  <c r="Q107" i="3" s="1"/>
  <c r="BQ107" i="3"/>
  <c r="BP107" i="3"/>
  <c r="BO107" i="3"/>
  <c r="BN107" i="3"/>
  <c r="BM107" i="3"/>
  <c r="BL107" i="3"/>
  <c r="BK107" i="3"/>
  <c r="J107" i="3" s="1"/>
  <c r="BJ107" i="3"/>
  <c r="BI107" i="3"/>
  <c r="BH107" i="3"/>
  <c r="BG107" i="3"/>
  <c r="BA107" i="3"/>
  <c r="AZ107" i="3"/>
  <c r="AV107" i="3"/>
  <c r="AU107" i="3"/>
  <c r="AT107" i="3"/>
  <c r="AS107" i="3"/>
  <c r="AR107" i="3"/>
  <c r="AQ107" i="3"/>
  <c r="AO107" i="3"/>
  <c r="AN107" i="3"/>
  <c r="AM107" i="3"/>
  <c r="AJ107" i="3"/>
  <c r="AF107" i="3"/>
  <c r="AE107" i="3"/>
  <c r="AD107" i="3"/>
  <c r="AC107" i="3"/>
  <c r="AB107" i="3"/>
  <c r="AA107" i="3"/>
  <c r="Z107" i="3"/>
  <c r="Y107" i="3"/>
  <c r="X107" i="3"/>
  <c r="W107" i="3"/>
  <c r="V107" i="3"/>
  <c r="U107" i="3"/>
  <c r="P107" i="3"/>
  <c r="O107" i="3"/>
  <c r="N107" i="3"/>
  <c r="M107" i="3"/>
  <c r="L107" i="3"/>
  <c r="K107" i="3"/>
  <c r="I107" i="3"/>
  <c r="H107" i="3"/>
  <c r="G107" i="3"/>
  <c r="F107" i="3"/>
  <c r="C107" i="3"/>
  <c r="DB106" i="3"/>
  <c r="BA106" i="3" s="1"/>
  <c r="DA106" i="3"/>
  <c r="CZ106" i="3"/>
  <c r="CY106" i="3"/>
  <c r="CX106" i="3"/>
  <c r="CW106" i="3"/>
  <c r="CV106" i="3"/>
  <c r="CU106" i="3"/>
  <c r="CT106" i="3"/>
  <c r="CS106" i="3"/>
  <c r="CR106" i="3"/>
  <c r="CQ106" i="3"/>
  <c r="CP106" i="3"/>
  <c r="CO106" i="3"/>
  <c r="CN106" i="3"/>
  <c r="CM106" i="3"/>
  <c r="AL106" i="3" s="1"/>
  <c r="CL106" i="3"/>
  <c r="AK106" i="3" s="1"/>
  <c r="CK106" i="3"/>
  <c r="CJ106" i="3"/>
  <c r="CI106" i="3"/>
  <c r="CH106" i="3"/>
  <c r="CG106" i="3"/>
  <c r="CF106" i="3"/>
  <c r="CE106" i="3"/>
  <c r="CD106" i="3"/>
  <c r="CC106" i="3"/>
  <c r="CB106" i="3"/>
  <c r="CA106" i="3"/>
  <c r="BZ106" i="3"/>
  <c r="BY106" i="3"/>
  <c r="BX106" i="3"/>
  <c r="W106" i="3" s="1"/>
  <c r="BW106" i="3"/>
  <c r="V106" i="3" s="1"/>
  <c r="BV106" i="3"/>
  <c r="U106" i="3" s="1"/>
  <c r="BU106" i="3"/>
  <c r="T106" i="3" s="1"/>
  <c r="BT106" i="3"/>
  <c r="BS106" i="3"/>
  <c r="BR106" i="3"/>
  <c r="BQ106" i="3"/>
  <c r="BP106" i="3"/>
  <c r="BO106" i="3"/>
  <c r="BN106" i="3"/>
  <c r="M106" i="3" s="1"/>
  <c r="BM106" i="3"/>
  <c r="BL106" i="3"/>
  <c r="BK106" i="3"/>
  <c r="BJ106" i="3"/>
  <c r="BI106" i="3"/>
  <c r="BH106" i="3"/>
  <c r="BG106" i="3"/>
  <c r="F106" i="3" s="1"/>
  <c r="AZ106" i="3"/>
  <c r="AY106" i="3"/>
  <c r="AW106" i="3"/>
  <c r="AV106" i="3"/>
  <c r="AU106" i="3"/>
  <c r="AT106" i="3"/>
  <c r="AS106" i="3"/>
  <c r="AR106" i="3"/>
  <c r="AQ106" i="3"/>
  <c r="AP106" i="3"/>
  <c r="AO106" i="3"/>
  <c r="AN106" i="3"/>
  <c r="AM106" i="3"/>
  <c r="AJ106" i="3"/>
  <c r="AI106" i="3"/>
  <c r="AG106" i="3"/>
  <c r="AF106" i="3"/>
  <c r="AE106" i="3"/>
  <c r="AD106" i="3"/>
  <c r="AC106" i="3"/>
  <c r="AB106" i="3"/>
  <c r="Z106" i="3"/>
  <c r="Y106" i="3"/>
  <c r="X106" i="3"/>
  <c r="S106" i="3"/>
  <c r="R106" i="3"/>
  <c r="Q106" i="3"/>
  <c r="P106" i="3"/>
  <c r="O106" i="3"/>
  <c r="N106" i="3"/>
  <c r="L106" i="3"/>
  <c r="K106" i="3"/>
  <c r="J106" i="3"/>
  <c r="I106" i="3"/>
  <c r="H106" i="3"/>
  <c r="G106" i="3"/>
  <c r="DB105" i="3"/>
  <c r="DA105" i="3"/>
  <c r="CZ105" i="3"/>
  <c r="CY105" i="3"/>
  <c r="CX105" i="3"/>
  <c r="CW105" i="3"/>
  <c r="CV105" i="3"/>
  <c r="AU105" i="3" s="1"/>
  <c r="CU105" i="3"/>
  <c r="CT105" i="3"/>
  <c r="CS105" i="3"/>
  <c r="CR105" i="3"/>
  <c r="AQ105" i="3" s="1"/>
  <c r="CQ105" i="3"/>
  <c r="CP105" i="3"/>
  <c r="AO105" i="3" s="1"/>
  <c r="CO105" i="3"/>
  <c r="CN105" i="3"/>
  <c r="CM105" i="3"/>
  <c r="CL105" i="3"/>
  <c r="CK105" i="3"/>
  <c r="CJ105" i="3"/>
  <c r="CI105" i="3"/>
  <c r="CH105" i="3"/>
  <c r="CG105" i="3"/>
  <c r="CF105" i="3"/>
  <c r="CE105" i="3"/>
  <c r="CD105" i="3"/>
  <c r="CC105" i="3"/>
  <c r="AB105" i="3" s="1"/>
  <c r="CB105" i="3"/>
  <c r="CA105" i="3"/>
  <c r="Z105" i="3" s="1"/>
  <c r="BZ105" i="3"/>
  <c r="BY105" i="3"/>
  <c r="X105" i="3" s="1"/>
  <c r="BX105" i="3"/>
  <c r="W105" i="3" s="1"/>
  <c r="BW105" i="3"/>
  <c r="BV105" i="3"/>
  <c r="BU105" i="3"/>
  <c r="BT105" i="3"/>
  <c r="BS105" i="3"/>
  <c r="BR105" i="3"/>
  <c r="BQ105" i="3"/>
  <c r="BP105" i="3"/>
  <c r="BO105" i="3"/>
  <c r="BN105" i="3"/>
  <c r="BM105" i="3"/>
  <c r="BL105" i="3"/>
  <c r="K105" i="3" s="1"/>
  <c r="BK105" i="3"/>
  <c r="J105" i="3" s="1"/>
  <c r="BJ105" i="3"/>
  <c r="I105" i="3" s="1"/>
  <c r="BI105" i="3"/>
  <c r="H105" i="3" s="1"/>
  <c r="BH105" i="3"/>
  <c r="G105" i="3" s="1"/>
  <c r="BG105" i="3"/>
  <c r="BA105" i="3"/>
  <c r="AZ105" i="3"/>
  <c r="AX105" i="3"/>
  <c r="AW105" i="3"/>
  <c r="AV105" i="3"/>
  <c r="AT105" i="3"/>
  <c r="AS105" i="3"/>
  <c r="AP105" i="3"/>
  <c r="AN105" i="3"/>
  <c r="AL105" i="3"/>
  <c r="AK105" i="3"/>
  <c r="AJ105" i="3"/>
  <c r="AI105" i="3"/>
  <c r="AH105" i="3"/>
  <c r="AG105" i="3"/>
  <c r="AF105" i="3"/>
  <c r="AE105" i="3"/>
  <c r="AD105" i="3"/>
  <c r="AC105" i="3"/>
  <c r="V105" i="3"/>
  <c r="T105" i="3"/>
  <c r="R105" i="3"/>
  <c r="Q105" i="3"/>
  <c r="P105" i="3"/>
  <c r="O105" i="3"/>
  <c r="N105" i="3"/>
  <c r="M105" i="3"/>
  <c r="L105" i="3"/>
  <c r="F105" i="3"/>
  <c r="C108" i="3"/>
  <c r="C106" i="3"/>
  <c r="BC114" i="3"/>
  <c r="DB104" i="3"/>
  <c r="DA104" i="3"/>
  <c r="CZ104" i="3"/>
  <c r="CY104" i="3"/>
  <c r="CX104" i="3"/>
  <c r="CW104" i="3"/>
  <c r="CV104" i="3"/>
  <c r="CU104" i="3"/>
  <c r="CT104" i="3"/>
  <c r="CS104" i="3"/>
  <c r="CR104" i="3"/>
  <c r="CQ104" i="3"/>
  <c r="CP104" i="3"/>
  <c r="CO104" i="3"/>
  <c r="CN104" i="3"/>
  <c r="AM104" i="3" s="1"/>
  <c r="CM104" i="3"/>
  <c r="CL104" i="3"/>
  <c r="CK104" i="3"/>
  <c r="AJ104" i="3" s="1"/>
  <c r="CJ104" i="3"/>
  <c r="AI104" i="3" s="1"/>
  <c r="CI104" i="3"/>
  <c r="AH104" i="3" s="1"/>
  <c r="CH104" i="3"/>
  <c r="CG104" i="3"/>
  <c r="AF104" i="3" s="1"/>
  <c r="CF104" i="3"/>
  <c r="CE104" i="3"/>
  <c r="AD104" i="3" s="1"/>
  <c r="CD104" i="3"/>
  <c r="AC104" i="3" s="1"/>
  <c r="CC104" i="3"/>
  <c r="AB104" i="3" s="1"/>
  <c r="CB104" i="3"/>
  <c r="CA104" i="3"/>
  <c r="Z104" i="3" s="1"/>
  <c r="BZ104" i="3"/>
  <c r="Y104" i="3" s="1"/>
  <c r="BY104" i="3"/>
  <c r="X104" i="3" s="1"/>
  <c r="BX104" i="3"/>
  <c r="W104" i="3" s="1"/>
  <c r="BW104" i="3"/>
  <c r="V104" i="3" s="1"/>
  <c r="BV104" i="3"/>
  <c r="BU104" i="3"/>
  <c r="T104" i="3" s="1"/>
  <c r="BT104" i="3"/>
  <c r="S104" i="3" s="1"/>
  <c r="BS104" i="3"/>
  <c r="R104" i="3" s="1"/>
  <c r="BR104" i="3"/>
  <c r="BQ104" i="3"/>
  <c r="BP104" i="3"/>
  <c r="BO104" i="3"/>
  <c r="BN104" i="3"/>
  <c r="M104" i="3" s="1"/>
  <c r="BM104" i="3"/>
  <c r="L104" i="3" s="1"/>
  <c r="BL104" i="3"/>
  <c r="BK104" i="3"/>
  <c r="BJ104" i="3"/>
  <c r="I104" i="3" s="1"/>
  <c r="BI104" i="3"/>
  <c r="BH104" i="3"/>
  <c r="G104" i="3" s="1"/>
  <c r="BG104" i="3"/>
  <c r="BA104" i="3"/>
  <c r="AZ104" i="3"/>
  <c r="AX104" i="3"/>
  <c r="AW104" i="3"/>
  <c r="AV104" i="3"/>
  <c r="AU104" i="3"/>
  <c r="AT104" i="3"/>
  <c r="AS104" i="3"/>
  <c r="AQ104" i="3"/>
  <c r="AP104" i="3"/>
  <c r="AO104" i="3"/>
  <c r="AL104" i="3"/>
  <c r="AK104" i="3"/>
  <c r="AG104" i="3"/>
  <c r="U104" i="3"/>
  <c r="Q104" i="3"/>
  <c r="P104" i="3"/>
  <c r="O104" i="3"/>
  <c r="N104" i="3"/>
  <c r="H104" i="3"/>
  <c r="DB103" i="3"/>
  <c r="DA103" i="3"/>
  <c r="CZ103" i="3"/>
  <c r="CY103" i="3"/>
  <c r="CX103" i="3"/>
  <c r="CW103" i="3"/>
  <c r="CV103" i="3"/>
  <c r="AU103" i="3" s="1"/>
  <c r="CU103" i="3"/>
  <c r="CT103" i="3"/>
  <c r="AS103" i="3" s="1"/>
  <c r="CS103" i="3"/>
  <c r="CR103" i="3"/>
  <c r="CQ103" i="3"/>
  <c r="AP103" i="3" s="1"/>
  <c r="CP103" i="3"/>
  <c r="AO103" i="3" s="1"/>
  <c r="CO103" i="3"/>
  <c r="CN103" i="3"/>
  <c r="CM103" i="3"/>
  <c r="CL103" i="3"/>
  <c r="CK103" i="3"/>
  <c r="CJ103" i="3"/>
  <c r="CI103" i="3"/>
  <c r="CH103" i="3"/>
  <c r="CG103" i="3"/>
  <c r="CF103" i="3"/>
  <c r="AE103" i="3" s="1"/>
  <c r="CE103" i="3"/>
  <c r="AD103" i="3" s="1"/>
  <c r="CD103" i="3"/>
  <c r="AC103" i="3" s="1"/>
  <c r="CC103" i="3"/>
  <c r="AB103" i="3" s="1"/>
  <c r="CB103" i="3"/>
  <c r="CA103" i="3"/>
  <c r="Z103" i="3" s="1"/>
  <c r="BZ103" i="3"/>
  <c r="BY103" i="3"/>
  <c r="BX103" i="3"/>
  <c r="W103" i="3" s="1"/>
  <c r="BW103" i="3"/>
  <c r="BV103" i="3"/>
  <c r="U103" i="3" s="1"/>
  <c r="BU103" i="3"/>
  <c r="T103" i="3" s="1"/>
  <c r="BT103" i="3"/>
  <c r="S103" i="3" s="1"/>
  <c r="BS103" i="3"/>
  <c r="R103" i="3" s="1"/>
  <c r="BR103" i="3"/>
  <c r="Q103" i="3" s="1"/>
  <c r="BQ103" i="3"/>
  <c r="P103" i="3" s="1"/>
  <c r="BP103" i="3"/>
  <c r="BO103" i="3"/>
  <c r="N103" i="3" s="1"/>
  <c r="BN103" i="3"/>
  <c r="M103" i="3" s="1"/>
  <c r="BM103" i="3"/>
  <c r="L103" i="3" s="1"/>
  <c r="BL103" i="3"/>
  <c r="BK103" i="3"/>
  <c r="J103" i="3" s="1"/>
  <c r="BJ103" i="3"/>
  <c r="I103" i="3" s="1"/>
  <c r="BI103" i="3"/>
  <c r="H103" i="3" s="1"/>
  <c r="BH103" i="3"/>
  <c r="G103" i="3" s="1"/>
  <c r="BG103" i="3"/>
  <c r="F103" i="3" s="1"/>
  <c r="BA103" i="3"/>
  <c r="AZ103" i="3"/>
  <c r="AY103" i="3"/>
  <c r="AW103" i="3"/>
  <c r="AR103" i="3"/>
  <c r="AQ103" i="3"/>
  <c r="AN103" i="3"/>
  <c r="AM103" i="3"/>
  <c r="AL103" i="3"/>
  <c r="AK103" i="3"/>
  <c r="AJ103" i="3"/>
  <c r="AI103" i="3"/>
  <c r="AH103" i="3"/>
  <c r="AG103" i="3"/>
  <c r="AF103" i="3"/>
  <c r="X103" i="3"/>
  <c r="V103" i="3"/>
  <c r="DB102" i="3"/>
  <c r="DA102" i="3"/>
  <c r="CZ102" i="3"/>
  <c r="CY102" i="3"/>
  <c r="CX102" i="3"/>
  <c r="CW102" i="3"/>
  <c r="CV102" i="3"/>
  <c r="CU102" i="3"/>
  <c r="CT102" i="3"/>
  <c r="CS102" i="3"/>
  <c r="CR102" i="3"/>
  <c r="CQ102" i="3"/>
  <c r="CP102" i="3"/>
  <c r="CO102" i="3"/>
  <c r="CN102" i="3"/>
  <c r="CM102" i="3"/>
  <c r="AL102" i="3" s="1"/>
  <c r="CL102" i="3"/>
  <c r="AK102" i="3" s="1"/>
  <c r="CK102" i="3"/>
  <c r="AJ102" i="3" s="1"/>
  <c r="CJ102" i="3"/>
  <c r="AI102" i="3" s="1"/>
  <c r="CI102" i="3"/>
  <c r="AH102" i="3" s="1"/>
  <c r="CH102" i="3"/>
  <c r="CG102" i="3"/>
  <c r="CF102" i="3"/>
  <c r="CE102" i="3"/>
  <c r="CD102" i="3"/>
  <c r="CC102" i="3"/>
  <c r="AB102" i="3" s="1"/>
  <c r="CB102" i="3"/>
  <c r="CA102" i="3"/>
  <c r="Z102" i="3" s="1"/>
  <c r="BZ102" i="3"/>
  <c r="Y102" i="3" s="1"/>
  <c r="BY102" i="3"/>
  <c r="X102" i="3" s="1"/>
  <c r="BX102" i="3"/>
  <c r="W102" i="3" s="1"/>
  <c r="BW102" i="3"/>
  <c r="V102" i="3" s="1"/>
  <c r="BV102" i="3"/>
  <c r="U102" i="3" s="1"/>
  <c r="BU102" i="3"/>
  <c r="T102" i="3" s="1"/>
  <c r="BT102" i="3"/>
  <c r="S102" i="3" s="1"/>
  <c r="BS102" i="3"/>
  <c r="BR102" i="3"/>
  <c r="Q102" i="3" s="1"/>
  <c r="BQ102" i="3"/>
  <c r="P102" i="3" s="1"/>
  <c r="BP102" i="3"/>
  <c r="O102" i="3" s="1"/>
  <c r="BO102" i="3"/>
  <c r="BN102" i="3"/>
  <c r="BM102" i="3"/>
  <c r="BL102" i="3"/>
  <c r="K102" i="3" s="1"/>
  <c r="BK102" i="3"/>
  <c r="BJ102" i="3"/>
  <c r="BI102" i="3"/>
  <c r="H102" i="3" s="1"/>
  <c r="BH102" i="3"/>
  <c r="G102" i="3" s="1"/>
  <c r="BG102" i="3"/>
  <c r="BA102" i="3"/>
  <c r="AZ102" i="3"/>
  <c r="AY102" i="3"/>
  <c r="AX102" i="3"/>
  <c r="AW102" i="3"/>
  <c r="AV102" i="3"/>
  <c r="AU102" i="3"/>
  <c r="AT102" i="3"/>
  <c r="AS102" i="3"/>
  <c r="AR102" i="3"/>
  <c r="AQ102" i="3"/>
  <c r="AP102" i="3"/>
  <c r="AO102" i="3"/>
  <c r="AN102" i="3"/>
  <c r="AM102" i="3"/>
  <c r="AG102" i="3"/>
  <c r="AE102" i="3"/>
  <c r="AC102" i="3"/>
  <c r="N102" i="3"/>
  <c r="M102" i="3"/>
  <c r="L102" i="3"/>
  <c r="J102" i="3"/>
  <c r="I102" i="3"/>
  <c r="C105" i="3"/>
  <c r="C104" i="3"/>
  <c r="C103" i="3"/>
  <c r="DB101" i="3"/>
  <c r="DA101" i="3"/>
  <c r="CZ101" i="3"/>
  <c r="CY101" i="3"/>
  <c r="CX101" i="3"/>
  <c r="AW101" i="3" s="1"/>
  <c r="CW101" i="3"/>
  <c r="AV101" i="3" s="1"/>
  <c r="CV101" i="3"/>
  <c r="AU101" i="3" s="1"/>
  <c r="CU101" i="3"/>
  <c r="AT101" i="3" s="1"/>
  <c r="CT101" i="3"/>
  <c r="CS101" i="3"/>
  <c r="CR101" i="3"/>
  <c r="AQ101" i="3" s="1"/>
  <c r="CQ101" i="3"/>
  <c r="CP101" i="3"/>
  <c r="AO101" i="3" s="1"/>
  <c r="CO101" i="3"/>
  <c r="CN101" i="3"/>
  <c r="AM101" i="3" s="1"/>
  <c r="CM101" i="3"/>
  <c r="AL101" i="3" s="1"/>
  <c r="CL101" i="3"/>
  <c r="CK101" i="3"/>
  <c r="CJ101" i="3"/>
  <c r="AI101" i="3" s="1"/>
  <c r="CI101" i="3"/>
  <c r="AH101" i="3" s="1"/>
  <c r="CH101" i="3"/>
  <c r="AG101" i="3" s="1"/>
  <c r="CG101" i="3"/>
  <c r="AF101" i="3" s="1"/>
  <c r="CF101" i="3"/>
  <c r="CE101" i="3"/>
  <c r="AD101" i="3" s="1"/>
  <c r="CD101" i="3"/>
  <c r="CC101" i="3"/>
  <c r="AB101" i="3" s="1"/>
  <c r="CB101" i="3"/>
  <c r="AA101" i="3" s="1"/>
  <c r="CA101" i="3"/>
  <c r="Z101" i="3" s="1"/>
  <c r="BZ101" i="3"/>
  <c r="Y101" i="3" s="1"/>
  <c r="BY101" i="3"/>
  <c r="X101" i="3" s="1"/>
  <c r="BX101" i="3"/>
  <c r="W101" i="3" s="1"/>
  <c r="BW101" i="3"/>
  <c r="BV101" i="3"/>
  <c r="U101" i="3" s="1"/>
  <c r="BU101" i="3"/>
  <c r="BT101" i="3"/>
  <c r="BS101" i="3"/>
  <c r="BR101" i="3"/>
  <c r="Q101" i="3" s="1"/>
  <c r="BQ101" i="3"/>
  <c r="P101" i="3" s="1"/>
  <c r="BP101" i="3"/>
  <c r="O101" i="3" s="1"/>
  <c r="BO101" i="3"/>
  <c r="N101" i="3" s="1"/>
  <c r="BN101" i="3"/>
  <c r="M101" i="3" s="1"/>
  <c r="BM101" i="3"/>
  <c r="L101" i="3" s="1"/>
  <c r="BL101" i="3"/>
  <c r="K101" i="3" s="1"/>
  <c r="BK101" i="3"/>
  <c r="J101" i="3" s="1"/>
  <c r="BJ101" i="3"/>
  <c r="I101" i="3" s="1"/>
  <c r="BI101" i="3"/>
  <c r="H101" i="3" s="1"/>
  <c r="BH101" i="3"/>
  <c r="G101" i="3" s="1"/>
  <c r="BG101" i="3"/>
  <c r="F101" i="3" s="1"/>
  <c r="BA101" i="3"/>
  <c r="AZ101" i="3"/>
  <c r="AY101" i="3"/>
  <c r="AS101" i="3"/>
  <c r="AR101" i="3"/>
  <c r="AP101" i="3"/>
  <c r="AJ101" i="3"/>
  <c r="AE101" i="3"/>
  <c r="T101" i="3"/>
  <c r="S101" i="3"/>
  <c r="DB100" i="3"/>
  <c r="DA100" i="3"/>
  <c r="CZ100" i="3"/>
  <c r="AY100" i="3" s="1"/>
  <c r="CY100" i="3"/>
  <c r="AX100" i="3" s="1"/>
  <c r="CX100" i="3"/>
  <c r="AW100" i="3" s="1"/>
  <c r="CW100" i="3"/>
  <c r="CV100" i="3"/>
  <c r="AU100" i="3" s="1"/>
  <c r="CU100" i="3"/>
  <c r="AT100" i="3" s="1"/>
  <c r="CT100" i="3"/>
  <c r="AS100" i="3" s="1"/>
  <c r="CS100" i="3"/>
  <c r="AR100" i="3" s="1"/>
  <c r="CR100" i="3"/>
  <c r="AQ100" i="3" s="1"/>
  <c r="CQ100" i="3"/>
  <c r="AP100" i="3" s="1"/>
  <c r="CP100" i="3"/>
  <c r="AO100" i="3" s="1"/>
  <c r="CO100" i="3"/>
  <c r="AN100" i="3" s="1"/>
  <c r="CN100" i="3"/>
  <c r="CM100" i="3"/>
  <c r="AL100" i="3" s="1"/>
  <c r="CL100" i="3"/>
  <c r="AK100" i="3" s="1"/>
  <c r="CK100" i="3"/>
  <c r="AJ100" i="3" s="1"/>
  <c r="CJ100" i="3"/>
  <c r="AI100" i="3" s="1"/>
  <c r="CI100" i="3"/>
  <c r="AH100" i="3" s="1"/>
  <c r="CH100" i="3"/>
  <c r="CG100" i="3"/>
  <c r="CF100" i="3"/>
  <c r="AE100" i="3" s="1"/>
  <c r="CE100" i="3"/>
  <c r="AD100" i="3" s="1"/>
  <c r="CD100" i="3"/>
  <c r="AC100" i="3" s="1"/>
  <c r="CC100" i="3"/>
  <c r="AB100" i="3" s="1"/>
  <c r="CB100" i="3"/>
  <c r="CA100" i="3"/>
  <c r="Z100" i="3" s="1"/>
  <c r="BZ100" i="3"/>
  <c r="Y100" i="3" s="1"/>
  <c r="BY100" i="3"/>
  <c r="X100" i="3" s="1"/>
  <c r="BX100" i="3"/>
  <c r="W100" i="3" s="1"/>
  <c r="BW100" i="3"/>
  <c r="V100" i="3" s="1"/>
  <c r="BV100" i="3"/>
  <c r="BU100" i="3"/>
  <c r="T100" i="3" s="1"/>
  <c r="BT100" i="3"/>
  <c r="S100" i="3" s="1"/>
  <c r="BS100" i="3"/>
  <c r="R100" i="3" s="1"/>
  <c r="BR100" i="3"/>
  <c r="Q100" i="3" s="1"/>
  <c r="BQ100" i="3"/>
  <c r="P100" i="3" s="1"/>
  <c r="BP100" i="3"/>
  <c r="BO100" i="3"/>
  <c r="N100" i="3" s="1"/>
  <c r="BN100" i="3"/>
  <c r="M100" i="3" s="1"/>
  <c r="BM100" i="3"/>
  <c r="L100" i="3" s="1"/>
  <c r="BL100" i="3"/>
  <c r="BK100" i="3"/>
  <c r="J100" i="3" s="1"/>
  <c r="BJ100" i="3"/>
  <c r="BI100" i="3"/>
  <c r="H100" i="3" s="1"/>
  <c r="BH100" i="3"/>
  <c r="G100" i="3" s="1"/>
  <c r="BG100" i="3"/>
  <c r="F100" i="3" s="1"/>
  <c r="BA100" i="3"/>
  <c r="AZ100" i="3"/>
  <c r="AG100" i="3"/>
  <c r="AF100" i="3"/>
  <c r="I100" i="3"/>
  <c r="DB99" i="3"/>
  <c r="DA99" i="3"/>
  <c r="CZ99" i="3"/>
  <c r="CY99" i="3"/>
  <c r="AX99" i="3" s="1"/>
  <c r="CX99" i="3"/>
  <c r="AW99" i="3" s="1"/>
  <c r="CW99" i="3"/>
  <c r="AV99" i="3" s="1"/>
  <c r="CV99" i="3"/>
  <c r="AU99" i="3" s="1"/>
  <c r="CU99" i="3"/>
  <c r="AT99" i="3" s="1"/>
  <c r="CT99" i="3"/>
  <c r="AS99" i="3" s="1"/>
  <c r="CS99" i="3"/>
  <c r="AR99" i="3" s="1"/>
  <c r="CR99" i="3"/>
  <c r="AQ99" i="3" s="1"/>
  <c r="CQ99" i="3"/>
  <c r="AP99" i="3" s="1"/>
  <c r="CP99" i="3"/>
  <c r="CO99" i="3"/>
  <c r="CN99" i="3"/>
  <c r="AM99" i="3" s="1"/>
  <c r="CM99" i="3"/>
  <c r="CL99" i="3"/>
  <c r="AK99" i="3" s="1"/>
  <c r="CK99" i="3"/>
  <c r="AJ99" i="3" s="1"/>
  <c r="CJ99" i="3"/>
  <c r="AI99" i="3" s="1"/>
  <c r="CI99" i="3"/>
  <c r="AH99" i="3" s="1"/>
  <c r="CH99" i="3"/>
  <c r="AG99" i="3" s="1"/>
  <c r="CG99" i="3"/>
  <c r="AF99" i="3" s="1"/>
  <c r="CF99" i="3"/>
  <c r="AE99" i="3" s="1"/>
  <c r="CE99" i="3"/>
  <c r="AD99" i="3" s="1"/>
  <c r="CD99" i="3"/>
  <c r="AC99" i="3" s="1"/>
  <c r="CC99" i="3"/>
  <c r="AB99" i="3" s="1"/>
  <c r="CB99" i="3"/>
  <c r="AA99" i="3" s="1"/>
  <c r="CA99" i="3"/>
  <c r="Z99" i="3" s="1"/>
  <c r="BZ99" i="3"/>
  <c r="BY99" i="3"/>
  <c r="BX99" i="3"/>
  <c r="BW99" i="3"/>
  <c r="V99" i="3" s="1"/>
  <c r="BV99" i="3"/>
  <c r="U99" i="3" s="1"/>
  <c r="BU99" i="3"/>
  <c r="T99" i="3" s="1"/>
  <c r="BT99" i="3"/>
  <c r="S99" i="3" s="1"/>
  <c r="BS99" i="3"/>
  <c r="R99" i="3" s="1"/>
  <c r="BR99" i="3"/>
  <c r="Q99" i="3" s="1"/>
  <c r="BQ99" i="3"/>
  <c r="P99" i="3" s="1"/>
  <c r="BP99" i="3"/>
  <c r="O99" i="3" s="1"/>
  <c r="BO99" i="3"/>
  <c r="BN99" i="3"/>
  <c r="BM99" i="3"/>
  <c r="BL99" i="3"/>
  <c r="BK99" i="3"/>
  <c r="BJ99" i="3"/>
  <c r="BI99" i="3"/>
  <c r="BH99" i="3"/>
  <c r="BG99" i="3"/>
  <c r="BA99" i="3"/>
  <c r="AZ99" i="3"/>
  <c r="AY99" i="3"/>
  <c r="AO99" i="3"/>
  <c r="AN99" i="3"/>
  <c r="Y99" i="3"/>
  <c r="X99" i="3"/>
  <c r="W99" i="3"/>
  <c r="DB98" i="3"/>
  <c r="DA98" i="3"/>
  <c r="CZ98" i="3"/>
  <c r="CY98" i="3"/>
  <c r="CX98" i="3"/>
  <c r="AW98" i="3" s="1"/>
  <c r="CW98" i="3"/>
  <c r="AV98" i="3" s="1"/>
  <c r="CV98" i="3"/>
  <c r="AU98" i="3" s="1"/>
  <c r="CU98" i="3"/>
  <c r="CT98" i="3"/>
  <c r="AS98" i="3" s="1"/>
  <c r="CS98" i="3"/>
  <c r="AR98" i="3" s="1"/>
  <c r="CR98" i="3"/>
  <c r="AQ98" i="3" s="1"/>
  <c r="CQ98" i="3"/>
  <c r="AP98" i="3" s="1"/>
  <c r="CP98" i="3"/>
  <c r="AO98" i="3" s="1"/>
  <c r="CO98" i="3"/>
  <c r="CN98" i="3"/>
  <c r="AM98" i="3" s="1"/>
  <c r="CM98" i="3"/>
  <c r="AL98" i="3" s="1"/>
  <c r="CL98" i="3"/>
  <c r="AK98" i="3" s="1"/>
  <c r="CK98" i="3"/>
  <c r="AJ98" i="3" s="1"/>
  <c r="CJ98" i="3"/>
  <c r="CI98" i="3"/>
  <c r="AH98" i="3" s="1"/>
  <c r="CH98" i="3"/>
  <c r="AG98" i="3" s="1"/>
  <c r="CG98" i="3"/>
  <c r="AF98" i="3" s="1"/>
  <c r="CF98" i="3"/>
  <c r="AE98" i="3" s="1"/>
  <c r="CE98" i="3"/>
  <c r="AD98" i="3" s="1"/>
  <c r="CD98" i="3"/>
  <c r="AC98" i="3" s="1"/>
  <c r="CC98" i="3"/>
  <c r="AB98" i="3" s="1"/>
  <c r="CB98" i="3"/>
  <c r="AA98" i="3" s="1"/>
  <c r="CA98" i="3"/>
  <c r="Z98" i="3" s="1"/>
  <c r="BZ98" i="3"/>
  <c r="Y98" i="3" s="1"/>
  <c r="BY98" i="3"/>
  <c r="X98" i="3" s="1"/>
  <c r="BX98" i="3"/>
  <c r="BW98" i="3"/>
  <c r="BV98" i="3"/>
  <c r="BU98" i="3"/>
  <c r="BT98" i="3"/>
  <c r="BS98" i="3"/>
  <c r="R98" i="3" s="1"/>
  <c r="BR98" i="3"/>
  <c r="Q98" i="3" s="1"/>
  <c r="BQ98" i="3"/>
  <c r="P98" i="3" s="1"/>
  <c r="BP98" i="3"/>
  <c r="O98" i="3" s="1"/>
  <c r="BO98" i="3"/>
  <c r="BN98" i="3"/>
  <c r="M98" i="3" s="1"/>
  <c r="BM98" i="3"/>
  <c r="L98" i="3" s="1"/>
  <c r="BL98" i="3"/>
  <c r="BK98" i="3"/>
  <c r="J98" i="3" s="1"/>
  <c r="BJ98" i="3"/>
  <c r="I98" i="3" s="1"/>
  <c r="BI98" i="3"/>
  <c r="H98" i="3" s="1"/>
  <c r="BH98" i="3"/>
  <c r="G98" i="3" s="1"/>
  <c r="BG98" i="3"/>
  <c r="F98" i="3" s="1"/>
  <c r="BA98" i="3"/>
  <c r="AZ98" i="3"/>
  <c r="AY98" i="3"/>
  <c r="AX98" i="3"/>
  <c r="AI98" i="3"/>
  <c r="W98" i="3"/>
  <c r="V98" i="3"/>
  <c r="U98" i="3"/>
  <c r="T98" i="3"/>
  <c r="S98" i="3"/>
  <c r="DB97" i="3"/>
  <c r="DA97" i="3"/>
  <c r="AZ97" i="3" s="1"/>
  <c r="CZ97" i="3"/>
  <c r="AY97" i="3" s="1"/>
  <c r="CY97" i="3"/>
  <c r="CX97" i="3"/>
  <c r="AW97" i="3" s="1"/>
  <c r="CW97" i="3"/>
  <c r="CV97" i="3"/>
  <c r="AU97" i="3" s="1"/>
  <c r="CU97" i="3"/>
  <c r="CT97" i="3"/>
  <c r="AS97" i="3" s="1"/>
  <c r="CS97" i="3"/>
  <c r="AR97" i="3" s="1"/>
  <c r="CR97" i="3"/>
  <c r="AQ97" i="3" s="1"/>
  <c r="CQ97" i="3"/>
  <c r="AP97" i="3" s="1"/>
  <c r="CP97" i="3"/>
  <c r="AO97" i="3" s="1"/>
  <c r="CO97" i="3"/>
  <c r="AN97" i="3" s="1"/>
  <c r="CN97" i="3"/>
  <c r="AM97" i="3" s="1"/>
  <c r="CM97" i="3"/>
  <c r="AL97" i="3" s="1"/>
  <c r="CL97" i="3"/>
  <c r="AK97" i="3" s="1"/>
  <c r="CK97" i="3"/>
  <c r="AJ97" i="3" s="1"/>
  <c r="CJ97" i="3"/>
  <c r="AI97" i="3" s="1"/>
  <c r="CI97" i="3"/>
  <c r="AH97" i="3" s="1"/>
  <c r="CH97" i="3"/>
  <c r="AG97" i="3" s="1"/>
  <c r="CG97" i="3"/>
  <c r="AF97" i="3" s="1"/>
  <c r="CF97" i="3"/>
  <c r="AE97" i="3" s="1"/>
  <c r="CE97" i="3"/>
  <c r="CD97" i="3"/>
  <c r="AC97" i="3" s="1"/>
  <c r="CC97" i="3"/>
  <c r="AB97" i="3" s="1"/>
  <c r="CB97" i="3"/>
  <c r="CA97" i="3"/>
  <c r="Z97" i="3" s="1"/>
  <c r="BZ97" i="3"/>
  <c r="BY97" i="3"/>
  <c r="X97" i="3" s="1"/>
  <c r="BX97" i="3"/>
  <c r="W97" i="3" s="1"/>
  <c r="BW97" i="3"/>
  <c r="V97" i="3" s="1"/>
  <c r="BV97" i="3"/>
  <c r="U97" i="3" s="1"/>
  <c r="BU97" i="3"/>
  <c r="T97" i="3" s="1"/>
  <c r="BT97" i="3"/>
  <c r="S97" i="3" s="1"/>
  <c r="BS97" i="3"/>
  <c r="R97" i="3" s="1"/>
  <c r="BR97" i="3"/>
  <c r="Q97" i="3" s="1"/>
  <c r="BQ97" i="3"/>
  <c r="P97" i="3" s="1"/>
  <c r="BP97" i="3"/>
  <c r="O97" i="3" s="1"/>
  <c r="BO97" i="3"/>
  <c r="N97" i="3" s="1"/>
  <c r="BN97" i="3"/>
  <c r="M97" i="3" s="1"/>
  <c r="BM97" i="3"/>
  <c r="L97" i="3" s="1"/>
  <c r="BL97" i="3"/>
  <c r="BK97" i="3"/>
  <c r="J97" i="3" s="1"/>
  <c r="BJ97" i="3"/>
  <c r="I97" i="3" s="1"/>
  <c r="BI97" i="3"/>
  <c r="H97" i="3" s="1"/>
  <c r="BH97" i="3"/>
  <c r="G97" i="3" s="1"/>
  <c r="BG97" i="3"/>
  <c r="F97" i="3" s="1"/>
  <c r="BA97" i="3"/>
  <c r="AX97" i="3"/>
  <c r="DB96" i="3"/>
  <c r="DA96" i="3"/>
  <c r="CZ96" i="3"/>
  <c r="AY96" i="3" s="1"/>
  <c r="CY96" i="3"/>
  <c r="CX96" i="3"/>
  <c r="AW96" i="3" s="1"/>
  <c r="CW96" i="3"/>
  <c r="AV96" i="3" s="1"/>
  <c r="CV96" i="3"/>
  <c r="AU96" i="3" s="1"/>
  <c r="CU96" i="3"/>
  <c r="AT96" i="3" s="1"/>
  <c r="CT96" i="3"/>
  <c r="AS96" i="3" s="1"/>
  <c r="CS96" i="3"/>
  <c r="CR96" i="3"/>
  <c r="CQ96" i="3"/>
  <c r="AP96" i="3" s="1"/>
  <c r="CP96" i="3"/>
  <c r="CO96" i="3"/>
  <c r="AN96" i="3" s="1"/>
  <c r="CN96" i="3"/>
  <c r="AM96" i="3" s="1"/>
  <c r="CM96" i="3"/>
  <c r="AL96" i="3" s="1"/>
  <c r="CL96" i="3"/>
  <c r="AK96" i="3" s="1"/>
  <c r="CK96" i="3"/>
  <c r="AJ96" i="3" s="1"/>
  <c r="CJ96" i="3"/>
  <c r="AI96" i="3" s="1"/>
  <c r="CI96" i="3"/>
  <c r="AH96" i="3" s="1"/>
  <c r="CH96" i="3"/>
  <c r="CG96" i="3"/>
  <c r="AF96" i="3" s="1"/>
  <c r="CF96" i="3"/>
  <c r="AE96" i="3" s="1"/>
  <c r="CE96" i="3"/>
  <c r="AD96" i="3" s="1"/>
  <c r="CD96" i="3"/>
  <c r="AC96" i="3" s="1"/>
  <c r="CC96" i="3"/>
  <c r="CB96" i="3"/>
  <c r="AA96" i="3" s="1"/>
  <c r="CA96" i="3"/>
  <c r="Z96" i="3" s="1"/>
  <c r="BZ96" i="3"/>
  <c r="Y96" i="3" s="1"/>
  <c r="BY96" i="3"/>
  <c r="X96" i="3" s="1"/>
  <c r="BX96" i="3"/>
  <c r="W96" i="3" s="1"/>
  <c r="BW96" i="3"/>
  <c r="V96" i="3" s="1"/>
  <c r="BV96" i="3"/>
  <c r="U96" i="3" s="1"/>
  <c r="BU96" i="3"/>
  <c r="T96" i="3" s="1"/>
  <c r="BT96" i="3"/>
  <c r="S96" i="3" s="1"/>
  <c r="BS96" i="3"/>
  <c r="BR96" i="3"/>
  <c r="Q96" i="3" s="1"/>
  <c r="BQ96" i="3"/>
  <c r="P96" i="3" s="1"/>
  <c r="BP96" i="3"/>
  <c r="O96" i="3" s="1"/>
  <c r="BO96" i="3"/>
  <c r="N96" i="3" s="1"/>
  <c r="BN96" i="3"/>
  <c r="M96" i="3" s="1"/>
  <c r="BM96" i="3"/>
  <c r="L96" i="3" s="1"/>
  <c r="BL96" i="3"/>
  <c r="BK96" i="3"/>
  <c r="BJ96" i="3"/>
  <c r="BI96" i="3"/>
  <c r="BH96" i="3"/>
  <c r="BG96" i="3"/>
  <c r="BA96" i="3"/>
  <c r="AZ96" i="3"/>
  <c r="AR96" i="3"/>
  <c r="AQ96" i="3"/>
  <c r="AO96" i="3"/>
  <c r="AB96" i="3"/>
  <c r="K96" i="3"/>
  <c r="I96" i="3"/>
  <c r="H96" i="3"/>
  <c r="F96" i="3"/>
  <c r="DB95" i="3"/>
  <c r="DA95" i="3"/>
  <c r="CZ95" i="3"/>
  <c r="CY95" i="3"/>
  <c r="AX95" i="3" s="1"/>
  <c r="CX95" i="3"/>
  <c r="AW95" i="3" s="1"/>
  <c r="CW95" i="3"/>
  <c r="AV95" i="3" s="1"/>
  <c r="CV95" i="3"/>
  <c r="AU95" i="3" s="1"/>
  <c r="CU95" i="3"/>
  <c r="AT95" i="3" s="1"/>
  <c r="CT95" i="3"/>
  <c r="AS95" i="3" s="1"/>
  <c r="CS95" i="3"/>
  <c r="AR95" i="3" s="1"/>
  <c r="CR95" i="3"/>
  <c r="AQ95" i="3" s="1"/>
  <c r="CQ95" i="3"/>
  <c r="AP95" i="3" s="1"/>
  <c r="CP95" i="3"/>
  <c r="AO95" i="3" s="1"/>
  <c r="CO95" i="3"/>
  <c r="AN95" i="3" s="1"/>
  <c r="CN95" i="3"/>
  <c r="AM95" i="3" s="1"/>
  <c r="CM95" i="3"/>
  <c r="CL95" i="3"/>
  <c r="CK95" i="3"/>
  <c r="AJ95" i="3" s="1"/>
  <c r="CJ95" i="3"/>
  <c r="AI95" i="3" s="1"/>
  <c r="CI95" i="3"/>
  <c r="CH95" i="3"/>
  <c r="CG95" i="3"/>
  <c r="CF95" i="3"/>
  <c r="AE95" i="3" s="1"/>
  <c r="CE95" i="3"/>
  <c r="AD95" i="3" s="1"/>
  <c r="CD95" i="3"/>
  <c r="AC95" i="3" s="1"/>
  <c r="CC95" i="3"/>
  <c r="AB95" i="3" s="1"/>
  <c r="CB95" i="3"/>
  <c r="AA95" i="3" s="1"/>
  <c r="CA95" i="3"/>
  <c r="Z95" i="3" s="1"/>
  <c r="BZ95" i="3"/>
  <c r="Y95" i="3" s="1"/>
  <c r="BY95" i="3"/>
  <c r="X95" i="3" s="1"/>
  <c r="BX95" i="3"/>
  <c r="W95" i="3" s="1"/>
  <c r="BW95" i="3"/>
  <c r="V95" i="3" s="1"/>
  <c r="BV95" i="3"/>
  <c r="BU95" i="3"/>
  <c r="T95" i="3" s="1"/>
  <c r="BT95" i="3"/>
  <c r="S95" i="3" s="1"/>
  <c r="BS95" i="3"/>
  <c r="R95" i="3" s="1"/>
  <c r="BR95" i="3"/>
  <c r="Q95" i="3" s="1"/>
  <c r="BQ95" i="3"/>
  <c r="P95" i="3" s="1"/>
  <c r="BP95" i="3"/>
  <c r="O95" i="3" s="1"/>
  <c r="BO95" i="3"/>
  <c r="BN95" i="3"/>
  <c r="M95" i="3" s="1"/>
  <c r="BM95" i="3"/>
  <c r="L95" i="3" s="1"/>
  <c r="BL95" i="3"/>
  <c r="K95" i="3" s="1"/>
  <c r="BK95" i="3"/>
  <c r="J95" i="3" s="1"/>
  <c r="BJ95" i="3"/>
  <c r="I95" i="3" s="1"/>
  <c r="BI95" i="3"/>
  <c r="H95" i="3" s="1"/>
  <c r="BH95" i="3"/>
  <c r="G95" i="3" s="1"/>
  <c r="BG95" i="3"/>
  <c r="F95" i="3" s="1"/>
  <c r="BA95" i="3"/>
  <c r="AZ95" i="3"/>
  <c r="AK95" i="3"/>
  <c r="AG95" i="3"/>
  <c r="AF95" i="3"/>
  <c r="U95" i="3"/>
  <c r="DB94" i="3"/>
  <c r="BA94" i="3" s="1"/>
  <c r="DA94" i="3"/>
  <c r="AZ94" i="3" s="1"/>
  <c r="CZ94" i="3"/>
  <c r="AY94" i="3" s="1"/>
  <c r="CY94" i="3"/>
  <c r="AX94" i="3" s="1"/>
  <c r="CX94" i="3"/>
  <c r="AW94" i="3" s="1"/>
  <c r="CW94" i="3"/>
  <c r="AV94" i="3" s="1"/>
  <c r="CV94" i="3"/>
  <c r="AU94" i="3" s="1"/>
  <c r="CU94" i="3"/>
  <c r="CT94" i="3"/>
  <c r="AS94" i="3" s="1"/>
  <c r="CS94" i="3"/>
  <c r="AR94" i="3" s="1"/>
  <c r="CR94" i="3"/>
  <c r="AQ94" i="3" s="1"/>
  <c r="CQ94" i="3"/>
  <c r="CP94" i="3"/>
  <c r="AO94" i="3" s="1"/>
  <c r="CO94" i="3"/>
  <c r="AN94" i="3" s="1"/>
  <c r="CN94" i="3"/>
  <c r="CM94" i="3"/>
  <c r="AL94" i="3" s="1"/>
  <c r="CL94" i="3"/>
  <c r="AK94" i="3" s="1"/>
  <c r="CK94" i="3"/>
  <c r="AJ94" i="3" s="1"/>
  <c r="CJ94" i="3"/>
  <c r="AI94" i="3" s="1"/>
  <c r="CI94" i="3"/>
  <c r="AH94" i="3" s="1"/>
  <c r="CH94" i="3"/>
  <c r="AG94" i="3" s="1"/>
  <c r="CG94" i="3"/>
  <c r="AF94" i="3" s="1"/>
  <c r="CF94" i="3"/>
  <c r="AE94" i="3" s="1"/>
  <c r="CE94" i="3"/>
  <c r="CD94" i="3"/>
  <c r="CC94" i="3"/>
  <c r="AB94" i="3" s="1"/>
  <c r="CB94" i="3"/>
  <c r="AA94" i="3" s="1"/>
  <c r="CA94" i="3"/>
  <c r="BZ94" i="3"/>
  <c r="BY94" i="3"/>
  <c r="X94" i="3" s="1"/>
  <c r="BX94" i="3"/>
  <c r="BW94" i="3"/>
  <c r="V94" i="3" s="1"/>
  <c r="BV94" i="3"/>
  <c r="BU94" i="3"/>
  <c r="BT94" i="3"/>
  <c r="S94" i="3" s="1"/>
  <c r="BS94" i="3"/>
  <c r="BR94" i="3"/>
  <c r="Q94" i="3" s="1"/>
  <c r="BQ94" i="3"/>
  <c r="BP94" i="3"/>
  <c r="O94" i="3" s="1"/>
  <c r="BO94" i="3"/>
  <c r="N94" i="3" s="1"/>
  <c r="BN94" i="3"/>
  <c r="M94" i="3" s="1"/>
  <c r="BM94" i="3"/>
  <c r="L94" i="3" s="1"/>
  <c r="BL94" i="3"/>
  <c r="K94" i="3" s="1"/>
  <c r="BK94" i="3"/>
  <c r="J94" i="3" s="1"/>
  <c r="BJ94" i="3"/>
  <c r="I94" i="3" s="1"/>
  <c r="BI94" i="3"/>
  <c r="H94" i="3" s="1"/>
  <c r="BH94" i="3"/>
  <c r="G94" i="3" s="1"/>
  <c r="BG94" i="3"/>
  <c r="F94" i="3" s="1"/>
  <c r="AD94" i="3"/>
  <c r="AC94" i="3"/>
  <c r="Y94" i="3"/>
  <c r="W94" i="3"/>
  <c r="T94" i="3"/>
  <c r="R94" i="3"/>
  <c r="P94" i="3"/>
  <c r="DB93" i="3"/>
  <c r="BA93" i="3" s="1"/>
  <c r="DA93" i="3"/>
  <c r="AZ93" i="3" s="1"/>
  <c r="CZ93" i="3"/>
  <c r="AY93" i="3" s="1"/>
  <c r="CY93" i="3"/>
  <c r="AX93" i="3" s="1"/>
  <c r="CX93" i="3"/>
  <c r="AW93" i="3" s="1"/>
  <c r="CW93" i="3"/>
  <c r="AV93" i="3" s="1"/>
  <c r="CV93" i="3"/>
  <c r="AU93" i="3" s="1"/>
  <c r="CU93" i="3"/>
  <c r="CT93" i="3"/>
  <c r="AS93" i="3" s="1"/>
  <c r="CS93" i="3"/>
  <c r="AR93" i="3" s="1"/>
  <c r="CR93" i="3"/>
  <c r="AQ93" i="3" s="1"/>
  <c r="CQ93" i="3"/>
  <c r="AP93" i="3" s="1"/>
  <c r="CP93" i="3"/>
  <c r="AO93" i="3" s="1"/>
  <c r="CO93" i="3"/>
  <c r="CN93" i="3"/>
  <c r="CM93" i="3"/>
  <c r="AL93" i="3" s="1"/>
  <c r="CL93" i="3"/>
  <c r="CK93" i="3"/>
  <c r="AJ93" i="3" s="1"/>
  <c r="CJ93" i="3"/>
  <c r="CI93" i="3"/>
  <c r="CH93" i="3"/>
  <c r="AG93" i="3" s="1"/>
  <c r="CG93" i="3"/>
  <c r="AF93" i="3" s="1"/>
  <c r="CF93" i="3"/>
  <c r="AE93" i="3" s="1"/>
  <c r="CE93" i="3"/>
  <c r="AD93" i="3" s="1"/>
  <c r="CD93" i="3"/>
  <c r="AC93" i="3" s="1"/>
  <c r="CC93" i="3"/>
  <c r="AB93" i="3" s="1"/>
  <c r="CB93" i="3"/>
  <c r="AA93" i="3" s="1"/>
  <c r="CA93" i="3"/>
  <c r="BZ93" i="3"/>
  <c r="Y93" i="3" s="1"/>
  <c r="BY93" i="3"/>
  <c r="X93" i="3" s="1"/>
  <c r="BX93" i="3"/>
  <c r="BW93" i="3"/>
  <c r="V93" i="3" s="1"/>
  <c r="BV93" i="3"/>
  <c r="BU93" i="3"/>
  <c r="T93" i="3" s="1"/>
  <c r="BT93" i="3"/>
  <c r="BS93" i="3"/>
  <c r="R93" i="3" s="1"/>
  <c r="BR93" i="3"/>
  <c r="Q93" i="3" s="1"/>
  <c r="BQ93" i="3"/>
  <c r="P93" i="3" s="1"/>
  <c r="BP93" i="3"/>
  <c r="BO93" i="3"/>
  <c r="N93" i="3" s="1"/>
  <c r="BN93" i="3"/>
  <c r="M93" i="3" s="1"/>
  <c r="BM93" i="3"/>
  <c r="L93" i="3" s="1"/>
  <c r="BL93" i="3"/>
  <c r="K93" i="3" s="1"/>
  <c r="BK93" i="3"/>
  <c r="J93" i="3" s="1"/>
  <c r="BJ93" i="3"/>
  <c r="I93" i="3" s="1"/>
  <c r="BI93" i="3"/>
  <c r="BH93" i="3"/>
  <c r="G93" i="3" s="1"/>
  <c r="BG93" i="3"/>
  <c r="F93" i="3" s="1"/>
  <c r="AK93" i="3"/>
  <c r="AI93" i="3"/>
  <c r="AH93" i="3"/>
  <c r="W93" i="3"/>
  <c r="U93" i="3"/>
  <c r="S93" i="3"/>
  <c r="DB92" i="3"/>
  <c r="DA92" i="3"/>
  <c r="CZ92" i="3"/>
  <c r="CY92" i="3"/>
  <c r="CX92" i="3"/>
  <c r="AW92" i="3" s="1"/>
  <c r="CW92" i="3"/>
  <c r="CV92" i="3"/>
  <c r="AU92" i="3" s="1"/>
  <c r="CU92" i="3"/>
  <c r="AT92" i="3" s="1"/>
  <c r="CT92" i="3"/>
  <c r="AS92" i="3" s="1"/>
  <c r="CS92" i="3"/>
  <c r="CR92" i="3"/>
  <c r="AQ92" i="3" s="1"/>
  <c r="CQ92" i="3"/>
  <c r="AP92" i="3" s="1"/>
  <c r="CP92" i="3"/>
  <c r="AO92" i="3" s="1"/>
  <c r="CO92" i="3"/>
  <c r="CN92" i="3"/>
  <c r="AM92" i="3" s="1"/>
  <c r="CM92" i="3"/>
  <c r="AL92" i="3" s="1"/>
  <c r="CL92" i="3"/>
  <c r="CK92" i="3"/>
  <c r="AJ92" i="3" s="1"/>
  <c r="CJ92" i="3"/>
  <c r="CI92" i="3"/>
  <c r="CH92" i="3"/>
  <c r="AG92" i="3" s="1"/>
  <c r="CG92" i="3"/>
  <c r="CF92" i="3"/>
  <c r="AE92" i="3" s="1"/>
  <c r="CE92" i="3"/>
  <c r="CD92" i="3"/>
  <c r="AC92" i="3" s="1"/>
  <c r="CC92" i="3"/>
  <c r="AB92" i="3" s="1"/>
  <c r="CB92" i="3"/>
  <c r="CA92" i="3"/>
  <c r="Z92" i="3" s="1"/>
  <c r="BZ92" i="3"/>
  <c r="BY92" i="3"/>
  <c r="X92" i="3" s="1"/>
  <c r="BX92" i="3"/>
  <c r="W92" i="3" s="1"/>
  <c r="BW92" i="3"/>
  <c r="V92" i="3" s="1"/>
  <c r="BV92" i="3"/>
  <c r="U92" i="3" s="1"/>
  <c r="BU92" i="3"/>
  <c r="T92" i="3" s="1"/>
  <c r="BT92" i="3"/>
  <c r="BS92" i="3"/>
  <c r="BR92" i="3"/>
  <c r="BQ92" i="3"/>
  <c r="P92" i="3" s="1"/>
  <c r="BP92" i="3"/>
  <c r="O92" i="3" s="1"/>
  <c r="BO92" i="3"/>
  <c r="N92" i="3" s="1"/>
  <c r="BN92" i="3"/>
  <c r="BM92" i="3"/>
  <c r="BL92" i="3"/>
  <c r="K92" i="3" s="1"/>
  <c r="BK92" i="3"/>
  <c r="J92" i="3" s="1"/>
  <c r="BJ92" i="3"/>
  <c r="I92" i="3" s="1"/>
  <c r="BI92" i="3"/>
  <c r="H92" i="3" s="1"/>
  <c r="BH92" i="3"/>
  <c r="G92" i="3" s="1"/>
  <c r="BG92" i="3"/>
  <c r="F92" i="3" s="1"/>
  <c r="BA92" i="3"/>
  <c r="AZ92" i="3"/>
  <c r="AY92" i="3"/>
  <c r="AX92" i="3"/>
  <c r="AI92" i="3"/>
  <c r="AF92" i="3"/>
  <c r="S92" i="3"/>
  <c r="R92" i="3"/>
  <c r="M92" i="3"/>
  <c r="L92" i="3"/>
  <c r="DB91" i="3"/>
  <c r="DA91" i="3"/>
  <c r="CZ91" i="3"/>
  <c r="AY91" i="3" s="1"/>
  <c r="CY91" i="3"/>
  <c r="AX91" i="3" s="1"/>
  <c r="CX91" i="3"/>
  <c r="AW91" i="3" s="1"/>
  <c r="CW91" i="3"/>
  <c r="CV91" i="3"/>
  <c r="AU91" i="3" s="1"/>
  <c r="CU91" i="3"/>
  <c r="AT91" i="3" s="1"/>
  <c r="CT91" i="3"/>
  <c r="AS91" i="3" s="1"/>
  <c r="CS91" i="3"/>
  <c r="CR91" i="3"/>
  <c r="AQ91" i="3" s="1"/>
  <c r="CQ91" i="3"/>
  <c r="CP91" i="3"/>
  <c r="AO91" i="3" s="1"/>
  <c r="CO91" i="3"/>
  <c r="AN91" i="3" s="1"/>
  <c r="CN91" i="3"/>
  <c r="CM91" i="3"/>
  <c r="CL91" i="3"/>
  <c r="AK91" i="3" s="1"/>
  <c r="CK91" i="3"/>
  <c r="CJ91" i="3"/>
  <c r="AI91" i="3" s="1"/>
  <c r="CI91" i="3"/>
  <c r="AH91" i="3" s="1"/>
  <c r="CH91" i="3"/>
  <c r="AG91" i="3" s="1"/>
  <c r="CG91" i="3"/>
  <c r="AF91" i="3" s="1"/>
  <c r="CF91" i="3"/>
  <c r="AE91" i="3" s="1"/>
  <c r="CE91" i="3"/>
  <c r="CD91" i="3"/>
  <c r="AC91" i="3" s="1"/>
  <c r="CC91" i="3"/>
  <c r="AB91" i="3" s="1"/>
  <c r="CB91" i="3"/>
  <c r="AA91" i="3" s="1"/>
  <c r="CA91" i="3"/>
  <c r="Z91" i="3" s="1"/>
  <c r="BZ91" i="3"/>
  <c r="Y91" i="3" s="1"/>
  <c r="BY91" i="3"/>
  <c r="X91" i="3" s="1"/>
  <c r="BX91" i="3"/>
  <c r="W91" i="3" s="1"/>
  <c r="BW91" i="3"/>
  <c r="BV91" i="3"/>
  <c r="U91" i="3" s="1"/>
  <c r="BU91" i="3"/>
  <c r="BT91" i="3"/>
  <c r="S91" i="3" s="1"/>
  <c r="BS91" i="3"/>
  <c r="R91" i="3" s="1"/>
  <c r="BR91" i="3"/>
  <c r="Q91" i="3" s="1"/>
  <c r="BQ91" i="3"/>
  <c r="P91" i="3" s="1"/>
  <c r="BP91" i="3"/>
  <c r="BO91" i="3"/>
  <c r="N91" i="3" s="1"/>
  <c r="BN91" i="3"/>
  <c r="M91" i="3" s="1"/>
  <c r="BM91" i="3"/>
  <c r="L91" i="3" s="1"/>
  <c r="BL91" i="3"/>
  <c r="K91" i="3" s="1"/>
  <c r="BK91" i="3"/>
  <c r="J91" i="3" s="1"/>
  <c r="BJ91" i="3"/>
  <c r="I91" i="3" s="1"/>
  <c r="BI91" i="3"/>
  <c r="H91" i="3" s="1"/>
  <c r="BH91" i="3"/>
  <c r="G91" i="3" s="1"/>
  <c r="BG91" i="3"/>
  <c r="BA91" i="3"/>
  <c r="AZ91" i="3"/>
  <c r="AP91" i="3"/>
  <c r="AM91" i="3"/>
  <c r="AJ91" i="3"/>
  <c r="T91" i="3"/>
  <c r="DB90" i="3"/>
  <c r="BA90" i="3" s="1"/>
  <c r="DA90" i="3"/>
  <c r="AZ90" i="3" s="1"/>
  <c r="CZ90" i="3"/>
  <c r="AY90" i="3" s="1"/>
  <c r="CY90" i="3"/>
  <c r="AX90" i="3" s="1"/>
  <c r="CX90" i="3"/>
  <c r="AW90" i="3" s="1"/>
  <c r="CW90" i="3"/>
  <c r="AV90" i="3" s="1"/>
  <c r="CV90" i="3"/>
  <c r="AU90" i="3" s="1"/>
  <c r="CU90" i="3"/>
  <c r="AT90" i="3" s="1"/>
  <c r="CT90" i="3"/>
  <c r="AS90" i="3" s="1"/>
  <c r="CS90" i="3"/>
  <c r="AR90" i="3" s="1"/>
  <c r="CR90" i="3"/>
  <c r="AQ90" i="3" s="1"/>
  <c r="CQ90" i="3"/>
  <c r="CP90" i="3"/>
  <c r="AO90" i="3" s="1"/>
  <c r="CO90" i="3"/>
  <c r="AN90" i="3" s="1"/>
  <c r="CN90" i="3"/>
  <c r="AM90" i="3" s="1"/>
  <c r="CM90" i="3"/>
  <c r="CL90" i="3"/>
  <c r="CK90" i="3"/>
  <c r="AJ90" i="3" s="1"/>
  <c r="CJ90" i="3"/>
  <c r="AI90" i="3" s="1"/>
  <c r="CI90" i="3"/>
  <c r="CH90" i="3"/>
  <c r="AG90" i="3" s="1"/>
  <c r="CG90" i="3"/>
  <c r="CF90" i="3"/>
  <c r="AE90" i="3" s="1"/>
  <c r="CE90" i="3"/>
  <c r="AD90" i="3" s="1"/>
  <c r="CD90" i="3"/>
  <c r="AC90" i="3" s="1"/>
  <c r="CC90" i="3"/>
  <c r="AB90" i="3" s="1"/>
  <c r="CB90" i="3"/>
  <c r="AA90" i="3" s="1"/>
  <c r="CA90" i="3"/>
  <c r="BZ90" i="3"/>
  <c r="Y90" i="3" s="1"/>
  <c r="BY90" i="3"/>
  <c r="X90" i="3" s="1"/>
  <c r="BX90" i="3"/>
  <c r="W90" i="3" s="1"/>
  <c r="BW90" i="3"/>
  <c r="V90" i="3" s="1"/>
  <c r="BV90" i="3"/>
  <c r="U90" i="3" s="1"/>
  <c r="BU90" i="3"/>
  <c r="T90" i="3" s="1"/>
  <c r="BT90" i="3"/>
  <c r="S90" i="3" s="1"/>
  <c r="BS90" i="3"/>
  <c r="R90" i="3" s="1"/>
  <c r="BR90" i="3"/>
  <c r="Q90" i="3" s="1"/>
  <c r="BQ90" i="3"/>
  <c r="P90" i="3" s="1"/>
  <c r="BP90" i="3"/>
  <c r="BO90" i="3"/>
  <c r="BN90" i="3"/>
  <c r="M90" i="3" s="1"/>
  <c r="BM90" i="3"/>
  <c r="L90" i="3" s="1"/>
  <c r="BL90" i="3"/>
  <c r="BK90" i="3"/>
  <c r="J90" i="3" s="1"/>
  <c r="BJ90" i="3"/>
  <c r="I90" i="3" s="1"/>
  <c r="BI90" i="3"/>
  <c r="BH90" i="3"/>
  <c r="G90" i="3" s="1"/>
  <c r="BG90" i="3"/>
  <c r="F90" i="3" s="1"/>
  <c r="AL90" i="3"/>
  <c r="AK90" i="3"/>
  <c r="K90" i="3"/>
  <c r="H90" i="3"/>
  <c r="DB89" i="3"/>
  <c r="DA89" i="3"/>
  <c r="CZ89" i="3"/>
  <c r="CY89" i="3"/>
  <c r="CX89" i="3"/>
  <c r="AW89" i="3" s="1"/>
  <c r="CW89" i="3"/>
  <c r="CV89" i="3"/>
  <c r="CU89" i="3"/>
  <c r="CT89" i="3"/>
  <c r="AS89" i="3" s="1"/>
  <c r="CS89" i="3"/>
  <c r="AR89" i="3" s="1"/>
  <c r="CR89" i="3"/>
  <c r="CQ89" i="3"/>
  <c r="AP89" i="3" s="1"/>
  <c r="CP89" i="3"/>
  <c r="AO89" i="3" s="1"/>
  <c r="CO89" i="3"/>
  <c r="AN89" i="3" s="1"/>
  <c r="CN89" i="3"/>
  <c r="AM89" i="3" s="1"/>
  <c r="CM89" i="3"/>
  <c r="CL89" i="3"/>
  <c r="AK89" i="3" s="1"/>
  <c r="CK89" i="3"/>
  <c r="AJ89" i="3" s="1"/>
  <c r="CJ89" i="3"/>
  <c r="AI89" i="3" s="1"/>
  <c r="CI89" i="3"/>
  <c r="AH89" i="3" s="1"/>
  <c r="CH89" i="3"/>
  <c r="AG89" i="3" s="1"/>
  <c r="CG89" i="3"/>
  <c r="AF89" i="3" s="1"/>
  <c r="CF89" i="3"/>
  <c r="CE89" i="3"/>
  <c r="AD89" i="3" s="1"/>
  <c r="CD89" i="3"/>
  <c r="AC89" i="3" s="1"/>
  <c r="CC89" i="3"/>
  <c r="AB89" i="3" s="1"/>
  <c r="CB89" i="3"/>
  <c r="AA89" i="3" s="1"/>
  <c r="CA89" i="3"/>
  <c r="Z89" i="3" s="1"/>
  <c r="BZ89" i="3"/>
  <c r="Y89" i="3" s="1"/>
  <c r="BY89" i="3"/>
  <c r="X89" i="3" s="1"/>
  <c r="BX89" i="3"/>
  <c r="W89" i="3" s="1"/>
  <c r="BW89" i="3"/>
  <c r="BV89" i="3"/>
  <c r="U89" i="3" s="1"/>
  <c r="BU89" i="3"/>
  <c r="T89" i="3" s="1"/>
  <c r="BT89" i="3"/>
  <c r="S89" i="3" s="1"/>
  <c r="BS89" i="3"/>
  <c r="BR89" i="3"/>
  <c r="Q89" i="3" s="1"/>
  <c r="BQ89" i="3"/>
  <c r="BP89" i="3"/>
  <c r="BO89" i="3"/>
  <c r="BN89" i="3"/>
  <c r="BM89" i="3"/>
  <c r="L89" i="3" s="1"/>
  <c r="BL89" i="3"/>
  <c r="BK89" i="3"/>
  <c r="J89" i="3" s="1"/>
  <c r="BJ89" i="3"/>
  <c r="BI89" i="3"/>
  <c r="BH89" i="3"/>
  <c r="G89" i="3" s="1"/>
  <c r="BG89" i="3"/>
  <c r="F89" i="3" s="1"/>
  <c r="BA89" i="3"/>
  <c r="AZ89" i="3"/>
  <c r="AV89" i="3"/>
  <c r="AU89" i="3"/>
  <c r="AT89" i="3"/>
  <c r="AE89" i="3"/>
  <c r="P89" i="3"/>
  <c r="O89" i="3"/>
  <c r="N89" i="3"/>
  <c r="M89" i="3"/>
  <c r="K89" i="3"/>
  <c r="I89" i="3"/>
  <c r="H89" i="3"/>
  <c r="DB88" i="3"/>
  <c r="DA88" i="3"/>
  <c r="CZ88" i="3"/>
  <c r="AY88" i="3" s="1"/>
  <c r="CY88" i="3"/>
  <c r="CX88" i="3"/>
  <c r="CW88" i="3"/>
  <c r="AV88" i="3" s="1"/>
  <c r="CV88" i="3"/>
  <c r="AU88" i="3" s="1"/>
  <c r="CU88" i="3"/>
  <c r="AT88" i="3" s="1"/>
  <c r="CT88" i="3"/>
  <c r="AS88" i="3" s="1"/>
  <c r="CS88" i="3"/>
  <c r="AR88" i="3" s="1"/>
  <c r="CR88" i="3"/>
  <c r="AQ88" i="3" s="1"/>
  <c r="CQ88" i="3"/>
  <c r="CP88" i="3"/>
  <c r="AO88" i="3" s="1"/>
  <c r="CO88" i="3"/>
  <c r="CN88" i="3"/>
  <c r="AM88" i="3" s="1"/>
  <c r="CM88" i="3"/>
  <c r="CL88" i="3"/>
  <c r="CK88" i="3"/>
  <c r="AJ88" i="3" s="1"/>
  <c r="CJ88" i="3"/>
  <c r="AI88" i="3" s="1"/>
  <c r="CI88" i="3"/>
  <c r="CH88" i="3"/>
  <c r="CG88" i="3"/>
  <c r="AF88" i="3" s="1"/>
  <c r="CF88" i="3"/>
  <c r="AE88" i="3" s="1"/>
  <c r="CE88" i="3"/>
  <c r="AD88" i="3" s="1"/>
  <c r="CD88" i="3"/>
  <c r="AC88" i="3" s="1"/>
  <c r="CC88" i="3"/>
  <c r="AB88" i="3" s="1"/>
  <c r="CB88" i="3"/>
  <c r="CA88" i="3"/>
  <c r="Z88" i="3" s="1"/>
  <c r="BZ88" i="3"/>
  <c r="BY88" i="3"/>
  <c r="X88" i="3" s="1"/>
  <c r="BX88" i="3"/>
  <c r="W88" i="3" s="1"/>
  <c r="BW88" i="3"/>
  <c r="V88" i="3" s="1"/>
  <c r="BV88" i="3"/>
  <c r="U88" i="3" s="1"/>
  <c r="BU88" i="3"/>
  <c r="T88" i="3" s="1"/>
  <c r="BT88" i="3"/>
  <c r="BS88" i="3"/>
  <c r="R88" i="3" s="1"/>
  <c r="BR88" i="3"/>
  <c r="Q88" i="3" s="1"/>
  <c r="BQ88" i="3"/>
  <c r="P88" i="3" s="1"/>
  <c r="BP88" i="3"/>
  <c r="O88" i="3" s="1"/>
  <c r="BO88" i="3"/>
  <c r="N88" i="3" s="1"/>
  <c r="BN88" i="3"/>
  <c r="M88" i="3" s="1"/>
  <c r="BM88" i="3"/>
  <c r="L88" i="3" s="1"/>
  <c r="BL88" i="3"/>
  <c r="K88" i="3" s="1"/>
  <c r="BK88" i="3"/>
  <c r="J88" i="3" s="1"/>
  <c r="BJ88" i="3"/>
  <c r="I88" i="3" s="1"/>
  <c r="BI88" i="3"/>
  <c r="H88" i="3" s="1"/>
  <c r="BH88" i="3"/>
  <c r="G88" i="3" s="1"/>
  <c r="BG88" i="3"/>
  <c r="F88" i="3" s="1"/>
  <c r="BA88" i="3"/>
  <c r="AZ88" i="3"/>
  <c r="AL88" i="3"/>
  <c r="AH88" i="3"/>
  <c r="DB87" i="3"/>
  <c r="DA87" i="3"/>
  <c r="CZ87" i="3"/>
  <c r="AY87" i="3" s="1"/>
  <c r="CY87" i="3"/>
  <c r="AX87" i="3" s="1"/>
  <c r="CX87" i="3"/>
  <c r="AW87" i="3" s="1"/>
  <c r="CW87" i="3"/>
  <c r="CV87" i="3"/>
  <c r="AU87" i="3" s="1"/>
  <c r="CU87" i="3"/>
  <c r="AT87" i="3" s="1"/>
  <c r="CT87" i="3"/>
  <c r="AS87" i="3" s="1"/>
  <c r="CS87" i="3"/>
  <c r="CR87" i="3"/>
  <c r="CQ87" i="3"/>
  <c r="AP87" i="3" s="1"/>
  <c r="CP87" i="3"/>
  <c r="AO87" i="3" s="1"/>
  <c r="CO87" i="3"/>
  <c r="AN87" i="3" s="1"/>
  <c r="CN87" i="3"/>
  <c r="CM87" i="3"/>
  <c r="AL87" i="3" s="1"/>
  <c r="CL87" i="3"/>
  <c r="AK87" i="3" s="1"/>
  <c r="CK87" i="3"/>
  <c r="AJ87" i="3" s="1"/>
  <c r="CJ87" i="3"/>
  <c r="AI87" i="3" s="1"/>
  <c r="CI87" i="3"/>
  <c r="AH87" i="3" s="1"/>
  <c r="CH87" i="3"/>
  <c r="AG87" i="3" s="1"/>
  <c r="CG87" i="3"/>
  <c r="AF87" i="3" s="1"/>
  <c r="CF87" i="3"/>
  <c r="AE87" i="3" s="1"/>
  <c r="CE87" i="3"/>
  <c r="AD87" i="3" s="1"/>
  <c r="CD87" i="3"/>
  <c r="AC87" i="3" s="1"/>
  <c r="CC87" i="3"/>
  <c r="AB87" i="3" s="1"/>
  <c r="CB87" i="3"/>
  <c r="AA87" i="3" s="1"/>
  <c r="CA87" i="3"/>
  <c r="BZ87" i="3"/>
  <c r="BY87" i="3"/>
  <c r="BX87" i="3"/>
  <c r="W87" i="3" s="1"/>
  <c r="BW87" i="3"/>
  <c r="BV87" i="3"/>
  <c r="U87" i="3" s="1"/>
  <c r="BU87" i="3"/>
  <c r="T87" i="3" s="1"/>
  <c r="BT87" i="3"/>
  <c r="S87" i="3" s="1"/>
  <c r="BS87" i="3"/>
  <c r="BR87" i="3"/>
  <c r="Q87" i="3" s="1"/>
  <c r="BQ87" i="3"/>
  <c r="P87" i="3" s="1"/>
  <c r="BP87" i="3"/>
  <c r="O87" i="3" s="1"/>
  <c r="BO87" i="3"/>
  <c r="BN87" i="3"/>
  <c r="M87" i="3" s="1"/>
  <c r="BM87" i="3"/>
  <c r="L87" i="3" s="1"/>
  <c r="BL87" i="3"/>
  <c r="K87" i="3" s="1"/>
  <c r="BK87" i="3"/>
  <c r="J87" i="3" s="1"/>
  <c r="BJ87" i="3"/>
  <c r="BI87" i="3"/>
  <c r="BH87" i="3"/>
  <c r="G87" i="3" s="1"/>
  <c r="BG87" i="3"/>
  <c r="F87" i="3" s="1"/>
  <c r="BA87" i="3"/>
  <c r="AZ87" i="3"/>
  <c r="AR87" i="3"/>
  <c r="Y87" i="3"/>
  <c r="X87" i="3"/>
  <c r="R87" i="3"/>
  <c r="N87" i="3"/>
  <c r="I87" i="3"/>
  <c r="H87" i="3"/>
  <c r="DB86" i="3"/>
  <c r="BA86" i="3" s="1"/>
  <c r="DA86" i="3"/>
  <c r="CZ86" i="3"/>
  <c r="CY86" i="3"/>
  <c r="AX86" i="3" s="1"/>
  <c r="CX86" i="3"/>
  <c r="AW86" i="3" s="1"/>
  <c r="CW86" i="3"/>
  <c r="AV86" i="3" s="1"/>
  <c r="CV86" i="3"/>
  <c r="AU86" i="3" s="1"/>
  <c r="CU86" i="3"/>
  <c r="AT86" i="3" s="1"/>
  <c r="CT86" i="3"/>
  <c r="AS86" i="3" s="1"/>
  <c r="CS86" i="3"/>
  <c r="AR86" i="3" s="1"/>
  <c r="CR86" i="3"/>
  <c r="AQ86" i="3" s="1"/>
  <c r="CQ86" i="3"/>
  <c r="AP86" i="3" s="1"/>
  <c r="CP86" i="3"/>
  <c r="AO86" i="3" s="1"/>
  <c r="CO86" i="3"/>
  <c r="CN86" i="3"/>
  <c r="AM86" i="3" s="1"/>
  <c r="CM86" i="3"/>
  <c r="CL86" i="3"/>
  <c r="CK86" i="3"/>
  <c r="AJ86" i="3" s="1"/>
  <c r="CJ86" i="3"/>
  <c r="CI86" i="3"/>
  <c r="AH86" i="3" s="1"/>
  <c r="CH86" i="3"/>
  <c r="AG86" i="3" s="1"/>
  <c r="CG86" i="3"/>
  <c r="CF86" i="3"/>
  <c r="CE86" i="3"/>
  <c r="CD86" i="3"/>
  <c r="AC86" i="3" s="1"/>
  <c r="CC86" i="3"/>
  <c r="AB86" i="3" s="1"/>
  <c r="CB86" i="3"/>
  <c r="AA86" i="3" s="1"/>
  <c r="CA86" i="3"/>
  <c r="Z86" i="3" s="1"/>
  <c r="BZ86" i="3"/>
  <c r="Y86" i="3" s="1"/>
  <c r="BY86" i="3"/>
  <c r="BX86" i="3"/>
  <c r="W86" i="3" s="1"/>
  <c r="BW86" i="3"/>
  <c r="BV86" i="3"/>
  <c r="BU86" i="3"/>
  <c r="T86" i="3" s="1"/>
  <c r="BT86" i="3"/>
  <c r="S86" i="3" s="1"/>
  <c r="BS86" i="3"/>
  <c r="BR86" i="3"/>
  <c r="Q86" i="3" s="1"/>
  <c r="BQ86" i="3"/>
  <c r="P86" i="3" s="1"/>
  <c r="BP86" i="3"/>
  <c r="O86" i="3" s="1"/>
  <c r="BO86" i="3"/>
  <c r="N86" i="3" s="1"/>
  <c r="BN86" i="3"/>
  <c r="M86" i="3" s="1"/>
  <c r="BM86" i="3"/>
  <c r="L86" i="3" s="1"/>
  <c r="BL86" i="3"/>
  <c r="K86" i="3" s="1"/>
  <c r="BK86" i="3"/>
  <c r="J86" i="3" s="1"/>
  <c r="BJ86" i="3"/>
  <c r="I86" i="3" s="1"/>
  <c r="BI86" i="3"/>
  <c r="H86" i="3" s="1"/>
  <c r="BH86" i="3"/>
  <c r="G86" i="3" s="1"/>
  <c r="BG86" i="3"/>
  <c r="AZ86" i="3"/>
  <c r="AY86" i="3"/>
  <c r="AL86" i="3"/>
  <c r="AK86" i="3"/>
  <c r="AI86" i="3"/>
  <c r="AF86" i="3"/>
  <c r="AE86" i="3"/>
  <c r="V86" i="3"/>
  <c r="U86" i="3"/>
  <c r="F86" i="3"/>
  <c r="DB85" i="3"/>
  <c r="BA85" i="3" s="1"/>
  <c r="DA85" i="3"/>
  <c r="AZ85" i="3" s="1"/>
  <c r="CZ85" i="3"/>
  <c r="AY85" i="3" s="1"/>
  <c r="CY85" i="3"/>
  <c r="AX85" i="3" s="1"/>
  <c r="CX85" i="3"/>
  <c r="AW85" i="3" s="1"/>
  <c r="CW85" i="3"/>
  <c r="CV85" i="3"/>
  <c r="AU85" i="3" s="1"/>
  <c r="CU85" i="3"/>
  <c r="AT85" i="3" s="1"/>
  <c r="CT85" i="3"/>
  <c r="CS85" i="3"/>
  <c r="AR85" i="3" s="1"/>
  <c r="CR85" i="3"/>
  <c r="AQ85" i="3" s="1"/>
  <c r="CQ85" i="3"/>
  <c r="AP85" i="3" s="1"/>
  <c r="CP85" i="3"/>
  <c r="AO85" i="3" s="1"/>
  <c r="CO85" i="3"/>
  <c r="AN85" i="3" s="1"/>
  <c r="CN85" i="3"/>
  <c r="CM85" i="3"/>
  <c r="AL85" i="3" s="1"/>
  <c r="CL85" i="3"/>
  <c r="AK85" i="3" s="1"/>
  <c r="CK85" i="3"/>
  <c r="AJ85" i="3" s="1"/>
  <c r="CJ85" i="3"/>
  <c r="AI85" i="3" s="1"/>
  <c r="CI85" i="3"/>
  <c r="CH85" i="3"/>
  <c r="AG85" i="3" s="1"/>
  <c r="CG85" i="3"/>
  <c r="AF85" i="3" s="1"/>
  <c r="CF85" i="3"/>
  <c r="AE85" i="3" s="1"/>
  <c r="CE85" i="3"/>
  <c r="AD85" i="3" s="1"/>
  <c r="CD85" i="3"/>
  <c r="AC85" i="3" s="1"/>
  <c r="CC85" i="3"/>
  <c r="AB85" i="3" s="1"/>
  <c r="CB85" i="3"/>
  <c r="CA85" i="3"/>
  <c r="Z85" i="3" s="1"/>
  <c r="BZ85" i="3"/>
  <c r="Y85" i="3" s="1"/>
  <c r="BY85" i="3"/>
  <c r="X85" i="3" s="1"/>
  <c r="BX85" i="3"/>
  <c r="W85" i="3" s="1"/>
  <c r="BW85" i="3"/>
  <c r="V85" i="3" s="1"/>
  <c r="BV85" i="3"/>
  <c r="U85" i="3" s="1"/>
  <c r="BU85" i="3"/>
  <c r="T85" i="3" s="1"/>
  <c r="BT85" i="3"/>
  <c r="S85" i="3" s="1"/>
  <c r="BS85" i="3"/>
  <c r="R85" i="3" s="1"/>
  <c r="BR85" i="3"/>
  <c r="Q85" i="3" s="1"/>
  <c r="BQ85" i="3"/>
  <c r="P85" i="3" s="1"/>
  <c r="BP85" i="3"/>
  <c r="O85" i="3" s="1"/>
  <c r="BO85" i="3"/>
  <c r="N85" i="3" s="1"/>
  <c r="BN85" i="3"/>
  <c r="M85" i="3" s="1"/>
  <c r="BM85" i="3"/>
  <c r="L85" i="3" s="1"/>
  <c r="BL85" i="3"/>
  <c r="K85" i="3" s="1"/>
  <c r="BK85" i="3"/>
  <c r="J85" i="3" s="1"/>
  <c r="BJ85" i="3"/>
  <c r="I85" i="3" s="1"/>
  <c r="BI85" i="3"/>
  <c r="H85" i="3" s="1"/>
  <c r="BH85" i="3"/>
  <c r="G85" i="3" s="1"/>
  <c r="BG85" i="3"/>
  <c r="AV85" i="3"/>
  <c r="F85" i="3"/>
  <c r="DB84" i="3"/>
  <c r="DA84" i="3"/>
  <c r="AZ84" i="3" s="1"/>
  <c r="CZ84" i="3"/>
  <c r="CY84" i="3"/>
  <c r="AX84" i="3" s="1"/>
  <c r="CX84" i="3"/>
  <c r="AW84" i="3" s="1"/>
  <c r="CW84" i="3"/>
  <c r="AV84" i="3" s="1"/>
  <c r="CV84" i="3"/>
  <c r="AU84" i="3" s="1"/>
  <c r="CU84" i="3"/>
  <c r="CT84" i="3"/>
  <c r="AS84" i="3" s="1"/>
  <c r="CS84" i="3"/>
  <c r="CR84" i="3"/>
  <c r="AQ84" i="3" s="1"/>
  <c r="CQ84" i="3"/>
  <c r="AP84" i="3" s="1"/>
  <c r="CP84" i="3"/>
  <c r="AO84" i="3" s="1"/>
  <c r="CO84" i="3"/>
  <c r="AN84" i="3" s="1"/>
  <c r="CN84" i="3"/>
  <c r="AM84" i="3" s="1"/>
  <c r="CM84" i="3"/>
  <c r="CL84" i="3"/>
  <c r="AK84" i="3" s="1"/>
  <c r="CK84" i="3"/>
  <c r="AJ84" i="3" s="1"/>
  <c r="CJ84" i="3"/>
  <c r="CI84" i="3"/>
  <c r="CH84" i="3"/>
  <c r="AG84" i="3" s="1"/>
  <c r="CG84" i="3"/>
  <c r="AF84" i="3" s="1"/>
  <c r="CF84" i="3"/>
  <c r="CE84" i="3"/>
  <c r="CD84" i="3"/>
  <c r="CC84" i="3"/>
  <c r="AB84" i="3" s="1"/>
  <c r="CB84" i="3"/>
  <c r="AA84" i="3" s="1"/>
  <c r="CA84" i="3"/>
  <c r="Z84" i="3" s="1"/>
  <c r="BZ84" i="3"/>
  <c r="Y84" i="3" s="1"/>
  <c r="BY84" i="3"/>
  <c r="BX84" i="3"/>
  <c r="W84" i="3" s="1"/>
  <c r="BW84" i="3"/>
  <c r="V84" i="3" s="1"/>
  <c r="BV84" i="3"/>
  <c r="U84" i="3" s="1"/>
  <c r="BU84" i="3"/>
  <c r="T84" i="3" s="1"/>
  <c r="BT84" i="3"/>
  <c r="S84" i="3" s="1"/>
  <c r="BS84" i="3"/>
  <c r="R84" i="3" s="1"/>
  <c r="BR84" i="3"/>
  <c r="Q84" i="3" s="1"/>
  <c r="BQ84" i="3"/>
  <c r="P84" i="3" s="1"/>
  <c r="BP84" i="3"/>
  <c r="BO84" i="3"/>
  <c r="BN84" i="3"/>
  <c r="M84" i="3" s="1"/>
  <c r="BM84" i="3"/>
  <c r="L84" i="3" s="1"/>
  <c r="BL84" i="3"/>
  <c r="K84" i="3" s="1"/>
  <c r="BK84" i="3"/>
  <c r="J84" i="3" s="1"/>
  <c r="BJ84" i="3"/>
  <c r="I84" i="3" s="1"/>
  <c r="BI84" i="3"/>
  <c r="H84" i="3" s="1"/>
  <c r="BH84" i="3"/>
  <c r="G84" i="3" s="1"/>
  <c r="BG84" i="3"/>
  <c r="F84" i="3" s="1"/>
  <c r="BA84" i="3"/>
  <c r="AI84" i="3"/>
  <c r="AH84" i="3"/>
  <c r="AD84" i="3"/>
  <c r="N84" i="3"/>
  <c r="DB83" i="3"/>
  <c r="DA83" i="3"/>
  <c r="AZ83" i="3" s="1"/>
  <c r="CZ83" i="3"/>
  <c r="AY83" i="3" s="1"/>
  <c r="CY83" i="3"/>
  <c r="AX83" i="3" s="1"/>
  <c r="CX83" i="3"/>
  <c r="AW83" i="3" s="1"/>
  <c r="CW83" i="3"/>
  <c r="CV83" i="3"/>
  <c r="AU83" i="3" s="1"/>
  <c r="CU83" i="3"/>
  <c r="AT83" i="3" s="1"/>
  <c r="CT83" i="3"/>
  <c r="AS83" i="3" s="1"/>
  <c r="CS83" i="3"/>
  <c r="AR83" i="3" s="1"/>
  <c r="CR83" i="3"/>
  <c r="AQ83" i="3" s="1"/>
  <c r="CQ83" i="3"/>
  <c r="CP83" i="3"/>
  <c r="AO83" i="3" s="1"/>
  <c r="CO83" i="3"/>
  <c r="AN83" i="3" s="1"/>
  <c r="CN83" i="3"/>
  <c r="AM83" i="3" s="1"/>
  <c r="CM83" i="3"/>
  <c r="AL83" i="3" s="1"/>
  <c r="CL83" i="3"/>
  <c r="AK83" i="3" s="1"/>
  <c r="CK83" i="3"/>
  <c r="AJ83" i="3" s="1"/>
  <c r="CJ83" i="3"/>
  <c r="AI83" i="3" s="1"/>
  <c r="CI83" i="3"/>
  <c r="AH83" i="3" s="1"/>
  <c r="CH83" i="3"/>
  <c r="AG83" i="3" s="1"/>
  <c r="CG83" i="3"/>
  <c r="AF83" i="3" s="1"/>
  <c r="CF83" i="3"/>
  <c r="AE83" i="3" s="1"/>
  <c r="CE83" i="3"/>
  <c r="CD83" i="3"/>
  <c r="AC83" i="3" s="1"/>
  <c r="CC83" i="3"/>
  <c r="AB83" i="3" s="1"/>
  <c r="CB83" i="3"/>
  <c r="AA83" i="3" s="1"/>
  <c r="CA83" i="3"/>
  <c r="BZ83" i="3"/>
  <c r="Y83" i="3" s="1"/>
  <c r="BY83" i="3"/>
  <c r="X83" i="3" s="1"/>
  <c r="BX83" i="3"/>
  <c r="W83" i="3" s="1"/>
  <c r="BW83" i="3"/>
  <c r="BV83" i="3"/>
  <c r="U83" i="3" s="1"/>
  <c r="BU83" i="3"/>
  <c r="T83" i="3" s="1"/>
  <c r="BT83" i="3"/>
  <c r="S83" i="3" s="1"/>
  <c r="BS83" i="3"/>
  <c r="R83" i="3" s="1"/>
  <c r="BR83" i="3"/>
  <c r="BQ83" i="3"/>
  <c r="BP83" i="3"/>
  <c r="BO83" i="3"/>
  <c r="N83" i="3" s="1"/>
  <c r="BN83" i="3"/>
  <c r="M83" i="3" s="1"/>
  <c r="BM83" i="3"/>
  <c r="L83" i="3" s="1"/>
  <c r="BL83" i="3"/>
  <c r="K83" i="3" s="1"/>
  <c r="BK83" i="3"/>
  <c r="J83" i="3" s="1"/>
  <c r="BJ83" i="3"/>
  <c r="I83" i="3" s="1"/>
  <c r="BI83" i="3"/>
  <c r="H83" i="3" s="1"/>
  <c r="BH83" i="3"/>
  <c r="G83" i="3" s="1"/>
  <c r="BG83" i="3"/>
  <c r="F83" i="3" s="1"/>
  <c r="BA83" i="3"/>
  <c r="V83" i="3"/>
  <c r="Q83" i="3"/>
  <c r="P83" i="3"/>
  <c r="O83" i="3"/>
  <c r="C102" i="3"/>
  <c r="AX108" i="3" l="1"/>
  <c r="O108" i="3"/>
  <c r="AT108" i="3"/>
  <c r="AA105" i="3"/>
  <c r="AA106" i="3"/>
  <c r="E106" i="3" s="1"/>
  <c r="AM105" i="3"/>
  <c r="AL107" i="3"/>
  <c r="E108" i="3"/>
  <c r="C101" i="3"/>
  <c r="C100" i="3"/>
  <c r="C99" i="3" l="1"/>
  <c r="C98" i="3"/>
  <c r="C97" i="3" l="1"/>
  <c r="C96" i="3" l="1"/>
  <c r="C95" i="3"/>
  <c r="C94" i="3"/>
  <c r="C93" i="3" l="1"/>
  <c r="C92" i="3" l="1"/>
  <c r="C91" i="3" l="1"/>
  <c r="C90" i="3" l="1"/>
  <c r="C89" i="3"/>
  <c r="C88" i="3" l="1"/>
  <c r="C87" i="3"/>
  <c r="C86" i="3" l="1"/>
  <c r="C85" i="3"/>
  <c r="C84" i="3" l="1"/>
  <c r="C83" i="3" l="1"/>
  <c r="C82" i="3"/>
  <c r="C81" i="3" l="1"/>
  <c r="W101" i="1"/>
  <c r="V101" i="1"/>
  <c r="U101" i="1"/>
  <c r="T101" i="1"/>
  <c r="S101" i="1"/>
  <c r="R101" i="1"/>
  <c r="Q101" i="1"/>
  <c r="P101" i="1"/>
  <c r="O101" i="1"/>
  <c r="N101" i="1"/>
  <c r="W100" i="1"/>
  <c r="V100" i="1"/>
  <c r="U100" i="1"/>
  <c r="T100" i="1"/>
  <c r="S100" i="1"/>
  <c r="R100" i="1"/>
  <c r="Q100" i="1"/>
  <c r="P100" i="1"/>
  <c r="O100" i="1"/>
  <c r="N100" i="1"/>
  <c r="W99" i="1"/>
  <c r="V99" i="1"/>
  <c r="U99" i="1"/>
  <c r="T99" i="1"/>
  <c r="S99" i="1"/>
  <c r="R99" i="1"/>
  <c r="Q99" i="1"/>
  <c r="P99" i="1"/>
  <c r="O99" i="1"/>
  <c r="N99" i="1"/>
  <c r="W98" i="1"/>
  <c r="V98" i="1"/>
  <c r="U98" i="1"/>
  <c r="T98" i="1"/>
  <c r="S98" i="1"/>
  <c r="R98" i="1"/>
  <c r="Q98" i="1"/>
  <c r="P98" i="1"/>
  <c r="O98" i="1"/>
  <c r="N98" i="1"/>
  <c r="W97" i="1"/>
  <c r="V97" i="1"/>
  <c r="U97" i="1"/>
  <c r="T97" i="1"/>
  <c r="S97" i="1"/>
  <c r="R97" i="1"/>
  <c r="Q97" i="1"/>
  <c r="P97" i="1"/>
  <c r="O97" i="1"/>
  <c r="N97" i="1"/>
  <c r="W96" i="1"/>
  <c r="V96" i="1"/>
  <c r="U96" i="1"/>
  <c r="T96" i="1"/>
  <c r="S96" i="1"/>
  <c r="R96" i="1"/>
  <c r="Q96" i="1"/>
  <c r="P96" i="1"/>
  <c r="O96" i="1"/>
  <c r="N96" i="1"/>
  <c r="W95" i="1"/>
  <c r="V95" i="1"/>
  <c r="U95" i="1"/>
  <c r="T95" i="1"/>
  <c r="S95" i="1"/>
  <c r="R95" i="1"/>
  <c r="Q95" i="1"/>
  <c r="P95" i="1"/>
  <c r="O95" i="1"/>
  <c r="N95" i="1"/>
  <c r="W94" i="1"/>
  <c r="V94" i="1"/>
  <c r="U94" i="1"/>
  <c r="T94" i="1"/>
  <c r="S94" i="1"/>
  <c r="R94" i="1"/>
  <c r="Q94" i="1"/>
  <c r="P94" i="1"/>
  <c r="O94" i="1"/>
  <c r="N94" i="1"/>
  <c r="W93" i="1"/>
  <c r="V93" i="1"/>
  <c r="U93" i="1"/>
  <c r="T93" i="1"/>
  <c r="S93" i="1"/>
  <c r="R93" i="1"/>
  <c r="Q93" i="1"/>
  <c r="P93" i="1"/>
  <c r="O93" i="1"/>
  <c r="N93" i="1"/>
  <c r="W92" i="1"/>
  <c r="V92" i="1"/>
  <c r="U92" i="1"/>
  <c r="T92" i="1"/>
  <c r="S92" i="1"/>
  <c r="R92" i="1"/>
  <c r="Q92" i="1"/>
  <c r="P92" i="1"/>
  <c r="O92" i="1"/>
  <c r="N92" i="1"/>
  <c r="W91" i="1"/>
  <c r="V91" i="1"/>
  <c r="U91" i="1"/>
  <c r="T91" i="1"/>
  <c r="S91" i="1"/>
  <c r="R91" i="1"/>
  <c r="Q91" i="1"/>
  <c r="P91" i="1"/>
  <c r="O91" i="1"/>
  <c r="N91" i="1"/>
  <c r="W90" i="1"/>
  <c r="V90" i="1"/>
  <c r="U90" i="1"/>
  <c r="T90" i="1"/>
  <c r="S90" i="1"/>
  <c r="R90" i="1"/>
  <c r="Q90" i="1"/>
  <c r="P90" i="1"/>
  <c r="O90" i="1"/>
  <c r="N90" i="1"/>
  <c r="W89" i="1"/>
  <c r="V89" i="1"/>
  <c r="U89" i="1"/>
  <c r="T89" i="1"/>
  <c r="S89" i="1"/>
  <c r="R89" i="1"/>
  <c r="Q89" i="1"/>
  <c r="P89" i="1"/>
  <c r="O89" i="1"/>
  <c r="N89" i="1"/>
  <c r="W88" i="1"/>
  <c r="V88" i="1"/>
  <c r="U88" i="1"/>
  <c r="T88" i="1"/>
  <c r="S88" i="1"/>
  <c r="R88" i="1"/>
  <c r="Q88" i="1"/>
  <c r="P88" i="1"/>
  <c r="O88" i="1"/>
  <c r="N88" i="1"/>
  <c r="W87" i="1"/>
  <c r="V87" i="1"/>
  <c r="U87" i="1"/>
  <c r="T87" i="1"/>
  <c r="S87" i="1"/>
  <c r="R87" i="1"/>
  <c r="Q87" i="1"/>
  <c r="P87" i="1"/>
  <c r="O87" i="1"/>
  <c r="N87" i="1"/>
  <c r="W86" i="1"/>
  <c r="V86" i="1"/>
  <c r="U86" i="1"/>
  <c r="T86" i="1"/>
  <c r="S86" i="1"/>
  <c r="R86" i="1"/>
  <c r="Q86" i="1"/>
  <c r="P86" i="1"/>
  <c r="O86" i="1"/>
  <c r="N86" i="1"/>
  <c r="W85" i="1"/>
  <c r="V85" i="1"/>
  <c r="U85" i="1"/>
  <c r="T85" i="1"/>
  <c r="S85" i="1"/>
  <c r="R85" i="1"/>
  <c r="Q85" i="1"/>
  <c r="P85" i="1"/>
  <c r="O85" i="1"/>
  <c r="N85" i="1"/>
  <c r="W84" i="1"/>
  <c r="V84" i="1"/>
  <c r="U84" i="1"/>
  <c r="T84" i="1"/>
  <c r="S84" i="1"/>
  <c r="R84" i="1"/>
  <c r="Q84" i="1"/>
  <c r="P84" i="1"/>
  <c r="O84" i="1"/>
  <c r="N84" i="1"/>
  <c r="W83" i="1"/>
  <c r="V83" i="1"/>
  <c r="U83" i="1"/>
  <c r="T83" i="1"/>
  <c r="S83" i="1"/>
  <c r="R83" i="1"/>
  <c r="Q83" i="1"/>
  <c r="P83" i="1"/>
  <c r="O83" i="1"/>
  <c r="N83" i="1"/>
  <c r="W82" i="1"/>
  <c r="V82" i="1"/>
  <c r="U82" i="1"/>
  <c r="T82" i="1"/>
  <c r="S82" i="1"/>
  <c r="R82" i="1"/>
  <c r="Q82" i="1"/>
  <c r="P82" i="1"/>
  <c r="O82" i="1"/>
  <c r="N82" i="1"/>
  <c r="W81" i="1"/>
  <c r="V81" i="1"/>
  <c r="U81" i="1"/>
  <c r="T81" i="1"/>
  <c r="S81" i="1"/>
  <c r="R81" i="1"/>
  <c r="Q81" i="1"/>
  <c r="P81" i="1"/>
  <c r="O81" i="1"/>
  <c r="N81" i="1"/>
  <c r="W80" i="1"/>
  <c r="V80" i="1"/>
  <c r="U80" i="1"/>
  <c r="T80" i="1"/>
  <c r="S80" i="1"/>
  <c r="R80" i="1"/>
  <c r="Q80" i="1"/>
  <c r="P80" i="1"/>
  <c r="O80" i="1"/>
  <c r="N80" i="1"/>
  <c r="W79" i="1"/>
  <c r="V79" i="1"/>
  <c r="U79" i="1"/>
  <c r="T79" i="1"/>
  <c r="S79" i="1"/>
  <c r="R79" i="1"/>
  <c r="Q79" i="1"/>
  <c r="P79" i="1"/>
  <c r="O79" i="1"/>
  <c r="N79" i="1"/>
  <c r="W78" i="1"/>
  <c r="V78" i="1"/>
  <c r="U78" i="1"/>
  <c r="T78" i="1"/>
  <c r="S78" i="1"/>
  <c r="R78" i="1"/>
  <c r="Q78" i="1"/>
  <c r="P78" i="1"/>
  <c r="O78" i="1"/>
  <c r="N78" i="1"/>
  <c r="W77" i="1"/>
  <c r="V77" i="1"/>
  <c r="U77" i="1"/>
  <c r="T77" i="1"/>
  <c r="S77" i="1"/>
  <c r="R77" i="1"/>
  <c r="Q77" i="1"/>
  <c r="P77" i="1"/>
  <c r="O77" i="1"/>
  <c r="N77" i="1"/>
  <c r="W76" i="1"/>
  <c r="V76" i="1"/>
  <c r="U76" i="1"/>
  <c r="T76" i="1"/>
  <c r="S76" i="1"/>
  <c r="R76" i="1"/>
  <c r="Q76" i="1"/>
  <c r="P76" i="1"/>
  <c r="O76" i="1"/>
  <c r="N76" i="1"/>
  <c r="X89" i="1" l="1"/>
  <c r="X90" i="1"/>
  <c r="X79" i="1"/>
  <c r="X95" i="1"/>
  <c r="X76" i="1"/>
  <c r="X86" i="1"/>
  <c r="X87" i="1"/>
  <c r="X92" i="1"/>
  <c r="X84" i="1"/>
  <c r="X101" i="1"/>
  <c r="X100" i="1"/>
  <c r="X97" i="1"/>
  <c r="X83" i="1"/>
  <c r="X98" i="1"/>
  <c r="X78" i="1"/>
  <c r="X99" i="1"/>
  <c r="X96" i="1"/>
  <c r="X94" i="1"/>
  <c r="X93" i="1"/>
  <c r="X91" i="1"/>
  <c r="X88" i="1"/>
  <c r="X85" i="1"/>
  <c r="X82" i="1"/>
  <c r="X81" i="1"/>
  <c r="X80" i="1"/>
  <c r="X77" i="1"/>
  <c r="C80" i="3"/>
  <c r="C79" i="3"/>
  <c r="C78" i="3"/>
  <c r="C77" i="3" l="1"/>
  <c r="C76" i="3"/>
  <c r="C75" i="3" l="1"/>
  <c r="C74" i="3"/>
  <c r="C73" i="3" l="1"/>
  <c r="C72" i="3"/>
  <c r="C71" i="3"/>
  <c r="C70" i="3"/>
  <c r="C69" i="3" l="1"/>
  <c r="C68" i="3" l="1"/>
  <c r="C67" i="3" l="1"/>
  <c r="C66" i="3"/>
  <c r="C65" i="3"/>
  <c r="C64" i="3"/>
  <c r="C63" i="3"/>
  <c r="C62" i="3"/>
  <c r="C61" i="3"/>
  <c r="C60" i="3" l="1"/>
  <c r="C59" i="3"/>
  <c r="C58" i="3"/>
  <c r="C57" i="3" l="1"/>
  <c r="C56" i="3" l="1"/>
  <c r="C55" i="3"/>
  <c r="C54" i="3" l="1"/>
  <c r="C53" i="3"/>
  <c r="C52" i="3" l="1"/>
  <c r="C51" i="3" l="1"/>
  <c r="C50" i="3" l="1"/>
  <c r="C49" i="3"/>
  <c r="C48" i="3" l="1"/>
  <c r="C47" i="3"/>
  <c r="C46" i="3"/>
  <c r="C45" i="3" l="1"/>
  <c r="C44" i="3"/>
  <c r="C43" i="3" l="1"/>
  <c r="C42" i="3"/>
  <c r="C41" i="3" l="1"/>
  <c r="C40" i="3" l="1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DB82" i="3" l="1"/>
  <c r="BA82" i="3" s="1"/>
  <c r="DA82" i="3"/>
  <c r="AZ82" i="3" s="1"/>
  <c r="CZ82" i="3"/>
  <c r="AY82" i="3" s="1"/>
  <c r="CY82" i="3"/>
  <c r="AX82" i="3" s="1"/>
  <c r="CX82" i="3"/>
  <c r="AW82" i="3" s="1"/>
  <c r="CW82" i="3"/>
  <c r="AV82" i="3" s="1"/>
  <c r="CV82" i="3"/>
  <c r="AU82" i="3" s="1"/>
  <c r="CU82" i="3"/>
  <c r="AT82" i="3" s="1"/>
  <c r="CT82" i="3"/>
  <c r="AS82" i="3" s="1"/>
  <c r="CS82" i="3"/>
  <c r="AR82" i="3" s="1"/>
  <c r="CR82" i="3"/>
  <c r="AQ82" i="3" s="1"/>
  <c r="CQ82" i="3"/>
  <c r="AP82" i="3" s="1"/>
  <c r="CP82" i="3"/>
  <c r="AO82" i="3" s="1"/>
  <c r="CO82" i="3"/>
  <c r="AN82" i="3" s="1"/>
  <c r="CN82" i="3"/>
  <c r="AM82" i="3" s="1"/>
  <c r="CM82" i="3"/>
  <c r="AL82" i="3" s="1"/>
  <c r="CL82" i="3"/>
  <c r="AK82" i="3" s="1"/>
  <c r="CK82" i="3"/>
  <c r="AJ82" i="3" s="1"/>
  <c r="CJ82" i="3"/>
  <c r="AI82" i="3" s="1"/>
  <c r="CI82" i="3"/>
  <c r="CH82" i="3"/>
  <c r="CG82" i="3"/>
  <c r="AF82" i="3" s="1"/>
  <c r="CF82" i="3"/>
  <c r="CE82" i="3"/>
  <c r="AD82" i="3" s="1"/>
  <c r="CD82" i="3"/>
  <c r="AC82" i="3" s="1"/>
  <c r="CC82" i="3"/>
  <c r="AB82" i="3" s="1"/>
  <c r="CB82" i="3"/>
  <c r="AA82" i="3" s="1"/>
  <c r="CA82" i="3"/>
  <c r="Z82" i="3" s="1"/>
  <c r="BZ82" i="3"/>
  <c r="Y82" i="3" s="1"/>
  <c r="BY82" i="3"/>
  <c r="X82" i="3" s="1"/>
  <c r="BX82" i="3"/>
  <c r="W82" i="3" s="1"/>
  <c r="BW82" i="3"/>
  <c r="BV82" i="3"/>
  <c r="U82" i="3" s="1"/>
  <c r="BU82" i="3"/>
  <c r="BT82" i="3"/>
  <c r="S82" i="3" s="1"/>
  <c r="BS82" i="3"/>
  <c r="R82" i="3" s="1"/>
  <c r="BR82" i="3"/>
  <c r="Q82" i="3" s="1"/>
  <c r="BQ82" i="3"/>
  <c r="P82" i="3" s="1"/>
  <c r="BP82" i="3"/>
  <c r="O82" i="3" s="1"/>
  <c r="BO82" i="3"/>
  <c r="BN82" i="3"/>
  <c r="M82" i="3" s="1"/>
  <c r="BM82" i="3"/>
  <c r="L82" i="3" s="1"/>
  <c r="BL82" i="3"/>
  <c r="K82" i="3" s="1"/>
  <c r="BK82" i="3"/>
  <c r="J82" i="3" s="1"/>
  <c r="BJ82" i="3"/>
  <c r="I82" i="3" s="1"/>
  <c r="BI82" i="3"/>
  <c r="H82" i="3" s="1"/>
  <c r="BH82" i="3"/>
  <c r="G82" i="3" s="1"/>
  <c r="BG82" i="3"/>
  <c r="F82" i="3" s="1"/>
  <c r="DB81" i="3"/>
  <c r="BA81" i="3" s="1"/>
  <c r="DA81" i="3"/>
  <c r="AZ81" i="3" s="1"/>
  <c r="CZ81" i="3"/>
  <c r="CY81" i="3"/>
  <c r="AX81" i="3" s="1"/>
  <c r="CX81" i="3"/>
  <c r="AW81" i="3" s="1"/>
  <c r="CW81" i="3"/>
  <c r="AV81" i="3" s="1"/>
  <c r="CV81" i="3"/>
  <c r="AU81" i="3" s="1"/>
  <c r="CU81" i="3"/>
  <c r="AT81" i="3" s="1"/>
  <c r="CT81" i="3"/>
  <c r="AS81" i="3" s="1"/>
  <c r="CS81" i="3"/>
  <c r="AR81" i="3" s="1"/>
  <c r="CR81" i="3"/>
  <c r="AQ81" i="3" s="1"/>
  <c r="CQ81" i="3"/>
  <c r="AP81" i="3" s="1"/>
  <c r="CP81" i="3"/>
  <c r="AO81" i="3" s="1"/>
  <c r="CO81" i="3"/>
  <c r="AN81" i="3" s="1"/>
  <c r="CN81" i="3"/>
  <c r="AM81" i="3" s="1"/>
  <c r="CM81" i="3"/>
  <c r="AL81" i="3" s="1"/>
  <c r="CL81" i="3"/>
  <c r="AK81" i="3" s="1"/>
  <c r="CK81" i="3"/>
  <c r="AJ81" i="3" s="1"/>
  <c r="CJ81" i="3"/>
  <c r="AI81" i="3" s="1"/>
  <c r="CI81" i="3"/>
  <c r="AH81" i="3" s="1"/>
  <c r="CH81" i="3"/>
  <c r="AG81" i="3" s="1"/>
  <c r="CG81" i="3"/>
  <c r="AF81" i="3" s="1"/>
  <c r="CF81" i="3"/>
  <c r="AE81" i="3" s="1"/>
  <c r="CE81" i="3"/>
  <c r="AD81" i="3" s="1"/>
  <c r="CD81" i="3"/>
  <c r="AC81" i="3" s="1"/>
  <c r="CC81" i="3"/>
  <c r="CB81" i="3"/>
  <c r="AA81" i="3" s="1"/>
  <c r="CA81" i="3"/>
  <c r="Z81" i="3" s="1"/>
  <c r="BZ81" i="3"/>
  <c r="Y81" i="3" s="1"/>
  <c r="BY81" i="3"/>
  <c r="X81" i="3" s="1"/>
  <c r="BX81" i="3"/>
  <c r="W81" i="3" s="1"/>
  <c r="BW81" i="3"/>
  <c r="V81" i="3" s="1"/>
  <c r="BV81" i="3"/>
  <c r="U81" i="3" s="1"/>
  <c r="BU81" i="3"/>
  <c r="T81" i="3" s="1"/>
  <c r="BT81" i="3"/>
  <c r="S81" i="3" s="1"/>
  <c r="BS81" i="3"/>
  <c r="BR81" i="3"/>
  <c r="Q81" i="3" s="1"/>
  <c r="BQ81" i="3"/>
  <c r="P81" i="3" s="1"/>
  <c r="BP81" i="3"/>
  <c r="O81" i="3" s="1"/>
  <c r="BO81" i="3"/>
  <c r="BN81" i="3"/>
  <c r="M81" i="3" s="1"/>
  <c r="BM81" i="3"/>
  <c r="L81" i="3" s="1"/>
  <c r="BL81" i="3"/>
  <c r="K81" i="3" s="1"/>
  <c r="BK81" i="3"/>
  <c r="J81" i="3" s="1"/>
  <c r="BJ81" i="3"/>
  <c r="I81" i="3" s="1"/>
  <c r="BI81" i="3"/>
  <c r="H81" i="3" s="1"/>
  <c r="BH81" i="3"/>
  <c r="G81" i="3" s="1"/>
  <c r="BG81" i="3"/>
  <c r="F81" i="3" s="1"/>
  <c r="DB80" i="3"/>
  <c r="BA80" i="3" s="1"/>
  <c r="DA80" i="3"/>
  <c r="AZ80" i="3" s="1"/>
  <c r="CZ80" i="3"/>
  <c r="CY80" i="3"/>
  <c r="AX80" i="3" s="1"/>
  <c r="CX80" i="3"/>
  <c r="AW80" i="3" s="1"/>
  <c r="CW80" i="3"/>
  <c r="AV80" i="3" s="1"/>
  <c r="CV80" i="3"/>
  <c r="AU80" i="3" s="1"/>
  <c r="CU80" i="3"/>
  <c r="CT80" i="3"/>
  <c r="AS80" i="3" s="1"/>
  <c r="CS80" i="3"/>
  <c r="AR80" i="3" s="1"/>
  <c r="CR80" i="3"/>
  <c r="AQ80" i="3" s="1"/>
  <c r="CQ80" i="3"/>
  <c r="CP80" i="3"/>
  <c r="AO80" i="3" s="1"/>
  <c r="CO80" i="3"/>
  <c r="AN80" i="3" s="1"/>
  <c r="CN80" i="3"/>
  <c r="AM80" i="3" s="1"/>
  <c r="CM80" i="3"/>
  <c r="CL80" i="3"/>
  <c r="AK80" i="3" s="1"/>
  <c r="CK80" i="3"/>
  <c r="AJ80" i="3" s="1"/>
  <c r="CJ80" i="3"/>
  <c r="AI80" i="3" s="1"/>
  <c r="CI80" i="3"/>
  <c r="AH80" i="3" s="1"/>
  <c r="CH80" i="3"/>
  <c r="AG80" i="3" s="1"/>
  <c r="CG80" i="3"/>
  <c r="AF80" i="3" s="1"/>
  <c r="CF80" i="3"/>
  <c r="AE80" i="3" s="1"/>
  <c r="CE80" i="3"/>
  <c r="AD80" i="3" s="1"/>
  <c r="CD80" i="3"/>
  <c r="AC80" i="3" s="1"/>
  <c r="CC80" i="3"/>
  <c r="AB80" i="3" s="1"/>
  <c r="CB80" i="3"/>
  <c r="AA80" i="3" s="1"/>
  <c r="CA80" i="3"/>
  <c r="Z80" i="3" s="1"/>
  <c r="BZ80" i="3"/>
  <c r="Y80" i="3" s="1"/>
  <c r="BY80" i="3"/>
  <c r="X80" i="3" s="1"/>
  <c r="BX80" i="3"/>
  <c r="W80" i="3" s="1"/>
  <c r="BW80" i="3"/>
  <c r="V80" i="3" s="1"/>
  <c r="BV80" i="3"/>
  <c r="U80" i="3" s="1"/>
  <c r="BU80" i="3"/>
  <c r="BT80" i="3"/>
  <c r="S80" i="3" s="1"/>
  <c r="BS80" i="3"/>
  <c r="R80" i="3" s="1"/>
  <c r="BR80" i="3"/>
  <c r="Q80" i="3" s="1"/>
  <c r="BQ80" i="3"/>
  <c r="P80" i="3" s="1"/>
  <c r="BP80" i="3"/>
  <c r="O80" i="3" s="1"/>
  <c r="BO80" i="3"/>
  <c r="N80" i="3" s="1"/>
  <c r="BN80" i="3"/>
  <c r="M80" i="3" s="1"/>
  <c r="BM80" i="3"/>
  <c r="L80" i="3" s="1"/>
  <c r="BL80" i="3"/>
  <c r="K80" i="3" s="1"/>
  <c r="BK80" i="3"/>
  <c r="J80" i="3" s="1"/>
  <c r="BJ80" i="3"/>
  <c r="I80" i="3" s="1"/>
  <c r="BI80" i="3"/>
  <c r="BH80" i="3"/>
  <c r="G80" i="3" s="1"/>
  <c r="BG80" i="3"/>
  <c r="F80" i="3" s="1"/>
  <c r="DB79" i="3"/>
  <c r="BA79" i="3" s="1"/>
  <c r="DA79" i="3"/>
  <c r="AZ79" i="3" s="1"/>
  <c r="CZ79" i="3"/>
  <c r="AY79" i="3" s="1"/>
  <c r="CY79" i="3"/>
  <c r="AX79" i="3" s="1"/>
  <c r="CX79" i="3"/>
  <c r="AW79" i="3" s="1"/>
  <c r="CW79" i="3"/>
  <c r="AV79" i="3" s="1"/>
  <c r="CV79" i="3"/>
  <c r="AU79" i="3" s="1"/>
  <c r="CU79" i="3"/>
  <c r="CT79" i="3"/>
  <c r="AS79" i="3" s="1"/>
  <c r="CS79" i="3"/>
  <c r="AR79" i="3" s="1"/>
  <c r="CR79" i="3"/>
  <c r="AQ79" i="3" s="1"/>
  <c r="CQ79" i="3"/>
  <c r="AP79" i="3" s="1"/>
  <c r="CP79" i="3"/>
  <c r="AO79" i="3" s="1"/>
  <c r="CO79" i="3"/>
  <c r="AN79" i="3" s="1"/>
  <c r="CN79" i="3"/>
  <c r="AM79" i="3" s="1"/>
  <c r="CM79" i="3"/>
  <c r="CL79" i="3"/>
  <c r="AK79" i="3" s="1"/>
  <c r="CK79" i="3"/>
  <c r="AJ79" i="3" s="1"/>
  <c r="CJ79" i="3"/>
  <c r="AI79" i="3" s="1"/>
  <c r="CI79" i="3"/>
  <c r="CH79" i="3"/>
  <c r="AG79" i="3" s="1"/>
  <c r="CG79" i="3"/>
  <c r="AF79" i="3" s="1"/>
  <c r="CF79" i="3"/>
  <c r="AE79" i="3" s="1"/>
  <c r="CE79" i="3"/>
  <c r="AD79" i="3" s="1"/>
  <c r="CD79" i="3"/>
  <c r="AC79" i="3" s="1"/>
  <c r="CC79" i="3"/>
  <c r="AB79" i="3" s="1"/>
  <c r="CB79" i="3"/>
  <c r="AA79" i="3" s="1"/>
  <c r="CA79" i="3"/>
  <c r="Z79" i="3" s="1"/>
  <c r="BZ79" i="3"/>
  <c r="BY79" i="3"/>
  <c r="X79" i="3" s="1"/>
  <c r="BX79" i="3"/>
  <c r="W79" i="3" s="1"/>
  <c r="BW79" i="3"/>
  <c r="V79" i="3" s="1"/>
  <c r="BV79" i="3"/>
  <c r="BU79" i="3"/>
  <c r="T79" i="3" s="1"/>
  <c r="BT79" i="3"/>
  <c r="S79" i="3" s="1"/>
  <c r="BS79" i="3"/>
  <c r="R79" i="3" s="1"/>
  <c r="BR79" i="3"/>
  <c r="Q79" i="3" s="1"/>
  <c r="BQ79" i="3"/>
  <c r="P79" i="3" s="1"/>
  <c r="BP79" i="3"/>
  <c r="O79" i="3" s="1"/>
  <c r="BO79" i="3"/>
  <c r="N79" i="3" s="1"/>
  <c r="BN79" i="3"/>
  <c r="M79" i="3" s="1"/>
  <c r="BM79" i="3"/>
  <c r="L79" i="3" s="1"/>
  <c r="BL79" i="3"/>
  <c r="K79" i="3" s="1"/>
  <c r="BK79" i="3"/>
  <c r="J79" i="3" s="1"/>
  <c r="BJ79" i="3"/>
  <c r="I79" i="3" s="1"/>
  <c r="BI79" i="3"/>
  <c r="BH79" i="3"/>
  <c r="G79" i="3" s="1"/>
  <c r="BG79" i="3"/>
  <c r="F79" i="3" s="1"/>
  <c r="DB78" i="3"/>
  <c r="BA78" i="3" s="1"/>
  <c r="DA78" i="3"/>
  <c r="AZ78" i="3" s="1"/>
  <c r="CZ78" i="3"/>
  <c r="CY78" i="3"/>
  <c r="AX78" i="3" s="1"/>
  <c r="CX78" i="3"/>
  <c r="AW78" i="3" s="1"/>
  <c r="CW78" i="3"/>
  <c r="AV78" i="3" s="1"/>
  <c r="CV78" i="3"/>
  <c r="AU78" i="3" s="1"/>
  <c r="CU78" i="3"/>
  <c r="CT78" i="3"/>
  <c r="AS78" i="3" s="1"/>
  <c r="CS78" i="3"/>
  <c r="AR78" i="3" s="1"/>
  <c r="CR78" i="3"/>
  <c r="AQ78" i="3" s="1"/>
  <c r="CQ78" i="3"/>
  <c r="AP78" i="3" s="1"/>
  <c r="CP78" i="3"/>
  <c r="AO78" i="3" s="1"/>
  <c r="CO78" i="3"/>
  <c r="AN78" i="3" s="1"/>
  <c r="CN78" i="3"/>
  <c r="AM78" i="3" s="1"/>
  <c r="CM78" i="3"/>
  <c r="CL78" i="3"/>
  <c r="AK78" i="3" s="1"/>
  <c r="CK78" i="3"/>
  <c r="AJ78" i="3" s="1"/>
  <c r="CJ78" i="3"/>
  <c r="AI78" i="3" s="1"/>
  <c r="CI78" i="3"/>
  <c r="AH78" i="3" s="1"/>
  <c r="CH78" i="3"/>
  <c r="AG78" i="3" s="1"/>
  <c r="CG78" i="3"/>
  <c r="AF78" i="3" s="1"/>
  <c r="CF78" i="3"/>
  <c r="AE78" i="3" s="1"/>
  <c r="CE78" i="3"/>
  <c r="CD78" i="3"/>
  <c r="AC78" i="3" s="1"/>
  <c r="CC78" i="3"/>
  <c r="AB78" i="3" s="1"/>
  <c r="CB78" i="3"/>
  <c r="AA78" i="3" s="1"/>
  <c r="CA78" i="3"/>
  <c r="BZ78" i="3"/>
  <c r="BY78" i="3"/>
  <c r="X78" i="3" s="1"/>
  <c r="BX78" i="3"/>
  <c r="W78" i="3" s="1"/>
  <c r="BW78" i="3"/>
  <c r="V78" i="3" s="1"/>
  <c r="BV78" i="3"/>
  <c r="U78" i="3" s="1"/>
  <c r="BU78" i="3"/>
  <c r="T78" i="3" s="1"/>
  <c r="BT78" i="3"/>
  <c r="S78" i="3" s="1"/>
  <c r="BS78" i="3"/>
  <c r="R78" i="3" s="1"/>
  <c r="BR78" i="3"/>
  <c r="Q78" i="3" s="1"/>
  <c r="BQ78" i="3"/>
  <c r="P78" i="3" s="1"/>
  <c r="BP78" i="3"/>
  <c r="O78" i="3" s="1"/>
  <c r="BO78" i="3"/>
  <c r="N78" i="3" s="1"/>
  <c r="BN78" i="3"/>
  <c r="M78" i="3" s="1"/>
  <c r="BM78" i="3"/>
  <c r="L78" i="3" s="1"/>
  <c r="BL78" i="3"/>
  <c r="K78" i="3" s="1"/>
  <c r="BK78" i="3"/>
  <c r="J78" i="3" s="1"/>
  <c r="BJ78" i="3"/>
  <c r="I78" i="3" s="1"/>
  <c r="BI78" i="3"/>
  <c r="BH78" i="3"/>
  <c r="G78" i="3" s="1"/>
  <c r="BG78" i="3"/>
  <c r="F78" i="3" s="1"/>
  <c r="DB77" i="3"/>
  <c r="BA77" i="3" s="1"/>
  <c r="DA77" i="3"/>
  <c r="AZ77" i="3" s="1"/>
  <c r="CZ77" i="3"/>
  <c r="CY77" i="3"/>
  <c r="AX77" i="3" s="1"/>
  <c r="CX77" i="3"/>
  <c r="AW77" i="3" s="1"/>
  <c r="CW77" i="3"/>
  <c r="AV77" i="3" s="1"/>
  <c r="CV77" i="3"/>
  <c r="AU77" i="3" s="1"/>
  <c r="CU77" i="3"/>
  <c r="CT77" i="3"/>
  <c r="AS77" i="3" s="1"/>
  <c r="CS77" i="3"/>
  <c r="AR77" i="3" s="1"/>
  <c r="CR77" i="3"/>
  <c r="AQ77" i="3" s="1"/>
  <c r="CQ77" i="3"/>
  <c r="AP77" i="3" s="1"/>
  <c r="CP77" i="3"/>
  <c r="AO77" i="3" s="1"/>
  <c r="CO77" i="3"/>
  <c r="AN77" i="3" s="1"/>
  <c r="CN77" i="3"/>
  <c r="AM77" i="3" s="1"/>
  <c r="CM77" i="3"/>
  <c r="CL77" i="3"/>
  <c r="AK77" i="3" s="1"/>
  <c r="CK77" i="3"/>
  <c r="AJ77" i="3" s="1"/>
  <c r="CJ77" i="3"/>
  <c r="AI77" i="3" s="1"/>
  <c r="CI77" i="3"/>
  <c r="AH77" i="3" s="1"/>
  <c r="CH77" i="3"/>
  <c r="AG77" i="3" s="1"/>
  <c r="CG77" i="3"/>
  <c r="AF77" i="3" s="1"/>
  <c r="CF77" i="3"/>
  <c r="CE77" i="3"/>
  <c r="CD77" i="3"/>
  <c r="AC77" i="3" s="1"/>
  <c r="CC77" i="3"/>
  <c r="AB77" i="3" s="1"/>
  <c r="CB77" i="3"/>
  <c r="AA77" i="3" s="1"/>
  <c r="CA77" i="3"/>
  <c r="Z77" i="3" s="1"/>
  <c r="BZ77" i="3"/>
  <c r="BY77" i="3"/>
  <c r="X77" i="3" s="1"/>
  <c r="BX77" i="3"/>
  <c r="W77" i="3" s="1"/>
  <c r="BW77" i="3"/>
  <c r="V77" i="3" s="1"/>
  <c r="BV77" i="3"/>
  <c r="U77" i="3" s="1"/>
  <c r="BU77" i="3"/>
  <c r="T77" i="3" s="1"/>
  <c r="BT77" i="3"/>
  <c r="S77" i="3" s="1"/>
  <c r="BS77" i="3"/>
  <c r="R77" i="3" s="1"/>
  <c r="BR77" i="3"/>
  <c r="Q77" i="3" s="1"/>
  <c r="BQ77" i="3"/>
  <c r="P77" i="3" s="1"/>
  <c r="BP77" i="3"/>
  <c r="O77" i="3" s="1"/>
  <c r="BO77" i="3"/>
  <c r="N77" i="3" s="1"/>
  <c r="BN77" i="3"/>
  <c r="M77" i="3" s="1"/>
  <c r="BM77" i="3"/>
  <c r="L77" i="3" s="1"/>
  <c r="BL77" i="3"/>
  <c r="BK77" i="3"/>
  <c r="J77" i="3" s="1"/>
  <c r="BJ77" i="3"/>
  <c r="I77" i="3" s="1"/>
  <c r="BI77" i="3"/>
  <c r="BH77" i="3"/>
  <c r="G77" i="3" s="1"/>
  <c r="BG77" i="3"/>
  <c r="F77" i="3" s="1"/>
  <c r="DB76" i="3"/>
  <c r="BA76" i="3" s="1"/>
  <c r="DA76" i="3"/>
  <c r="AZ76" i="3" s="1"/>
  <c r="CZ76" i="3"/>
  <c r="AY76" i="3" s="1"/>
  <c r="CY76" i="3"/>
  <c r="AX76" i="3" s="1"/>
  <c r="CX76" i="3"/>
  <c r="AW76" i="3" s="1"/>
  <c r="CW76" i="3"/>
  <c r="AV76" i="3" s="1"/>
  <c r="CV76" i="3"/>
  <c r="AU76" i="3" s="1"/>
  <c r="CU76" i="3"/>
  <c r="AT76" i="3" s="1"/>
  <c r="CT76" i="3"/>
  <c r="AS76" i="3" s="1"/>
  <c r="CS76" i="3"/>
  <c r="AR76" i="3" s="1"/>
  <c r="CR76" i="3"/>
  <c r="AQ76" i="3" s="1"/>
  <c r="CQ76" i="3"/>
  <c r="CP76" i="3"/>
  <c r="AO76" i="3" s="1"/>
  <c r="CO76" i="3"/>
  <c r="CN76" i="3"/>
  <c r="AM76" i="3" s="1"/>
  <c r="CM76" i="3"/>
  <c r="AL76" i="3" s="1"/>
  <c r="CL76" i="3"/>
  <c r="AK76" i="3" s="1"/>
  <c r="CK76" i="3"/>
  <c r="AJ76" i="3" s="1"/>
  <c r="CJ76" i="3"/>
  <c r="AI76" i="3" s="1"/>
  <c r="CI76" i="3"/>
  <c r="AH76" i="3" s="1"/>
  <c r="CH76" i="3"/>
  <c r="AG76" i="3" s="1"/>
  <c r="CG76" i="3"/>
  <c r="AF76" i="3" s="1"/>
  <c r="CF76" i="3"/>
  <c r="CE76" i="3"/>
  <c r="AD76" i="3" s="1"/>
  <c r="CD76" i="3"/>
  <c r="AC76" i="3" s="1"/>
  <c r="CC76" i="3"/>
  <c r="AB76" i="3" s="1"/>
  <c r="CB76" i="3"/>
  <c r="AA76" i="3" s="1"/>
  <c r="CA76" i="3"/>
  <c r="Z76" i="3" s="1"/>
  <c r="BZ76" i="3"/>
  <c r="Y76" i="3" s="1"/>
  <c r="BY76" i="3"/>
  <c r="X76" i="3" s="1"/>
  <c r="BX76" i="3"/>
  <c r="W76" i="3" s="1"/>
  <c r="BW76" i="3"/>
  <c r="BV76" i="3"/>
  <c r="U76" i="3" s="1"/>
  <c r="BU76" i="3"/>
  <c r="T76" i="3" s="1"/>
  <c r="BT76" i="3"/>
  <c r="S76" i="3" s="1"/>
  <c r="BS76" i="3"/>
  <c r="BR76" i="3"/>
  <c r="Q76" i="3" s="1"/>
  <c r="BQ76" i="3"/>
  <c r="P76" i="3" s="1"/>
  <c r="BP76" i="3"/>
  <c r="O76" i="3" s="1"/>
  <c r="BO76" i="3"/>
  <c r="N76" i="3" s="1"/>
  <c r="BN76" i="3"/>
  <c r="M76" i="3" s="1"/>
  <c r="BM76" i="3"/>
  <c r="L76" i="3" s="1"/>
  <c r="BL76" i="3"/>
  <c r="K76" i="3" s="1"/>
  <c r="BK76" i="3"/>
  <c r="J76" i="3" s="1"/>
  <c r="BJ76" i="3"/>
  <c r="I76" i="3" s="1"/>
  <c r="BI76" i="3"/>
  <c r="H76" i="3" s="1"/>
  <c r="BH76" i="3"/>
  <c r="G76" i="3" s="1"/>
  <c r="BG76" i="3"/>
  <c r="F76" i="3" s="1"/>
  <c r="DB75" i="3"/>
  <c r="BA75" i="3" s="1"/>
  <c r="DA75" i="3"/>
  <c r="AZ75" i="3" s="1"/>
  <c r="CZ75" i="3"/>
  <c r="AY75" i="3" s="1"/>
  <c r="CY75" i="3"/>
  <c r="AX75" i="3" s="1"/>
  <c r="CX75" i="3"/>
  <c r="AW75" i="3" s="1"/>
  <c r="CW75" i="3"/>
  <c r="AV75" i="3" s="1"/>
  <c r="CV75" i="3"/>
  <c r="AU75" i="3" s="1"/>
  <c r="CU75" i="3"/>
  <c r="CT75" i="3"/>
  <c r="AS75" i="3" s="1"/>
  <c r="CS75" i="3"/>
  <c r="AR75" i="3" s="1"/>
  <c r="CR75" i="3"/>
  <c r="AQ75" i="3" s="1"/>
  <c r="CQ75" i="3"/>
  <c r="AP75" i="3" s="1"/>
  <c r="CP75" i="3"/>
  <c r="AO75" i="3" s="1"/>
  <c r="CO75" i="3"/>
  <c r="AN75" i="3" s="1"/>
  <c r="CN75" i="3"/>
  <c r="AM75" i="3" s="1"/>
  <c r="CM75" i="3"/>
  <c r="AL75" i="3" s="1"/>
  <c r="CL75" i="3"/>
  <c r="AK75" i="3" s="1"/>
  <c r="CK75" i="3"/>
  <c r="AJ75" i="3" s="1"/>
  <c r="CJ75" i="3"/>
  <c r="AI75" i="3" s="1"/>
  <c r="CI75" i="3"/>
  <c r="AH75" i="3" s="1"/>
  <c r="CH75" i="3"/>
  <c r="AG75" i="3" s="1"/>
  <c r="CG75" i="3"/>
  <c r="AF75" i="3" s="1"/>
  <c r="CF75" i="3"/>
  <c r="CE75" i="3"/>
  <c r="AD75" i="3" s="1"/>
  <c r="CD75" i="3"/>
  <c r="AC75" i="3" s="1"/>
  <c r="CC75" i="3"/>
  <c r="AB75" i="3" s="1"/>
  <c r="CB75" i="3"/>
  <c r="CA75" i="3"/>
  <c r="Z75" i="3" s="1"/>
  <c r="BZ75" i="3"/>
  <c r="Y75" i="3" s="1"/>
  <c r="BY75" i="3"/>
  <c r="X75" i="3" s="1"/>
  <c r="BX75" i="3"/>
  <c r="W75" i="3" s="1"/>
  <c r="BW75" i="3"/>
  <c r="BV75" i="3"/>
  <c r="U75" i="3" s="1"/>
  <c r="BU75" i="3"/>
  <c r="T75" i="3" s="1"/>
  <c r="BT75" i="3"/>
  <c r="S75" i="3" s="1"/>
  <c r="BS75" i="3"/>
  <c r="R75" i="3" s="1"/>
  <c r="BR75" i="3"/>
  <c r="Q75" i="3" s="1"/>
  <c r="BQ75" i="3"/>
  <c r="P75" i="3" s="1"/>
  <c r="BP75" i="3"/>
  <c r="O75" i="3" s="1"/>
  <c r="BO75" i="3"/>
  <c r="BN75" i="3"/>
  <c r="M75" i="3" s="1"/>
  <c r="BM75" i="3"/>
  <c r="L75" i="3" s="1"/>
  <c r="BL75" i="3"/>
  <c r="K75" i="3" s="1"/>
  <c r="BK75" i="3"/>
  <c r="BJ75" i="3"/>
  <c r="I75" i="3" s="1"/>
  <c r="BI75" i="3"/>
  <c r="H75" i="3" s="1"/>
  <c r="BH75" i="3"/>
  <c r="G75" i="3" s="1"/>
  <c r="BG75" i="3"/>
  <c r="F75" i="3" s="1"/>
  <c r="DB74" i="3"/>
  <c r="BA74" i="3" s="1"/>
  <c r="DA74" i="3"/>
  <c r="AZ74" i="3" s="1"/>
  <c r="CZ74" i="3"/>
  <c r="AY74" i="3" s="1"/>
  <c r="CY74" i="3"/>
  <c r="CX74" i="3"/>
  <c r="AW74" i="3" s="1"/>
  <c r="CW74" i="3"/>
  <c r="AV74" i="3" s="1"/>
  <c r="CV74" i="3"/>
  <c r="AU74" i="3" s="1"/>
  <c r="CU74" i="3"/>
  <c r="AT74" i="3" s="1"/>
  <c r="CT74" i="3"/>
  <c r="AS74" i="3" s="1"/>
  <c r="CS74" i="3"/>
  <c r="AR74" i="3" s="1"/>
  <c r="CR74" i="3"/>
  <c r="AQ74" i="3" s="1"/>
  <c r="CQ74" i="3"/>
  <c r="AP74" i="3" s="1"/>
  <c r="CP74" i="3"/>
  <c r="AO74" i="3" s="1"/>
  <c r="CO74" i="3"/>
  <c r="CN74" i="3"/>
  <c r="AM74" i="3" s="1"/>
  <c r="CM74" i="3"/>
  <c r="CL74" i="3"/>
  <c r="AK74" i="3" s="1"/>
  <c r="CK74" i="3"/>
  <c r="AJ74" i="3" s="1"/>
  <c r="CJ74" i="3"/>
  <c r="AI74" i="3" s="1"/>
  <c r="CI74" i="3"/>
  <c r="AH74" i="3" s="1"/>
  <c r="CH74" i="3"/>
  <c r="AG74" i="3" s="1"/>
  <c r="CG74" i="3"/>
  <c r="AF74" i="3" s="1"/>
  <c r="CF74" i="3"/>
  <c r="AE74" i="3" s="1"/>
  <c r="CE74" i="3"/>
  <c r="CD74" i="3"/>
  <c r="AC74" i="3" s="1"/>
  <c r="CC74" i="3"/>
  <c r="AB74" i="3" s="1"/>
  <c r="CB74" i="3"/>
  <c r="AA74" i="3" s="1"/>
  <c r="CA74" i="3"/>
  <c r="Z74" i="3" s="1"/>
  <c r="BZ74" i="3"/>
  <c r="Y74" i="3" s="1"/>
  <c r="BY74" i="3"/>
  <c r="X74" i="3" s="1"/>
  <c r="BX74" i="3"/>
  <c r="W74" i="3" s="1"/>
  <c r="BW74" i="3"/>
  <c r="V74" i="3" s="1"/>
  <c r="BV74" i="3"/>
  <c r="U74" i="3" s="1"/>
  <c r="BU74" i="3"/>
  <c r="T74" i="3" s="1"/>
  <c r="BT74" i="3"/>
  <c r="S74" i="3" s="1"/>
  <c r="BS74" i="3"/>
  <c r="R74" i="3" s="1"/>
  <c r="BR74" i="3"/>
  <c r="Q74" i="3" s="1"/>
  <c r="BQ74" i="3"/>
  <c r="P74" i="3" s="1"/>
  <c r="BP74" i="3"/>
  <c r="BO74" i="3"/>
  <c r="N74" i="3" s="1"/>
  <c r="BN74" i="3"/>
  <c r="M74" i="3" s="1"/>
  <c r="BM74" i="3"/>
  <c r="BL74" i="3"/>
  <c r="K74" i="3" s="1"/>
  <c r="BK74" i="3"/>
  <c r="J74" i="3" s="1"/>
  <c r="BJ74" i="3"/>
  <c r="I74" i="3" s="1"/>
  <c r="BI74" i="3"/>
  <c r="H74" i="3" s="1"/>
  <c r="BH74" i="3"/>
  <c r="G74" i="3" s="1"/>
  <c r="BG74" i="3"/>
  <c r="F74" i="3" s="1"/>
  <c r="DB73" i="3"/>
  <c r="BA73" i="3" s="1"/>
  <c r="DA73" i="3"/>
  <c r="AZ73" i="3" s="1"/>
  <c r="CZ73" i="3"/>
  <c r="AY73" i="3" s="1"/>
  <c r="CY73" i="3"/>
  <c r="AX73" i="3" s="1"/>
  <c r="CX73" i="3"/>
  <c r="CW73" i="3"/>
  <c r="AV73" i="3" s="1"/>
  <c r="CV73" i="3"/>
  <c r="AU73" i="3" s="1"/>
  <c r="CU73" i="3"/>
  <c r="AT73" i="3" s="1"/>
  <c r="CT73" i="3"/>
  <c r="AS73" i="3" s="1"/>
  <c r="CS73" i="3"/>
  <c r="CR73" i="3"/>
  <c r="AQ73" i="3" s="1"/>
  <c r="CQ73" i="3"/>
  <c r="AP73" i="3" s="1"/>
  <c r="CP73" i="3"/>
  <c r="AO73" i="3" s="1"/>
  <c r="CO73" i="3"/>
  <c r="AN73" i="3" s="1"/>
  <c r="CN73" i="3"/>
  <c r="CM73" i="3"/>
  <c r="AL73" i="3" s="1"/>
  <c r="CL73" i="3"/>
  <c r="AK73" i="3" s="1"/>
  <c r="CK73" i="3"/>
  <c r="AJ73" i="3" s="1"/>
  <c r="CJ73" i="3"/>
  <c r="AI73" i="3" s="1"/>
  <c r="CI73" i="3"/>
  <c r="AH73" i="3" s="1"/>
  <c r="CH73" i="3"/>
  <c r="AG73" i="3" s="1"/>
  <c r="CG73" i="3"/>
  <c r="AF73" i="3" s="1"/>
  <c r="CF73" i="3"/>
  <c r="AE73" i="3" s="1"/>
  <c r="CE73" i="3"/>
  <c r="AD73" i="3" s="1"/>
  <c r="CD73" i="3"/>
  <c r="AC73" i="3" s="1"/>
  <c r="CC73" i="3"/>
  <c r="CB73" i="3"/>
  <c r="AA73" i="3" s="1"/>
  <c r="CA73" i="3"/>
  <c r="BZ73" i="3"/>
  <c r="Y73" i="3" s="1"/>
  <c r="BY73" i="3"/>
  <c r="X73" i="3" s="1"/>
  <c r="BX73" i="3"/>
  <c r="W73" i="3" s="1"/>
  <c r="BW73" i="3"/>
  <c r="BV73" i="3"/>
  <c r="U73" i="3" s="1"/>
  <c r="BU73" i="3"/>
  <c r="BT73" i="3"/>
  <c r="BS73" i="3"/>
  <c r="R73" i="3" s="1"/>
  <c r="BR73" i="3"/>
  <c r="Q73" i="3" s="1"/>
  <c r="BQ73" i="3"/>
  <c r="P73" i="3" s="1"/>
  <c r="BP73" i="3"/>
  <c r="BO73" i="3"/>
  <c r="N73" i="3" s="1"/>
  <c r="BN73" i="3"/>
  <c r="M73" i="3" s="1"/>
  <c r="BM73" i="3"/>
  <c r="L73" i="3" s="1"/>
  <c r="BL73" i="3"/>
  <c r="K73" i="3" s="1"/>
  <c r="BK73" i="3"/>
  <c r="J73" i="3" s="1"/>
  <c r="BJ73" i="3"/>
  <c r="I73" i="3" s="1"/>
  <c r="BI73" i="3"/>
  <c r="BH73" i="3"/>
  <c r="G73" i="3" s="1"/>
  <c r="BG73" i="3"/>
  <c r="F73" i="3" s="1"/>
  <c r="DB72" i="3"/>
  <c r="BA72" i="3" s="1"/>
  <c r="DA72" i="3"/>
  <c r="AZ72" i="3" s="1"/>
  <c r="CZ72" i="3"/>
  <c r="CY72" i="3"/>
  <c r="AX72" i="3" s="1"/>
  <c r="CX72" i="3"/>
  <c r="AW72" i="3" s="1"/>
  <c r="CW72" i="3"/>
  <c r="CV72" i="3"/>
  <c r="AU72" i="3" s="1"/>
  <c r="CU72" i="3"/>
  <c r="AT72" i="3" s="1"/>
  <c r="CT72" i="3"/>
  <c r="AS72" i="3" s="1"/>
  <c r="CS72" i="3"/>
  <c r="CR72" i="3"/>
  <c r="AQ72" i="3" s="1"/>
  <c r="CQ72" i="3"/>
  <c r="AP72" i="3" s="1"/>
  <c r="CP72" i="3"/>
  <c r="AO72" i="3" s="1"/>
  <c r="CO72" i="3"/>
  <c r="AN72" i="3" s="1"/>
  <c r="CN72" i="3"/>
  <c r="AM72" i="3" s="1"/>
  <c r="CM72" i="3"/>
  <c r="AL72" i="3" s="1"/>
  <c r="CL72" i="3"/>
  <c r="CK72" i="3"/>
  <c r="AJ72" i="3" s="1"/>
  <c r="CJ72" i="3"/>
  <c r="AI72" i="3" s="1"/>
  <c r="CI72" i="3"/>
  <c r="AH72" i="3" s="1"/>
  <c r="CH72" i="3"/>
  <c r="AG72" i="3" s="1"/>
  <c r="CG72" i="3"/>
  <c r="AF72" i="3" s="1"/>
  <c r="CF72" i="3"/>
  <c r="AE72" i="3" s="1"/>
  <c r="CE72" i="3"/>
  <c r="AD72" i="3" s="1"/>
  <c r="CD72" i="3"/>
  <c r="AC72" i="3" s="1"/>
  <c r="CC72" i="3"/>
  <c r="AB72" i="3" s="1"/>
  <c r="CB72" i="3"/>
  <c r="CA72" i="3"/>
  <c r="Z72" i="3" s="1"/>
  <c r="BZ72" i="3"/>
  <c r="Y72" i="3" s="1"/>
  <c r="BY72" i="3"/>
  <c r="X72" i="3" s="1"/>
  <c r="BX72" i="3"/>
  <c r="W72" i="3" s="1"/>
  <c r="BW72" i="3"/>
  <c r="V72" i="3" s="1"/>
  <c r="BV72" i="3"/>
  <c r="U72" i="3" s="1"/>
  <c r="BU72" i="3"/>
  <c r="T72" i="3" s="1"/>
  <c r="BT72" i="3"/>
  <c r="S72" i="3" s="1"/>
  <c r="BS72" i="3"/>
  <c r="R72" i="3" s="1"/>
  <c r="BR72" i="3"/>
  <c r="Q72" i="3" s="1"/>
  <c r="BQ72" i="3"/>
  <c r="P72" i="3" s="1"/>
  <c r="BP72" i="3"/>
  <c r="O72" i="3" s="1"/>
  <c r="BO72" i="3"/>
  <c r="N72" i="3" s="1"/>
  <c r="BN72" i="3"/>
  <c r="M72" i="3" s="1"/>
  <c r="BM72" i="3"/>
  <c r="BL72" i="3"/>
  <c r="K72" i="3" s="1"/>
  <c r="BK72" i="3"/>
  <c r="J72" i="3" s="1"/>
  <c r="BJ72" i="3"/>
  <c r="I72" i="3" s="1"/>
  <c r="BI72" i="3"/>
  <c r="BH72" i="3"/>
  <c r="G72" i="3" s="1"/>
  <c r="BG72" i="3"/>
  <c r="F72" i="3" s="1"/>
  <c r="DB71" i="3"/>
  <c r="BA71" i="3" s="1"/>
  <c r="DA71" i="3"/>
  <c r="AZ71" i="3" s="1"/>
  <c r="CZ71" i="3"/>
  <c r="AY71" i="3" s="1"/>
  <c r="CY71" i="3"/>
  <c r="AX71" i="3" s="1"/>
  <c r="CX71" i="3"/>
  <c r="AW71" i="3" s="1"/>
  <c r="CW71" i="3"/>
  <c r="AV71" i="3" s="1"/>
  <c r="CV71" i="3"/>
  <c r="AU71" i="3" s="1"/>
  <c r="CU71" i="3"/>
  <c r="AT71" i="3" s="1"/>
  <c r="CT71" i="3"/>
  <c r="CS71" i="3"/>
  <c r="AR71" i="3" s="1"/>
  <c r="CR71" i="3"/>
  <c r="AQ71" i="3" s="1"/>
  <c r="CQ71" i="3"/>
  <c r="AP71" i="3" s="1"/>
  <c r="CP71" i="3"/>
  <c r="AO71" i="3" s="1"/>
  <c r="CO71" i="3"/>
  <c r="AN71" i="3" s="1"/>
  <c r="CN71" i="3"/>
  <c r="AM71" i="3" s="1"/>
  <c r="CM71" i="3"/>
  <c r="AL71" i="3" s="1"/>
  <c r="CL71" i="3"/>
  <c r="AK71" i="3" s="1"/>
  <c r="CK71" i="3"/>
  <c r="AJ71" i="3" s="1"/>
  <c r="CJ71" i="3"/>
  <c r="AI71" i="3" s="1"/>
  <c r="CI71" i="3"/>
  <c r="AH71" i="3" s="1"/>
  <c r="CH71" i="3"/>
  <c r="AG71" i="3" s="1"/>
  <c r="CG71" i="3"/>
  <c r="AF71" i="3" s="1"/>
  <c r="CF71" i="3"/>
  <c r="AE71" i="3" s="1"/>
  <c r="CE71" i="3"/>
  <c r="AD71" i="3" s="1"/>
  <c r="CD71" i="3"/>
  <c r="AC71" i="3" s="1"/>
  <c r="CC71" i="3"/>
  <c r="AB71" i="3" s="1"/>
  <c r="CB71" i="3"/>
  <c r="AA71" i="3" s="1"/>
  <c r="CA71" i="3"/>
  <c r="BZ71" i="3"/>
  <c r="Y71" i="3" s="1"/>
  <c r="BY71" i="3"/>
  <c r="X71" i="3" s="1"/>
  <c r="BX71" i="3"/>
  <c r="W71" i="3" s="1"/>
  <c r="BW71" i="3"/>
  <c r="BV71" i="3"/>
  <c r="U71" i="3" s="1"/>
  <c r="BU71" i="3"/>
  <c r="T71" i="3" s="1"/>
  <c r="BT71" i="3"/>
  <c r="S71" i="3" s="1"/>
  <c r="BS71" i="3"/>
  <c r="BR71" i="3"/>
  <c r="Q71" i="3" s="1"/>
  <c r="BQ71" i="3"/>
  <c r="P71" i="3" s="1"/>
  <c r="BP71" i="3"/>
  <c r="O71" i="3" s="1"/>
  <c r="BO71" i="3"/>
  <c r="N71" i="3" s="1"/>
  <c r="BN71" i="3"/>
  <c r="M71" i="3" s="1"/>
  <c r="BM71" i="3"/>
  <c r="L71" i="3" s="1"/>
  <c r="BL71" i="3"/>
  <c r="K71" i="3" s="1"/>
  <c r="BK71" i="3"/>
  <c r="J71" i="3" s="1"/>
  <c r="BJ71" i="3"/>
  <c r="I71" i="3" s="1"/>
  <c r="BI71" i="3"/>
  <c r="H71" i="3" s="1"/>
  <c r="BH71" i="3"/>
  <c r="G71" i="3" s="1"/>
  <c r="BG71" i="3"/>
  <c r="F71" i="3" s="1"/>
  <c r="DB70" i="3"/>
  <c r="BA70" i="3" s="1"/>
  <c r="DA70" i="3"/>
  <c r="AZ70" i="3" s="1"/>
  <c r="CZ70" i="3"/>
  <c r="AY70" i="3" s="1"/>
  <c r="CY70" i="3"/>
  <c r="AX70" i="3" s="1"/>
  <c r="CX70" i="3"/>
  <c r="AW70" i="3" s="1"/>
  <c r="CW70" i="3"/>
  <c r="AV70" i="3" s="1"/>
  <c r="CV70" i="3"/>
  <c r="AU70" i="3" s="1"/>
  <c r="CU70" i="3"/>
  <c r="AT70" i="3" s="1"/>
  <c r="CT70" i="3"/>
  <c r="AS70" i="3" s="1"/>
  <c r="CS70" i="3"/>
  <c r="AR70" i="3" s="1"/>
  <c r="CR70" i="3"/>
  <c r="AQ70" i="3" s="1"/>
  <c r="CQ70" i="3"/>
  <c r="CP70" i="3"/>
  <c r="AO70" i="3" s="1"/>
  <c r="CO70" i="3"/>
  <c r="AN70" i="3" s="1"/>
  <c r="CN70" i="3"/>
  <c r="CM70" i="3"/>
  <c r="AL70" i="3" s="1"/>
  <c r="CL70" i="3"/>
  <c r="AK70" i="3" s="1"/>
  <c r="CK70" i="3"/>
  <c r="AJ70" i="3" s="1"/>
  <c r="CJ70" i="3"/>
  <c r="AI70" i="3" s="1"/>
  <c r="CI70" i="3"/>
  <c r="AH70" i="3" s="1"/>
  <c r="CH70" i="3"/>
  <c r="AG70" i="3" s="1"/>
  <c r="CG70" i="3"/>
  <c r="AF70" i="3" s="1"/>
  <c r="CF70" i="3"/>
  <c r="AE70" i="3" s="1"/>
  <c r="CE70" i="3"/>
  <c r="CD70" i="3"/>
  <c r="CC70" i="3"/>
  <c r="AB70" i="3" s="1"/>
  <c r="CB70" i="3"/>
  <c r="AA70" i="3" s="1"/>
  <c r="CA70" i="3"/>
  <c r="Z70" i="3" s="1"/>
  <c r="BZ70" i="3"/>
  <c r="Y70" i="3" s="1"/>
  <c r="BY70" i="3"/>
  <c r="X70" i="3" s="1"/>
  <c r="BX70" i="3"/>
  <c r="W70" i="3" s="1"/>
  <c r="BW70" i="3"/>
  <c r="V70" i="3" s="1"/>
  <c r="BV70" i="3"/>
  <c r="U70" i="3" s="1"/>
  <c r="BU70" i="3"/>
  <c r="T70" i="3" s="1"/>
  <c r="BT70" i="3"/>
  <c r="S70" i="3" s="1"/>
  <c r="BS70" i="3"/>
  <c r="R70" i="3" s="1"/>
  <c r="BR70" i="3"/>
  <c r="Q70" i="3" s="1"/>
  <c r="BQ70" i="3"/>
  <c r="P70" i="3" s="1"/>
  <c r="BP70" i="3"/>
  <c r="O70" i="3" s="1"/>
  <c r="BO70" i="3"/>
  <c r="N70" i="3" s="1"/>
  <c r="BN70" i="3"/>
  <c r="M70" i="3" s="1"/>
  <c r="BM70" i="3"/>
  <c r="L70" i="3" s="1"/>
  <c r="BL70" i="3"/>
  <c r="K70" i="3" s="1"/>
  <c r="BK70" i="3"/>
  <c r="J70" i="3" s="1"/>
  <c r="BJ70" i="3"/>
  <c r="I70" i="3" s="1"/>
  <c r="BI70" i="3"/>
  <c r="BH70" i="3"/>
  <c r="G70" i="3" s="1"/>
  <c r="BG70" i="3"/>
  <c r="F70" i="3" s="1"/>
  <c r="DB69" i="3"/>
  <c r="BA69" i="3" s="1"/>
  <c r="DA69" i="3"/>
  <c r="AZ69" i="3" s="1"/>
  <c r="CZ69" i="3"/>
  <c r="AY69" i="3" s="1"/>
  <c r="CY69" i="3"/>
  <c r="CX69" i="3"/>
  <c r="AW69" i="3" s="1"/>
  <c r="CW69" i="3"/>
  <c r="AV69" i="3" s="1"/>
  <c r="CV69" i="3"/>
  <c r="AU69" i="3" s="1"/>
  <c r="CU69" i="3"/>
  <c r="AT69" i="3" s="1"/>
  <c r="CT69" i="3"/>
  <c r="AS69" i="3" s="1"/>
  <c r="CS69" i="3"/>
  <c r="AR69" i="3" s="1"/>
  <c r="CR69" i="3"/>
  <c r="AQ69" i="3" s="1"/>
  <c r="CQ69" i="3"/>
  <c r="AP69" i="3" s="1"/>
  <c r="CP69" i="3"/>
  <c r="AO69" i="3" s="1"/>
  <c r="CO69" i="3"/>
  <c r="CN69" i="3"/>
  <c r="AM69" i="3" s="1"/>
  <c r="CM69" i="3"/>
  <c r="AL69" i="3" s="1"/>
  <c r="CL69" i="3"/>
  <c r="AK69" i="3" s="1"/>
  <c r="CK69" i="3"/>
  <c r="AJ69" i="3" s="1"/>
  <c r="CJ69" i="3"/>
  <c r="AI69" i="3" s="1"/>
  <c r="CI69" i="3"/>
  <c r="AH69" i="3" s="1"/>
  <c r="CH69" i="3"/>
  <c r="CG69" i="3"/>
  <c r="AF69" i="3" s="1"/>
  <c r="CF69" i="3"/>
  <c r="AE69" i="3" s="1"/>
  <c r="CE69" i="3"/>
  <c r="AD69" i="3" s="1"/>
  <c r="CD69" i="3"/>
  <c r="CC69" i="3"/>
  <c r="AB69" i="3" s="1"/>
  <c r="CB69" i="3"/>
  <c r="CA69" i="3"/>
  <c r="Z69" i="3" s="1"/>
  <c r="BZ69" i="3"/>
  <c r="Y69" i="3" s="1"/>
  <c r="BY69" i="3"/>
  <c r="X69" i="3" s="1"/>
  <c r="BX69" i="3"/>
  <c r="W69" i="3" s="1"/>
  <c r="BW69" i="3"/>
  <c r="V69" i="3" s="1"/>
  <c r="BV69" i="3"/>
  <c r="U69" i="3" s="1"/>
  <c r="BU69" i="3"/>
  <c r="T69" i="3" s="1"/>
  <c r="BT69" i="3"/>
  <c r="S69" i="3" s="1"/>
  <c r="BS69" i="3"/>
  <c r="R69" i="3" s="1"/>
  <c r="BR69" i="3"/>
  <c r="Q69" i="3" s="1"/>
  <c r="BQ69" i="3"/>
  <c r="P69" i="3" s="1"/>
  <c r="BP69" i="3"/>
  <c r="O69" i="3" s="1"/>
  <c r="BO69" i="3"/>
  <c r="N69" i="3" s="1"/>
  <c r="BN69" i="3"/>
  <c r="M69" i="3" s="1"/>
  <c r="BM69" i="3"/>
  <c r="L69" i="3" s="1"/>
  <c r="BL69" i="3"/>
  <c r="K69" i="3" s="1"/>
  <c r="BK69" i="3"/>
  <c r="J69" i="3" s="1"/>
  <c r="BJ69" i="3"/>
  <c r="BI69" i="3"/>
  <c r="H69" i="3" s="1"/>
  <c r="BH69" i="3"/>
  <c r="G69" i="3" s="1"/>
  <c r="BG69" i="3"/>
  <c r="F69" i="3" s="1"/>
  <c r="DB68" i="3"/>
  <c r="BA68" i="3" s="1"/>
  <c r="DA68" i="3"/>
  <c r="AZ68" i="3" s="1"/>
  <c r="CZ68" i="3"/>
  <c r="AY68" i="3" s="1"/>
  <c r="CY68" i="3"/>
  <c r="AX68" i="3" s="1"/>
  <c r="CX68" i="3"/>
  <c r="AW68" i="3" s="1"/>
  <c r="CW68" i="3"/>
  <c r="AV68" i="3" s="1"/>
  <c r="CV68" i="3"/>
  <c r="AU68" i="3" s="1"/>
  <c r="CU68" i="3"/>
  <c r="CT68" i="3"/>
  <c r="AS68" i="3" s="1"/>
  <c r="CS68" i="3"/>
  <c r="AR68" i="3" s="1"/>
  <c r="CR68" i="3"/>
  <c r="AQ68" i="3" s="1"/>
  <c r="CQ68" i="3"/>
  <c r="AP68" i="3" s="1"/>
  <c r="CP68" i="3"/>
  <c r="AO68" i="3" s="1"/>
  <c r="CO68" i="3"/>
  <c r="AN68" i="3" s="1"/>
  <c r="CN68" i="3"/>
  <c r="AM68" i="3" s="1"/>
  <c r="CM68" i="3"/>
  <c r="AL68" i="3" s="1"/>
  <c r="CL68" i="3"/>
  <c r="AK68" i="3" s="1"/>
  <c r="CK68" i="3"/>
  <c r="AJ68" i="3" s="1"/>
  <c r="CJ68" i="3"/>
  <c r="AI68" i="3" s="1"/>
  <c r="CI68" i="3"/>
  <c r="AH68" i="3" s="1"/>
  <c r="CH68" i="3"/>
  <c r="AG68" i="3" s="1"/>
  <c r="CG68" i="3"/>
  <c r="AF68" i="3" s="1"/>
  <c r="CF68" i="3"/>
  <c r="AE68" i="3" s="1"/>
  <c r="CE68" i="3"/>
  <c r="AD68" i="3" s="1"/>
  <c r="CD68" i="3"/>
  <c r="AC68" i="3" s="1"/>
  <c r="CC68" i="3"/>
  <c r="AB68" i="3" s="1"/>
  <c r="CB68" i="3"/>
  <c r="AA68" i="3" s="1"/>
  <c r="CA68" i="3"/>
  <c r="Z68" i="3" s="1"/>
  <c r="BZ68" i="3"/>
  <c r="Y68" i="3" s="1"/>
  <c r="BY68" i="3"/>
  <c r="X68" i="3" s="1"/>
  <c r="BX68" i="3"/>
  <c r="W68" i="3" s="1"/>
  <c r="BW68" i="3"/>
  <c r="V68" i="3" s="1"/>
  <c r="BV68" i="3"/>
  <c r="BU68" i="3"/>
  <c r="T68" i="3" s="1"/>
  <c r="BT68" i="3"/>
  <c r="S68" i="3" s="1"/>
  <c r="BS68" i="3"/>
  <c r="BR68" i="3"/>
  <c r="Q68" i="3" s="1"/>
  <c r="BQ68" i="3"/>
  <c r="P68" i="3" s="1"/>
  <c r="BP68" i="3"/>
  <c r="O68" i="3" s="1"/>
  <c r="BO68" i="3"/>
  <c r="N68" i="3" s="1"/>
  <c r="BN68" i="3"/>
  <c r="M68" i="3" s="1"/>
  <c r="BM68" i="3"/>
  <c r="L68" i="3" s="1"/>
  <c r="BL68" i="3"/>
  <c r="K68" i="3" s="1"/>
  <c r="BK68" i="3"/>
  <c r="BJ68" i="3"/>
  <c r="I68" i="3" s="1"/>
  <c r="BI68" i="3"/>
  <c r="H68" i="3" s="1"/>
  <c r="BH68" i="3"/>
  <c r="G68" i="3" s="1"/>
  <c r="BG68" i="3"/>
  <c r="DB67" i="3"/>
  <c r="BA67" i="3" s="1"/>
  <c r="DA67" i="3"/>
  <c r="AZ67" i="3" s="1"/>
  <c r="CZ67" i="3"/>
  <c r="AY67" i="3" s="1"/>
  <c r="CY67" i="3"/>
  <c r="AX67" i="3" s="1"/>
  <c r="CX67" i="3"/>
  <c r="AW67" i="3" s="1"/>
  <c r="CW67" i="3"/>
  <c r="AV67" i="3" s="1"/>
  <c r="CV67" i="3"/>
  <c r="AU67" i="3" s="1"/>
  <c r="CU67" i="3"/>
  <c r="AT67" i="3" s="1"/>
  <c r="CT67" i="3"/>
  <c r="AS67" i="3" s="1"/>
  <c r="CS67" i="3"/>
  <c r="AR67" i="3" s="1"/>
  <c r="CR67" i="3"/>
  <c r="AQ67" i="3" s="1"/>
  <c r="CQ67" i="3"/>
  <c r="AP67" i="3" s="1"/>
  <c r="CP67" i="3"/>
  <c r="AO67" i="3" s="1"/>
  <c r="CO67" i="3"/>
  <c r="CN67" i="3"/>
  <c r="AM67" i="3" s="1"/>
  <c r="CM67" i="3"/>
  <c r="AL67" i="3" s="1"/>
  <c r="CL67" i="3"/>
  <c r="AK67" i="3" s="1"/>
  <c r="CK67" i="3"/>
  <c r="AJ67" i="3" s="1"/>
  <c r="CJ67" i="3"/>
  <c r="AI67" i="3" s="1"/>
  <c r="CI67" i="3"/>
  <c r="AH67" i="3" s="1"/>
  <c r="CH67" i="3"/>
  <c r="AG67" i="3" s="1"/>
  <c r="CG67" i="3"/>
  <c r="AF67" i="3" s="1"/>
  <c r="CF67" i="3"/>
  <c r="AE67" i="3" s="1"/>
  <c r="CE67" i="3"/>
  <c r="CD67" i="3"/>
  <c r="AC67" i="3" s="1"/>
  <c r="CC67" i="3"/>
  <c r="AB67" i="3" s="1"/>
  <c r="CB67" i="3"/>
  <c r="AA67" i="3" s="1"/>
  <c r="CA67" i="3"/>
  <c r="Z67" i="3" s="1"/>
  <c r="BZ67" i="3"/>
  <c r="Y67" i="3" s="1"/>
  <c r="BY67" i="3"/>
  <c r="X67" i="3" s="1"/>
  <c r="BX67" i="3"/>
  <c r="W67" i="3" s="1"/>
  <c r="BW67" i="3"/>
  <c r="V67" i="3" s="1"/>
  <c r="BV67" i="3"/>
  <c r="U67" i="3" s="1"/>
  <c r="BU67" i="3"/>
  <c r="T67" i="3" s="1"/>
  <c r="BT67" i="3"/>
  <c r="S67" i="3" s="1"/>
  <c r="BS67" i="3"/>
  <c r="BR67" i="3"/>
  <c r="Q67" i="3" s="1"/>
  <c r="BQ67" i="3"/>
  <c r="P67" i="3" s="1"/>
  <c r="BP67" i="3"/>
  <c r="BO67" i="3"/>
  <c r="N67" i="3" s="1"/>
  <c r="BN67" i="3"/>
  <c r="M67" i="3" s="1"/>
  <c r="BM67" i="3"/>
  <c r="L67" i="3" s="1"/>
  <c r="BL67" i="3"/>
  <c r="K67" i="3" s="1"/>
  <c r="BK67" i="3"/>
  <c r="J67" i="3" s="1"/>
  <c r="BJ67" i="3"/>
  <c r="BI67" i="3"/>
  <c r="H67" i="3" s="1"/>
  <c r="BH67" i="3"/>
  <c r="G67" i="3" s="1"/>
  <c r="BG67" i="3"/>
  <c r="F67" i="3" s="1"/>
  <c r="DB66" i="3"/>
  <c r="BA66" i="3" s="1"/>
  <c r="DA66" i="3"/>
  <c r="AZ66" i="3" s="1"/>
  <c r="CZ66" i="3"/>
  <c r="AY66" i="3" s="1"/>
  <c r="CY66" i="3"/>
  <c r="AX66" i="3" s="1"/>
  <c r="CX66" i="3"/>
  <c r="AW66" i="3" s="1"/>
  <c r="CW66" i="3"/>
  <c r="CV66" i="3"/>
  <c r="AU66" i="3" s="1"/>
  <c r="CU66" i="3"/>
  <c r="CT66" i="3"/>
  <c r="AS66" i="3" s="1"/>
  <c r="CS66" i="3"/>
  <c r="AR66" i="3" s="1"/>
  <c r="CR66" i="3"/>
  <c r="AQ66" i="3" s="1"/>
  <c r="CQ66" i="3"/>
  <c r="AP66" i="3" s="1"/>
  <c r="CP66" i="3"/>
  <c r="AO66" i="3" s="1"/>
  <c r="CO66" i="3"/>
  <c r="AN66" i="3" s="1"/>
  <c r="CN66" i="3"/>
  <c r="AM66" i="3" s="1"/>
  <c r="CM66" i="3"/>
  <c r="AL66" i="3" s="1"/>
  <c r="CL66" i="3"/>
  <c r="AK66" i="3" s="1"/>
  <c r="CK66" i="3"/>
  <c r="AJ66" i="3" s="1"/>
  <c r="CJ66" i="3"/>
  <c r="AI66" i="3" s="1"/>
  <c r="CI66" i="3"/>
  <c r="AH66" i="3" s="1"/>
  <c r="CH66" i="3"/>
  <c r="AG66" i="3" s="1"/>
  <c r="CG66" i="3"/>
  <c r="AF66" i="3" s="1"/>
  <c r="CF66" i="3"/>
  <c r="AE66" i="3" s="1"/>
  <c r="CE66" i="3"/>
  <c r="AD66" i="3" s="1"/>
  <c r="CD66" i="3"/>
  <c r="AC66" i="3" s="1"/>
  <c r="CC66" i="3"/>
  <c r="AB66" i="3" s="1"/>
  <c r="CB66" i="3"/>
  <c r="AA66" i="3" s="1"/>
  <c r="CA66" i="3"/>
  <c r="BZ66" i="3"/>
  <c r="Y66" i="3" s="1"/>
  <c r="BY66" i="3"/>
  <c r="X66" i="3" s="1"/>
  <c r="BX66" i="3"/>
  <c r="W66" i="3" s="1"/>
  <c r="BW66" i="3"/>
  <c r="V66" i="3" s="1"/>
  <c r="BV66" i="3"/>
  <c r="U66" i="3" s="1"/>
  <c r="BU66" i="3"/>
  <c r="T66" i="3" s="1"/>
  <c r="BT66" i="3"/>
  <c r="S66" i="3" s="1"/>
  <c r="BS66" i="3"/>
  <c r="R66" i="3" s="1"/>
  <c r="BR66" i="3"/>
  <c r="Q66" i="3" s="1"/>
  <c r="BQ66" i="3"/>
  <c r="P66" i="3" s="1"/>
  <c r="BP66" i="3"/>
  <c r="O66" i="3" s="1"/>
  <c r="BO66" i="3"/>
  <c r="N66" i="3" s="1"/>
  <c r="BN66" i="3"/>
  <c r="BM66" i="3"/>
  <c r="L66" i="3" s="1"/>
  <c r="BL66" i="3"/>
  <c r="K66" i="3" s="1"/>
  <c r="BK66" i="3"/>
  <c r="J66" i="3" s="1"/>
  <c r="BJ66" i="3"/>
  <c r="I66" i="3" s="1"/>
  <c r="BI66" i="3"/>
  <c r="H66" i="3" s="1"/>
  <c r="BH66" i="3"/>
  <c r="G66" i="3" s="1"/>
  <c r="BG66" i="3"/>
  <c r="F66" i="3" s="1"/>
  <c r="DB65" i="3"/>
  <c r="BA65" i="3" s="1"/>
  <c r="DA65" i="3"/>
  <c r="AZ65" i="3" s="1"/>
  <c r="CZ65" i="3"/>
  <c r="AY65" i="3" s="1"/>
  <c r="CY65" i="3"/>
  <c r="AX65" i="3" s="1"/>
  <c r="CX65" i="3"/>
  <c r="AW65" i="3" s="1"/>
  <c r="CW65" i="3"/>
  <c r="AV65" i="3" s="1"/>
  <c r="CV65" i="3"/>
  <c r="AU65" i="3" s="1"/>
  <c r="CU65" i="3"/>
  <c r="AT65" i="3" s="1"/>
  <c r="CT65" i="3"/>
  <c r="AS65" i="3" s="1"/>
  <c r="CS65" i="3"/>
  <c r="AR65" i="3" s="1"/>
  <c r="CR65" i="3"/>
  <c r="AQ65" i="3" s="1"/>
  <c r="CQ65" i="3"/>
  <c r="CP65" i="3"/>
  <c r="AO65" i="3" s="1"/>
  <c r="CO65" i="3"/>
  <c r="AN65" i="3" s="1"/>
  <c r="CN65" i="3"/>
  <c r="CM65" i="3"/>
  <c r="AL65" i="3" s="1"/>
  <c r="CL65" i="3"/>
  <c r="AK65" i="3" s="1"/>
  <c r="CK65" i="3"/>
  <c r="AJ65" i="3" s="1"/>
  <c r="CJ65" i="3"/>
  <c r="AI65" i="3" s="1"/>
  <c r="CI65" i="3"/>
  <c r="AH65" i="3" s="1"/>
  <c r="CH65" i="3"/>
  <c r="AG65" i="3" s="1"/>
  <c r="CG65" i="3"/>
  <c r="AF65" i="3" s="1"/>
  <c r="CF65" i="3"/>
  <c r="AE65" i="3" s="1"/>
  <c r="CE65" i="3"/>
  <c r="AD65" i="3" s="1"/>
  <c r="CD65" i="3"/>
  <c r="AC65" i="3" s="1"/>
  <c r="CC65" i="3"/>
  <c r="AB65" i="3" s="1"/>
  <c r="CB65" i="3"/>
  <c r="CA65" i="3"/>
  <c r="Z65" i="3" s="1"/>
  <c r="BZ65" i="3"/>
  <c r="Y65" i="3" s="1"/>
  <c r="BY65" i="3"/>
  <c r="X65" i="3" s="1"/>
  <c r="BX65" i="3"/>
  <c r="W65" i="3" s="1"/>
  <c r="BW65" i="3"/>
  <c r="V65" i="3" s="1"/>
  <c r="BV65" i="3"/>
  <c r="U65" i="3" s="1"/>
  <c r="BU65" i="3"/>
  <c r="T65" i="3" s="1"/>
  <c r="BT65" i="3"/>
  <c r="S65" i="3" s="1"/>
  <c r="BS65" i="3"/>
  <c r="R65" i="3" s="1"/>
  <c r="BR65" i="3"/>
  <c r="Q65" i="3" s="1"/>
  <c r="BQ65" i="3"/>
  <c r="P65" i="3" s="1"/>
  <c r="BP65" i="3"/>
  <c r="O65" i="3" s="1"/>
  <c r="BO65" i="3"/>
  <c r="BN65" i="3"/>
  <c r="M65" i="3" s="1"/>
  <c r="BM65" i="3"/>
  <c r="L65" i="3" s="1"/>
  <c r="BL65" i="3"/>
  <c r="K65" i="3" s="1"/>
  <c r="BK65" i="3"/>
  <c r="J65" i="3" s="1"/>
  <c r="BJ65" i="3"/>
  <c r="I65" i="3" s="1"/>
  <c r="BI65" i="3"/>
  <c r="H65" i="3" s="1"/>
  <c r="BH65" i="3"/>
  <c r="G65" i="3" s="1"/>
  <c r="BG65" i="3"/>
  <c r="F65" i="3" s="1"/>
  <c r="DB64" i="3"/>
  <c r="BA64" i="3" s="1"/>
  <c r="DA64" i="3"/>
  <c r="AZ64" i="3" s="1"/>
  <c r="CZ64" i="3"/>
  <c r="AY64" i="3" s="1"/>
  <c r="CY64" i="3"/>
  <c r="AX64" i="3" s="1"/>
  <c r="CX64" i="3"/>
  <c r="AW64" i="3" s="1"/>
  <c r="CW64" i="3"/>
  <c r="AV64" i="3" s="1"/>
  <c r="CV64" i="3"/>
  <c r="AU64" i="3" s="1"/>
  <c r="CU64" i="3"/>
  <c r="AT64" i="3" s="1"/>
  <c r="CT64" i="3"/>
  <c r="AS64" i="3" s="1"/>
  <c r="CS64" i="3"/>
  <c r="AR64" i="3" s="1"/>
  <c r="CR64" i="3"/>
  <c r="AQ64" i="3" s="1"/>
  <c r="CQ64" i="3"/>
  <c r="AP64" i="3" s="1"/>
  <c r="CP64" i="3"/>
  <c r="AO64" i="3" s="1"/>
  <c r="CO64" i="3"/>
  <c r="CN64" i="3"/>
  <c r="AM64" i="3" s="1"/>
  <c r="CM64" i="3"/>
  <c r="AL64" i="3" s="1"/>
  <c r="CL64" i="3"/>
  <c r="AK64" i="3" s="1"/>
  <c r="CK64" i="3"/>
  <c r="AJ64" i="3" s="1"/>
  <c r="CJ64" i="3"/>
  <c r="AI64" i="3" s="1"/>
  <c r="CI64" i="3"/>
  <c r="AH64" i="3" s="1"/>
  <c r="CH64" i="3"/>
  <c r="AG64" i="3" s="1"/>
  <c r="CG64" i="3"/>
  <c r="AF64" i="3" s="1"/>
  <c r="CF64" i="3"/>
  <c r="AE64" i="3" s="1"/>
  <c r="CE64" i="3"/>
  <c r="CD64" i="3"/>
  <c r="AC64" i="3" s="1"/>
  <c r="CC64" i="3"/>
  <c r="AB64" i="3" s="1"/>
  <c r="CB64" i="3"/>
  <c r="AA64" i="3" s="1"/>
  <c r="CA64" i="3"/>
  <c r="BZ64" i="3"/>
  <c r="BY64" i="3"/>
  <c r="X64" i="3" s="1"/>
  <c r="BX64" i="3"/>
  <c r="W64" i="3" s="1"/>
  <c r="BW64" i="3"/>
  <c r="V64" i="3" s="1"/>
  <c r="BV64" i="3"/>
  <c r="U64" i="3" s="1"/>
  <c r="BU64" i="3"/>
  <c r="T64" i="3" s="1"/>
  <c r="BT64" i="3"/>
  <c r="S64" i="3" s="1"/>
  <c r="BS64" i="3"/>
  <c r="R64" i="3" s="1"/>
  <c r="BR64" i="3"/>
  <c r="BQ64" i="3"/>
  <c r="P64" i="3" s="1"/>
  <c r="BP64" i="3"/>
  <c r="O64" i="3" s="1"/>
  <c r="BO64" i="3"/>
  <c r="N64" i="3" s="1"/>
  <c r="BN64" i="3"/>
  <c r="M64" i="3" s="1"/>
  <c r="BM64" i="3"/>
  <c r="L64" i="3" s="1"/>
  <c r="BL64" i="3"/>
  <c r="K64" i="3" s="1"/>
  <c r="BK64" i="3"/>
  <c r="J64" i="3" s="1"/>
  <c r="BJ64" i="3"/>
  <c r="I64" i="3" s="1"/>
  <c r="BI64" i="3"/>
  <c r="H64" i="3" s="1"/>
  <c r="BH64" i="3"/>
  <c r="G64" i="3" s="1"/>
  <c r="BG64" i="3"/>
  <c r="DB63" i="3"/>
  <c r="BA63" i="3" s="1"/>
  <c r="DA63" i="3"/>
  <c r="AZ63" i="3" s="1"/>
  <c r="CZ63" i="3"/>
  <c r="AY63" i="3" s="1"/>
  <c r="CY63" i="3"/>
  <c r="CX63" i="3"/>
  <c r="AW63" i="3" s="1"/>
  <c r="CW63" i="3"/>
  <c r="AV63" i="3" s="1"/>
  <c r="CV63" i="3"/>
  <c r="AU63" i="3" s="1"/>
  <c r="CU63" i="3"/>
  <c r="AT63" i="3" s="1"/>
  <c r="CT63" i="3"/>
  <c r="AS63" i="3" s="1"/>
  <c r="CS63" i="3"/>
  <c r="CR63" i="3"/>
  <c r="AQ63" i="3" s="1"/>
  <c r="CQ63" i="3"/>
  <c r="AP63" i="3" s="1"/>
  <c r="CP63" i="3"/>
  <c r="AO63" i="3" s="1"/>
  <c r="CO63" i="3"/>
  <c r="AN63" i="3" s="1"/>
  <c r="CN63" i="3"/>
  <c r="AM63" i="3" s="1"/>
  <c r="CM63" i="3"/>
  <c r="AL63" i="3" s="1"/>
  <c r="CL63" i="3"/>
  <c r="AK63" i="3" s="1"/>
  <c r="CK63" i="3"/>
  <c r="AJ63" i="3" s="1"/>
  <c r="CJ63" i="3"/>
  <c r="AI63" i="3" s="1"/>
  <c r="CI63" i="3"/>
  <c r="AH63" i="3" s="1"/>
  <c r="CH63" i="3"/>
  <c r="AG63" i="3" s="1"/>
  <c r="CG63" i="3"/>
  <c r="AF63" i="3" s="1"/>
  <c r="CF63" i="3"/>
  <c r="AE63" i="3" s="1"/>
  <c r="CE63" i="3"/>
  <c r="AD63" i="3" s="1"/>
  <c r="CD63" i="3"/>
  <c r="AC63" i="3" s="1"/>
  <c r="CC63" i="3"/>
  <c r="AB63" i="3" s="1"/>
  <c r="CB63" i="3"/>
  <c r="AA63" i="3" s="1"/>
  <c r="CA63" i="3"/>
  <c r="BZ63" i="3"/>
  <c r="BY63" i="3"/>
  <c r="X63" i="3" s="1"/>
  <c r="BX63" i="3"/>
  <c r="W63" i="3" s="1"/>
  <c r="BW63" i="3"/>
  <c r="V63" i="3" s="1"/>
  <c r="BV63" i="3"/>
  <c r="U63" i="3" s="1"/>
  <c r="BU63" i="3"/>
  <c r="T63" i="3" s="1"/>
  <c r="BT63" i="3"/>
  <c r="S63" i="3" s="1"/>
  <c r="BS63" i="3"/>
  <c r="R63" i="3" s="1"/>
  <c r="BR63" i="3"/>
  <c r="BQ63" i="3"/>
  <c r="P63" i="3" s="1"/>
  <c r="BP63" i="3"/>
  <c r="BO63" i="3"/>
  <c r="BN63" i="3"/>
  <c r="M63" i="3" s="1"/>
  <c r="BM63" i="3"/>
  <c r="L63" i="3" s="1"/>
  <c r="BL63" i="3"/>
  <c r="K63" i="3" s="1"/>
  <c r="BK63" i="3"/>
  <c r="J63" i="3" s="1"/>
  <c r="BJ63" i="3"/>
  <c r="I63" i="3" s="1"/>
  <c r="BI63" i="3"/>
  <c r="H63" i="3" s="1"/>
  <c r="BH63" i="3"/>
  <c r="G63" i="3" s="1"/>
  <c r="BG63" i="3"/>
  <c r="F63" i="3" s="1"/>
  <c r="DB62" i="3"/>
  <c r="BA62" i="3" s="1"/>
  <c r="DA62" i="3"/>
  <c r="AZ62" i="3" s="1"/>
  <c r="CZ62" i="3"/>
  <c r="CY62" i="3"/>
  <c r="AX62" i="3" s="1"/>
  <c r="CX62" i="3"/>
  <c r="AW62" i="3" s="1"/>
  <c r="CW62" i="3"/>
  <c r="CV62" i="3"/>
  <c r="AU62" i="3" s="1"/>
  <c r="CU62" i="3"/>
  <c r="AT62" i="3" s="1"/>
  <c r="CT62" i="3"/>
  <c r="AS62" i="3" s="1"/>
  <c r="CS62" i="3"/>
  <c r="CR62" i="3"/>
  <c r="AQ62" i="3" s="1"/>
  <c r="CQ62" i="3"/>
  <c r="AP62" i="3" s="1"/>
  <c r="CP62" i="3"/>
  <c r="AO62" i="3" s="1"/>
  <c r="CO62" i="3"/>
  <c r="AN62" i="3" s="1"/>
  <c r="CN62" i="3"/>
  <c r="CM62" i="3"/>
  <c r="AL62" i="3" s="1"/>
  <c r="CL62" i="3"/>
  <c r="AK62" i="3" s="1"/>
  <c r="CK62" i="3"/>
  <c r="AJ62" i="3" s="1"/>
  <c r="CJ62" i="3"/>
  <c r="AI62" i="3" s="1"/>
  <c r="CI62" i="3"/>
  <c r="AH62" i="3" s="1"/>
  <c r="CH62" i="3"/>
  <c r="AG62" i="3" s="1"/>
  <c r="CG62" i="3"/>
  <c r="AF62" i="3" s="1"/>
  <c r="CF62" i="3"/>
  <c r="AE62" i="3" s="1"/>
  <c r="CE62" i="3"/>
  <c r="AD62" i="3" s="1"/>
  <c r="CD62" i="3"/>
  <c r="AC62" i="3" s="1"/>
  <c r="CC62" i="3"/>
  <c r="AB62" i="3" s="1"/>
  <c r="CB62" i="3"/>
  <c r="AA62" i="3" s="1"/>
  <c r="CA62" i="3"/>
  <c r="BZ62" i="3"/>
  <c r="Y62" i="3" s="1"/>
  <c r="BY62" i="3"/>
  <c r="X62" i="3" s="1"/>
  <c r="BX62" i="3"/>
  <c r="W62" i="3" s="1"/>
  <c r="BW62" i="3"/>
  <c r="V62" i="3" s="1"/>
  <c r="BV62" i="3"/>
  <c r="U62" i="3" s="1"/>
  <c r="BU62" i="3"/>
  <c r="T62" i="3" s="1"/>
  <c r="BT62" i="3"/>
  <c r="S62" i="3" s="1"/>
  <c r="BS62" i="3"/>
  <c r="BR62" i="3"/>
  <c r="Q62" i="3" s="1"/>
  <c r="BQ62" i="3"/>
  <c r="P62" i="3" s="1"/>
  <c r="BP62" i="3"/>
  <c r="O62" i="3" s="1"/>
  <c r="BO62" i="3"/>
  <c r="N62" i="3" s="1"/>
  <c r="BN62" i="3"/>
  <c r="M62" i="3" s="1"/>
  <c r="BM62" i="3"/>
  <c r="L62" i="3" s="1"/>
  <c r="BL62" i="3"/>
  <c r="K62" i="3" s="1"/>
  <c r="BK62" i="3"/>
  <c r="BJ62" i="3"/>
  <c r="I62" i="3" s="1"/>
  <c r="BI62" i="3"/>
  <c r="H62" i="3" s="1"/>
  <c r="BH62" i="3"/>
  <c r="G62" i="3" s="1"/>
  <c r="BG62" i="3"/>
  <c r="DB61" i="3"/>
  <c r="BA61" i="3" s="1"/>
  <c r="DA61" i="3"/>
  <c r="AZ61" i="3" s="1"/>
  <c r="CZ61" i="3"/>
  <c r="AY61" i="3" s="1"/>
  <c r="CY61" i="3"/>
  <c r="CX61" i="3"/>
  <c r="AW61" i="3" s="1"/>
  <c r="CW61" i="3"/>
  <c r="AV61" i="3" s="1"/>
  <c r="CV61" i="3"/>
  <c r="AU61" i="3" s="1"/>
  <c r="CU61" i="3"/>
  <c r="AT61" i="3" s="1"/>
  <c r="CT61" i="3"/>
  <c r="AS61" i="3" s="1"/>
  <c r="CS61" i="3"/>
  <c r="CR61" i="3"/>
  <c r="AQ61" i="3" s="1"/>
  <c r="CQ61" i="3"/>
  <c r="CP61" i="3"/>
  <c r="AO61" i="3" s="1"/>
  <c r="CO61" i="3"/>
  <c r="AN61" i="3" s="1"/>
  <c r="CN61" i="3"/>
  <c r="AM61" i="3" s="1"/>
  <c r="CM61" i="3"/>
  <c r="AL61" i="3" s="1"/>
  <c r="CL61" i="3"/>
  <c r="AK61" i="3" s="1"/>
  <c r="CK61" i="3"/>
  <c r="AJ61" i="3" s="1"/>
  <c r="CJ61" i="3"/>
  <c r="AI61" i="3" s="1"/>
  <c r="CI61" i="3"/>
  <c r="AH61" i="3" s="1"/>
  <c r="CH61" i="3"/>
  <c r="AG61" i="3" s="1"/>
  <c r="CG61" i="3"/>
  <c r="AF61" i="3" s="1"/>
  <c r="CF61" i="3"/>
  <c r="AE61" i="3" s="1"/>
  <c r="CE61" i="3"/>
  <c r="AD61" i="3" s="1"/>
  <c r="CD61" i="3"/>
  <c r="AC61" i="3" s="1"/>
  <c r="CC61" i="3"/>
  <c r="AB61" i="3" s="1"/>
  <c r="CB61" i="3"/>
  <c r="AA61" i="3" s="1"/>
  <c r="CA61" i="3"/>
  <c r="Z61" i="3" s="1"/>
  <c r="BZ61" i="3"/>
  <c r="Y61" i="3" s="1"/>
  <c r="BY61" i="3"/>
  <c r="X61" i="3" s="1"/>
  <c r="BX61" i="3"/>
  <c r="W61" i="3" s="1"/>
  <c r="BW61" i="3"/>
  <c r="BV61" i="3"/>
  <c r="U61" i="3" s="1"/>
  <c r="BU61" i="3"/>
  <c r="T61" i="3" s="1"/>
  <c r="BT61" i="3"/>
  <c r="S61" i="3" s="1"/>
  <c r="BS61" i="3"/>
  <c r="R61" i="3" s="1"/>
  <c r="BR61" i="3"/>
  <c r="Q61" i="3" s="1"/>
  <c r="BQ61" i="3"/>
  <c r="P61" i="3" s="1"/>
  <c r="BP61" i="3"/>
  <c r="BO61" i="3"/>
  <c r="N61" i="3" s="1"/>
  <c r="BN61" i="3"/>
  <c r="M61" i="3" s="1"/>
  <c r="BM61" i="3"/>
  <c r="L61" i="3" s="1"/>
  <c r="BL61" i="3"/>
  <c r="K61" i="3" s="1"/>
  <c r="BK61" i="3"/>
  <c r="J61" i="3" s="1"/>
  <c r="BJ61" i="3"/>
  <c r="I61" i="3" s="1"/>
  <c r="BI61" i="3"/>
  <c r="H61" i="3" s="1"/>
  <c r="BH61" i="3"/>
  <c r="G61" i="3" s="1"/>
  <c r="BG61" i="3"/>
  <c r="F61" i="3" s="1"/>
  <c r="DB60" i="3"/>
  <c r="BA60" i="3" s="1"/>
  <c r="DA60" i="3"/>
  <c r="AZ60" i="3" s="1"/>
  <c r="CZ60" i="3"/>
  <c r="CY60" i="3"/>
  <c r="AX60" i="3" s="1"/>
  <c r="CX60" i="3"/>
  <c r="CW60" i="3"/>
  <c r="AV60" i="3" s="1"/>
  <c r="CV60" i="3"/>
  <c r="AU60" i="3" s="1"/>
  <c r="CU60" i="3"/>
  <c r="AT60" i="3" s="1"/>
  <c r="CT60" i="3"/>
  <c r="AS60" i="3" s="1"/>
  <c r="CS60" i="3"/>
  <c r="AR60" i="3" s="1"/>
  <c r="CR60" i="3"/>
  <c r="AQ60" i="3" s="1"/>
  <c r="CQ60" i="3"/>
  <c r="AP60" i="3" s="1"/>
  <c r="CP60" i="3"/>
  <c r="AO60" i="3" s="1"/>
  <c r="CO60" i="3"/>
  <c r="AN60" i="3" s="1"/>
  <c r="CN60" i="3"/>
  <c r="CM60" i="3"/>
  <c r="AL60" i="3" s="1"/>
  <c r="CL60" i="3"/>
  <c r="AK60" i="3" s="1"/>
  <c r="CK60" i="3"/>
  <c r="AJ60" i="3" s="1"/>
  <c r="CJ60" i="3"/>
  <c r="AI60" i="3" s="1"/>
  <c r="CI60" i="3"/>
  <c r="AH60" i="3" s="1"/>
  <c r="CH60" i="3"/>
  <c r="AG60" i="3" s="1"/>
  <c r="CG60" i="3"/>
  <c r="CF60" i="3"/>
  <c r="AE60" i="3" s="1"/>
  <c r="CE60" i="3"/>
  <c r="AD60" i="3" s="1"/>
  <c r="CD60" i="3"/>
  <c r="AC60" i="3" s="1"/>
  <c r="CC60" i="3"/>
  <c r="AB60" i="3" s="1"/>
  <c r="CB60" i="3"/>
  <c r="CA60" i="3"/>
  <c r="Z60" i="3" s="1"/>
  <c r="BZ60" i="3"/>
  <c r="BY60" i="3"/>
  <c r="X60" i="3" s="1"/>
  <c r="BX60" i="3"/>
  <c r="W60" i="3" s="1"/>
  <c r="BW60" i="3"/>
  <c r="V60" i="3" s="1"/>
  <c r="BV60" i="3"/>
  <c r="BU60" i="3"/>
  <c r="BT60" i="3"/>
  <c r="S60" i="3" s="1"/>
  <c r="BS60" i="3"/>
  <c r="R60" i="3" s="1"/>
  <c r="BR60" i="3"/>
  <c r="Q60" i="3" s="1"/>
  <c r="BQ60" i="3"/>
  <c r="P60" i="3" s="1"/>
  <c r="BP60" i="3"/>
  <c r="BO60" i="3"/>
  <c r="N60" i="3" s="1"/>
  <c r="BN60" i="3"/>
  <c r="M60" i="3" s="1"/>
  <c r="BM60" i="3"/>
  <c r="L60" i="3" s="1"/>
  <c r="BL60" i="3"/>
  <c r="K60" i="3" s="1"/>
  <c r="BK60" i="3"/>
  <c r="J60" i="3" s="1"/>
  <c r="BJ60" i="3"/>
  <c r="I60" i="3" s="1"/>
  <c r="BI60" i="3"/>
  <c r="BH60" i="3"/>
  <c r="G60" i="3" s="1"/>
  <c r="BG60" i="3"/>
  <c r="F60" i="3" s="1"/>
  <c r="DB59" i="3"/>
  <c r="BA59" i="3" s="1"/>
  <c r="DA59" i="3"/>
  <c r="AZ59" i="3" s="1"/>
  <c r="CZ59" i="3"/>
  <c r="AY59" i="3" s="1"/>
  <c r="CY59" i="3"/>
  <c r="AX59" i="3" s="1"/>
  <c r="CX59" i="3"/>
  <c r="AW59" i="3" s="1"/>
  <c r="CW59" i="3"/>
  <c r="AV59" i="3" s="1"/>
  <c r="CV59" i="3"/>
  <c r="AU59" i="3" s="1"/>
  <c r="CU59" i="3"/>
  <c r="AT59" i="3" s="1"/>
  <c r="CT59" i="3"/>
  <c r="AS59" i="3" s="1"/>
  <c r="CS59" i="3"/>
  <c r="CR59" i="3"/>
  <c r="AQ59" i="3" s="1"/>
  <c r="CQ59" i="3"/>
  <c r="CP59" i="3"/>
  <c r="AO59" i="3" s="1"/>
  <c r="CO59" i="3"/>
  <c r="AN59" i="3" s="1"/>
  <c r="CN59" i="3"/>
  <c r="AM59" i="3" s="1"/>
  <c r="CM59" i="3"/>
  <c r="AL59" i="3" s="1"/>
  <c r="CL59" i="3"/>
  <c r="AK59" i="3" s="1"/>
  <c r="CK59" i="3"/>
  <c r="AJ59" i="3" s="1"/>
  <c r="CJ59" i="3"/>
  <c r="AI59" i="3" s="1"/>
  <c r="CI59" i="3"/>
  <c r="CH59" i="3"/>
  <c r="AG59" i="3" s="1"/>
  <c r="CG59" i="3"/>
  <c r="AF59" i="3" s="1"/>
  <c r="CF59" i="3"/>
  <c r="AE59" i="3" s="1"/>
  <c r="CE59" i="3"/>
  <c r="CD59" i="3"/>
  <c r="AC59" i="3" s="1"/>
  <c r="CC59" i="3"/>
  <c r="AB59" i="3" s="1"/>
  <c r="CB59" i="3"/>
  <c r="AA59" i="3" s="1"/>
  <c r="CA59" i="3"/>
  <c r="Z59" i="3" s="1"/>
  <c r="BZ59" i="3"/>
  <c r="Y59" i="3" s="1"/>
  <c r="BY59" i="3"/>
  <c r="X59" i="3" s="1"/>
  <c r="BX59" i="3"/>
  <c r="W59" i="3" s="1"/>
  <c r="BW59" i="3"/>
  <c r="V59" i="3" s="1"/>
  <c r="BV59" i="3"/>
  <c r="U59" i="3" s="1"/>
  <c r="BU59" i="3"/>
  <c r="T59" i="3" s="1"/>
  <c r="BT59" i="3"/>
  <c r="S59" i="3" s="1"/>
  <c r="BS59" i="3"/>
  <c r="R59" i="3" s="1"/>
  <c r="BR59" i="3"/>
  <c r="Q59" i="3" s="1"/>
  <c r="BQ59" i="3"/>
  <c r="P59" i="3" s="1"/>
  <c r="BP59" i="3"/>
  <c r="BO59" i="3"/>
  <c r="N59" i="3" s="1"/>
  <c r="BN59" i="3"/>
  <c r="M59" i="3" s="1"/>
  <c r="BM59" i="3"/>
  <c r="L59" i="3" s="1"/>
  <c r="BL59" i="3"/>
  <c r="K59" i="3" s="1"/>
  <c r="BK59" i="3"/>
  <c r="J59" i="3" s="1"/>
  <c r="BJ59" i="3"/>
  <c r="I59" i="3" s="1"/>
  <c r="BI59" i="3"/>
  <c r="BH59" i="3"/>
  <c r="G59" i="3" s="1"/>
  <c r="BG59" i="3"/>
  <c r="F59" i="3" s="1"/>
  <c r="DB58" i="3"/>
  <c r="BA58" i="3" s="1"/>
  <c r="DA58" i="3"/>
  <c r="AZ58" i="3" s="1"/>
  <c r="CZ58" i="3"/>
  <c r="CY58" i="3"/>
  <c r="AX58" i="3" s="1"/>
  <c r="CX58" i="3"/>
  <c r="AW58" i="3" s="1"/>
  <c r="CW58" i="3"/>
  <c r="CV58" i="3"/>
  <c r="AU58" i="3" s="1"/>
  <c r="CU58" i="3"/>
  <c r="AT58" i="3" s="1"/>
  <c r="CT58" i="3"/>
  <c r="AS58" i="3" s="1"/>
  <c r="CS58" i="3"/>
  <c r="CR58" i="3"/>
  <c r="AQ58" i="3" s="1"/>
  <c r="CQ58" i="3"/>
  <c r="AP58" i="3" s="1"/>
  <c r="CP58" i="3"/>
  <c r="AO58" i="3" s="1"/>
  <c r="CO58" i="3"/>
  <c r="CN58" i="3"/>
  <c r="AM58" i="3" s="1"/>
  <c r="CM58" i="3"/>
  <c r="CL58" i="3"/>
  <c r="CK58" i="3"/>
  <c r="AJ58" i="3" s="1"/>
  <c r="CJ58" i="3"/>
  <c r="AI58" i="3" s="1"/>
  <c r="CI58" i="3"/>
  <c r="AH58" i="3" s="1"/>
  <c r="CH58" i="3"/>
  <c r="AG58" i="3" s="1"/>
  <c r="CG58" i="3"/>
  <c r="AF58" i="3" s="1"/>
  <c r="CF58" i="3"/>
  <c r="CE58" i="3"/>
  <c r="AD58" i="3" s="1"/>
  <c r="CD58" i="3"/>
  <c r="AC58" i="3" s="1"/>
  <c r="CC58" i="3"/>
  <c r="AB58" i="3" s="1"/>
  <c r="CB58" i="3"/>
  <c r="AA58" i="3" s="1"/>
  <c r="CA58" i="3"/>
  <c r="Z58" i="3" s="1"/>
  <c r="BZ58" i="3"/>
  <c r="Y58" i="3" s="1"/>
  <c r="BY58" i="3"/>
  <c r="X58" i="3" s="1"/>
  <c r="BX58" i="3"/>
  <c r="W58" i="3" s="1"/>
  <c r="BW58" i="3"/>
  <c r="V58" i="3" s="1"/>
  <c r="BV58" i="3"/>
  <c r="U58" i="3" s="1"/>
  <c r="BU58" i="3"/>
  <c r="T58" i="3" s="1"/>
  <c r="BT58" i="3"/>
  <c r="S58" i="3" s="1"/>
  <c r="BS58" i="3"/>
  <c r="R58" i="3" s="1"/>
  <c r="BR58" i="3"/>
  <c r="Q58" i="3" s="1"/>
  <c r="BQ58" i="3"/>
  <c r="P58" i="3" s="1"/>
  <c r="BP58" i="3"/>
  <c r="O58" i="3" s="1"/>
  <c r="BO58" i="3"/>
  <c r="N58" i="3" s="1"/>
  <c r="BN58" i="3"/>
  <c r="M58" i="3" s="1"/>
  <c r="BM58" i="3"/>
  <c r="L58" i="3" s="1"/>
  <c r="BL58" i="3"/>
  <c r="BK58" i="3"/>
  <c r="BJ58" i="3"/>
  <c r="BI58" i="3"/>
  <c r="H58" i="3" s="1"/>
  <c r="BH58" i="3"/>
  <c r="G58" i="3" s="1"/>
  <c r="BG58" i="3"/>
  <c r="F58" i="3" s="1"/>
  <c r="DB57" i="3"/>
  <c r="BA57" i="3" s="1"/>
  <c r="DA57" i="3"/>
  <c r="AZ57" i="3" s="1"/>
  <c r="CZ57" i="3"/>
  <c r="AY57" i="3" s="1"/>
  <c r="CY57" i="3"/>
  <c r="CX57" i="3"/>
  <c r="AW57" i="3" s="1"/>
  <c r="CW57" i="3"/>
  <c r="CV57" i="3"/>
  <c r="AU57" i="3" s="1"/>
  <c r="CU57" i="3"/>
  <c r="AT57" i="3" s="1"/>
  <c r="CT57" i="3"/>
  <c r="AS57" i="3" s="1"/>
  <c r="CS57" i="3"/>
  <c r="AR57" i="3" s="1"/>
  <c r="CR57" i="3"/>
  <c r="AQ57" i="3" s="1"/>
  <c r="CQ57" i="3"/>
  <c r="AP57" i="3" s="1"/>
  <c r="CP57" i="3"/>
  <c r="AO57" i="3" s="1"/>
  <c r="CO57" i="3"/>
  <c r="AN57" i="3" s="1"/>
  <c r="CN57" i="3"/>
  <c r="AM57" i="3" s="1"/>
  <c r="CM57" i="3"/>
  <c r="AL57" i="3" s="1"/>
  <c r="CL57" i="3"/>
  <c r="CK57" i="3"/>
  <c r="AJ57" i="3" s="1"/>
  <c r="CJ57" i="3"/>
  <c r="AI57" i="3" s="1"/>
  <c r="CI57" i="3"/>
  <c r="AH57" i="3" s="1"/>
  <c r="CH57" i="3"/>
  <c r="AG57" i="3" s="1"/>
  <c r="CG57" i="3"/>
  <c r="AF57" i="3" s="1"/>
  <c r="CF57" i="3"/>
  <c r="AE57" i="3" s="1"/>
  <c r="CE57" i="3"/>
  <c r="AD57" i="3" s="1"/>
  <c r="CD57" i="3"/>
  <c r="AC57" i="3" s="1"/>
  <c r="CC57" i="3"/>
  <c r="AB57" i="3" s="1"/>
  <c r="CB57" i="3"/>
  <c r="CA57" i="3"/>
  <c r="Z57" i="3" s="1"/>
  <c r="BZ57" i="3"/>
  <c r="Y57" i="3" s="1"/>
  <c r="BY57" i="3"/>
  <c r="X57" i="3" s="1"/>
  <c r="BX57" i="3"/>
  <c r="W57" i="3" s="1"/>
  <c r="BW57" i="3"/>
  <c r="BV57" i="3"/>
  <c r="U57" i="3" s="1"/>
  <c r="BU57" i="3"/>
  <c r="T57" i="3" s="1"/>
  <c r="BT57" i="3"/>
  <c r="S57" i="3" s="1"/>
  <c r="BS57" i="3"/>
  <c r="R57" i="3" s="1"/>
  <c r="BR57" i="3"/>
  <c r="Q57" i="3" s="1"/>
  <c r="BQ57" i="3"/>
  <c r="P57" i="3" s="1"/>
  <c r="BP57" i="3"/>
  <c r="BO57" i="3"/>
  <c r="N57" i="3" s="1"/>
  <c r="BN57" i="3"/>
  <c r="M57" i="3" s="1"/>
  <c r="BM57" i="3"/>
  <c r="L57" i="3" s="1"/>
  <c r="BL57" i="3"/>
  <c r="K57" i="3" s="1"/>
  <c r="BK57" i="3"/>
  <c r="J57" i="3" s="1"/>
  <c r="BJ57" i="3"/>
  <c r="I57" i="3" s="1"/>
  <c r="BI57" i="3"/>
  <c r="H57" i="3" s="1"/>
  <c r="BH57" i="3"/>
  <c r="G57" i="3" s="1"/>
  <c r="BG57" i="3"/>
  <c r="F57" i="3" s="1"/>
  <c r="DB56" i="3"/>
  <c r="BA56" i="3" s="1"/>
  <c r="DA56" i="3"/>
  <c r="AZ56" i="3" s="1"/>
  <c r="CZ56" i="3"/>
  <c r="AY56" i="3" s="1"/>
  <c r="CY56" i="3"/>
  <c r="AX56" i="3" s="1"/>
  <c r="CX56" i="3"/>
  <c r="AW56" i="3" s="1"/>
  <c r="CW56" i="3"/>
  <c r="AV56" i="3" s="1"/>
  <c r="CV56" i="3"/>
  <c r="AU56" i="3" s="1"/>
  <c r="CU56" i="3"/>
  <c r="CT56" i="3"/>
  <c r="AS56" i="3" s="1"/>
  <c r="CS56" i="3"/>
  <c r="AR56" i="3" s="1"/>
  <c r="CR56" i="3"/>
  <c r="AQ56" i="3" s="1"/>
  <c r="CQ56" i="3"/>
  <c r="AP56" i="3" s="1"/>
  <c r="CP56" i="3"/>
  <c r="AO56" i="3" s="1"/>
  <c r="CO56" i="3"/>
  <c r="AN56" i="3" s="1"/>
  <c r="CN56" i="3"/>
  <c r="AM56" i="3" s="1"/>
  <c r="CM56" i="3"/>
  <c r="AL56" i="3" s="1"/>
  <c r="CL56" i="3"/>
  <c r="AK56" i="3" s="1"/>
  <c r="CK56" i="3"/>
  <c r="AJ56" i="3" s="1"/>
  <c r="CJ56" i="3"/>
  <c r="AI56" i="3" s="1"/>
  <c r="CI56" i="3"/>
  <c r="AH56" i="3" s="1"/>
  <c r="CH56" i="3"/>
  <c r="AG56" i="3" s="1"/>
  <c r="CG56" i="3"/>
  <c r="AF56" i="3" s="1"/>
  <c r="CF56" i="3"/>
  <c r="AE56" i="3" s="1"/>
  <c r="CE56" i="3"/>
  <c r="AD56" i="3" s="1"/>
  <c r="CD56" i="3"/>
  <c r="AC56" i="3" s="1"/>
  <c r="CC56" i="3"/>
  <c r="AB56" i="3" s="1"/>
  <c r="CB56" i="3"/>
  <c r="AA56" i="3" s="1"/>
  <c r="CA56" i="3"/>
  <c r="Z56" i="3" s="1"/>
  <c r="BZ56" i="3"/>
  <c r="Y56" i="3" s="1"/>
  <c r="BY56" i="3"/>
  <c r="X56" i="3" s="1"/>
  <c r="BX56" i="3"/>
  <c r="W56" i="3" s="1"/>
  <c r="BW56" i="3"/>
  <c r="V56" i="3" s="1"/>
  <c r="BV56" i="3"/>
  <c r="BU56" i="3"/>
  <c r="T56" i="3" s="1"/>
  <c r="BT56" i="3"/>
  <c r="S56" i="3" s="1"/>
  <c r="BS56" i="3"/>
  <c r="R56" i="3" s="1"/>
  <c r="BR56" i="3"/>
  <c r="BQ56" i="3"/>
  <c r="P56" i="3" s="1"/>
  <c r="BP56" i="3"/>
  <c r="BO56" i="3"/>
  <c r="N56" i="3" s="1"/>
  <c r="BN56" i="3"/>
  <c r="M56" i="3" s="1"/>
  <c r="BM56" i="3"/>
  <c r="L56" i="3" s="1"/>
  <c r="BL56" i="3"/>
  <c r="K56" i="3" s="1"/>
  <c r="BK56" i="3"/>
  <c r="J56" i="3" s="1"/>
  <c r="BJ56" i="3"/>
  <c r="I56" i="3" s="1"/>
  <c r="BI56" i="3"/>
  <c r="H56" i="3" s="1"/>
  <c r="BH56" i="3"/>
  <c r="G56" i="3" s="1"/>
  <c r="BG56" i="3"/>
  <c r="F56" i="3" s="1"/>
  <c r="DB55" i="3"/>
  <c r="BA55" i="3" s="1"/>
  <c r="DA55" i="3"/>
  <c r="AZ55" i="3" s="1"/>
  <c r="CZ55" i="3"/>
  <c r="AY55" i="3" s="1"/>
  <c r="CY55" i="3"/>
  <c r="AX55" i="3" s="1"/>
  <c r="CX55" i="3"/>
  <c r="AW55" i="3" s="1"/>
  <c r="CW55" i="3"/>
  <c r="AV55" i="3" s="1"/>
  <c r="CV55" i="3"/>
  <c r="AU55" i="3" s="1"/>
  <c r="CU55" i="3"/>
  <c r="AT55" i="3" s="1"/>
  <c r="CT55" i="3"/>
  <c r="AS55" i="3" s="1"/>
  <c r="CS55" i="3"/>
  <c r="AR55" i="3" s="1"/>
  <c r="CR55" i="3"/>
  <c r="AQ55" i="3" s="1"/>
  <c r="CQ55" i="3"/>
  <c r="AP55" i="3" s="1"/>
  <c r="CP55" i="3"/>
  <c r="AO55" i="3" s="1"/>
  <c r="CO55" i="3"/>
  <c r="AN55" i="3" s="1"/>
  <c r="CN55" i="3"/>
  <c r="AM55" i="3" s="1"/>
  <c r="CM55" i="3"/>
  <c r="CL55" i="3"/>
  <c r="AK55" i="3" s="1"/>
  <c r="CK55" i="3"/>
  <c r="AJ55" i="3" s="1"/>
  <c r="CJ55" i="3"/>
  <c r="AI55" i="3" s="1"/>
  <c r="CI55" i="3"/>
  <c r="AH55" i="3" s="1"/>
  <c r="CH55" i="3"/>
  <c r="AG55" i="3" s="1"/>
  <c r="CG55" i="3"/>
  <c r="AF55" i="3" s="1"/>
  <c r="CF55" i="3"/>
  <c r="CE55" i="3"/>
  <c r="AD55" i="3" s="1"/>
  <c r="CD55" i="3"/>
  <c r="AC55" i="3" s="1"/>
  <c r="CC55" i="3"/>
  <c r="AB55" i="3" s="1"/>
  <c r="CB55" i="3"/>
  <c r="AA55" i="3" s="1"/>
  <c r="CA55" i="3"/>
  <c r="Z55" i="3" s="1"/>
  <c r="BZ55" i="3"/>
  <c r="BY55" i="3"/>
  <c r="X55" i="3" s="1"/>
  <c r="BX55" i="3"/>
  <c r="W55" i="3" s="1"/>
  <c r="BW55" i="3"/>
  <c r="V55" i="3" s="1"/>
  <c r="BV55" i="3"/>
  <c r="U55" i="3" s="1"/>
  <c r="BU55" i="3"/>
  <c r="T55" i="3" s="1"/>
  <c r="BT55" i="3"/>
  <c r="S55" i="3" s="1"/>
  <c r="BS55" i="3"/>
  <c r="R55" i="3" s="1"/>
  <c r="BR55" i="3"/>
  <c r="Q55" i="3" s="1"/>
  <c r="BQ55" i="3"/>
  <c r="P55" i="3" s="1"/>
  <c r="BP55" i="3"/>
  <c r="O55" i="3" s="1"/>
  <c r="BO55" i="3"/>
  <c r="N55" i="3" s="1"/>
  <c r="BN55" i="3"/>
  <c r="M55" i="3" s="1"/>
  <c r="BM55" i="3"/>
  <c r="L55" i="3" s="1"/>
  <c r="BL55" i="3"/>
  <c r="K55" i="3" s="1"/>
  <c r="BK55" i="3"/>
  <c r="BJ55" i="3"/>
  <c r="I55" i="3" s="1"/>
  <c r="BI55" i="3"/>
  <c r="H55" i="3" s="1"/>
  <c r="BH55" i="3"/>
  <c r="G55" i="3" s="1"/>
  <c r="BG55" i="3"/>
  <c r="F55" i="3" s="1"/>
  <c r="DB54" i="3"/>
  <c r="BA54" i="3" s="1"/>
  <c r="DA54" i="3"/>
  <c r="AZ54" i="3" s="1"/>
  <c r="CZ54" i="3"/>
  <c r="CY54" i="3"/>
  <c r="AX54" i="3" s="1"/>
  <c r="CX54" i="3"/>
  <c r="AW54" i="3" s="1"/>
  <c r="CW54" i="3"/>
  <c r="AV54" i="3" s="1"/>
  <c r="CV54" i="3"/>
  <c r="AU54" i="3" s="1"/>
  <c r="CU54" i="3"/>
  <c r="AT54" i="3" s="1"/>
  <c r="CT54" i="3"/>
  <c r="AS54" i="3" s="1"/>
  <c r="CS54" i="3"/>
  <c r="AR54" i="3" s="1"/>
  <c r="CR54" i="3"/>
  <c r="AQ54" i="3" s="1"/>
  <c r="CQ54" i="3"/>
  <c r="AP54" i="3" s="1"/>
  <c r="CP54" i="3"/>
  <c r="AO54" i="3" s="1"/>
  <c r="CO54" i="3"/>
  <c r="AN54" i="3" s="1"/>
  <c r="CN54" i="3"/>
  <c r="CM54" i="3"/>
  <c r="AL54" i="3" s="1"/>
  <c r="CL54" i="3"/>
  <c r="AK54" i="3" s="1"/>
  <c r="CK54" i="3"/>
  <c r="AJ54" i="3" s="1"/>
  <c r="CJ54" i="3"/>
  <c r="AI54" i="3" s="1"/>
  <c r="CI54" i="3"/>
  <c r="AH54" i="3" s="1"/>
  <c r="CH54" i="3"/>
  <c r="AG54" i="3" s="1"/>
  <c r="CG54" i="3"/>
  <c r="AF54" i="3" s="1"/>
  <c r="CF54" i="3"/>
  <c r="AE54" i="3" s="1"/>
  <c r="CE54" i="3"/>
  <c r="AD54" i="3" s="1"/>
  <c r="CD54" i="3"/>
  <c r="AC54" i="3" s="1"/>
  <c r="CC54" i="3"/>
  <c r="AB54" i="3" s="1"/>
  <c r="CB54" i="3"/>
  <c r="CA54" i="3"/>
  <c r="Z54" i="3" s="1"/>
  <c r="BZ54" i="3"/>
  <c r="BY54" i="3"/>
  <c r="X54" i="3" s="1"/>
  <c r="BX54" i="3"/>
  <c r="W54" i="3" s="1"/>
  <c r="BW54" i="3"/>
  <c r="V54" i="3" s="1"/>
  <c r="BV54" i="3"/>
  <c r="U54" i="3" s="1"/>
  <c r="BU54" i="3"/>
  <c r="T54" i="3" s="1"/>
  <c r="BT54" i="3"/>
  <c r="S54" i="3" s="1"/>
  <c r="BS54" i="3"/>
  <c r="BR54" i="3"/>
  <c r="Q54" i="3" s="1"/>
  <c r="BQ54" i="3"/>
  <c r="P54" i="3" s="1"/>
  <c r="BP54" i="3"/>
  <c r="O54" i="3" s="1"/>
  <c r="BO54" i="3"/>
  <c r="N54" i="3" s="1"/>
  <c r="BN54" i="3"/>
  <c r="M54" i="3" s="1"/>
  <c r="BM54" i="3"/>
  <c r="L54" i="3" s="1"/>
  <c r="BL54" i="3"/>
  <c r="K54" i="3" s="1"/>
  <c r="BK54" i="3"/>
  <c r="J54" i="3" s="1"/>
  <c r="BJ54" i="3"/>
  <c r="I54" i="3" s="1"/>
  <c r="BI54" i="3"/>
  <c r="BH54" i="3"/>
  <c r="G54" i="3" s="1"/>
  <c r="BG54" i="3"/>
  <c r="F54" i="3" s="1"/>
  <c r="DB53" i="3"/>
  <c r="BA53" i="3" s="1"/>
  <c r="DA53" i="3"/>
  <c r="AZ53" i="3" s="1"/>
  <c r="CZ53" i="3"/>
  <c r="CY53" i="3"/>
  <c r="AX53" i="3" s="1"/>
  <c r="CX53" i="3"/>
  <c r="AW53" i="3" s="1"/>
  <c r="CW53" i="3"/>
  <c r="AV53" i="3" s="1"/>
  <c r="CV53" i="3"/>
  <c r="AU53" i="3" s="1"/>
  <c r="CU53" i="3"/>
  <c r="AT53" i="3" s="1"/>
  <c r="CT53" i="3"/>
  <c r="AS53" i="3" s="1"/>
  <c r="CS53" i="3"/>
  <c r="AR53" i="3" s="1"/>
  <c r="CR53" i="3"/>
  <c r="AQ53" i="3" s="1"/>
  <c r="CQ53" i="3"/>
  <c r="AP53" i="3" s="1"/>
  <c r="CP53" i="3"/>
  <c r="AO53" i="3" s="1"/>
  <c r="CO53" i="3"/>
  <c r="AN53" i="3" s="1"/>
  <c r="CN53" i="3"/>
  <c r="AM53" i="3" s="1"/>
  <c r="CM53" i="3"/>
  <c r="AL53" i="3" s="1"/>
  <c r="CL53" i="3"/>
  <c r="CK53" i="3"/>
  <c r="AJ53" i="3" s="1"/>
  <c r="CJ53" i="3"/>
  <c r="AI53" i="3" s="1"/>
  <c r="CI53" i="3"/>
  <c r="AH53" i="3" s="1"/>
  <c r="CH53" i="3"/>
  <c r="AG53" i="3" s="1"/>
  <c r="CG53" i="3"/>
  <c r="AF53" i="3" s="1"/>
  <c r="CF53" i="3"/>
  <c r="CE53" i="3"/>
  <c r="AD53" i="3" s="1"/>
  <c r="CD53" i="3"/>
  <c r="AC53" i="3" s="1"/>
  <c r="CC53" i="3"/>
  <c r="AB53" i="3" s="1"/>
  <c r="CB53" i="3"/>
  <c r="AA53" i="3" s="1"/>
  <c r="CA53" i="3"/>
  <c r="BZ53" i="3"/>
  <c r="Y53" i="3" s="1"/>
  <c r="BY53" i="3"/>
  <c r="X53" i="3" s="1"/>
  <c r="BX53" i="3"/>
  <c r="W53" i="3" s="1"/>
  <c r="BW53" i="3"/>
  <c r="V53" i="3" s="1"/>
  <c r="BV53" i="3"/>
  <c r="U53" i="3" s="1"/>
  <c r="BU53" i="3"/>
  <c r="T53" i="3" s="1"/>
  <c r="BT53" i="3"/>
  <c r="S53" i="3" s="1"/>
  <c r="BS53" i="3"/>
  <c r="R53" i="3" s="1"/>
  <c r="BR53" i="3"/>
  <c r="Q53" i="3" s="1"/>
  <c r="BQ53" i="3"/>
  <c r="P53" i="3" s="1"/>
  <c r="BP53" i="3"/>
  <c r="BO53" i="3"/>
  <c r="N53" i="3" s="1"/>
  <c r="BN53" i="3"/>
  <c r="M53" i="3" s="1"/>
  <c r="BM53" i="3"/>
  <c r="L53" i="3" s="1"/>
  <c r="BL53" i="3"/>
  <c r="K53" i="3" s="1"/>
  <c r="BK53" i="3"/>
  <c r="J53" i="3" s="1"/>
  <c r="BJ53" i="3"/>
  <c r="I53" i="3" s="1"/>
  <c r="BI53" i="3"/>
  <c r="H53" i="3" s="1"/>
  <c r="BH53" i="3"/>
  <c r="G53" i="3" s="1"/>
  <c r="BG53" i="3"/>
  <c r="F53" i="3" s="1"/>
  <c r="DB52" i="3"/>
  <c r="BA52" i="3" s="1"/>
  <c r="DA52" i="3"/>
  <c r="CZ52" i="3"/>
  <c r="CY52" i="3"/>
  <c r="AX52" i="3" s="1"/>
  <c r="CX52" i="3"/>
  <c r="CW52" i="3"/>
  <c r="AV52" i="3" s="1"/>
  <c r="CV52" i="3"/>
  <c r="AU52" i="3" s="1"/>
  <c r="CU52" i="3"/>
  <c r="AT52" i="3" s="1"/>
  <c r="CT52" i="3"/>
  <c r="AS52" i="3" s="1"/>
  <c r="CS52" i="3"/>
  <c r="AR52" i="3" s="1"/>
  <c r="CR52" i="3"/>
  <c r="AQ52" i="3" s="1"/>
  <c r="CQ52" i="3"/>
  <c r="AP52" i="3" s="1"/>
  <c r="CP52" i="3"/>
  <c r="AO52" i="3" s="1"/>
  <c r="CO52" i="3"/>
  <c r="AN52" i="3" s="1"/>
  <c r="CN52" i="3"/>
  <c r="CM52" i="3"/>
  <c r="AL52" i="3" s="1"/>
  <c r="CL52" i="3"/>
  <c r="AK52" i="3" s="1"/>
  <c r="CK52" i="3"/>
  <c r="AJ52" i="3" s="1"/>
  <c r="CJ52" i="3"/>
  <c r="AI52" i="3" s="1"/>
  <c r="CI52" i="3"/>
  <c r="AH52" i="3" s="1"/>
  <c r="CH52" i="3"/>
  <c r="AG52" i="3" s="1"/>
  <c r="CG52" i="3"/>
  <c r="CF52" i="3"/>
  <c r="AE52" i="3" s="1"/>
  <c r="CE52" i="3"/>
  <c r="AD52" i="3" s="1"/>
  <c r="CD52" i="3"/>
  <c r="AC52" i="3" s="1"/>
  <c r="CC52" i="3"/>
  <c r="AB52" i="3" s="1"/>
  <c r="CB52" i="3"/>
  <c r="AA52" i="3" s="1"/>
  <c r="CA52" i="3"/>
  <c r="BZ52" i="3"/>
  <c r="Y52" i="3" s="1"/>
  <c r="BY52" i="3"/>
  <c r="X52" i="3" s="1"/>
  <c r="BX52" i="3"/>
  <c r="W52" i="3" s="1"/>
  <c r="BW52" i="3"/>
  <c r="V52" i="3" s="1"/>
  <c r="BV52" i="3"/>
  <c r="U52" i="3" s="1"/>
  <c r="BU52" i="3"/>
  <c r="T52" i="3" s="1"/>
  <c r="BT52" i="3"/>
  <c r="S52" i="3" s="1"/>
  <c r="BS52" i="3"/>
  <c r="R52" i="3" s="1"/>
  <c r="BR52" i="3"/>
  <c r="Q52" i="3" s="1"/>
  <c r="BQ52" i="3"/>
  <c r="P52" i="3" s="1"/>
  <c r="BP52" i="3"/>
  <c r="BO52" i="3"/>
  <c r="N52" i="3" s="1"/>
  <c r="BN52" i="3"/>
  <c r="BM52" i="3"/>
  <c r="L52" i="3" s="1"/>
  <c r="BL52" i="3"/>
  <c r="K52" i="3" s="1"/>
  <c r="BK52" i="3"/>
  <c r="J52" i="3" s="1"/>
  <c r="BJ52" i="3"/>
  <c r="BI52" i="3"/>
  <c r="BH52" i="3"/>
  <c r="G52" i="3" s="1"/>
  <c r="BG52" i="3"/>
  <c r="F52" i="3" s="1"/>
  <c r="DB51" i="3"/>
  <c r="BA51" i="3" s="1"/>
  <c r="DA51" i="3"/>
  <c r="AZ51" i="3" s="1"/>
  <c r="CZ51" i="3"/>
  <c r="AY51" i="3" s="1"/>
  <c r="CY51" i="3"/>
  <c r="AX51" i="3" s="1"/>
  <c r="CX51" i="3"/>
  <c r="AW51" i="3" s="1"/>
  <c r="CW51" i="3"/>
  <c r="AV51" i="3" s="1"/>
  <c r="CV51" i="3"/>
  <c r="AU51" i="3" s="1"/>
  <c r="CU51" i="3"/>
  <c r="AT51" i="3" s="1"/>
  <c r="CT51" i="3"/>
  <c r="AS51" i="3" s="1"/>
  <c r="CS51" i="3"/>
  <c r="CR51" i="3"/>
  <c r="AQ51" i="3" s="1"/>
  <c r="CQ51" i="3"/>
  <c r="CP51" i="3"/>
  <c r="AO51" i="3" s="1"/>
  <c r="CO51" i="3"/>
  <c r="AN51" i="3" s="1"/>
  <c r="CN51" i="3"/>
  <c r="CM51" i="3"/>
  <c r="CL51" i="3"/>
  <c r="AK51" i="3" s="1"/>
  <c r="CK51" i="3"/>
  <c r="AJ51" i="3" s="1"/>
  <c r="CJ51" i="3"/>
  <c r="CI51" i="3"/>
  <c r="AH51" i="3" s="1"/>
  <c r="CH51" i="3"/>
  <c r="AG51" i="3" s="1"/>
  <c r="CG51" i="3"/>
  <c r="AF51" i="3" s="1"/>
  <c r="CF51" i="3"/>
  <c r="AE51" i="3" s="1"/>
  <c r="CE51" i="3"/>
  <c r="AD51" i="3" s="1"/>
  <c r="CD51" i="3"/>
  <c r="AC51" i="3" s="1"/>
  <c r="CC51" i="3"/>
  <c r="AB51" i="3" s="1"/>
  <c r="CB51" i="3"/>
  <c r="AA51" i="3" s="1"/>
  <c r="CA51" i="3"/>
  <c r="Z51" i="3" s="1"/>
  <c r="BZ51" i="3"/>
  <c r="BY51" i="3"/>
  <c r="BX51" i="3"/>
  <c r="W51" i="3" s="1"/>
  <c r="BW51" i="3"/>
  <c r="V51" i="3" s="1"/>
  <c r="BV51" i="3"/>
  <c r="U51" i="3" s="1"/>
  <c r="BU51" i="3"/>
  <c r="T51" i="3" s="1"/>
  <c r="BT51" i="3"/>
  <c r="S51" i="3" s="1"/>
  <c r="BS51" i="3"/>
  <c r="R51" i="3" s="1"/>
  <c r="BR51" i="3"/>
  <c r="Q51" i="3" s="1"/>
  <c r="BQ51" i="3"/>
  <c r="P51" i="3" s="1"/>
  <c r="BP51" i="3"/>
  <c r="O51" i="3" s="1"/>
  <c r="BO51" i="3"/>
  <c r="N51" i="3" s="1"/>
  <c r="BN51" i="3"/>
  <c r="M51" i="3" s="1"/>
  <c r="BM51" i="3"/>
  <c r="L51" i="3" s="1"/>
  <c r="BL51" i="3"/>
  <c r="K51" i="3" s="1"/>
  <c r="BK51" i="3"/>
  <c r="J51" i="3" s="1"/>
  <c r="BJ51" i="3"/>
  <c r="I51" i="3" s="1"/>
  <c r="BI51" i="3"/>
  <c r="H51" i="3" s="1"/>
  <c r="BH51" i="3"/>
  <c r="G51" i="3" s="1"/>
  <c r="BG51" i="3"/>
  <c r="DB50" i="3"/>
  <c r="BA50" i="3" s="1"/>
  <c r="DA50" i="3"/>
  <c r="AZ50" i="3" s="1"/>
  <c r="CZ50" i="3"/>
  <c r="AY50" i="3" s="1"/>
  <c r="CY50" i="3"/>
  <c r="AX50" i="3" s="1"/>
  <c r="CX50" i="3"/>
  <c r="AW50" i="3" s="1"/>
  <c r="CW50" i="3"/>
  <c r="CV50" i="3"/>
  <c r="AU50" i="3" s="1"/>
  <c r="CU50" i="3"/>
  <c r="AT50" i="3" s="1"/>
  <c r="CT50" i="3"/>
  <c r="AS50" i="3" s="1"/>
  <c r="CS50" i="3"/>
  <c r="AR50" i="3" s="1"/>
  <c r="CR50" i="3"/>
  <c r="AQ50" i="3" s="1"/>
  <c r="CQ50" i="3"/>
  <c r="CP50" i="3"/>
  <c r="AO50" i="3" s="1"/>
  <c r="CO50" i="3"/>
  <c r="CN50" i="3"/>
  <c r="CM50" i="3"/>
  <c r="AL50" i="3" s="1"/>
  <c r="CL50" i="3"/>
  <c r="AK50" i="3" s="1"/>
  <c r="CK50" i="3"/>
  <c r="AJ50" i="3" s="1"/>
  <c r="CJ50" i="3"/>
  <c r="CI50" i="3"/>
  <c r="AH50" i="3" s="1"/>
  <c r="CH50" i="3"/>
  <c r="AG50" i="3" s="1"/>
  <c r="CG50" i="3"/>
  <c r="AF50" i="3" s="1"/>
  <c r="CF50" i="3"/>
  <c r="AE50" i="3" s="1"/>
  <c r="CE50" i="3"/>
  <c r="AD50" i="3" s="1"/>
  <c r="CD50" i="3"/>
  <c r="AC50" i="3" s="1"/>
  <c r="CC50" i="3"/>
  <c r="AB50" i="3" s="1"/>
  <c r="CB50" i="3"/>
  <c r="AA50" i="3" s="1"/>
  <c r="CA50" i="3"/>
  <c r="Z50" i="3" s="1"/>
  <c r="BZ50" i="3"/>
  <c r="BY50" i="3"/>
  <c r="BX50" i="3"/>
  <c r="W50" i="3" s="1"/>
  <c r="BW50" i="3"/>
  <c r="V50" i="3" s="1"/>
  <c r="BV50" i="3"/>
  <c r="U50" i="3" s="1"/>
  <c r="BU50" i="3"/>
  <c r="T50" i="3" s="1"/>
  <c r="BT50" i="3"/>
  <c r="S50" i="3" s="1"/>
  <c r="BS50" i="3"/>
  <c r="R50" i="3" s="1"/>
  <c r="BR50" i="3"/>
  <c r="Q50" i="3" s="1"/>
  <c r="BQ50" i="3"/>
  <c r="P50" i="3" s="1"/>
  <c r="BP50" i="3"/>
  <c r="O50" i="3" s="1"/>
  <c r="BO50" i="3"/>
  <c r="N50" i="3" s="1"/>
  <c r="BN50" i="3"/>
  <c r="M50" i="3" s="1"/>
  <c r="BM50" i="3"/>
  <c r="L50" i="3" s="1"/>
  <c r="BL50" i="3"/>
  <c r="BK50" i="3"/>
  <c r="J50" i="3" s="1"/>
  <c r="BJ50" i="3"/>
  <c r="I50" i="3" s="1"/>
  <c r="BI50" i="3"/>
  <c r="H50" i="3" s="1"/>
  <c r="BH50" i="3"/>
  <c r="G50" i="3" s="1"/>
  <c r="BG50" i="3"/>
  <c r="DB49" i="3"/>
  <c r="BA49" i="3" s="1"/>
  <c r="DA49" i="3"/>
  <c r="AZ49" i="3" s="1"/>
  <c r="CZ49" i="3"/>
  <c r="AY49" i="3" s="1"/>
  <c r="CY49" i="3"/>
  <c r="AX49" i="3" s="1"/>
  <c r="CX49" i="3"/>
  <c r="CW49" i="3"/>
  <c r="AV49" i="3" s="1"/>
  <c r="CV49" i="3"/>
  <c r="AU49" i="3" s="1"/>
  <c r="CU49" i="3"/>
  <c r="CT49" i="3"/>
  <c r="AS49" i="3" s="1"/>
  <c r="CS49" i="3"/>
  <c r="AR49" i="3" s="1"/>
  <c r="CR49" i="3"/>
  <c r="AQ49" i="3" s="1"/>
  <c r="CQ49" i="3"/>
  <c r="AP49" i="3" s="1"/>
  <c r="CP49" i="3"/>
  <c r="AO49" i="3" s="1"/>
  <c r="CO49" i="3"/>
  <c r="AN49" i="3" s="1"/>
  <c r="CN49" i="3"/>
  <c r="AM49" i="3" s="1"/>
  <c r="CM49" i="3"/>
  <c r="AL49" i="3" s="1"/>
  <c r="CL49" i="3"/>
  <c r="AK49" i="3" s="1"/>
  <c r="CK49" i="3"/>
  <c r="AJ49" i="3" s="1"/>
  <c r="CJ49" i="3"/>
  <c r="AI49" i="3" s="1"/>
  <c r="CI49" i="3"/>
  <c r="AH49" i="3" s="1"/>
  <c r="CH49" i="3"/>
  <c r="AG49" i="3" s="1"/>
  <c r="CG49" i="3"/>
  <c r="AF49" i="3" s="1"/>
  <c r="CF49" i="3"/>
  <c r="AE49" i="3" s="1"/>
  <c r="CE49" i="3"/>
  <c r="AD49" i="3" s="1"/>
  <c r="CD49" i="3"/>
  <c r="AC49" i="3" s="1"/>
  <c r="CC49" i="3"/>
  <c r="AB49" i="3" s="1"/>
  <c r="CB49" i="3"/>
  <c r="CA49" i="3"/>
  <c r="BZ49" i="3"/>
  <c r="Y49" i="3" s="1"/>
  <c r="BY49" i="3"/>
  <c r="X49" i="3" s="1"/>
  <c r="BX49" i="3"/>
  <c r="W49" i="3" s="1"/>
  <c r="BW49" i="3"/>
  <c r="BV49" i="3"/>
  <c r="U49" i="3" s="1"/>
  <c r="BU49" i="3"/>
  <c r="T49" i="3" s="1"/>
  <c r="BT49" i="3"/>
  <c r="S49" i="3" s="1"/>
  <c r="BS49" i="3"/>
  <c r="BR49" i="3"/>
  <c r="Q49" i="3" s="1"/>
  <c r="BQ49" i="3"/>
  <c r="P49" i="3" s="1"/>
  <c r="BP49" i="3"/>
  <c r="BO49" i="3"/>
  <c r="N49" i="3" s="1"/>
  <c r="BN49" i="3"/>
  <c r="M49" i="3" s="1"/>
  <c r="BM49" i="3"/>
  <c r="L49" i="3" s="1"/>
  <c r="BL49" i="3"/>
  <c r="K49" i="3" s="1"/>
  <c r="BK49" i="3"/>
  <c r="J49" i="3" s="1"/>
  <c r="BJ49" i="3"/>
  <c r="I49" i="3" s="1"/>
  <c r="BI49" i="3"/>
  <c r="H49" i="3" s="1"/>
  <c r="BH49" i="3"/>
  <c r="G49" i="3" s="1"/>
  <c r="BG49" i="3"/>
  <c r="F49" i="3" s="1"/>
  <c r="DB48" i="3"/>
  <c r="BA48" i="3" s="1"/>
  <c r="DA48" i="3"/>
  <c r="AZ48" i="3" s="1"/>
  <c r="CZ48" i="3"/>
  <c r="CY48" i="3"/>
  <c r="AX48" i="3" s="1"/>
  <c r="CX48" i="3"/>
  <c r="AW48" i="3" s="1"/>
  <c r="CW48" i="3"/>
  <c r="AV48" i="3" s="1"/>
  <c r="CV48" i="3"/>
  <c r="AU48" i="3" s="1"/>
  <c r="CU48" i="3"/>
  <c r="AT48" i="3" s="1"/>
  <c r="CT48" i="3"/>
  <c r="AS48" i="3" s="1"/>
  <c r="CS48" i="3"/>
  <c r="AR48" i="3" s="1"/>
  <c r="CR48" i="3"/>
  <c r="AQ48" i="3" s="1"/>
  <c r="CQ48" i="3"/>
  <c r="AP48" i="3" s="1"/>
  <c r="CP48" i="3"/>
  <c r="AO48" i="3" s="1"/>
  <c r="CO48" i="3"/>
  <c r="AN48" i="3" s="1"/>
  <c r="CN48" i="3"/>
  <c r="AM48" i="3" s="1"/>
  <c r="CM48" i="3"/>
  <c r="CL48" i="3"/>
  <c r="AK48" i="3" s="1"/>
  <c r="CK48" i="3"/>
  <c r="AJ48" i="3" s="1"/>
  <c r="CJ48" i="3"/>
  <c r="AI48" i="3" s="1"/>
  <c r="CI48" i="3"/>
  <c r="CH48" i="3"/>
  <c r="AG48" i="3" s="1"/>
  <c r="CG48" i="3"/>
  <c r="AF48" i="3" s="1"/>
  <c r="CF48" i="3"/>
  <c r="AE48" i="3" s="1"/>
  <c r="CE48" i="3"/>
  <c r="AD48" i="3" s="1"/>
  <c r="CD48" i="3"/>
  <c r="AC48" i="3" s="1"/>
  <c r="CC48" i="3"/>
  <c r="AB48" i="3" s="1"/>
  <c r="CB48" i="3"/>
  <c r="AA48" i="3" s="1"/>
  <c r="CA48" i="3"/>
  <c r="Z48" i="3" s="1"/>
  <c r="BZ48" i="3"/>
  <c r="Y48" i="3" s="1"/>
  <c r="BY48" i="3"/>
  <c r="X48" i="3" s="1"/>
  <c r="BX48" i="3"/>
  <c r="W48" i="3" s="1"/>
  <c r="BW48" i="3"/>
  <c r="V48" i="3" s="1"/>
  <c r="BV48" i="3"/>
  <c r="U48" i="3" s="1"/>
  <c r="BU48" i="3"/>
  <c r="T48" i="3" s="1"/>
  <c r="BT48" i="3"/>
  <c r="S48" i="3" s="1"/>
  <c r="BS48" i="3"/>
  <c r="R48" i="3" s="1"/>
  <c r="BR48" i="3"/>
  <c r="Q48" i="3" s="1"/>
  <c r="BQ48" i="3"/>
  <c r="P48" i="3" s="1"/>
  <c r="BP48" i="3"/>
  <c r="O48" i="3" s="1"/>
  <c r="BO48" i="3"/>
  <c r="BN48" i="3"/>
  <c r="M48" i="3" s="1"/>
  <c r="BM48" i="3"/>
  <c r="L48" i="3" s="1"/>
  <c r="BL48" i="3"/>
  <c r="K48" i="3" s="1"/>
  <c r="BK48" i="3"/>
  <c r="J48" i="3" s="1"/>
  <c r="BJ48" i="3"/>
  <c r="I48" i="3" s="1"/>
  <c r="BI48" i="3"/>
  <c r="H48" i="3" s="1"/>
  <c r="BH48" i="3"/>
  <c r="G48" i="3" s="1"/>
  <c r="BG48" i="3"/>
  <c r="F48" i="3" s="1"/>
  <c r="DB47" i="3"/>
  <c r="BA47" i="3" s="1"/>
  <c r="DA47" i="3"/>
  <c r="AZ47" i="3" s="1"/>
  <c r="CZ47" i="3"/>
  <c r="AY47" i="3" s="1"/>
  <c r="CY47" i="3"/>
  <c r="AX47" i="3" s="1"/>
  <c r="CX47" i="3"/>
  <c r="AW47" i="3" s="1"/>
  <c r="CW47" i="3"/>
  <c r="AV47" i="3" s="1"/>
  <c r="CV47" i="3"/>
  <c r="AU47" i="3" s="1"/>
  <c r="CU47" i="3"/>
  <c r="AT47" i="3" s="1"/>
  <c r="CT47" i="3"/>
  <c r="AS47" i="3" s="1"/>
  <c r="CS47" i="3"/>
  <c r="AR47" i="3" s="1"/>
  <c r="CR47" i="3"/>
  <c r="AQ47" i="3" s="1"/>
  <c r="CQ47" i="3"/>
  <c r="AP47" i="3" s="1"/>
  <c r="CP47" i="3"/>
  <c r="AO47" i="3" s="1"/>
  <c r="CO47" i="3"/>
  <c r="AN47" i="3" s="1"/>
  <c r="CN47" i="3"/>
  <c r="AM47" i="3" s="1"/>
  <c r="CM47" i="3"/>
  <c r="AL47" i="3" s="1"/>
  <c r="CL47" i="3"/>
  <c r="CK47" i="3"/>
  <c r="AJ47" i="3" s="1"/>
  <c r="CJ47" i="3"/>
  <c r="CI47" i="3"/>
  <c r="CH47" i="3"/>
  <c r="AG47" i="3" s="1"/>
  <c r="CG47" i="3"/>
  <c r="AF47" i="3" s="1"/>
  <c r="CF47" i="3"/>
  <c r="AE47" i="3" s="1"/>
  <c r="CE47" i="3"/>
  <c r="AD47" i="3" s="1"/>
  <c r="CD47" i="3"/>
  <c r="AC47" i="3" s="1"/>
  <c r="CC47" i="3"/>
  <c r="AB47" i="3" s="1"/>
  <c r="CB47" i="3"/>
  <c r="AA47" i="3" s="1"/>
  <c r="CA47" i="3"/>
  <c r="Z47" i="3" s="1"/>
  <c r="BZ47" i="3"/>
  <c r="Y47" i="3" s="1"/>
  <c r="BY47" i="3"/>
  <c r="X47" i="3" s="1"/>
  <c r="BX47" i="3"/>
  <c r="W47" i="3" s="1"/>
  <c r="BW47" i="3"/>
  <c r="V47" i="3" s="1"/>
  <c r="BV47" i="3"/>
  <c r="U47" i="3" s="1"/>
  <c r="BU47" i="3"/>
  <c r="T47" i="3" s="1"/>
  <c r="BT47" i="3"/>
  <c r="S47" i="3" s="1"/>
  <c r="BS47" i="3"/>
  <c r="R47" i="3" s="1"/>
  <c r="BR47" i="3"/>
  <c r="Q47" i="3" s="1"/>
  <c r="BQ47" i="3"/>
  <c r="P47" i="3" s="1"/>
  <c r="BP47" i="3"/>
  <c r="O47" i="3" s="1"/>
  <c r="BO47" i="3"/>
  <c r="N47" i="3" s="1"/>
  <c r="BN47" i="3"/>
  <c r="M47" i="3" s="1"/>
  <c r="BM47" i="3"/>
  <c r="L47" i="3" s="1"/>
  <c r="BL47" i="3"/>
  <c r="K47" i="3" s="1"/>
  <c r="BK47" i="3"/>
  <c r="BJ47" i="3"/>
  <c r="I47" i="3" s="1"/>
  <c r="BI47" i="3"/>
  <c r="H47" i="3" s="1"/>
  <c r="BH47" i="3"/>
  <c r="G47" i="3" s="1"/>
  <c r="BG47" i="3"/>
  <c r="DB46" i="3"/>
  <c r="BA46" i="3" s="1"/>
  <c r="DA46" i="3"/>
  <c r="AZ46" i="3" s="1"/>
  <c r="CZ46" i="3"/>
  <c r="AY46" i="3" s="1"/>
  <c r="CY46" i="3"/>
  <c r="AX46" i="3" s="1"/>
  <c r="CX46" i="3"/>
  <c r="AW46" i="3" s="1"/>
  <c r="CW46" i="3"/>
  <c r="AV46" i="3" s="1"/>
  <c r="CV46" i="3"/>
  <c r="AU46" i="3" s="1"/>
  <c r="CU46" i="3"/>
  <c r="AT46" i="3" s="1"/>
  <c r="CT46" i="3"/>
  <c r="AS46" i="3" s="1"/>
  <c r="CS46" i="3"/>
  <c r="AR46" i="3" s="1"/>
  <c r="CR46" i="3"/>
  <c r="AQ46" i="3" s="1"/>
  <c r="CQ46" i="3"/>
  <c r="AP46" i="3" s="1"/>
  <c r="CP46" i="3"/>
  <c r="AO46" i="3" s="1"/>
  <c r="CO46" i="3"/>
  <c r="AN46" i="3" s="1"/>
  <c r="CN46" i="3"/>
  <c r="AM46" i="3" s="1"/>
  <c r="CM46" i="3"/>
  <c r="CL46" i="3"/>
  <c r="AK46" i="3" s="1"/>
  <c r="CK46" i="3"/>
  <c r="AJ46" i="3" s="1"/>
  <c r="CJ46" i="3"/>
  <c r="AI46" i="3" s="1"/>
  <c r="CI46" i="3"/>
  <c r="AH46" i="3" s="1"/>
  <c r="CH46" i="3"/>
  <c r="CG46" i="3"/>
  <c r="AF46" i="3" s="1"/>
  <c r="CF46" i="3"/>
  <c r="AE46" i="3" s="1"/>
  <c r="CE46" i="3"/>
  <c r="CD46" i="3"/>
  <c r="AC46" i="3" s="1"/>
  <c r="CC46" i="3"/>
  <c r="AB46" i="3" s="1"/>
  <c r="CB46" i="3"/>
  <c r="AA46" i="3" s="1"/>
  <c r="CA46" i="3"/>
  <c r="BZ46" i="3"/>
  <c r="Y46" i="3" s="1"/>
  <c r="BY46" i="3"/>
  <c r="X46" i="3" s="1"/>
  <c r="BX46" i="3"/>
  <c r="W46" i="3" s="1"/>
  <c r="BW46" i="3"/>
  <c r="BV46" i="3"/>
  <c r="U46" i="3" s="1"/>
  <c r="BU46" i="3"/>
  <c r="T46" i="3" s="1"/>
  <c r="BT46" i="3"/>
  <c r="S46" i="3" s="1"/>
  <c r="BS46" i="3"/>
  <c r="R46" i="3" s="1"/>
  <c r="BR46" i="3"/>
  <c r="Q46" i="3" s="1"/>
  <c r="BQ46" i="3"/>
  <c r="P46" i="3" s="1"/>
  <c r="BP46" i="3"/>
  <c r="O46" i="3" s="1"/>
  <c r="BO46" i="3"/>
  <c r="N46" i="3" s="1"/>
  <c r="BN46" i="3"/>
  <c r="M46" i="3" s="1"/>
  <c r="BM46" i="3"/>
  <c r="L46" i="3" s="1"/>
  <c r="BL46" i="3"/>
  <c r="K46" i="3" s="1"/>
  <c r="BK46" i="3"/>
  <c r="J46" i="3" s="1"/>
  <c r="BJ46" i="3"/>
  <c r="I46" i="3" s="1"/>
  <c r="BI46" i="3"/>
  <c r="H46" i="3" s="1"/>
  <c r="BH46" i="3"/>
  <c r="G46" i="3" s="1"/>
  <c r="BG46" i="3"/>
  <c r="F46" i="3" s="1"/>
  <c r="DB45" i="3"/>
  <c r="BA45" i="3" s="1"/>
  <c r="DA45" i="3"/>
  <c r="AZ45" i="3" s="1"/>
  <c r="CZ45" i="3"/>
  <c r="AY45" i="3" s="1"/>
  <c r="CY45" i="3"/>
  <c r="AX45" i="3" s="1"/>
  <c r="CX45" i="3"/>
  <c r="AW45" i="3" s="1"/>
  <c r="CW45" i="3"/>
  <c r="AV45" i="3" s="1"/>
  <c r="CV45" i="3"/>
  <c r="AU45" i="3" s="1"/>
  <c r="CU45" i="3"/>
  <c r="AT45" i="3" s="1"/>
  <c r="CT45" i="3"/>
  <c r="AS45" i="3" s="1"/>
  <c r="CS45" i="3"/>
  <c r="AR45" i="3" s="1"/>
  <c r="CR45" i="3"/>
  <c r="AQ45" i="3" s="1"/>
  <c r="CQ45" i="3"/>
  <c r="AP45" i="3" s="1"/>
  <c r="CP45" i="3"/>
  <c r="AO45" i="3" s="1"/>
  <c r="CO45" i="3"/>
  <c r="AN45" i="3" s="1"/>
  <c r="CN45" i="3"/>
  <c r="AM45" i="3" s="1"/>
  <c r="CM45" i="3"/>
  <c r="CL45" i="3"/>
  <c r="AK45" i="3" s="1"/>
  <c r="CK45" i="3"/>
  <c r="AJ45" i="3" s="1"/>
  <c r="CJ45" i="3"/>
  <c r="AI45" i="3" s="1"/>
  <c r="CI45" i="3"/>
  <c r="CH45" i="3"/>
  <c r="AG45" i="3" s="1"/>
  <c r="CG45" i="3"/>
  <c r="AF45" i="3" s="1"/>
  <c r="CF45" i="3"/>
  <c r="AE45" i="3" s="1"/>
  <c r="CE45" i="3"/>
  <c r="CD45" i="3"/>
  <c r="AC45" i="3" s="1"/>
  <c r="CC45" i="3"/>
  <c r="AB45" i="3" s="1"/>
  <c r="CB45" i="3"/>
  <c r="AA45" i="3" s="1"/>
  <c r="CA45" i="3"/>
  <c r="Z45" i="3" s="1"/>
  <c r="BZ45" i="3"/>
  <c r="Y45" i="3" s="1"/>
  <c r="BY45" i="3"/>
  <c r="X45" i="3" s="1"/>
  <c r="BX45" i="3"/>
  <c r="W45" i="3" s="1"/>
  <c r="BW45" i="3"/>
  <c r="V45" i="3" s="1"/>
  <c r="BV45" i="3"/>
  <c r="U45" i="3" s="1"/>
  <c r="BU45" i="3"/>
  <c r="T45" i="3" s="1"/>
  <c r="BT45" i="3"/>
  <c r="S45" i="3" s="1"/>
  <c r="BS45" i="3"/>
  <c r="R45" i="3" s="1"/>
  <c r="BR45" i="3"/>
  <c r="Q45" i="3" s="1"/>
  <c r="BQ45" i="3"/>
  <c r="P45" i="3" s="1"/>
  <c r="BP45" i="3"/>
  <c r="O45" i="3" s="1"/>
  <c r="BO45" i="3"/>
  <c r="N45" i="3" s="1"/>
  <c r="BN45" i="3"/>
  <c r="M45" i="3" s="1"/>
  <c r="BM45" i="3"/>
  <c r="L45" i="3" s="1"/>
  <c r="BL45" i="3"/>
  <c r="K45" i="3" s="1"/>
  <c r="BK45" i="3"/>
  <c r="J45" i="3" s="1"/>
  <c r="BJ45" i="3"/>
  <c r="I45" i="3" s="1"/>
  <c r="BI45" i="3"/>
  <c r="H45" i="3" s="1"/>
  <c r="BH45" i="3"/>
  <c r="G45" i="3" s="1"/>
  <c r="BG45" i="3"/>
  <c r="F45" i="3" s="1"/>
  <c r="DB44" i="3"/>
  <c r="BA44" i="3" s="1"/>
  <c r="DA44" i="3"/>
  <c r="AZ44" i="3" s="1"/>
  <c r="CZ44" i="3"/>
  <c r="CY44" i="3"/>
  <c r="AX44" i="3" s="1"/>
  <c r="CX44" i="3"/>
  <c r="AW44" i="3" s="1"/>
  <c r="CW44" i="3"/>
  <c r="AV44" i="3" s="1"/>
  <c r="CV44" i="3"/>
  <c r="AU44" i="3" s="1"/>
  <c r="CU44" i="3"/>
  <c r="AT44" i="3" s="1"/>
  <c r="CT44" i="3"/>
  <c r="AS44" i="3" s="1"/>
  <c r="CS44" i="3"/>
  <c r="CR44" i="3"/>
  <c r="AQ44" i="3" s="1"/>
  <c r="CQ44" i="3"/>
  <c r="AP44" i="3" s="1"/>
  <c r="CP44" i="3"/>
  <c r="AO44" i="3" s="1"/>
  <c r="CO44" i="3"/>
  <c r="AN44" i="3" s="1"/>
  <c r="CN44" i="3"/>
  <c r="AM44" i="3" s="1"/>
  <c r="CM44" i="3"/>
  <c r="CL44" i="3"/>
  <c r="AK44" i="3" s="1"/>
  <c r="CK44" i="3"/>
  <c r="AJ44" i="3" s="1"/>
  <c r="CJ44" i="3"/>
  <c r="AI44" i="3" s="1"/>
  <c r="CI44" i="3"/>
  <c r="AH44" i="3" s="1"/>
  <c r="CH44" i="3"/>
  <c r="AG44" i="3" s="1"/>
  <c r="CG44" i="3"/>
  <c r="AF44" i="3" s="1"/>
  <c r="CF44" i="3"/>
  <c r="CE44" i="3"/>
  <c r="AD44" i="3" s="1"/>
  <c r="CD44" i="3"/>
  <c r="AC44" i="3" s="1"/>
  <c r="CC44" i="3"/>
  <c r="AB44" i="3" s="1"/>
  <c r="CB44" i="3"/>
  <c r="CA44" i="3"/>
  <c r="BZ44" i="3"/>
  <c r="Y44" i="3" s="1"/>
  <c r="BY44" i="3"/>
  <c r="X44" i="3" s="1"/>
  <c r="BX44" i="3"/>
  <c r="BW44" i="3"/>
  <c r="V44" i="3" s="1"/>
  <c r="BV44" i="3"/>
  <c r="U44" i="3" s="1"/>
  <c r="BU44" i="3"/>
  <c r="T44" i="3" s="1"/>
  <c r="BT44" i="3"/>
  <c r="S44" i="3" s="1"/>
  <c r="BS44" i="3"/>
  <c r="R44" i="3" s="1"/>
  <c r="BR44" i="3"/>
  <c r="Q44" i="3" s="1"/>
  <c r="BQ44" i="3"/>
  <c r="P44" i="3" s="1"/>
  <c r="BP44" i="3"/>
  <c r="O44" i="3" s="1"/>
  <c r="BO44" i="3"/>
  <c r="N44" i="3" s="1"/>
  <c r="BN44" i="3"/>
  <c r="M44" i="3" s="1"/>
  <c r="BM44" i="3"/>
  <c r="L44" i="3" s="1"/>
  <c r="BL44" i="3"/>
  <c r="BK44" i="3"/>
  <c r="BJ44" i="3"/>
  <c r="I44" i="3" s="1"/>
  <c r="BI44" i="3"/>
  <c r="H44" i="3" s="1"/>
  <c r="BH44" i="3"/>
  <c r="G44" i="3" s="1"/>
  <c r="BG44" i="3"/>
  <c r="DB43" i="3"/>
  <c r="BA43" i="3" s="1"/>
  <c r="DA43" i="3"/>
  <c r="AZ43" i="3" s="1"/>
  <c r="CZ43" i="3"/>
  <c r="AY43" i="3" s="1"/>
  <c r="CY43" i="3"/>
  <c r="CX43" i="3"/>
  <c r="AW43" i="3" s="1"/>
  <c r="CW43" i="3"/>
  <c r="AV43" i="3" s="1"/>
  <c r="CV43" i="3"/>
  <c r="AU43" i="3" s="1"/>
  <c r="CU43" i="3"/>
  <c r="AT43" i="3" s="1"/>
  <c r="CT43" i="3"/>
  <c r="AS43" i="3" s="1"/>
  <c r="CS43" i="3"/>
  <c r="AR43" i="3" s="1"/>
  <c r="CR43" i="3"/>
  <c r="AQ43" i="3" s="1"/>
  <c r="CQ43" i="3"/>
  <c r="AP43" i="3" s="1"/>
  <c r="CP43" i="3"/>
  <c r="AO43" i="3" s="1"/>
  <c r="CO43" i="3"/>
  <c r="AN43" i="3" s="1"/>
  <c r="CN43" i="3"/>
  <c r="AM43" i="3" s="1"/>
  <c r="CM43" i="3"/>
  <c r="AL43" i="3" s="1"/>
  <c r="CL43" i="3"/>
  <c r="AK43" i="3" s="1"/>
  <c r="CK43" i="3"/>
  <c r="AJ43" i="3" s="1"/>
  <c r="CJ43" i="3"/>
  <c r="AI43" i="3" s="1"/>
  <c r="CI43" i="3"/>
  <c r="AH43" i="3" s="1"/>
  <c r="CH43" i="3"/>
  <c r="AG43" i="3" s="1"/>
  <c r="CG43" i="3"/>
  <c r="AF43" i="3" s="1"/>
  <c r="CF43" i="3"/>
  <c r="AE43" i="3" s="1"/>
  <c r="CE43" i="3"/>
  <c r="AD43" i="3" s="1"/>
  <c r="CD43" i="3"/>
  <c r="AC43" i="3" s="1"/>
  <c r="CC43" i="3"/>
  <c r="AB43" i="3" s="1"/>
  <c r="CB43" i="3"/>
  <c r="AA43" i="3" s="1"/>
  <c r="CA43" i="3"/>
  <c r="Z43" i="3" s="1"/>
  <c r="BZ43" i="3"/>
  <c r="Y43" i="3" s="1"/>
  <c r="BY43" i="3"/>
  <c r="X43" i="3" s="1"/>
  <c r="BX43" i="3"/>
  <c r="W43" i="3" s="1"/>
  <c r="BW43" i="3"/>
  <c r="V43" i="3" s="1"/>
  <c r="BV43" i="3"/>
  <c r="U43" i="3" s="1"/>
  <c r="BU43" i="3"/>
  <c r="T43" i="3" s="1"/>
  <c r="BT43" i="3"/>
  <c r="S43" i="3" s="1"/>
  <c r="BS43" i="3"/>
  <c r="R43" i="3" s="1"/>
  <c r="BR43" i="3"/>
  <c r="Q43" i="3" s="1"/>
  <c r="BQ43" i="3"/>
  <c r="P43" i="3" s="1"/>
  <c r="BP43" i="3"/>
  <c r="O43" i="3" s="1"/>
  <c r="BO43" i="3"/>
  <c r="BN43" i="3"/>
  <c r="M43" i="3" s="1"/>
  <c r="BM43" i="3"/>
  <c r="L43" i="3" s="1"/>
  <c r="BL43" i="3"/>
  <c r="K43" i="3" s="1"/>
  <c r="BK43" i="3"/>
  <c r="J43" i="3" s="1"/>
  <c r="BJ43" i="3"/>
  <c r="I43" i="3" s="1"/>
  <c r="BI43" i="3"/>
  <c r="H43" i="3" s="1"/>
  <c r="BH43" i="3"/>
  <c r="G43" i="3" s="1"/>
  <c r="BG43" i="3"/>
  <c r="F43" i="3" s="1"/>
  <c r="DB42" i="3"/>
  <c r="BA42" i="3" s="1"/>
  <c r="DA42" i="3"/>
  <c r="AZ42" i="3" s="1"/>
  <c r="CZ42" i="3"/>
  <c r="AY42" i="3" s="1"/>
  <c r="CY42" i="3"/>
  <c r="AX42" i="3" s="1"/>
  <c r="CX42" i="3"/>
  <c r="AW42" i="3" s="1"/>
  <c r="CW42" i="3"/>
  <c r="AV42" i="3" s="1"/>
  <c r="CV42" i="3"/>
  <c r="AU42" i="3" s="1"/>
  <c r="CU42" i="3"/>
  <c r="AT42" i="3" s="1"/>
  <c r="CT42" i="3"/>
  <c r="AS42" i="3" s="1"/>
  <c r="CS42" i="3"/>
  <c r="AR42" i="3" s="1"/>
  <c r="CR42" i="3"/>
  <c r="AQ42" i="3" s="1"/>
  <c r="CQ42" i="3"/>
  <c r="CP42" i="3"/>
  <c r="AO42" i="3" s="1"/>
  <c r="CO42" i="3"/>
  <c r="AN42" i="3" s="1"/>
  <c r="CN42" i="3"/>
  <c r="AM42" i="3" s="1"/>
  <c r="CM42" i="3"/>
  <c r="AL42" i="3" s="1"/>
  <c r="CL42" i="3"/>
  <c r="AK42" i="3" s="1"/>
  <c r="CK42" i="3"/>
  <c r="AJ42" i="3" s="1"/>
  <c r="CJ42" i="3"/>
  <c r="AI42" i="3" s="1"/>
  <c r="CI42" i="3"/>
  <c r="AH42" i="3" s="1"/>
  <c r="CH42" i="3"/>
  <c r="AG42" i="3" s="1"/>
  <c r="CG42" i="3"/>
  <c r="AF42" i="3" s="1"/>
  <c r="CF42" i="3"/>
  <c r="AE42" i="3" s="1"/>
  <c r="CE42" i="3"/>
  <c r="CD42" i="3"/>
  <c r="AC42" i="3" s="1"/>
  <c r="CC42" i="3"/>
  <c r="AB42" i="3" s="1"/>
  <c r="CB42" i="3"/>
  <c r="AA42" i="3" s="1"/>
  <c r="CA42" i="3"/>
  <c r="Z42" i="3" s="1"/>
  <c r="BZ42" i="3"/>
  <c r="Y42" i="3" s="1"/>
  <c r="BY42" i="3"/>
  <c r="X42" i="3" s="1"/>
  <c r="BX42" i="3"/>
  <c r="W42" i="3" s="1"/>
  <c r="BW42" i="3"/>
  <c r="V42" i="3" s="1"/>
  <c r="BV42" i="3"/>
  <c r="U42" i="3" s="1"/>
  <c r="BU42" i="3"/>
  <c r="T42" i="3" s="1"/>
  <c r="BT42" i="3"/>
  <c r="BS42" i="3"/>
  <c r="BR42" i="3"/>
  <c r="Q42" i="3" s="1"/>
  <c r="BQ42" i="3"/>
  <c r="P42" i="3" s="1"/>
  <c r="BP42" i="3"/>
  <c r="O42" i="3" s="1"/>
  <c r="BO42" i="3"/>
  <c r="N42" i="3" s="1"/>
  <c r="BN42" i="3"/>
  <c r="M42" i="3" s="1"/>
  <c r="BM42" i="3"/>
  <c r="L42" i="3" s="1"/>
  <c r="BL42" i="3"/>
  <c r="K42" i="3" s="1"/>
  <c r="BK42" i="3"/>
  <c r="J42" i="3" s="1"/>
  <c r="BJ42" i="3"/>
  <c r="I42" i="3" s="1"/>
  <c r="BI42" i="3"/>
  <c r="H42" i="3" s="1"/>
  <c r="BH42" i="3"/>
  <c r="G42" i="3" s="1"/>
  <c r="BG42" i="3"/>
  <c r="F42" i="3" s="1"/>
  <c r="DB41" i="3"/>
  <c r="BA41" i="3" s="1"/>
  <c r="DA41" i="3"/>
  <c r="AZ41" i="3" s="1"/>
  <c r="CZ41" i="3"/>
  <c r="CY41" i="3"/>
  <c r="AX41" i="3" s="1"/>
  <c r="CX41" i="3"/>
  <c r="AW41" i="3" s="1"/>
  <c r="CW41" i="3"/>
  <c r="CV41" i="3"/>
  <c r="AU41" i="3" s="1"/>
  <c r="CU41" i="3"/>
  <c r="AT41" i="3" s="1"/>
  <c r="CT41" i="3"/>
  <c r="AS41" i="3" s="1"/>
  <c r="CS41" i="3"/>
  <c r="AR41" i="3" s="1"/>
  <c r="CR41" i="3"/>
  <c r="AQ41" i="3" s="1"/>
  <c r="CQ41" i="3"/>
  <c r="AP41" i="3" s="1"/>
  <c r="CP41" i="3"/>
  <c r="AO41" i="3" s="1"/>
  <c r="CO41" i="3"/>
  <c r="AN41" i="3" s="1"/>
  <c r="CN41" i="3"/>
  <c r="AM41" i="3" s="1"/>
  <c r="CM41" i="3"/>
  <c r="AL41" i="3" s="1"/>
  <c r="CL41" i="3"/>
  <c r="AK41" i="3" s="1"/>
  <c r="CK41" i="3"/>
  <c r="AJ41" i="3" s="1"/>
  <c r="CJ41" i="3"/>
  <c r="AI41" i="3" s="1"/>
  <c r="CI41" i="3"/>
  <c r="AH41" i="3" s="1"/>
  <c r="CH41" i="3"/>
  <c r="CG41" i="3"/>
  <c r="AF41" i="3" s="1"/>
  <c r="CF41" i="3"/>
  <c r="AE41" i="3" s="1"/>
  <c r="CE41" i="3"/>
  <c r="AD41" i="3" s="1"/>
  <c r="CD41" i="3"/>
  <c r="AC41" i="3" s="1"/>
  <c r="CC41" i="3"/>
  <c r="AB41" i="3" s="1"/>
  <c r="CB41" i="3"/>
  <c r="CA41" i="3"/>
  <c r="BZ41" i="3"/>
  <c r="Y41" i="3" s="1"/>
  <c r="BY41" i="3"/>
  <c r="X41" i="3" s="1"/>
  <c r="BX41" i="3"/>
  <c r="W41" i="3" s="1"/>
  <c r="BW41" i="3"/>
  <c r="V41" i="3" s="1"/>
  <c r="BV41" i="3"/>
  <c r="U41" i="3" s="1"/>
  <c r="BU41" i="3"/>
  <c r="T41" i="3" s="1"/>
  <c r="BT41" i="3"/>
  <c r="S41" i="3" s="1"/>
  <c r="BS41" i="3"/>
  <c r="R41" i="3" s="1"/>
  <c r="BR41" i="3"/>
  <c r="Q41" i="3" s="1"/>
  <c r="BQ41" i="3"/>
  <c r="P41" i="3" s="1"/>
  <c r="BP41" i="3"/>
  <c r="O41" i="3" s="1"/>
  <c r="BO41" i="3"/>
  <c r="N41" i="3" s="1"/>
  <c r="BN41" i="3"/>
  <c r="M41" i="3" s="1"/>
  <c r="BM41" i="3"/>
  <c r="L41" i="3" s="1"/>
  <c r="BL41" i="3"/>
  <c r="K41" i="3" s="1"/>
  <c r="BK41" i="3"/>
  <c r="J41" i="3" s="1"/>
  <c r="BJ41" i="3"/>
  <c r="I41" i="3" s="1"/>
  <c r="BI41" i="3"/>
  <c r="H41" i="3" s="1"/>
  <c r="BH41" i="3"/>
  <c r="G41" i="3" s="1"/>
  <c r="BG41" i="3"/>
  <c r="F41" i="3" s="1"/>
  <c r="DB40" i="3"/>
  <c r="BA40" i="3" s="1"/>
  <c r="DA40" i="3"/>
  <c r="AZ40" i="3" s="1"/>
  <c r="CZ40" i="3"/>
  <c r="AY40" i="3" s="1"/>
  <c r="CY40" i="3"/>
  <c r="AX40" i="3" s="1"/>
  <c r="CX40" i="3"/>
  <c r="AW40" i="3" s="1"/>
  <c r="CW40" i="3"/>
  <c r="CV40" i="3"/>
  <c r="AU40" i="3" s="1"/>
  <c r="CU40" i="3"/>
  <c r="AT40" i="3" s="1"/>
  <c r="CT40" i="3"/>
  <c r="AS40" i="3" s="1"/>
  <c r="CS40" i="3"/>
  <c r="AR40" i="3" s="1"/>
  <c r="CR40" i="3"/>
  <c r="AQ40" i="3" s="1"/>
  <c r="CQ40" i="3"/>
  <c r="AP40" i="3" s="1"/>
  <c r="CP40" i="3"/>
  <c r="AO40" i="3" s="1"/>
  <c r="CO40" i="3"/>
  <c r="AN40" i="3" s="1"/>
  <c r="CN40" i="3"/>
  <c r="AM40" i="3" s="1"/>
  <c r="CM40" i="3"/>
  <c r="AL40" i="3" s="1"/>
  <c r="CL40" i="3"/>
  <c r="AK40" i="3" s="1"/>
  <c r="CK40" i="3"/>
  <c r="AJ40" i="3" s="1"/>
  <c r="CJ40" i="3"/>
  <c r="CI40" i="3"/>
  <c r="CH40" i="3"/>
  <c r="AG40" i="3" s="1"/>
  <c r="CG40" i="3"/>
  <c r="CF40" i="3"/>
  <c r="AE40" i="3" s="1"/>
  <c r="CE40" i="3"/>
  <c r="CD40" i="3"/>
  <c r="AC40" i="3" s="1"/>
  <c r="CC40" i="3"/>
  <c r="CB40" i="3"/>
  <c r="AA40" i="3" s="1"/>
  <c r="CA40" i="3"/>
  <c r="BZ40" i="3"/>
  <c r="Y40" i="3" s="1"/>
  <c r="BY40" i="3"/>
  <c r="X40" i="3" s="1"/>
  <c r="BX40" i="3"/>
  <c r="W40" i="3" s="1"/>
  <c r="BW40" i="3"/>
  <c r="V40" i="3" s="1"/>
  <c r="BV40" i="3"/>
  <c r="U40" i="3" s="1"/>
  <c r="BU40" i="3"/>
  <c r="T40" i="3" s="1"/>
  <c r="BT40" i="3"/>
  <c r="S40" i="3" s="1"/>
  <c r="BS40" i="3"/>
  <c r="BR40" i="3"/>
  <c r="BQ40" i="3"/>
  <c r="P40" i="3" s="1"/>
  <c r="BP40" i="3"/>
  <c r="BO40" i="3"/>
  <c r="N40" i="3" s="1"/>
  <c r="BN40" i="3"/>
  <c r="M40" i="3" s="1"/>
  <c r="BM40" i="3"/>
  <c r="L40" i="3" s="1"/>
  <c r="BL40" i="3"/>
  <c r="K40" i="3" s="1"/>
  <c r="BK40" i="3"/>
  <c r="J40" i="3" s="1"/>
  <c r="BJ40" i="3"/>
  <c r="I40" i="3" s="1"/>
  <c r="BI40" i="3"/>
  <c r="H40" i="3" s="1"/>
  <c r="BH40" i="3"/>
  <c r="G40" i="3" s="1"/>
  <c r="BG40" i="3"/>
  <c r="F40" i="3" s="1"/>
  <c r="DB39" i="3"/>
  <c r="BA39" i="3" s="1"/>
  <c r="DA39" i="3"/>
  <c r="AZ39" i="3" s="1"/>
  <c r="CZ39" i="3"/>
  <c r="AY39" i="3" s="1"/>
  <c r="CY39" i="3"/>
  <c r="AX39" i="3" s="1"/>
  <c r="CX39" i="3"/>
  <c r="AW39" i="3" s="1"/>
  <c r="CW39" i="3"/>
  <c r="AV39" i="3" s="1"/>
  <c r="CV39" i="3"/>
  <c r="AU39" i="3" s="1"/>
  <c r="CU39" i="3"/>
  <c r="AT39" i="3" s="1"/>
  <c r="CT39" i="3"/>
  <c r="AS39" i="3" s="1"/>
  <c r="CS39" i="3"/>
  <c r="AR39" i="3" s="1"/>
  <c r="CR39" i="3"/>
  <c r="AQ39" i="3" s="1"/>
  <c r="CQ39" i="3"/>
  <c r="AP39" i="3" s="1"/>
  <c r="CP39" i="3"/>
  <c r="AO39" i="3" s="1"/>
  <c r="CO39" i="3"/>
  <c r="AN39" i="3" s="1"/>
  <c r="CN39" i="3"/>
  <c r="AM39" i="3" s="1"/>
  <c r="CM39" i="3"/>
  <c r="AL39" i="3" s="1"/>
  <c r="CL39" i="3"/>
  <c r="AK39" i="3" s="1"/>
  <c r="CK39" i="3"/>
  <c r="CJ39" i="3"/>
  <c r="AI39" i="3" s="1"/>
  <c r="CI39" i="3"/>
  <c r="AH39" i="3" s="1"/>
  <c r="CH39" i="3"/>
  <c r="AG39" i="3" s="1"/>
  <c r="CG39" i="3"/>
  <c r="AF39" i="3" s="1"/>
  <c r="CF39" i="3"/>
  <c r="AE39" i="3" s="1"/>
  <c r="CE39" i="3"/>
  <c r="CD39" i="3"/>
  <c r="AC39" i="3" s="1"/>
  <c r="CC39" i="3"/>
  <c r="CB39" i="3"/>
  <c r="AA39" i="3" s="1"/>
  <c r="CA39" i="3"/>
  <c r="Z39" i="3" s="1"/>
  <c r="BZ39" i="3"/>
  <c r="BY39" i="3"/>
  <c r="BX39" i="3"/>
  <c r="W39" i="3" s="1"/>
  <c r="BW39" i="3"/>
  <c r="BV39" i="3"/>
  <c r="U39" i="3" s="1"/>
  <c r="BU39" i="3"/>
  <c r="T39" i="3" s="1"/>
  <c r="BT39" i="3"/>
  <c r="S39" i="3" s="1"/>
  <c r="BS39" i="3"/>
  <c r="BR39" i="3"/>
  <c r="BQ39" i="3"/>
  <c r="P39" i="3" s="1"/>
  <c r="BP39" i="3"/>
  <c r="O39" i="3" s="1"/>
  <c r="BO39" i="3"/>
  <c r="N39" i="3" s="1"/>
  <c r="BN39" i="3"/>
  <c r="M39" i="3" s="1"/>
  <c r="BM39" i="3"/>
  <c r="L39" i="3" s="1"/>
  <c r="BL39" i="3"/>
  <c r="BK39" i="3"/>
  <c r="J39" i="3" s="1"/>
  <c r="BJ39" i="3"/>
  <c r="I39" i="3" s="1"/>
  <c r="BI39" i="3"/>
  <c r="BH39" i="3"/>
  <c r="G39" i="3" s="1"/>
  <c r="BG39" i="3"/>
  <c r="F39" i="3" s="1"/>
  <c r="DB38" i="3"/>
  <c r="BA38" i="3" s="1"/>
  <c r="DA38" i="3"/>
  <c r="AZ38" i="3" s="1"/>
  <c r="CZ38" i="3"/>
  <c r="CY38" i="3"/>
  <c r="AX38" i="3" s="1"/>
  <c r="CX38" i="3"/>
  <c r="AW38" i="3" s="1"/>
  <c r="CW38" i="3"/>
  <c r="AV38" i="3" s="1"/>
  <c r="CV38" i="3"/>
  <c r="AU38" i="3" s="1"/>
  <c r="CU38" i="3"/>
  <c r="CT38" i="3"/>
  <c r="AS38" i="3" s="1"/>
  <c r="CS38" i="3"/>
  <c r="CR38" i="3"/>
  <c r="AQ38" i="3" s="1"/>
  <c r="CQ38" i="3"/>
  <c r="AP38" i="3" s="1"/>
  <c r="CP38" i="3"/>
  <c r="AO38" i="3" s="1"/>
  <c r="CO38" i="3"/>
  <c r="AN38" i="3" s="1"/>
  <c r="CN38" i="3"/>
  <c r="CM38" i="3"/>
  <c r="AL38" i="3" s="1"/>
  <c r="CL38" i="3"/>
  <c r="CK38" i="3"/>
  <c r="AJ38" i="3" s="1"/>
  <c r="CJ38" i="3"/>
  <c r="AI38" i="3" s="1"/>
  <c r="CI38" i="3"/>
  <c r="AH38" i="3" s="1"/>
  <c r="CH38" i="3"/>
  <c r="AG38" i="3" s="1"/>
  <c r="CG38" i="3"/>
  <c r="CF38" i="3"/>
  <c r="AE38" i="3" s="1"/>
  <c r="CE38" i="3"/>
  <c r="AD38" i="3" s="1"/>
  <c r="CD38" i="3"/>
  <c r="AC38" i="3" s="1"/>
  <c r="CC38" i="3"/>
  <c r="AB38" i="3" s="1"/>
  <c r="CB38" i="3"/>
  <c r="AA38" i="3" s="1"/>
  <c r="CA38" i="3"/>
  <c r="Z38" i="3" s="1"/>
  <c r="BZ38" i="3"/>
  <c r="Y38" i="3" s="1"/>
  <c r="BY38" i="3"/>
  <c r="X38" i="3" s="1"/>
  <c r="BX38" i="3"/>
  <c r="W38" i="3" s="1"/>
  <c r="BW38" i="3"/>
  <c r="V38" i="3" s="1"/>
  <c r="BV38" i="3"/>
  <c r="BU38" i="3"/>
  <c r="T38" i="3" s="1"/>
  <c r="BT38" i="3"/>
  <c r="S38" i="3" s="1"/>
  <c r="BS38" i="3"/>
  <c r="R38" i="3" s="1"/>
  <c r="BR38" i="3"/>
  <c r="Q38" i="3" s="1"/>
  <c r="BQ38" i="3"/>
  <c r="P38" i="3" s="1"/>
  <c r="BP38" i="3"/>
  <c r="O38" i="3" s="1"/>
  <c r="BO38" i="3"/>
  <c r="N38" i="3" s="1"/>
  <c r="BN38" i="3"/>
  <c r="M38" i="3" s="1"/>
  <c r="BM38" i="3"/>
  <c r="L38" i="3" s="1"/>
  <c r="BL38" i="3"/>
  <c r="K38" i="3" s="1"/>
  <c r="BK38" i="3"/>
  <c r="J38" i="3" s="1"/>
  <c r="BJ38" i="3"/>
  <c r="I38" i="3" s="1"/>
  <c r="BI38" i="3"/>
  <c r="H38" i="3" s="1"/>
  <c r="BH38" i="3"/>
  <c r="G38" i="3" s="1"/>
  <c r="BG38" i="3"/>
  <c r="F38" i="3" s="1"/>
  <c r="DB37" i="3"/>
  <c r="BA37" i="3" s="1"/>
  <c r="DA37" i="3"/>
  <c r="AZ37" i="3" s="1"/>
  <c r="CZ37" i="3"/>
  <c r="CY37" i="3"/>
  <c r="AX37" i="3" s="1"/>
  <c r="CX37" i="3"/>
  <c r="AW37" i="3" s="1"/>
  <c r="CW37" i="3"/>
  <c r="AV37" i="3" s="1"/>
  <c r="CV37" i="3"/>
  <c r="AU37" i="3" s="1"/>
  <c r="CU37" i="3"/>
  <c r="AT37" i="3" s="1"/>
  <c r="CT37" i="3"/>
  <c r="AS37" i="3" s="1"/>
  <c r="CS37" i="3"/>
  <c r="CR37" i="3"/>
  <c r="AQ37" i="3" s="1"/>
  <c r="CQ37" i="3"/>
  <c r="CP37" i="3"/>
  <c r="AO37" i="3" s="1"/>
  <c r="CO37" i="3"/>
  <c r="AN37" i="3" s="1"/>
  <c r="CN37" i="3"/>
  <c r="CM37" i="3"/>
  <c r="AL37" i="3" s="1"/>
  <c r="CL37" i="3"/>
  <c r="CK37" i="3"/>
  <c r="AJ37" i="3" s="1"/>
  <c r="CJ37" i="3"/>
  <c r="AI37" i="3" s="1"/>
  <c r="CI37" i="3"/>
  <c r="AH37" i="3" s="1"/>
  <c r="CH37" i="3"/>
  <c r="AG37" i="3" s="1"/>
  <c r="CG37" i="3"/>
  <c r="AF37" i="3" s="1"/>
  <c r="CF37" i="3"/>
  <c r="AE37" i="3" s="1"/>
  <c r="CE37" i="3"/>
  <c r="AD37" i="3" s="1"/>
  <c r="CD37" i="3"/>
  <c r="AC37" i="3" s="1"/>
  <c r="CC37" i="3"/>
  <c r="AB37" i="3" s="1"/>
  <c r="CB37" i="3"/>
  <c r="AA37" i="3" s="1"/>
  <c r="CA37" i="3"/>
  <c r="Z37" i="3" s="1"/>
  <c r="BZ37" i="3"/>
  <c r="Y37" i="3" s="1"/>
  <c r="BY37" i="3"/>
  <c r="X37" i="3" s="1"/>
  <c r="BX37" i="3"/>
  <c r="BW37" i="3"/>
  <c r="V37" i="3" s="1"/>
  <c r="BV37" i="3"/>
  <c r="BU37" i="3"/>
  <c r="T37" i="3" s="1"/>
  <c r="BT37" i="3"/>
  <c r="S37" i="3" s="1"/>
  <c r="BS37" i="3"/>
  <c r="R37" i="3" s="1"/>
  <c r="BR37" i="3"/>
  <c r="Q37" i="3" s="1"/>
  <c r="BQ37" i="3"/>
  <c r="P37" i="3" s="1"/>
  <c r="BP37" i="3"/>
  <c r="O37" i="3" s="1"/>
  <c r="BO37" i="3"/>
  <c r="N37" i="3" s="1"/>
  <c r="BN37" i="3"/>
  <c r="M37" i="3" s="1"/>
  <c r="BM37" i="3"/>
  <c r="BL37" i="3"/>
  <c r="K37" i="3" s="1"/>
  <c r="BK37" i="3"/>
  <c r="J37" i="3" s="1"/>
  <c r="BJ37" i="3"/>
  <c r="I37" i="3" s="1"/>
  <c r="BI37" i="3"/>
  <c r="H37" i="3" s="1"/>
  <c r="BH37" i="3"/>
  <c r="G37" i="3" s="1"/>
  <c r="BG37" i="3"/>
  <c r="F37" i="3" s="1"/>
  <c r="DB36" i="3"/>
  <c r="BA36" i="3" s="1"/>
  <c r="DA36" i="3"/>
  <c r="AZ36" i="3" s="1"/>
  <c r="CZ36" i="3"/>
  <c r="AY36" i="3" s="1"/>
  <c r="CY36" i="3"/>
  <c r="AX36" i="3" s="1"/>
  <c r="CX36" i="3"/>
  <c r="AW36" i="3" s="1"/>
  <c r="CW36" i="3"/>
  <c r="AV36" i="3" s="1"/>
  <c r="CV36" i="3"/>
  <c r="AU36" i="3" s="1"/>
  <c r="CU36" i="3"/>
  <c r="AT36" i="3" s="1"/>
  <c r="CT36" i="3"/>
  <c r="AS36" i="3" s="1"/>
  <c r="CS36" i="3"/>
  <c r="CR36" i="3"/>
  <c r="AQ36" i="3" s="1"/>
  <c r="CQ36" i="3"/>
  <c r="CP36" i="3"/>
  <c r="AO36" i="3" s="1"/>
  <c r="CO36" i="3"/>
  <c r="AN36" i="3" s="1"/>
  <c r="CN36" i="3"/>
  <c r="AM36" i="3" s="1"/>
  <c r="CM36" i="3"/>
  <c r="CL36" i="3"/>
  <c r="AK36" i="3" s="1"/>
  <c r="CK36" i="3"/>
  <c r="AJ36" i="3" s="1"/>
  <c r="CJ36" i="3"/>
  <c r="AI36" i="3" s="1"/>
  <c r="CI36" i="3"/>
  <c r="AH36" i="3" s="1"/>
  <c r="CH36" i="3"/>
  <c r="AG36" i="3" s="1"/>
  <c r="CG36" i="3"/>
  <c r="AF36" i="3" s="1"/>
  <c r="CF36" i="3"/>
  <c r="AE36" i="3" s="1"/>
  <c r="CE36" i="3"/>
  <c r="CD36" i="3"/>
  <c r="AC36" i="3" s="1"/>
  <c r="CC36" i="3"/>
  <c r="AB36" i="3" s="1"/>
  <c r="CB36" i="3"/>
  <c r="AA36" i="3" s="1"/>
  <c r="CA36" i="3"/>
  <c r="Z36" i="3" s="1"/>
  <c r="BZ36" i="3"/>
  <c r="Y36" i="3" s="1"/>
  <c r="BY36" i="3"/>
  <c r="X36" i="3" s="1"/>
  <c r="BX36" i="3"/>
  <c r="BW36" i="3"/>
  <c r="V36" i="3" s="1"/>
  <c r="BV36" i="3"/>
  <c r="U36" i="3" s="1"/>
  <c r="BU36" i="3"/>
  <c r="T36" i="3" s="1"/>
  <c r="BT36" i="3"/>
  <c r="S36" i="3" s="1"/>
  <c r="BS36" i="3"/>
  <c r="R36" i="3" s="1"/>
  <c r="BR36" i="3"/>
  <c r="Q36" i="3" s="1"/>
  <c r="BQ36" i="3"/>
  <c r="P36" i="3" s="1"/>
  <c r="BP36" i="3"/>
  <c r="O36" i="3" s="1"/>
  <c r="BO36" i="3"/>
  <c r="N36" i="3" s="1"/>
  <c r="BN36" i="3"/>
  <c r="M36" i="3" s="1"/>
  <c r="BM36" i="3"/>
  <c r="L36" i="3" s="1"/>
  <c r="BL36" i="3"/>
  <c r="K36" i="3" s="1"/>
  <c r="BK36" i="3"/>
  <c r="J36" i="3" s="1"/>
  <c r="BJ36" i="3"/>
  <c r="I36" i="3" s="1"/>
  <c r="BI36" i="3"/>
  <c r="H36" i="3" s="1"/>
  <c r="BH36" i="3"/>
  <c r="G36" i="3" s="1"/>
  <c r="BG36" i="3"/>
  <c r="F36" i="3" s="1"/>
  <c r="DB35" i="3"/>
  <c r="BA35" i="3" s="1"/>
  <c r="DA35" i="3"/>
  <c r="AZ35" i="3" s="1"/>
  <c r="CZ35" i="3"/>
  <c r="CY35" i="3"/>
  <c r="AX35" i="3" s="1"/>
  <c r="CX35" i="3"/>
  <c r="AW35" i="3" s="1"/>
  <c r="CW35" i="3"/>
  <c r="AV35" i="3" s="1"/>
  <c r="CV35" i="3"/>
  <c r="AU35" i="3" s="1"/>
  <c r="CU35" i="3"/>
  <c r="AT35" i="3" s="1"/>
  <c r="CT35" i="3"/>
  <c r="AS35" i="3" s="1"/>
  <c r="CS35" i="3"/>
  <c r="CR35" i="3"/>
  <c r="AQ35" i="3" s="1"/>
  <c r="CQ35" i="3"/>
  <c r="AP35" i="3" s="1"/>
  <c r="CP35" i="3"/>
  <c r="AO35" i="3" s="1"/>
  <c r="CO35" i="3"/>
  <c r="AN35" i="3" s="1"/>
  <c r="CN35" i="3"/>
  <c r="CM35" i="3"/>
  <c r="CL35" i="3"/>
  <c r="CK35" i="3"/>
  <c r="AJ35" i="3" s="1"/>
  <c r="CJ35" i="3"/>
  <c r="AI35" i="3" s="1"/>
  <c r="CI35" i="3"/>
  <c r="AH35" i="3" s="1"/>
  <c r="CH35" i="3"/>
  <c r="AG35" i="3" s="1"/>
  <c r="CG35" i="3"/>
  <c r="CF35" i="3"/>
  <c r="AE35" i="3" s="1"/>
  <c r="CE35" i="3"/>
  <c r="CD35" i="3"/>
  <c r="AC35" i="3" s="1"/>
  <c r="CC35" i="3"/>
  <c r="AB35" i="3" s="1"/>
  <c r="CB35" i="3"/>
  <c r="AA35" i="3" s="1"/>
  <c r="CA35" i="3"/>
  <c r="Z35" i="3" s="1"/>
  <c r="BZ35" i="3"/>
  <c r="Y35" i="3" s="1"/>
  <c r="BY35" i="3"/>
  <c r="X35" i="3" s="1"/>
  <c r="BX35" i="3"/>
  <c r="W35" i="3" s="1"/>
  <c r="BW35" i="3"/>
  <c r="V35" i="3" s="1"/>
  <c r="BV35" i="3"/>
  <c r="U35" i="3" s="1"/>
  <c r="BU35" i="3"/>
  <c r="T35" i="3" s="1"/>
  <c r="BT35" i="3"/>
  <c r="S35" i="3" s="1"/>
  <c r="BS35" i="3"/>
  <c r="R35" i="3" s="1"/>
  <c r="BR35" i="3"/>
  <c r="Q35" i="3" s="1"/>
  <c r="BQ35" i="3"/>
  <c r="P35" i="3" s="1"/>
  <c r="BP35" i="3"/>
  <c r="O35" i="3" s="1"/>
  <c r="BO35" i="3"/>
  <c r="N35" i="3" s="1"/>
  <c r="BN35" i="3"/>
  <c r="M35" i="3" s="1"/>
  <c r="BM35" i="3"/>
  <c r="L35" i="3" s="1"/>
  <c r="BL35" i="3"/>
  <c r="K35" i="3" s="1"/>
  <c r="BK35" i="3"/>
  <c r="J35" i="3" s="1"/>
  <c r="BJ35" i="3"/>
  <c r="I35" i="3" s="1"/>
  <c r="BI35" i="3"/>
  <c r="H35" i="3" s="1"/>
  <c r="BH35" i="3"/>
  <c r="G35" i="3" s="1"/>
  <c r="BG35" i="3"/>
  <c r="F35" i="3" s="1"/>
  <c r="DB34" i="3"/>
  <c r="BA34" i="3" s="1"/>
  <c r="DA34" i="3"/>
  <c r="AZ34" i="3" s="1"/>
  <c r="CZ34" i="3"/>
  <c r="AY34" i="3" s="1"/>
  <c r="CY34" i="3"/>
  <c r="CX34" i="3"/>
  <c r="AW34" i="3" s="1"/>
  <c r="CW34" i="3"/>
  <c r="AV34" i="3" s="1"/>
  <c r="CV34" i="3"/>
  <c r="AU34" i="3" s="1"/>
  <c r="CU34" i="3"/>
  <c r="AT34" i="3" s="1"/>
  <c r="CT34" i="3"/>
  <c r="AS34" i="3" s="1"/>
  <c r="CS34" i="3"/>
  <c r="AR34" i="3" s="1"/>
  <c r="CR34" i="3"/>
  <c r="AQ34" i="3" s="1"/>
  <c r="CQ34" i="3"/>
  <c r="AP34" i="3" s="1"/>
  <c r="CP34" i="3"/>
  <c r="AO34" i="3" s="1"/>
  <c r="CO34" i="3"/>
  <c r="AN34" i="3" s="1"/>
  <c r="CN34" i="3"/>
  <c r="CM34" i="3"/>
  <c r="AL34" i="3" s="1"/>
  <c r="CL34" i="3"/>
  <c r="AK34" i="3" s="1"/>
  <c r="CK34" i="3"/>
  <c r="AJ34" i="3" s="1"/>
  <c r="CJ34" i="3"/>
  <c r="AI34" i="3" s="1"/>
  <c r="CI34" i="3"/>
  <c r="AH34" i="3" s="1"/>
  <c r="CH34" i="3"/>
  <c r="AG34" i="3" s="1"/>
  <c r="CG34" i="3"/>
  <c r="AF34" i="3" s="1"/>
  <c r="CF34" i="3"/>
  <c r="AE34" i="3" s="1"/>
  <c r="CE34" i="3"/>
  <c r="AD34" i="3" s="1"/>
  <c r="CD34" i="3"/>
  <c r="AC34" i="3" s="1"/>
  <c r="CC34" i="3"/>
  <c r="AB34" i="3" s="1"/>
  <c r="CB34" i="3"/>
  <c r="CA34" i="3"/>
  <c r="Z34" i="3" s="1"/>
  <c r="BZ34" i="3"/>
  <c r="Y34" i="3" s="1"/>
  <c r="BY34" i="3"/>
  <c r="X34" i="3" s="1"/>
  <c r="BX34" i="3"/>
  <c r="W34" i="3" s="1"/>
  <c r="BW34" i="3"/>
  <c r="V34" i="3" s="1"/>
  <c r="BV34" i="3"/>
  <c r="U34" i="3" s="1"/>
  <c r="BU34" i="3"/>
  <c r="T34" i="3" s="1"/>
  <c r="BT34" i="3"/>
  <c r="S34" i="3" s="1"/>
  <c r="BS34" i="3"/>
  <c r="BR34" i="3"/>
  <c r="Q34" i="3" s="1"/>
  <c r="BQ34" i="3"/>
  <c r="P34" i="3" s="1"/>
  <c r="BP34" i="3"/>
  <c r="O34" i="3" s="1"/>
  <c r="BO34" i="3"/>
  <c r="N34" i="3" s="1"/>
  <c r="BN34" i="3"/>
  <c r="M34" i="3" s="1"/>
  <c r="BM34" i="3"/>
  <c r="BL34" i="3"/>
  <c r="K34" i="3" s="1"/>
  <c r="BK34" i="3"/>
  <c r="J34" i="3" s="1"/>
  <c r="BJ34" i="3"/>
  <c r="I34" i="3" s="1"/>
  <c r="BI34" i="3"/>
  <c r="H34" i="3" s="1"/>
  <c r="BH34" i="3"/>
  <c r="G34" i="3" s="1"/>
  <c r="BG34" i="3"/>
  <c r="DB33" i="3"/>
  <c r="BA33" i="3" s="1"/>
  <c r="DA33" i="3"/>
  <c r="AZ33" i="3" s="1"/>
  <c r="CZ33" i="3"/>
  <c r="AY33" i="3" s="1"/>
  <c r="CY33" i="3"/>
  <c r="CX33" i="3"/>
  <c r="AW33" i="3" s="1"/>
  <c r="CW33" i="3"/>
  <c r="AV33" i="3" s="1"/>
  <c r="CV33" i="3"/>
  <c r="AU33" i="3" s="1"/>
  <c r="CU33" i="3"/>
  <c r="AT33" i="3" s="1"/>
  <c r="CT33" i="3"/>
  <c r="AS33" i="3" s="1"/>
  <c r="CS33" i="3"/>
  <c r="AR33" i="3" s="1"/>
  <c r="CR33" i="3"/>
  <c r="AQ33" i="3" s="1"/>
  <c r="CQ33" i="3"/>
  <c r="AP33" i="3" s="1"/>
  <c r="CP33" i="3"/>
  <c r="AO33" i="3" s="1"/>
  <c r="CO33" i="3"/>
  <c r="AN33" i="3" s="1"/>
  <c r="CN33" i="3"/>
  <c r="AM33" i="3" s="1"/>
  <c r="CM33" i="3"/>
  <c r="CL33" i="3"/>
  <c r="CK33" i="3"/>
  <c r="AJ33" i="3" s="1"/>
  <c r="CJ33" i="3"/>
  <c r="AI33" i="3" s="1"/>
  <c r="CI33" i="3"/>
  <c r="AH33" i="3" s="1"/>
  <c r="CH33" i="3"/>
  <c r="AG33" i="3" s="1"/>
  <c r="CG33" i="3"/>
  <c r="AF33" i="3" s="1"/>
  <c r="CF33" i="3"/>
  <c r="CE33" i="3"/>
  <c r="AD33" i="3" s="1"/>
  <c r="CD33" i="3"/>
  <c r="AC33" i="3" s="1"/>
  <c r="CC33" i="3"/>
  <c r="AB33" i="3" s="1"/>
  <c r="CB33" i="3"/>
  <c r="AA33" i="3" s="1"/>
  <c r="CA33" i="3"/>
  <c r="Z33" i="3" s="1"/>
  <c r="BZ33" i="3"/>
  <c r="BY33" i="3"/>
  <c r="X33" i="3" s="1"/>
  <c r="BX33" i="3"/>
  <c r="W33" i="3" s="1"/>
  <c r="BW33" i="3"/>
  <c r="V33" i="3" s="1"/>
  <c r="BV33" i="3"/>
  <c r="U33" i="3" s="1"/>
  <c r="BU33" i="3"/>
  <c r="T33" i="3" s="1"/>
  <c r="BT33" i="3"/>
  <c r="S33" i="3" s="1"/>
  <c r="BS33" i="3"/>
  <c r="R33" i="3" s="1"/>
  <c r="BR33" i="3"/>
  <c r="Q33" i="3" s="1"/>
  <c r="BQ33" i="3"/>
  <c r="P33" i="3" s="1"/>
  <c r="BP33" i="3"/>
  <c r="BO33" i="3"/>
  <c r="N33" i="3" s="1"/>
  <c r="BN33" i="3"/>
  <c r="M33" i="3" s="1"/>
  <c r="BM33" i="3"/>
  <c r="L33" i="3" s="1"/>
  <c r="BL33" i="3"/>
  <c r="BK33" i="3"/>
  <c r="J33" i="3" s="1"/>
  <c r="BJ33" i="3"/>
  <c r="I33" i="3" s="1"/>
  <c r="BI33" i="3"/>
  <c r="H33" i="3" s="1"/>
  <c r="BH33" i="3"/>
  <c r="G33" i="3" s="1"/>
  <c r="BG33" i="3"/>
  <c r="F33" i="3" s="1"/>
  <c r="DB32" i="3"/>
  <c r="BA32" i="3" s="1"/>
  <c r="DA32" i="3"/>
  <c r="AZ32" i="3" s="1"/>
  <c r="CZ32" i="3"/>
  <c r="AY32" i="3" s="1"/>
  <c r="CY32" i="3"/>
  <c r="CX32" i="3"/>
  <c r="AW32" i="3" s="1"/>
  <c r="CW32" i="3"/>
  <c r="AV32" i="3" s="1"/>
  <c r="CV32" i="3"/>
  <c r="AU32" i="3" s="1"/>
  <c r="CU32" i="3"/>
  <c r="AT32" i="3" s="1"/>
  <c r="CT32" i="3"/>
  <c r="AS32" i="3" s="1"/>
  <c r="CS32" i="3"/>
  <c r="CR32" i="3"/>
  <c r="AQ32" i="3" s="1"/>
  <c r="CQ32" i="3"/>
  <c r="AP32" i="3" s="1"/>
  <c r="CP32" i="3"/>
  <c r="AO32" i="3" s="1"/>
  <c r="CO32" i="3"/>
  <c r="CN32" i="3"/>
  <c r="AM32" i="3" s="1"/>
  <c r="CM32" i="3"/>
  <c r="CL32" i="3"/>
  <c r="AK32" i="3" s="1"/>
  <c r="CK32" i="3"/>
  <c r="AJ32" i="3" s="1"/>
  <c r="CJ32" i="3"/>
  <c r="AI32" i="3" s="1"/>
  <c r="CI32" i="3"/>
  <c r="AH32" i="3" s="1"/>
  <c r="CH32" i="3"/>
  <c r="AG32" i="3" s="1"/>
  <c r="CG32" i="3"/>
  <c r="AF32" i="3" s="1"/>
  <c r="CF32" i="3"/>
  <c r="AE32" i="3" s="1"/>
  <c r="CE32" i="3"/>
  <c r="AD32" i="3" s="1"/>
  <c r="CD32" i="3"/>
  <c r="AC32" i="3" s="1"/>
  <c r="CC32" i="3"/>
  <c r="AB32" i="3" s="1"/>
  <c r="CB32" i="3"/>
  <c r="CA32" i="3"/>
  <c r="Z32" i="3" s="1"/>
  <c r="BZ32" i="3"/>
  <c r="Y32" i="3" s="1"/>
  <c r="BY32" i="3"/>
  <c r="X32" i="3" s="1"/>
  <c r="BX32" i="3"/>
  <c r="W32" i="3" s="1"/>
  <c r="BW32" i="3"/>
  <c r="V32" i="3" s="1"/>
  <c r="BV32" i="3"/>
  <c r="U32" i="3" s="1"/>
  <c r="BU32" i="3"/>
  <c r="T32" i="3" s="1"/>
  <c r="BT32" i="3"/>
  <c r="S32" i="3" s="1"/>
  <c r="BS32" i="3"/>
  <c r="R32" i="3" s="1"/>
  <c r="BR32" i="3"/>
  <c r="Q32" i="3" s="1"/>
  <c r="BQ32" i="3"/>
  <c r="P32" i="3" s="1"/>
  <c r="BP32" i="3"/>
  <c r="O32" i="3" s="1"/>
  <c r="BO32" i="3"/>
  <c r="N32" i="3" s="1"/>
  <c r="BN32" i="3"/>
  <c r="M32" i="3" s="1"/>
  <c r="BM32" i="3"/>
  <c r="L32" i="3" s="1"/>
  <c r="BL32" i="3"/>
  <c r="K32" i="3" s="1"/>
  <c r="BK32" i="3"/>
  <c r="BJ32" i="3"/>
  <c r="I32" i="3" s="1"/>
  <c r="BI32" i="3"/>
  <c r="H32" i="3" s="1"/>
  <c r="BH32" i="3"/>
  <c r="G32" i="3" s="1"/>
  <c r="BG32" i="3"/>
  <c r="DB31" i="3"/>
  <c r="BA31" i="3" s="1"/>
  <c r="DA31" i="3"/>
  <c r="CZ31" i="3"/>
  <c r="AY31" i="3" s="1"/>
  <c r="CY31" i="3"/>
  <c r="AX31" i="3" s="1"/>
  <c r="CX31" i="3"/>
  <c r="AW31" i="3" s="1"/>
  <c r="CW31" i="3"/>
  <c r="AV31" i="3" s="1"/>
  <c r="CV31" i="3"/>
  <c r="AU31" i="3" s="1"/>
  <c r="CU31" i="3"/>
  <c r="AT31" i="3" s="1"/>
  <c r="CT31" i="3"/>
  <c r="AS31" i="3" s="1"/>
  <c r="CS31" i="3"/>
  <c r="AR31" i="3" s="1"/>
  <c r="CR31" i="3"/>
  <c r="CQ31" i="3"/>
  <c r="AP31" i="3" s="1"/>
  <c r="CP31" i="3"/>
  <c r="AO31" i="3" s="1"/>
  <c r="CO31" i="3"/>
  <c r="AN31" i="3" s="1"/>
  <c r="CN31" i="3"/>
  <c r="AM31" i="3" s="1"/>
  <c r="CM31" i="3"/>
  <c r="AL31" i="3" s="1"/>
  <c r="CL31" i="3"/>
  <c r="AK31" i="3" s="1"/>
  <c r="CK31" i="3"/>
  <c r="CJ31" i="3"/>
  <c r="AI31" i="3" s="1"/>
  <c r="CI31" i="3"/>
  <c r="AH31" i="3" s="1"/>
  <c r="CH31" i="3"/>
  <c r="AG31" i="3" s="1"/>
  <c r="CG31" i="3"/>
  <c r="AF31" i="3" s="1"/>
  <c r="CF31" i="3"/>
  <c r="AE31" i="3" s="1"/>
  <c r="CE31" i="3"/>
  <c r="AD31" i="3" s="1"/>
  <c r="CD31" i="3"/>
  <c r="AC31" i="3" s="1"/>
  <c r="CC31" i="3"/>
  <c r="AB31" i="3" s="1"/>
  <c r="CB31" i="3"/>
  <c r="CA31" i="3"/>
  <c r="Z31" i="3" s="1"/>
  <c r="BZ31" i="3"/>
  <c r="BY31" i="3"/>
  <c r="X31" i="3" s="1"/>
  <c r="BX31" i="3"/>
  <c r="W31" i="3" s="1"/>
  <c r="BW31" i="3"/>
  <c r="V31" i="3" s="1"/>
  <c r="BV31" i="3"/>
  <c r="U31" i="3" s="1"/>
  <c r="BU31" i="3"/>
  <c r="T31" i="3" s="1"/>
  <c r="BT31" i="3"/>
  <c r="S31" i="3" s="1"/>
  <c r="BS31" i="3"/>
  <c r="BR31" i="3"/>
  <c r="Q31" i="3" s="1"/>
  <c r="BQ31" i="3"/>
  <c r="P31" i="3" s="1"/>
  <c r="BP31" i="3"/>
  <c r="O31" i="3" s="1"/>
  <c r="BO31" i="3"/>
  <c r="N31" i="3" s="1"/>
  <c r="BN31" i="3"/>
  <c r="M31" i="3" s="1"/>
  <c r="BM31" i="3"/>
  <c r="L31" i="3" s="1"/>
  <c r="BL31" i="3"/>
  <c r="BK31" i="3"/>
  <c r="BJ31" i="3"/>
  <c r="I31" i="3" s="1"/>
  <c r="BI31" i="3"/>
  <c r="H31" i="3" s="1"/>
  <c r="BH31" i="3"/>
  <c r="G31" i="3" s="1"/>
  <c r="BG31" i="3"/>
  <c r="DB30" i="3"/>
  <c r="BA30" i="3" s="1"/>
  <c r="DA30" i="3"/>
  <c r="AZ30" i="3" s="1"/>
  <c r="CZ30" i="3"/>
  <c r="AY30" i="3" s="1"/>
  <c r="CY30" i="3"/>
  <c r="CX30" i="3"/>
  <c r="AW30" i="3" s="1"/>
  <c r="CW30" i="3"/>
  <c r="CV30" i="3"/>
  <c r="CU30" i="3"/>
  <c r="CT30" i="3"/>
  <c r="AS30" i="3" s="1"/>
  <c r="CS30" i="3"/>
  <c r="AR30" i="3" s="1"/>
  <c r="CR30" i="3"/>
  <c r="AQ30" i="3" s="1"/>
  <c r="CQ30" i="3"/>
  <c r="AP30" i="3" s="1"/>
  <c r="CP30" i="3"/>
  <c r="AO30" i="3" s="1"/>
  <c r="CO30" i="3"/>
  <c r="AN30" i="3" s="1"/>
  <c r="CN30" i="3"/>
  <c r="AM30" i="3" s="1"/>
  <c r="CM30" i="3"/>
  <c r="AL30" i="3" s="1"/>
  <c r="CL30" i="3"/>
  <c r="AK30" i="3" s="1"/>
  <c r="CK30" i="3"/>
  <c r="AJ30" i="3" s="1"/>
  <c r="CJ30" i="3"/>
  <c r="AI30" i="3" s="1"/>
  <c r="CI30" i="3"/>
  <c r="AH30" i="3" s="1"/>
  <c r="CH30" i="3"/>
  <c r="AG30" i="3" s="1"/>
  <c r="CG30" i="3"/>
  <c r="AF30" i="3" s="1"/>
  <c r="CF30" i="3"/>
  <c r="AE30" i="3" s="1"/>
  <c r="CE30" i="3"/>
  <c r="AD30" i="3" s="1"/>
  <c r="CD30" i="3"/>
  <c r="AC30" i="3" s="1"/>
  <c r="CC30" i="3"/>
  <c r="AB30" i="3" s="1"/>
  <c r="CB30" i="3"/>
  <c r="AA30" i="3" s="1"/>
  <c r="CA30" i="3"/>
  <c r="Z30" i="3" s="1"/>
  <c r="BZ30" i="3"/>
  <c r="Y30" i="3" s="1"/>
  <c r="BY30" i="3"/>
  <c r="X30" i="3" s="1"/>
  <c r="BX30" i="3"/>
  <c r="W30" i="3" s="1"/>
  <c r="BW30" i="3"/>
  <c r="BV30" i="3"/>
  <c r="U30" i="3" s="1"/>
  <c r="BU30" i="3"/>
  <c r="T30" i="3" s="1"/>
  <c r="BT30" i="3"/>
  <c r="S30" i="3" s="1"/>
  <c r="BS30" i="3"/>
  <c r="R30" i="3" s="1"/>
  <c r="BR30" i="3"/>
  <c r="BQ30" i="3"/>
  <c r="P30" i="3" s="1"/>
  <c r="BP30" i="3"/>
  <c r="O30" i="3" s="1"/>
  <c r="BO30" i="3"/>
  <c r="N30" i="3" s="1"/>
  <c r="BN30" i="3"/>
  <c r="M30" i="3" s="1"/>
  <c r="BM30" i="3"/>
  <c r="L30" i="3" s="1"/>
  <c r="BL30" i="3"/>
  <c r="K30" i="3" s="1"/>
  <c r="BK30" i="3"/>
  <c r="J30" i="3" s="1"/>
  <c r="BJ30" i="3"/>
  <c r="I30" i="3" s="1"/>
  <c r="BI30" i="3"/>
  <c r="H30" i="3" s="1"/>
  <c r="BH30" i="3"/>
  <c r="BG30" i="3"/>
  <c r="F30" i="3" s="1"/>
  <c r="DB29" i="3"/>
  <c r="BA29" i="3" s="1"/>
  <c r="DA29" i="3"/>
  <c r="CZ29" i="3"/>
  <c r="AY29" i="3" s="1"/>
  <c r="CY29" i="3"/>
  <c r="CX29" i="3"/>
  <c r="CW29" i="3"/>
  <c r="CV29" i="3"/>
  <c r="AU29" i="3" s="1"/>
  <c r="CU29" i="3"/>
  <c r="AT29" i="3" s="1"/>
  <c r="CT29" i="3"/>
  <c r="AS29" i="3" s="1"/>
  <c r="CS29" i="3"/>
  <c r="AR29" i="3" s="1"/>
  <c r="CR29" i="3"/>
  <c r="CQ29" i="3"/>
  <c r="CP29" i="3"/>
  <c r="CO29" i="3"/>
  <c r="CN29" i="3"/>
  <c r="CM29" i="3"/>
  <c r="CL29" i="3"/>
  <c r="CK29" i="3"/>
  <c r="CJ29" i="3"/>
  <c r="CI29" i="3"/>
  <c r="CH29" i="3"/>
  <c r="CG29" i="3"/>
  <c r="AF29" i="3" s="1"/>
  <c r="CF29" i="3"/>
  <c r="AE29" i="3" s="1"/>
  <c r="CE29" i="3"/>
  <c r="AD29" i="3" s="1"/>
  <c r="CD29" i="3"/>
  <c r="CC29" i="3"/>
  <c r="CB29" i="3"/>
  <c r="CA29" i="3"/>
  <c r="BZ29" i="3"/>
  <c r="Y29" i="3" s="1"/>
  <c r="BY29" i="3"/>
  <c r="BX29" i="3"/>
  <c r="BW29" i="3"/>
  <c r="BV29" i="3"/>
  <c r="BU29" i="3"/>
  <c r="BT29" i="3"/>
  <c r="BS29" i="3"/>
  <c r="BR29" i="3"/>
  <c r="Q29" i="3" s="1"/>
  <c r="BQ29" i="3"/>
  <c r="P29" i="3" s="1"/>
  <c r="BP29" i="3"/>
  <c r="BO29" i="3"/>
  <c r="BN29" i="3"/>
  <c r="BM29" i="3"/>
  <c r="BL29" i="3"/>
  <c r="K29" i="3" s="1"/>
  <c r="BK29" i="3"/>
  <c r="BJ29" i="3"/>
  <c r="BI29" i="3"/>
  <c r="BH29" i="3"/>
  <c r="BG29" i="3"/>
  <c r="F29" i="3" s="1"/>
  <c r="DB28" i="3"/>
  <c r="BA28" i="3" s="1"/>
  <c r="DA28" i="3"/>
  <c r="AZ28" i="3" s="1"/>
  <c r="CZ28" i="3"/>
  <c r="CY28" i="3"/>
  <c r="AX28" i="3" s="1"/>
  <c r="CX28" i="3"/>
  <c r="AW28" i="3" s="1"/>
  <c r="CW28" i="3"/>
  <c r="AV28" i="3" s="1"/>
  <c r="CV28" i="3"/>
  <c r="AU28" i="3" s="1"/>
  <c r="CU28" i="3"/>
  <c r="AT28" i="3" s="1"/>
  <c r="CT28" i="3"/>
  <c r="AS28" i="3" s="1"/>
  <c r="CS28" i="3"/>
  <c r="AR28" i="3" s="1"/>
  <c r="CR28" i="3"/>
  <c r="AQ28" i="3" s="1"/>
  <c r="CQ28" i="3"/>
  <c r="AP28" i="3" s="1"/>
  <c r="CP28" i="3"/>
  <c r="AO28" i="3" s="1"/>
  <c r="CO28" i="3"/>
  <c r="AN28" i="3" s="1"/>
  <c r="CN28" i="3"/>
  <c r="CM28" i="3"/>
  <c r="AL28" i="3" s="1"/>
  <c r="CL28" i="3"/>
  <c r="AK28" i="3" s="1"/>
  <c r="CK28" i="3"/>
  <c r="AJ28" i="3" s="1"/>
  <c r="CJ28" i="3"/>
  <c r="AI28" i="3" s="1"/>
  <c r="CI28" i="3"/>
  <c r="AH28" i="3" s="1"/>
  <c r="CH28" i="3"/>
  <c r="AG28" i="3" s="1"/>
  <c r="CG28" i="3"/>
  <c r="CF28" i="3"/>
  <c r="CE28" i="3"/>
  <c r="AD28" i="3" s="1"/>
  <c r="CD28" i="3"/>
  <c r="AC28" i="3" s="1"/>
  <c r="CC28" i="3"/>
  <c r="AB28" i="3" s="1"/>
  <c r="CB28" i="3"/>
  <c r="CA28" i="3"/>
  <c r="Z28" i="3" s="1"/>
  <c r="BZ28" i="3"/>
  <c r="BY28" i="3"/>
  <c r="X28" i="3" s="1"/>
  <c r="BX28" i="3"/>
  <c r="W28" i="3" s="1"/>
  <c r="BW28" i="3"/>
  <c r="V28" i="3" s="1"/>
  <c r="BV28" i="3"/>
  <c r="U28" i="3" s="1"/>
  <c r="BU28" i="3"/>
  <c r="BT28" i="3"/>
  <c r="S28" i="3" s="1"/>
  <c r="BS28" i="3"/>
  <c r="BR28" i="3"/>
  <c r="Q28" i="3" s="1"/>
  <c r="BQ28" i="3"/>
  <c r="P28" i="3" s="1"/>
  <c r="BP28" i="3"/>
  <c r="O28" i="3" s="1"/>
  <c r="BO28" i="3"/>
  <c r="N28" i="3" s="1"/>
  <c r="BN28" i="3"/>
  <c r="M28" i="3" s="1"/>
  <c r="BM28" i="3"/>
  <c r="L28" i="3" s="1"/>
  <c r="BL28" i="3"/>
  <c r="K28" i="3" s="1"/>
  <c r="BK28" i="3"/>
  <c r="BJ28" i="3"/>
  <c r="BI28" i="3"/>
  <c r="H28" i="3" s="1"/>
  <c r="BH28" i="3"/>
  <c r="G28" i="3" s="1"/>
  <c r="BG28" i="3"/>
  <c r="F28" i="3" s="1"/>
  <c r="DB27" i="3"/>
  <c r="BA27" i="3" s="1"/>
  <c r="DA27" i="3"/>
  <c r="AZ27" i="3" s="1"/>
  <c r="CZ27" i="3"/>
  <c r="AY27" i="3" s="1"/>
  <c r="CY27" i="3"/>
  <c r="AX27" i="3" s="1"/>
  <c r="CX27" i="3"/>
  <c r="AW27" i="3" s="1"/>
  <c r="CW27" i="3"/>
  <c r="AV27" i="3" s="1"/>
  <c r="CV27" i="3"/>
  <c r="AU27" i="3" s="1"/>
  <c r="CU27" i="3"/>
  <c r="AT27" i="3" s="1"/>
  <c r="CT27" i="3"/>
  <c r="AS27" i="3" s="1"/>
  <c r="CS27" i="3"/>
  <c r="AR27" i="3" s="1"/>
  <c r="CR27" i="3"/>
  <c r="AQ27" i="3" s="1"/>
  <c r="CQ27" i="3"/>
  <c r="AP27" i="3" s="1"/>
  <c r="CP27" i="3"/>
  <c r="AO27" i="3" s="1"/>
  <c r="CO27" i="3"/>
  <c r="AN27" i="3" s="1"/>
  <c r="CN27" i="3"/>
  <c r="AM27" i="3" s="1"/>
  <c r="CM27" i="3"/>
  <c r="CL27" i="3"/>
  <c r="AK27" i="3" s="1"/>
  <c r="CK27" i="3"/>
  <c r="AJ27" i="3" s="1"/>
  <c r="CJ27" i="3"/>
  <c r="AI27" i="3" s="1"/>
  <c r="CI27" i="3"/>
  <c r="AH27" i="3" s="1"/>
  <c r="CH27" i="3"/>
  <c r="AG27" i="3" s="1"/>
  <c r="CG27" i="3"/>
  <c r="AF27" i="3" s="1"/>
  <c r="CF27" i="3"/>
  <c r="CE27" i="3"/>
  <c r="AD27" i="3" s="1"/>
  <c r="CD27" i="3"/>
  <c r="AC27" i="3" s="1"/>
  <c r="CC27" i="3"/>
  <c r="AB27" i="3" s="1"/>
  <c r="CB27" i="3"/>
  <c r="CA27" i="3"/>
  <c r="Z27" i="3" s="1"/>
  <c r="BZ27" i="3"/>
  <c r="Y27" i="3" s="1"/>
  <c r="BY27" i="3"/>
  <c r="BX27" i="3"/>
  <c r="W27" i="3" s="1"/>
  <c r="BW27" i="3"/>
  <c r="V27" i="3" s="1"/>
  <c r="BV27" i="3"/>
  <c r="U27" i="3" s="1"/>
  <c r="BU27" i="3"/>
  <c r="T27" i="3" s="1"/>
  <c r="BT27" i="3"/>
  <c r="S27" i="3" s="1"/>
  <c r="BS27" i="3"/>
  <c r="BR27" i="3"/>
  <c r="BQ27" i="3"/>
  <c r="P27" i="3" s="1"/>
  <c r="BP27" i="3"/>
  <c r="O27" i="3" s="1"/>
  <c r="BO27" i="3"/>
  <c r="N27" i="3" s="1"/>
  <c r="BN27" i="3"/>
  <c r="M27" i="3" s="1"/>
  <c r="BM27" i="3"/>
  <c r="L27" i="3" s="1"/>
  <c r="BL27" i="3"/>
  <c r="K27" i="3" s="1"/>
  <c r="BK27" i="3"/>
  <c r="J27" i="3" s="1"/>
  <c r="BJ27" i="3"/>
  <c r="I27" i="3" s="1"/>
  <c r="BI27" i="3"/>
  <c r="H27" i="3" s="1"/>
  <c r="BH27" i="3"/>
  <c r="G27" i="3" s="1"/>
  <c r="BG27" i="3"/>
  <c r="F27" i="3" s="1"/>
  <c r="DB26" i="3"/>
  <c r="BA26" i="3" s="1"/>
  <c r="DA26" i="3"/>
  <c r="AZ26" i="3" s="1"/>
  <c r="CZ26" i="3"/>
  <c r="CY26" i="3"/>
  <c r="AX26" i="3" s="1"/>
  <c r="CX26" i="3"/>
  <c r="AW26" i="3" s="1"/>
  <c r="CW26" i="3"/>
  <c r="AV26" i="3" s="1"/>
  <c r="CV26" i="3"/>
  <c r="AU26" i="3" s="1"/>
  <c r="CU26" i="3"/>
  <c r="AT26" i="3" s="1"/>
  <c r="CT26" i="3"/>
  <c r="AS26" i="3" s="1"/>
  <c r="CS26" i="3"/>
  <c r="AR26" i="3" s="1"/>
  <c r="CR26" i="3"/>
  <c r="AQ26" i="3" s="1"/>
  <c r="CQ26" i="3"/>
  <c r="AP26" i="3" s="1"/>
  <c r="CP26" i="3"/>
  <c r="AO26" i="3" s="1"/>
  <c r="CO26" i="3"/>
  <c r="AN26" i="3" s="1"/>
  <c r="CN26" i="3"/>
  <c r="CM26" i="3"/>
  <c r="AL26" i="3" s="1"/>
  <c r="CL26" i="3"/>
  <c r="AK26" i="3" s="1"/>
  <c r="CK26" i="3"/>
  <c r="AJ26" i="3" s="1"/>
  <c r="CJ26" i="3"/>
  <c r="AI26" i="3" s="1"/>
  <c r="CI26" i="3"/>
  <c r="CH26" i="3"/>
  <c r="AG26" i="3" s="1"/>
  <c r="CG26" i="3"/>
  <c r="AF26" i="3" s="1"/>
  <c r="CF26" i="3"/>
  <c r="CE26" i="3"/>
  <c r="AD26" i="3" s="1"/>
  <c r="CD26" i="3"/>
  <c r="AC26" i="3" s="1"/>
  <c r="CC26" i="3"/>
  <c r="AB26" i="3" s="1"/>
  <c r="CB26" i="3"/>
  <c r="CA26" i="3"/>
  <c r="BZ26" i="3"/>
  <c r="Y26" i="3" s="1"/>
  <c r="BY26" i="3"/>
  <c r="X26" i="3" s="1"/>
  <c r="BX26" i="3"/>
  <c r="BW26" i="3"/>
  <c r="V26" i="3" s="1"/>
  <c r="BV26" i="3"/>
  <c r="U26" i="3" s="1"/>
  <c r="BU26" i="3"/>
  <c r="T26" i="3" s="1"/>
  <c r="BT26" i="3"/>
  <c r="S26" i="3" s="1"/>
  <c r="BS26" i="3"/>
  <c r="R26" i="3" s="1"/>
  <c r="BR26" i="3"/>
  <c r="Q26" i="3" s="1"/>
  <c r="BQ26" i="3"/>
  <c r="P26" i="3" s="1"/>
  <c r="BP26" i="3"/>
  <c r="O26" i="3" s="1"/>
  <c r="BO26" i="3"/>
  <c r="N26" i="3" s="1"/>
  <c r="BN26" i="3"/>
  <c r="M26" i="3" s="1"/>
  <c r="BM26" i="3"/>
  <c r="L26" i="3" s="1"/>
  <c r="BL26" i="3"/>
  <c r="BK26" i="3"/>
  <c r="BJ26" i="3"/>
  <c r="I26" i="3" s="1"/>
  <c r="BI26" i="3"/>
  <c r="H26" i="3" s="1"/>
  <c r="BH26" i="3"/>
  <c r="G26" i="3" s="1"/>
  <c r="BG26" i="3"/>
  <c r="DB25" i="3"/>
  <c r="BA25" i="3" s="1"/>
  <c r="DA25" i="3"/>
  <c r="AZ25" i="3" s="1"/>
  <c r="CZ25" i="3"/>
  <c r="CY25" i="3"/>
  <c r="AX25" i="3" s="1"/>
  <c r="CX25" i="3"/>
  <c r="AW25" i="3" s="1"/>
  <c r="CW25" i="3"/>
  <c r="AV25" i="3" s="1"/>
  <c r="CV25" i="3"/>
  <c r="AU25" i="3" s="1"/>
  <c r="CU25" i="3"/>
  <c r="AT25" i="3" s="1"/>
  <c r="CT25" i="3"/>
  <c r="AS25" i="3" s="1"/>
  <c r="CS25" i="3"/>
  <c r="CR25" i="3"/>
  <c r="AQ25" i="3" s="1"/>
  <c r="CQ25" i="3"/>
  <c r="AP25" i="3" s="1"/>
  <c r="CP25" i="3"/>
  <c r="AO25" i="3" s="1"/>
  <c r="CO25" i="3"/>
  <c r="AN25" i="3" s="1"/>
  <c r="CN25" i="3"/>
  <c r="AM25" i="3" s="1"/>
  <c r="CM25" i="3"/>
  <c r="CL25" i="3"/>
  <c r="AK25" i="3" s="1"/>
  <c r="CK25" i="3"/>
  <c r="AJ25" i="3" s="1"/>
  <c r="CJ25" i="3"/>
  <c r="AI25" i="3" s="1"/>
  <c r="CI25" i="3"/>
  <c r="AH25" i="3" s="1"/>
  <c r="CH25" i="3"/>
  <c r="AG25" i="3" s="1"/>
  <c r="CG25" i="3"/>
  <c r="AF25" i="3" s="1"/>
  <c r="CF25" i="3"/>
  <c r="CE25" i="3"/>
  <c r="AD25" i="3" s="1"/>
  <c r="CD25" i="3"/>
  <c r="AC25" i="3" s="1"/>
  <c r="CC25" i="3"/>
  <c r="AB25" i="3" s="1"/>
  <c r="CB25" i="3"/>
  <c r="CA25" i="3"/>
  <c r="BZ25" i="3"/>
  <c r="Y25" i="3" s="1"/>
  <c r="BY25" i="3"/>
  <c r="X25" i="3" s="1"/>
  <c r="BX25" i="3"/>
  <c r="BW25" i="3"/>
  <c r="V25" i="3" s="1"/>
  <c r="BV25" i="3"/>
  <c r="U25" i="3" s="1"/>
  <c r="BU25" i="3"/>
  <c r="T25" i="3" s="1"/>
  <c r="BT25" i="3"/>
  <c r="S25" i="3" s="1"/>
  <c r="BS25" i="3"/>
  <c r="R25" i="3" s="1"/>
  <c r="BR25" i="3"/>
  <c r="Q25" i="3" s="1"/>
  <c r="BQ25" i="3"/>
  <c r="P25" i="3" s="1"/>
  <c r="BP25" i="3"/>
  <c r="O25" i="3" s="1"/>
  <c r="BO25" i="3"/>
  <c r="N25" i="3" s="1"/>
  <c r="BN25" i="3"/>
  <c r="M25" i="3" s="1"/>
  <c r="BM25" i="3"/>
  <c r="L25" i="3" s="1"/>
  <c r="BL25" i="3"/>
  <c r="BK25" i="3"/>
  <c r="BJ25" i="3"/>
  <c r="I25" i="3" s="1"/>
  <c r="BI25" i="3"/>
  <c r="H25" i="3" s="1"/>
  <c r="BH25" i="3"/>
  <c r="G25" i="3" s="1"/>
  <c r="BG25" i="3"/>
  <c r="DB24" i="3"/>
  <c r="DA24" i="3"/>
  <c r="AZ24" i="3" s="1"/>
  <c r="CZ24" i="3"/>
  <c r="AY24" i="3" s="1"/>
  <c r="CY24" i="3"/>
  <c r="AX24" i="3" s="1"/>
  <c r="CX24" i="3"/>
  <c r="AW24" i="3" s="1"/>
  <c r="CW24" i="3"/>
  <c r="AV24" i="3" s="1"/>
  <c r="CV24" i="3"/>
  <c r="AU24" i="3" s="1"/>
  <c r="CU24" i="3"/>
  <c r="CT24" i="3"/>
  <c r="AS24" i="3" s="1"/>
  <c r="CS24" i="3"/>
  <c r="AR24" i="3" s="1"/>
  <c r="CR24" i="3"/>
  <c r="AQ24" i="3" s="1"/>
  <c r="CQ24" i="3"/>
  <c r="AP24" i="3" s="1"/>
  <c r="CP24" i="3"/>
  <c r="AO24" i="3" s="1"/>
  <c r="CO24" i="3"/>
  <c r="AN24" i="3" s="1"/>
  <c r="CN24" i="3"/>
  <c r="CM24" i="3"/>
  <c r="AL24" i="3" s="1"/>
  <c r="CL24" i="3"/>
  <c r="AK24" i="3" s="1"/>
  <c r="CK24" i="3"/>
  <c r="AJ24" i="3" s="1"/>
  <c r="CJ24" i="3"/>
  <c r="AI24" i="3" s="1"/>
  <c r="CI24" i="3"/>
  <c r="AH24" i="3" s="1"/>
  <c r="CH24" i="3"/>
  <c r="AG24" i="3" s="1"/>
  <c r="CG24" i="3"/>
  <c r="AF24" i="3" s="1"/>
  <c r="CF24" i="3"/>
  <c r="CE24" i="3"/>
  <c r="AD24" i="3" s="1"/>
  <c r="CD24" i="3"/>
  <c r="AC24" i="3" s="1"/>
  <c r="CC24" i="3"/>
  <c r="CB24" i="3"/>
  <c r="AA24" i="3" s="1"/>
  <c r="CA24" i="3"/>
  <c r="Z24" i="3" s="1"/>
  <c r="BZ24" i="3"/>
  <c r="Y24" i="3" s="1"/>
  <c r="BY24" i="3"/>
  <c r="X24" i="3" s="1"/>
  <c r="BX24" i="3"/>
  <c r="W24" i="3" s="1"/>
  <c r="BW24" i="3"/>
  <c r="BV24" i="3"/>
  <c r="U24" i="3" s="1"/>
  <c r="BU24" i="3"/>
  <c r="BT24" i="3"/>
  <c r="S24" i="3" s="1"/>
  <c r="BS24" i="3"/>
  <c r="R24" i="3" s="1"/>
  <c r="BR24" i="3"/>
  <c r="Q24" i="3" s="1"/>
  <c r="BQ24" i="3"/>
  <c r="P24" i="3" s="1"/>
  <c r="BP24" i="3"/>
  <c r="O24" i="3" s="1"/>
  <c r="BO24" i="3"/>
  <c r="N24" i="3" s="1"/>
  <c r="BN24" i="3"/>
  <c r="M24" i="3" s="1"/>
  <c r="BM24" i="3"/>
  <c r="L24" i="3" s="1"/>
  <c r="BL24" i="3"/>
  <c r="BK24" i="3"/>
  <c r="J24" i="3" s="1"/>
  <c r="BJ24" i="3"/>
  <c r="I24" i="3" s="1"/>
  <c r="BI24" i="3"/>
  <c r="H24" i="3" s="1"/>
  <c r="BH24" i="3"/>
  <c r="G24" i="3" s="1"/>
  <c r="BG24" i="3"/>
  <c r="DB23" i="3"/>
  <c r="BA23" i="3" s="1"/>
  <c r="DA23" i="3"/>
  <c r="AZ23" i="3" s="1"/>
  <c r="CZ23" i="3"/>
  <c r="AY23" i="3" s="1"/>
  <c r="CY23" i="3"/>
  <c r="AX23" i="3" s="1"/>
  <c r="CX23" i="3"/>
  <c r="AW23" i="3" s="1"/>
  <c r="CW23" i="3"/>
  <c r="AV23" i="3" s="1"/>
  <c r="CV23" i="3"/>
  <c r="AU23" i="3" s="1"/>
  <c r="CU23" i="3"/>
  <c r="AT23" i="3" s="1"/>
  <c r="CT23" i="3"/>
  <c r="AS23" i="3" s="1"/>
  <c r="CS23" i="3"/>
  <c r="AR23" i="3" s="1"/>
  <c r="CR23" i="3"/>
  <c r="AQ23" i="3" s="1"/>
  <c r="CQ23" i="3"/>
  <c r="CP23" i="3"/>
  <c r="AO23" i="3" s="1"/>
  <c r="CO23" i="3"/>
  <c r="AN23" i="3" s="1"/>
  <c r="CN23" i="3"/>
  <c r="AM23" i="3" s="1"/>
  <c r="CM23" i="3"/>
  <c r="CL23" i="3"/>
  <c r="AK23" i="3" s="1"/>
  <c r="CK23" i="3"/>
  <c r="AJ23" i="3" s="1"/>
  <c r="CJ23" i="3"/>
  <c r="AI23" i="3" s="1"/>
  <c r="CI23" i="3"/>
  <c r="AH23" i="3" s="1"/>
  <c r="CH23" i="3"/>
  <c r="AG23" i="3" s="1"/>
  <c r="CG23" i="3"/>
  <c r="AF23" i="3" s="1"/>
  <c r="CF23" i="3"/>
  <c r="AE23" i="3" s="1"/>
  <c r="CE23" i="3"/>
  <c r="CD23" i="3"/>
  <c r="AC23" i="3" s="1"/>
  <c r="CC23" i="3"/>
  <c r="AB23" i="3" s="1"/>
  <c r="CB23" i="3"/>
  <c r="AA23" i="3" s="1"/>
  <c r="CA23" i="3"/>
  <c r="Z23" i="3" s="1"/>
  <c r="BZ23" i="3"/>
  <c r="Y23" i="3" s="1"/>
  <c r="BY23" i="3"/>
  <c r="X23" i="3" s="1"/>
  <c r="BX23" i="3"/>
  <c r="W23" i="3" s="1"/>
  <c r="BW23" i="3"/>
  <c r="BV23" i="3"/>
  <c r="U23" i="3" s="1"/>
  <c r="BU23" i="3"/>
  <c r="T23" i="3" s="1"/>
  <c r="BT23" i="3"/>
  <c r="S23" i="3" s="1"/>
  <c r="BS23" i="3"/>
  <c r="R23" i="3" s="1"/>
  <c r="BR23" i="3"/>
  <c r="Q23" i="3" s="1"/>
  <c r="BQ23" i="3"/>
  <c r="P23" i="3" s="1"/>
  <c r="BP23" i="3"/>
  <c r="O23" i="3" s="1"/>
  <c r="BO23" i="3"/>
  <c r="N23" i="3" s="1"/>
  <c r="BN23" i="3"/>
  <c r="M23" i="3" s="1"/>
  <c r="BM23" i="3"/>
  <c r="L23" i="3" s="1"/>
  <c r="BL23" i="3"/>
  <c r="K23" i="3" s="1"/>
  <c r="BK23" i="3"/>
  <c r="J23" i="3" s="1"/>
  <c r="BJ23" i="3"/>
  <c r="I23" i="3" s="1"/>
  <c r="BI23" i="3"/>
  <c r="H23" i="3" s="1"/>
  <c r="BH23" i="3"/>
  <c r="G23" i="3" s="1"/>
  <c r="BG23" i="3"/>
  <c r="F23" i="3" s="1"/>
  <c r="DB22" i="3"/>
  <c r="BA22" i="3" s="1"/>
  <c r="DA22" i="3"/>
  <c r="AZ22" i="3" s="1"/>
  <c r="CZ22" i="3"/>
  <c r="AY22" i="3" s="1"/>
  <c r="CY22" i="3"/>
  <c r="AX22" i="3" s="1"/>
  <c r="CX22" i="3"/>
  <c r="AW22" i="3" s="1"/>
  <c r="CW22" i="3"/>
  <c r="AV22" i="3" s="1"/>
  <c r="CV22" i="3"/>
  <c r="AU22" i="3" s="1"/>
  <c r="CU22" i="3"/>
  <c r="AT22" i="3" s="1"/>
  <c r="CT22" i="3"/>
  <c r="AS22" i="3" s="1"/>
  <c r="CS22" i="3"/>
  <c r="AR22" i="3" s="1"/>
  <c r="CR22" i="3"/>
  <c r="AQ22" i="3" s="1"/>
  <c r="CQ22" i="3"/>
  <c r="AP22" i="3" s="1"/>
  <c r="CP22" i="3"/>
  <c r="AO22" i="3" s="1"/>
  <c r="CO22" i="3"/>
  <c r="CN22" i="3"/>
  <c r="AM22" i="3" s="1"/>
  <c r="CM22" i="3"/>
  <c r="AL22" i="3" s="1"/>
  <c r="CL22" i="3"/>
  <c r="AK22" i="3" s="1"/>
  <c r="CK22" i="3"/>
  <c r="AJ22" i="3" s="1"/>
  <c r="CJ22" i="3"/>
  <c r="AI22" i="3" s="1"/>
  <c r="CI22" i="3"/>
  <c r="AH22" i="3" s="1"/>
  <c r="CH22" i="3"/>
  <c r="AG22" i="3" s="1"/>
  <c r="CG22" i="3"/>
  <c r="AF22" i="3" s="1"/>
  <c r="CF22" i="3"/>
  <c r="AE22" i="3" s="1"/>
  <c r="CE22" i="3"/>
  <c r="CD22" i="3"/>
  <c r="AC22" i="3" s="1"/>
  <c r="CC22" i="3"/>
  <c r="AB22" i="3" s="1"/>
  <c r="CB22" i="3"/>
  <c r="AA22" i="3" s="1"/>
  <c r="CA22" i="3"/>
  <c r="Z22" i="3" s="1"/>
  <c r="BZ22" i="3"/>
  <c r="Y22" i="3" s="1"/>
  <c r="BY22" i="3"/>
  <c r="X22" i="3" s="1"/>
  <c r="BX22" i="3"/>
  <c r="W22" i="3" s="1"/>
  <c r="BW22" i="3"/>
  <c r="BV22" i="3"/>
  <c r="BU22" i="3"/>
  <c r="T22" i="3" s="1"/>
  <c r="BT22" i="3"/>
  <c r="S22" i="3" s="1"/>
  <c r="BS22" i="3"/>
  <c r="R22" i="3" s="1"/>
  <c r="BR22" i="3"/>
  <c r="Q22" i="3" s="1"/>
  <c r="BQ22" i="3"/>
  <c r="P22" i="3" s="1"/>
  <c r="BP22" i="3"/>
  <c r="O22" i="3" s="1"/>
  <c r="BO22" i="3"/>
  <c r="N22" i="3" s="1"/>
  <c r="BN22" i="3"/>
  <c r="M22" i="3" s="1"/>
  <c r="BM22" i="3"/>
  <c r="L22" i="3" s="1"/>
  <c r="BL22" i="3"/>
  <c r="BK22" i="3"/>
  <c r="J22" i="3" s="1"/>
  <c r="BJ22" i="3"/>
  <c r="I22" i="3" s="1"/>
  <c r="BI22" i="3"/>
  <c r="H22" i="3" s="1"/>
  <c r="BH22" i="3"/>
  <c r="G22" i="3" s="1"/>
  <c r="BG22" i="3"/>
  <c r="F22" i="3" s="1"/>
  <c r="DB21" i="3"/>
  <c r="BA21" i="3" s="1"/>
  <c r="DA21" i="3"/>
  <c r="AZ21" i="3" s="1"/>
  <c r="CZ21" i="3"/>
  <c r="CY21" i="3"/>
  <c r="AX21" i="3" s="1"/>
  <c r="CX21" i="3"/>
  <c r="AW21" i="3" s="1"/>
  <c r="CW21" i="3"/>
  <c r="CV21" i="3"/>
  <c r="AU21" i="3" s="1"/>
  <c r="CU21" i="3"/>
  <c r="AT21" i="3" s="1"/>
  <c r="CT21" i="3"/>
  <c r="AS21" i="3" s="1"/>
  <c r="CS21" i="3"/>
  <c r="AR21" i="3" s="1"/>
  <c r="CR21" i="3"/>
  <c r="AQ21" i="3" s="1"/>
  <c r="CQ21" i="3"/>
  <c r="AP21" i="3" s="1"/>
  <c r="CP21" i="3"/>
  <c r="AO21" i="3" s="1"/>
  <c r="CO21" i="3"/>
  <c r="AN21" i="3" s="1"/>
  <c r="CN21" i="3"/>
  <c r="AM21" i="3" s="1"/>
  <c r="CM21" i="3"/>
  <c r="AL21" i="3" s="1"/>
  <c r="CL21" i="3"/>
  <c r="AK21" i="3" s="1"/>
  <c r="CK21" i="3"/>
  <c r="AJ21" i="3" s="1"/>
  <c r="CJ21" i="3"/>
  <c r="AI21" i="3" s="1"/>
  <c r="CI21" i="3"/>
  <c r="AH21" i="3" s="1"/>
  <c r="CH21" i="3"/>
  <c r="AG21" i="3" s="1"/>
  <c r="CG21" i="3"/>
  <c r="AF21" i="3" s="1"/>
  <c r="CF21" i="3"/>
  <c r="AE21" i="3" s="1"/>
  <c r="CE21" i="3"/>
  <c r="AD21" i="3" s="1"/>
  <c r="CD21" i="3"/>
  <c r="AC21" i="3" s="1"/>
  <c r="CC21" i="3"/>
  <c r="AB21" i="3" s="1"/>
  <c r="CB21" i="3"/>
  <c r="AA21" i="3" s="1"/>
  <c r="CA21" i="3"/>
  <c r="BZ21" i="3"/>
  <c r="BY21" i="3"/>
  <c r="X21" i="3" s="1"/>
  <c r="BX21" i="3"/>
  <c r="W21" i="3" s="1"/>
  <c r="BW21" i="3"/>
  <c r="V21" i="3" s="1"/>
  <c r="BV21" i="3"/>
  <c r="U21" i="3" s="1"/>
  <c r="BU21" i="3"/>
  <c r="T21" i="3" s="1"/>
  <c r="BT21" i="3"/>
  <c r="S21" i="3" s="1"/>
  <c r="BS21" i="3"/>
  <c r="BR21" i="3"/>
  <c r="Q21" i="3" s="1"/>
  <c r="BQ21" i="3"/>
  <c r="P21" i="3" s="1"/>
  <c r="BP21" i="3"/>
  <c r="BO21" i="3"/>
  <c r="N21" i="3" s="1"/>
  <c r="BN21" i="3"/>
  <c r="M21" i="3" s="1"/>
  <c r="BM21" i="3"/>
  <c r="L21" i="3" s="1"/>
  <c r="BL21" i="3"/>
  <c r="K21" i="3" s="1"/>
  <c r="BK21" i="3"/>
  <c r="BJ21" i="3"/>
  <c r="I21" i="3" s="1"/>
  <c r="BI21" i="3"/>
  <c r="H21" i="3" s="1"/>
  <c r="BH21" i="3"/>
  <c r="G21" i="3" s="1"/>
  <c r="BG21" i="3"/>
  <c r="F21" i="3" s="1"/>
  <c r="DB20" i="3"/>
  <c r="BA20" i="3" s="1"/>
  <c r="DA20" i="3"/>
  <c r="AZ20" i="3" s="1"/>
  <c r="CZ20" i="3"/>
  <c r="AY20" i="3" s="1"/>
  <c r="CY20" i="3"/>
  <c r="AX20" i="3" s="1"/>
  <c r="CX20" i="3"/>
  <c r="AW20" i="3" s="1"/>
  <c r="CW20" i="3"/>
  <c r="AV20" i="3" s="1"/>
  <c r="CV20" i="3"/>
  <c r="AU20" i="3" s="1"/>
  <c r="CU20" i="3"/>
  <c r="AT20" i="3" s="1"/>
  <c r="CT20" i="3"/>
  <c r="AS20" i="3" s="1"/>
  <c r="CS20" i="3"/>
  <c r="AR20" i="3" s="1"/>
  <c r="CR20" i="3"/>
  <c r="CQ20" i="3"/>
  <c r="AP20" i="3" s="1"/>
  <c r="CP20" i="3"/>
  <c r="AO20" i="3" s="1"/>
  <c r="CO20" i="3"/>
  <c r="AN20" i="3" s="1"/>
  <c r="CN20" i="3"/>
  <c r="AM20" i="3" s="1"/>
  <c r="CM20" i="3"/>
  <c r="CL20" i="3"/>
  <c r="AK20" i="3" s="1"/>
  <c r="CK20" i="3"/>
  <c r="AJ20" i="3" s="1"/>
  <c r="CJ20" i="3"/>
  <c r="AI20" i="3" s="1"/>
  <c r="CI20" i="3"/>
  <c r="AH20" i="3" s="1"/>
  <c r="CH20" i="3"/>
  <c r="AG20" i="3" s="1"/>
  <c r="CG20" i="3"/>
  <c r="AF20" i="3" s="1"/>
  <c r="CF20" i="3"/>
  <c r="CE20" i="3"/>
  <c r="AD20" i="3" s="1"/>
  <c r="CD20" i="3"/>
  <c r="AC20" i="3" s="1"/>
  <c r="CC20" i="3"/>
  <c r="AB20" i="3" s="1"/>
  <c r="CB20" i="3"/>
  <c r="AA20" i="3" s="1"/>
  <c r="CA20" i="3"/>
  <c r="Z20" i="3" s="1"/>
  <c r="BZ20" i="3"/>
  <c r="BY20" i="3"/>
  <c r="X20" i="3" s="1"/>
  <c r="BX20" i="3"/>
  <c r="W20" i="3" s="1"/>
  <c r="BW20" i="3"/>
  <c r="BV20" i="3"/>
  <c r="U20" i="3" s="1"/>
  <c r="BU20" i="3"/>
  <c r="BT20" i="3"/>
  <c r="S20" i="3" s="1"/>
  <c r="BS20" i="3"/>
  <c r="R20" i="3" s="1"/>
  <c r="BR20" i="3"/>
  <c r="Q20" i="3" s="1"/>
  <c r="BQ20" i="3"/>
  <c r="P20" i="3" s="1"/>
  <c r="BP20" i="3"/>
  <c r="O20" i="3" s="1"/>
  <c r="BO20" i="3"/>
  <c r="BN20" i="3"/>
  <c r="M20" i="3" s="1"/>
  <c r="BM20" i="3"/>
  <c r="L20" i="3" s="1"/>
  <c r="BL20" i="3"/>
  <c r="K20" i="3" s="1"/>
  <c r="BK20" i="3"/>
  <c r="J20" i="3" s="1"/>
  <c r="BJ20" i="3"/>
  <c r="I20" i="3" s="1"/>
  <c r="BI20" i="3"/>
  <c r="H20" i="3" s="1"/>
  <c r="BH20" i="3"/>
  <c r="G20" i="3" s="1"/>
  <c r="BG20" i="3"/>
  <c r="DB19" i="3"/>
  <c r="DA19" i="3"/>
  <c r="AZ19" i="3" s="1"/>
  <c r="CZ19" i="3"/>
  <c r="AY19" i="3" s="1"/>
  <c r="CY19" i="3"/>
  <c r="AX19" i="3" s="1"/>
  <c r="CX19" i="3"/>
  <c r="AW19" i="3" s="1"/>
  <c r="CW19" i="3"/>
  <c r="AV19" i="3" s="1"/>
  <c r="CV19" i="3"/>
  <c r="AU19" i="3" s="1"/>
  <c r="CU19" i="3"/>
  <c r="AT19" i="3" s="1"/>
  <c r="CT19" i="3"/>
  <c r="AS19" i="3" s="1"/>
  <c r="CS19" i="3"/>
  <c r="AR19" i="3" s="1"/>
  <c r="CR19" i="3"/>
  <c r="AQ19" i="3" s="1"/>
  <c r="CQ19" i="3"/>
  <c r="CP19" i="3"/>
  <c r="AO19" i="3" s="1"/>
  <c r="CO19" i="3"/>
  <c r="AN19" i="3" s="1"/>
  <c r="CN19" i="3"/>
  <c r="AM19" i="3" s="1"/>
  <c r="CM19" i="3"/>
  <c r="AL19" i="3" s="1"/>
  <c r="CL19" i="3"/>
  <c r="CK19" i="3"/>
  <c r="AJ19" i="3" s="1"/>
  <c r="CJ19" i="3"/>
  <c r="AI19" i="3" s="1"/>
  <c r="CI19" i="3"/>
  <c r="CH19" i="3"/>
  <c r="AG19" i="3" s="1"/>
  <c r="CG19" i="3"/>
  <c r="AF19" i="3" s="1"/>
  <c r="CF19" i="3"/>
  <c r="AE19" i="3" s="1"/>
  <c r="CE19" i="3"/>
  <c r="AD19" i="3" s="1"/>
  <c r="CD19" i="3"/>
  <c r="AC19" i="3" s="1"/>
  <c r="CC19" i="3"/>
  <c r="AB19" i="3" s="1"/>
  <c r="CB19" i="3"/>
  <c r="AA19" i="3" s="1"/>
  <c r="CA19" i="3"/>
  <c r="Z19" i="3" s="1"/>
  <c r="BZ19" i="3"/>
  <c r="BY19" i="3"/>
  <c r="X19" i="3" s="1"/>
  <c r="BX19" i="3"/>
  <c r="W19" i="3" s="1"/>
  <c r="BW19" i="3"/>
  <c r="V19" i="3" s="1"/>
  <c r="BV19" i="3"/>
  <c r="BU19" i="3"/>
  <c r="T19" i="3" s="1"/>
  <c r="BT19" i="3"/>
  <c r="S19" i="3" s="1"/>
  <c r="BS19" i="3"/>
  <c r="R19" i="3" s="1"/>
  <c r="BR19" i="3"/>
  <c r="BQ19" i="3"/>
  <c r="P19" i="3" s="1"/>
  <c r="BP19" i="3"/>
  <c r="O19" i="3" s="1"/>
  <c r="BO19" i="3"/>
  <c r="N19" i="3" s="1"/>
  <c r="BN19" i="3"/>
  <c r="M19" i="3" s="1"/>
  <c r="BM19" i="3"/>
  <c r="L19" i="3" s="1"/>
  <c r="BL19" i="3"/>
  <c r="K19" i="3" s="1"/>
  <c r="BK19" i="3"/>
  <c r="BJ19" i="3"/>
  <c r="I19" i="3" s="1"/>
  <c r="BI19" i="3"/>
  <c r="H19" i="3" s="1"/>
  <c r="BH19" i="3"/>
  <c r="G19" i="3" s="1"/>
  <c r="BG19" i="3"/>
  <c r="DB18" i="3"/>
  <c r="BA18" i="3" s="1"/>
  <c r="DA18" i="3"/>
  <c r="CZ18" i="3"/>
  <c r="CY18" i="3"/>
  <c r="CX18" i="3"/>
  <c r="AW18" i="3" s="1"/>
  <c r="CW18" i="3"/>
  <c r="AV18" i="3" s="1"/>
  <c r="CV18" i="3"/>
  <c r="AU18" i="3" s="1"/>
  <c r="CU18" i="3"/>
  <c r="AT18" i="3" s="1"/>
  <c r="CT18" i="3"/>
  <c r="AS18" i="3" s="1"/>
  <c r="CS18" i="3"/>
  <c r="AR18" i="3" s="1"/>
  <c r="CR18" i="3"/>
  <c r="AQ18" i="3" s="1"/>
  <c r="CQ18" i="3"/>
  <c r="AP18" i="3" s="1"/>
  <c r="CP18" i="3"/>
  <c r="AO18" i="3" s="1"/>
  <c r="CO18" i="3"/>
  <c r="AN18" i="3" s="1"/>
  <c r="CN18" i="3"/>
  <c r="CM18" i="3"/>
  <c r="CL18" i="3"/>
  <c r="AK18" i="3" s="1"/>
  <c r="CK18" i="3"/>
  <c r="AJ18" i="3" s="1"/>
  <c r="CJ18" i="3"/>
  <c r="AI18" i="3" s="1"/>
  <c r="CI18" i="3"/>
  <c r="AH18" i="3" s="1"/>
  <c r="CH18" i="3"/>
  <c r="AG18" i="3" s="1"/>
  <c r="CG18" i="3"/>
  <c r="AF18" i="3" s="1"/>
  <c r="CF18" i="3"/>
  <c r="AE18" i="3" s="1"/>
  <c r="CE18" i="3"/>
  <c r="AD18" i="3" s="1"/>
  <c r="CD18" i="3"/>
  <c r="AC18" i="3" s="1"/>
  <c r="CC18" i="3"/>
  <c r="AB18" i="3" s="1"/>
  <c r="CB18" i="3"/>
  <c r="CA18" i="3"/>
  <c r="Z18" i="3" s="1"/>
  <c r="BZ18" i="3"/>
  <c r="Y18" i="3" s="1"/>
  <c r="BY18" i="3"/>
  <c r="X18" i="3" s="1"/>
  <c r="BX18" i="3"/>
  <c r="W18" i="3" s="1"/>
  <c r="BW18" i="3"/>
  <c r="V18" i="3" s="1"/>
  <c r="BV18" i="3"/>
  <c r="U18" i="3" s="1"/>
  <c r="BU18" i="3"/>
  <c r="T18" i="3" s="1"/>
  <c r="BT18" i="3"/>
  <c r="S18" i="3" s="1"/>
  <c r="BS18" i="3"/>
  <c r="BR18" i="3"/>
  <c r="Q18" i="3" s="1"/>
  <c r="BQ18" i="3"/>
  <c r="P18" i="3" s="1"/>
  <c r="BP18" i="3"/>
  <c r="O18" i="3" s="1"/>
  <c r="BO18" i="3"/>
  <c r="N18" i="3" s="1"/>
  <c r="BN18" i="3"/>
  <c r="M18" i="3" s="1"/>
  <c r="BM18" i="3"/>
  <c r="L18" i="3" s="1"/>
  <c r="BL18" i="3"/>
  <c r="K18" i="3" s="1"/>
  <c r="BK18" i="3"/>
  <c r="J18" i="3" s="1"/>
  <c r="BJ18" i="3"/>
  <c r="BI18" i="3"/>
  <c r="H18" i="3" s="1"/>
  <c r="BH18" i="3"/>
  <c r="G18" i="3" s="1"/>
  <c r="BG18" i="3"/>
  <c r="F18" i="3" s="1"/>
  <c r="DB17" i="3"/>
  <c r="DA17" i="3"/>
  <c r="AZ17" i="3" s="1"/>
  <c r="CZ17" i="3"/>
  <c r="AY17" i="3" s="1"/>
  <c r="CY17" i="3"/>
  <c r="AX17" i="3" s="1"/>
  <c r="CX17" i="3"/>
  <c r="AW17" i="3" s="1"/>
  <c r="CW17" i="3"/>
  <c r="AV17" i="3" s="1"/>
  <c r="CV17" i="3"/>
  <c r="AU17" i="3" s="1"/>
  <c r="CU17" i="3"/>
  <c r="CT17" i="3"/>
  <c r="AS17" i="3" s="1"/>
  <c r="CS17" i="3"/>
  <c r="AR17" i="3" s="1"/>
  <c r="CR17" i="3"/>
  <c r="AQ17" i="3" s="1"/>
  <c r="CQ17" i="3"/>
  <c r="CP17" i="3"/>
  <c r="AO17" i="3" s="1"/>
  <c r="CO17" i="3"/>
  <c r="AN17" i="3" s="1"/>
  <c r="CN17" i="3"/>
  <c r="AM17" i="3" s="1"/>
  <c r="CM17" i="3"/>
  <c r="AL17" i="3" s="1"/>
  <c r="CL17" i="3"/>
  <c r="AK17" i="3" s="1"/>
  <c r="CK17" i="3"/>
  <c r="AJ17" i="3" s="1"/>
  <c r="CJ17" i="3"/>
  <c r="AI17" i="3" s="1"/>
  <c r="CI17" i="3"/>
  <c r="AH17" i="3" s="1"/>
  <c r="CH17" i="3"/>
  <c r="AG17" i="3" s="1"/>
  <c r="CG17" i="3"/>
  <c r="AF17" i="3" s="1"/>
  <c r="CF17" i="3"/>
  <c r="AE17" i="3" s="1"/>
  <c r="CE17" i="3"/>
  <c r="AD17" i="3" s="1"/>
  <c r="CD17" i="3"/>
  <c r="AC17" i="3" s="1"/>
  <c r="CC17" i="3"/>
  <c r="AB17" i="3" s="1"/>
  <c r="CB17" i="3"/>
  <c r="CA17" i="3"/>
  <c r="Z17" i="3" s="1"/>
  <c r="BZ17" i="3"/>
  <c r="Y17" i="3" s="1"/>
  <c r="BY17" i="3"/>
  <c r="X17" i="3" s="1"/>
  <c r="BX17" i="3"/>
  <c r="W17" i="3" s="1"/>
  <c r="BW17" i="3"/>
  <c r="V17" i="3" s="1"/>
  <c r="BV17" i="3"/>
  <c r="U17" i="3" s="1"/>
  <c r="BU17" i="3"/>
  <c r="T17" i="3" s="1"/>
  <c r="BT17" i="3"/>
  <c r="S17" i="3" s="1"/>
  <c r="BS17" i="3"/>
  <c r="R17" i="3" s="1"/>
  <c r="BR17" i="3"/>
  <c r="Q17" i="3" s="1"/>
  <c r="BQ17" i="3"/>
  <c r="BP17" i="3"/>
  <c r="BO17" i="3"/>
  <c r="BN17" i="3"/>
  <c r="M17" i="3" s="1"/>
  <c r="BM17" i="3"/>
  <c r="L17" i="3" s="1"/>
  <c r="BL17" i="3"/>
  <c r="K17" i="3" s="1"/>
  <c r="BK17" i="3"/>
  <c r="J17" i="3" s="1"/>
  <c r="BJ17" i="3"/>
  <c r="I17" i="3" s="1"/>
  <c r="BI17" i="3"/>
  <c r="H17" i="3" s="1"/>
  <c r="BH17" i="3"/>
  <c r="G17" i="3" s="1"/>
  <c r="BG17" i="3"/>
  <c r="F17" i="3" s="1"/>
  <c r="DB16" i="3"/>
  <c r="DA16" i="3"/>
  <c r="AZ16" i="3" s="1"/>
  <c r="CZ16" i="3"/>
  <c r="CY16" i="3"/>
  <c r="CX16" i="3"/>
  <c r="CW16" i="3"/>
  <c r="AV16" i="3" s="1"/>
  <c r="CV16" i="3"/>
  <c r="AU16" i="3" s="1"/>
  <c r="CU16" i="3"/>
  <c r="AT16" i="3" s="1"/>
  <c r="CT16" i="3"/>
  <c r="AS16" i="3" s="1"/>
  <c r="CS16" i="3"/>
  <c r="AR16" i="3" s="1"/>
  <c r="CR16" i="3"/>
  <c r="AQ16" i="3" s="1"/>
  <c r="CQ16" i="3"/>
  <c r="AP16" i="3" s="1"/>
  <c r="CP16" i="3"/>
  <c r="AO16" i="3" s="1"/>
  <c r="CO16" i="3"/>
  <c r="AN16" i="3" s="1"/>
  <c r="CN16" i="3"/>
  <c r="CM16" i="3"/>
  <c r="CL16" i="3"/>
  <c r="AK16" i="3" s="1"/>
  <c r="CK16" i="3"/>
  <c r="CJ16" i="3"/>
  <c r="CI16" i="3"/>
  <c r="CH16" i="3"/>
  <c r="AG16" i="3" s="1"/>
  <c r="CG16" i="3"/>
  <c r="AF16" i="3" s="1"/>
  <c r="CF16" i="3"/>
  <c r="AE16" i="3" s="1"/>
  <c r="CE16" i="3"/>
  <c r="AD16" i="3" s="1"/>
  <c r="CD16" i="3"/>
  <c r="AC16" i="3" s="1"/>
  <c r="CC16" i="3"/>
  <c r="AB16" i="3" s="1"/>
  <c r="CB16" i="3"/>
  <c r="AA16" i="3" s="1"/>
  <c r="CA16" i="3"/>
  <c r="Z16" i="3" s="1"/>
  <c r="BZ16" i="3"/>
  <c r="BY16" i="3"/>
  <c r="X16" i="3" s="1"/>
  <c r="BX16" i="3"/>
  <c r="W16" i="3" s="1"/>
  <c r="BW16" i="3"/>
  <c r="BV16" i="3"/>
  <c r="BU16" i="3"/>
  <c r="T16" i="3" s="1"/>
  <c r="BT16" i="3"/>
  <c r="S16" i="3" s="1"/>
  <c r="BS16" i="3"/>
  <c r="R16" i="3" s="1"/>
  <c r="BR16" i="3"/>
  <c r="Q16" i="3" s="1"/>
  <c r="BQ16" i="3"/>
  <c r="P16" i="3" s="1"/>
  <c r="BP16" i="3"/>
  <c r="O16" i="3" s="1"/>
  <c r="BO16" i="3"/>
  <c r="N16" i="3" s="1"/>
  <c r="BN16" i="3"/>
  <c r="M16" i="3" s="1"/>
  <c r="BM16" i="3"/>
  <c r="L16" i="3" s="1"/>
  <c r="BL16" i="3"/>
  <c r="BK16" i="3"/>
  <c r="J16" i="3" s="1"/>
  <c r="BJ16" i="3"/>
  <c r="I16" i="3" s="1"/>
  <c r="BI16" i="3"/>
  <c r="BH16" i="3"/>
  <c r="BG16" i="3"/>
  <c r="DB15" i="3"/>
  <c r="BA15" i="3" s="1"/>
  <c r="DA15" i="3"/>
  <c r="AZ15" i="3" s="1"/>
  <c r="CZ15" i="3"/>
  <c r="AY15" i="3" s="1"/>
  <c r="CY15" i="3"/>
  <c r="CX15" i="3"/>
  <c r="AW15" i="3" s="1"/>
  <c r="CW15" i="3"/>
  <c r="AV15" i="3" s="1"/>
  <c r="CV15" i="3"/>
  <c r="AU15" i="3" s="1"/>
  <c r="CU15" i="3"/>
  <c r="AT15" i="3" s="1"/>
  <c r="CT15" i="3"/>
  <c r="AS15" i="3" s="1"/>
  <c r="CS15" i="3"/>
  <c r="AR15" i="3" s="1"/>
  <c r="CR15" i="3"/>
  <c r="AQ15" i="3" s="1"/>
  <c r="CQ15" i="3"/>
  <c r="CP15" i="3"/>
  <c r="AO15" i="3" s="1"/>
  <c r="CO15" i="3"/>
  <c r="AN15" i="3" s="1"/>
  <c r="CN15" i="3"/>
  <c r="AM15" i="3" s="1"/>
  <c r="CM15" i="3"/>
  <c r="CL15" i="3"/>
  <c r="AK15" i="3" s="1"/>
  <c r="CK15" i="3"/>
  <c r="AJ15" i="3" s="1"/>
  <c r="CJ15" i="3"/>
  <c r="AI15" i="3" s="1"/>
  <c r="CI15" i="3"/>
  <c r="AH15" i="3" s="1"/>
  <c r="CH15" i="3"/>
  <c r="CG15" i="3"/>
  <c r="AF15" i="3" s="1"/>
  <c r="CF15" i="3"/>
  <c r="AE15" i="3" s="1"/>
  <c r="CE15" i="3"/>
  <c r="AD15" i="3" s="1"/>
  <c r="CD15" i="3"/>
  <c r="AC15" i="3" s="1"/>
  <c r="CC15" i="3"/>
  <c r="AB15" i="3" s="1"/>
  <c r="CB15" i="3"/>
  <c r="AA15" i="3" s="1"/>
  <c r="CA15" i="3"/>
  <c r="Z15" i="3" s="1"/>
  <c r="BZ15" i="3"/>
  <c r="Y15" i="3" s="1"/>
  <c r="BY15" i="3"/>
  <c r="X15" i="3" s="1"/>
  <c r="BX15" i="3"/>
  <c r="W15" i="3" s="1"/>
  <c r="BW15" i="3"/>
  <c r="V15" i="3" s="1"/>
  <c r="BV15" i="3"/>
  <c r="U15" i="3" s="1"/>
  <c r="BU15" i="3"/>
  <c r="T15" i="3" s="1"/>
  <c r="BT15" i="3"/>
  <c r="S15" i="3" s="1"/>
  <c r="BS15" i="3"/>
  <c r="R15" i="3" s="1"/>
  <c r="BR15" i="3"/>
  <c r="Q15" i="3" s="1"/>
  <c r="BQ15" i="3"/>
  <c r="P15" i="3" s="1"/>
  <c r="BP15" i="3"/>
  <c r="O15" i="3" s="1"/>
  <c r="BO15" i="3"/>
  <c r="N15" i="3" s="1"/>
  <c r="BN15" i="3"/>
  <c r="M15" i="3" s="1"/>
  <c r="BM15" i="3"/>
  <c r="BL15" i="3"/>
  <c r="K15" i="3" s="1"/>
  <c r="BK15" i="3"/>
  <c r="J15" i="3" s="1"/>
  <c r="BJ15" i="3"/>
  <c r="I15" i="3" s="1"/>
  <c r="BI15" i="3"/>
  <c r="H15" i="3" s="1"/>
  <c r="BH15" i="3"/>
  <c r="G15" i="3" s="1"/>
  <c r="BG15" i="3"/>
  <c r="F15" i="3" s="1"/>
  <c r="DB14" i="3"/>
  <c r="BA14" i="3" s="1"/>
  <c r="DA14" i="3"/>
  <c r="AZ14" i="3" s="1"/>
  <c r="CZ14" i="3"/>
  <c r="CY14" i="3"/>
  <c r="AX14" i="3" s="1"/>
  <c r="CX14" i="3"/>
  <c r="AW14" i="3" s="1"/>
  <c r="CW14" i="3"/>
  <c r="AV14" i="3" s="1"/>
  <c r="CV14" i="3"/>
  <c r="AU14" i="3" s="1"/>
  <c r="CU14" i="3"/>
  <c r="AT14" i="3" s="1"/>
  <c r="CT14" i="3"/>
  <c r="AS14" i="3" s="1"/>
  <c r="CS14" i="3"/>
  <c r="AR14" i="3" s="1"/>
  <c r="CR14" i="3"/>
  <c r="AQ14" i="3" s="1"/>
  <c r="CQ14" i="3"/>
  <c r="AP14" i="3" s="1"/>
  <c r="CP14" i="3"/>
  <c r="AO14" i="3" s="1"/>
  <c r="CO14" i="3"/>
  <c r="AN14" i="3" s="1"/>
  <c r="CN14" i="3"/>
  <c r="AM14" i="3" s="1"/>
  <c r="CM14" i="3"/>
  <c r="AL14" i="3" s="1"/>
  <c r="CL14" i="3"/>
  <c r="AK14" i="3" s="1"/>
  <c r="CK14" i="3"/>
  <c r="AJ14" i="3" s="1"/>
  <c r="CJ14" i="3"/>
  <c r="AI14" i="3" s="1"/>
  <c r="CI14" i="3"/>
  <c r="AH14" i="3" s="1"/>
  <c r="CH14" i="3"/>
  <c r="AG14" i="3" s="1"/>
  <c r="CG14" i="3"/>
  <c r="AF14" i="3" s="1"/>
  <c r="CF14" i="3"/>
  <c r="AE14" i="3" s="1"/>
  <c r="CE14" i="3"/>
  <c r="AD14" i="3" s="1"/>
  <c r="CD14" i="3"/>
  <c r="AC14" i="3" s="1"/>
  <c r="CC14" i="3"/>
  <c r="AB14" i="3" s="1"/>
  <c r="CB14" i="3"/>
  <c r="AA14" i="3" s="1"/>
  <c r="CA14" i="3"/>
  <c r="BZ14" i="3"/>
  <c r="BY14" i="3"/>
  <c r="X14" i="3" s="1"/>
  <c r="BX14" i="3"/>
  <c r="W14" i="3" s="1"/>
  <c r="BW14" i="3"/>
  <c r="V14" i="3" s="1"/>
  <c r="BV14" i="3"/>
  <c r="BU14" i="3"/>
  <c r="T14" i="3" s="1"/>
  <c r="BT14" i="3"/>
  <c r="S14" i="3" s="1"/>
  <c r="BS14" i="3"/>
  <c r="R14" i="3" s="1"/>
  <c r="BR14" i="3"/>
  <c r="Q14" i="3" s="1"/>
  <c r="BQ14" i="3"/>
  <c r="P14" i="3" s="1"/>
  <c r="BP14" i="3"/>
  <c r="O14" i="3" s="1"/>
  <c r="BO14" i="3"/>
  <c r="N14" i="3" s="1"/>
  <c r="BN14" i="3"/>
  <c r="M14" i="3" s="1"/>
  <c r="BM14" i="3"/>
  <c r="L14" i="3" s="1"/>
  <c r="BL14" i="3"/>
  <c r="K14" i="3" s="1"/>
  <c r="BK14" i="3"/>
  <c r="J14" i="3" s="1"/>
  <c r="BJ14" i="3"/>
  <c r="BI14" i="3"/>
  <c r="H14" i="3" s="1"/>
  <c r="BH14" i="3"/>
  <c r="G14" i="3" s="1"/>
  <c r="BG14" i="3"/>
  <c r="F14" i="3" s="1"/>
  <c r="DB13" i="3"/>
  <c r="BA13" i="3" s="1"/>
  <c r="DA13" i="3"/>
  <c r="AZ13" i="3" s="1"/>
  <c r="CZ13" i="3"/>
  <c r="AY13" i="3" s="1"/>
  <c r="CY13" i="3"/>
  <c r="AX13" i="3" s="1"/>
  <c r="CX13" i="3"/>
  <c r="AW13" i="3" s="1"/>
  <c r="CW13" i="3"/>
  <c r="AV13" i="3" s="1"/>
  <c r="CV13" i="3"/>
  <c r="AU13" i="3" s="1"/>
  <c r="CU13" i="3"/>
  <c r="AT13" i="3" s="1"/>
  <c r="CT13" i="3"/>
  <c r="AS13" i="3" s="1"/>
  <c r="CS13" i="3"/>
  <c r="AR13" i="3" s="1"/>
  <c r="CR13" i="3"/>
  <c r="AQ13" i="3" s="1"/>
  <c r="CQ13" i="3"/>
  <c r="CP13" i="3"/>
  <c r="AO13" i="3" s="1"/>
  <c r="CO13" i="3"/>
  <c r="CN13" i="3"/>
  <c r="AM13" i="3" s="1"/>
  <c r="CM13" i="3"/>
  <c r="AL13" i="3" s="1"/>
  <c r="CL13" i="3"/>
  <c r="AK13" i="3" s="1"/>
  <c r="CK13" i="3"/>
  <c r="AJ13" i="3" s="1"/>
  <c r="CJ13" i="3"/>
  <c r="AI13" i="3" s="1"/>
  <c r="CI13" i="3"/>
  <c r="CH13" i="3"/>
  <c r="AG13" i="3" s="1"/>
  <c r="CG13" i="3"/>
  <c r="AF13" i="3" s="1"/>
  <c r="CF13" i="3"/>
  <c r="AE13" i="3" s="1"/>
  <c r="CE13" i="3"/>
  <c r="AD13" i="3" s="1"/>
  <c r="CD13" i="3"/>
  <c r="AC13" i="3" s="1"/>
  <c r="CC13" i="3"/>
  <c r="AB13" i="3" s="1"/>
  <c r="CB13" i="3"/>
  <c r="AA13" i="3" s="1"/>
  <c r="CA13" i="3"/>
  <c r="Z13" i="3" s="1"/>
  <c r="BZ13" i="3"/>
  <c r="Y13" i="3" s="1"/>
  <c r="BY13" i="3"/>
  <c r="X13" i="3" s="1"/>
  <c r="BX13" i="3"/>
  <c r="W13" i="3" s="1"/>
  <c r="BW13" i="3"/>
  <c r="V13" i="3" s="1"/>
  <c r="BV13" i="3"/>
  <c r="U13" i="3" s="1"/>
  <c r="BU13" i="3"/>
  <c r="T13" i="3" s="1"/>
  <c r="BT13" i="3"/>
  <c r="S13" i="3" s="1"/>
  <c r="BS13" i="3"/>
  <c r="R13" i="3" s="1"/>
  <c r="BR13" i="3"/>
  <c r="Q13" i="3" s="1"/>
  <c r="BQ13" i="3"/>
  <c r="P13" i="3" s="1"/>
  <c r="BP13" i="3"/>
  <c r="O13" i="3" s="1"/>
  <c r="BO13" i="3"/>
  <c r="BN13" i="3"/>
  <c r="M13" i="3" s="1"/>
  <c r="BM13" i="3"/>
  <c r="L13" i="3" s="1"/>
  <c r="BL13" i="3"/>
  <c r="K13" i="3" s="1"/>
  <c r="BK13" i="3"/>
  <c r="J13" i="3" s="1"/>
  <c r="BJ13" i="3"/>
  <c r="I13" i="3" s="1"/>
  <c r="BI13" i="3"/>
  <c r="H13" i="3" s="1"/>
  <c r="BH13" i="3"/>
  <c r="G13" i="3" s="1"/>
  <c r="BG13" i="3"/>
  <c r="F13" i="3" s="1"/>
  <c r="DB12" i="3"/>
  <c r="BA12" i="3" s="1"/>
  <c r="DA12" i="3"/>
  <c r="AZ12" i="3" s="1"/>
  <c r="CZ12" i="3"/>
  <c r="CY12" i="3"/>
  <c r="CX12" i="3"/>
  <c r="AW12" i="3" s="1"/>
  <c r="CW12" i="3"/>
  <c r="AV12" i="3" s="1"/>
  <c r="CV12" i="3"/>
  <c r="AU12" i="3" s="1"/>
  <c r="CU12" i="3"/>
  <c r="AT12" i="3" s="1"/>
  <c r="CT12" i="3"/>
  <c r="AS12" i="3" s="1"/>
  <c r="CS12" i="3"/>
  <c r="CR12" i="3"/>
  <c r="AQ12" i="3" s="1"/>
  <c r="CQ12" i="3"/>
  <c r="AP12" i="3" s="1"/>
  <c r="CP12" i="3"/>
  <c r="AO12" i="3" s="1"/>
  <c r="CO12" i="3"/>
  <c r="AN12" i="3" s="1"/>
  <c r="CN12" i="3"/>
  <c r="AM12" i="3" s="1"/>
  <c r="CM12" i="3"/>
  <c r="AL12" i="3" s="1"/>
  <c r="CL12" i="3"/>
  <c r="AK12" i="3" s="1"/>
  <c r="CK12" i="3"/>
  <c r="AJ12" i="3" s="1"/>
  <c r="CJ12" i="3"/>
  <c r="AI12" i="3" s="1"/>
  <c r="CI12" i="3"/>
  <c r="CH12" i="3"/>
  <c r="AG12" i="3" s="1"/>
  <c r="CG12" i="3"/>
  <c r="AF12" i="3" s="1"/>
  <c r="CF12" i="3"/>
  <c r="AE12" i="3" s="1"/>
  <c r="CE12" i="3"/>
  <c r="CD12" i="3"/>
  <c r="AC12" i="3" s="1"/>
  <c r="CC12" i="3"/>
  <c r="AB12" i="3" s="1"/>
  <c r="CB12" i="3"/>
  <c r="AA12" i="3" s="1"/>
  <c r="CA12" i="3"/>
  <c r="Z12" i="3" s="1"/>
  <c r="BZ12" i="3"/>
  <c r="Y12" i="3" s="1"/>
  <c r="BY12" i="3"/>
  <c r="X12" i="3" s="1"/>
  <c r="BX12" i="3"/>
  <c r="W12" i="3" s="1"/>
  <c r="BW12" i="3"/>
  <c r="V12" i="3" s="1"/>
  <c r="BV12" i="3"/>
  <c r="U12" i="3" s="1"/>
  <c r="BU12" i="3"/>
  <c r="T12" i="3" s="1"/>
  <c r="BT12" i="3"/>
  <c r="S12" i="3" s="1"/>
  <c r="BS12" i="3"/>
  <c r="BR12" i="3"/>
  <c r="Q12" i="3" s="1"/>
  <c r="BQ12" i="3"/>
  <c r="P12" i="3" s="1"/>
  <c r="BP12" i="3"/>
  <c r="O12" i="3" s="1"/>
  <c r="BO12" i="3"/>
  <c r="N12" i="3" s="1"/>
  <c r="BN12" i="3"/>
  <c r="M12" i="3" s="1"/>
  <c r="BM12" i="3"/>
  <c r="L12" i="3" s="1"/>
  <c r="BL12" i="3"/>
  <c r="K12" i="3" s="1"/>
  <c r="BK12" i="3"/>
  <c r="J12" i="3" s="1"/>
  <c r="BJ12" i="3"/>
  <c r="I12" i="3" s="1"/>
  <c r="BI12" i="3"/>
  <c r="H12" i="3" s="1"/>
  <c r="BH12" i="3"/>
  <c r="G12" i="3" s="1"/>
  <c r="BG12" i="3"/>
  <c r="F12" i="3" s="1"/>
  <c r="DB11" i="3"/>
  <c r="BA11" i="3" s="1"/>
  <c r="DA11" i="3"/>
  <c r="AZ11" i="3" s="1"/>
  <c r="CZ11" i="3"/>
  <c r="AY11" i="3" s="1"/>
  <c r="CY11" i="3"/>
  <c r="CX11" i="3"/>
  <c r="AW11" i="3" s="1"/>
  <c r="CW11" i="3"/>
  <c r="AV11" i="3" s="1"/>
  <c r="CV11" i="3"/>
  <c r="AU11" i="3" s="1"/>
  <c r="CU11" i="3"/>
  <c r="AT11" i="3" s="1"/>
  <c r="CT11" i="3"/>
  <c r="AS11" i="3" s="1"/>
  <c r="CS11" i="3"/>
  <c r="AR11" i="3" s="1"/>
  <c r="CR11" i="3"/>
  <c r="CQ11" i="3"/>
  <c r="AP11" i="3" s="1"/>
  <c r="CP11" i="3"/>
  <c r="AO11" i="3" s="1"/>
  <c r="CO11" i="3"/>
  <c r="AN11" i="3" s="1"/>
  <c r="CN11" i="3"/>
  <c r="AM11" i="3" s="1"/>
  <c r="CM11" i="3"/>
  <c r="AL11" i="3" s="1"/>
  <c r="CL11" i="3"/>
  <c r="AK11" i="3" s="1"/>
  <c r="CK11" i="3"/>
  <c r="AJ11" i="3" s="1"/>
  <c r="CJ11" i="3"/>
  <c r="AI11" i="3" s="1"/>
  <c r="CI11" i="3"/>
  <c r="CH11" i="3"/>
  <c r="AG11" i="3" s="1"/>
  <c r="CG11" i="3"/>
  <c r="AF11" i="3" s="1"/>
  <c r="CF11" i="3"/>
  <c r="AE11" i="3" s="1"/>
  <c r="CE11" i="3"/>
  <c r="CD11" i="3"/>
  <c r="AC11" i="3" s="1"/>
  <c r="CC11" i="3"/>
  <c r="AB11" i="3" s="1"/>
  <c r="CB11" i="3"/>
  <c r="AA11" i="3" s="1"/>
  <c r="CA11" i="3"/>
  <c r="Z11" i="3" s="1"/>
  <c r="BZ11" i="3"/>
  <c r="Y11" i="3" s="1"/>
  <c r="BY11" i="3"/>
  <c r="X11" i="3" s="1"/>
  <c r="BX11" i="3"/>
  <c r="W11" i="3" s="1"/>
  <c r="BW11" i="3"/>
  <c r="V11" i="3" s="1"/>
  <c r="BV11" i="3"/>
  <c r="U11" i="3" s="1"/>
  <c r="BU11" i="3"/>
  <c r="T11" i="3" s="1"/>
  <c r="BT11" i="3"/>
  <c r="S11" i="3" s="1"/>
  <c r="BS11" i="3"/>
  <c r="R11" i="3" s="1"/>
  <c r="BR11" i="3"/>
  <c r="Q11" i="3" s="1"/>
  <c r="BQ11" i="3"/>
  <c r="P11" i="3" s="1"/>
  <c r="BP11" i="3"/>
  <c r="O11" i="3" s="1"/>
  <c r="BO11" i="3"/>
  <c r="N11" i="3" s="1"/>
  <c r="BN11" i="3"/>
  <c r="M11" i="3" s="1"/>
  <c r="BM11" i="3"/>
  <c r="L11" i="3" s="1"/>
  <c r="BL11" i="3"/>
  <c r="K11" i="3" s="1"/>
  <c r="BK11" i="3"/>
  <c r="J11" i="3" s="1"/>
  <c r="BJ11" i="3"/>
  <c r="I11" i="3" s="1"/>
  <c r="BI11" i="3"/>
  <c r="H11" i="3" s="1"/>
  <c r="BH11" i="3"/>
  <c r="G11" i="3" s="1"/>
  <c r="BG11" i="3"/>
  <c r="F11" i="3" s="1"/>
  <c r="DB10" i="3"/>
  <c r="BA10" i="3" s="1"/>
  <c r="DA10" i="3"/>
  <c r="AZ10" i="3" s="1"/>
  <c r="CZ10" i="3"/>
  <c r="AY10" i="3" s="1"/>
  <c r="CY10" i="3"/>
  <c r="CX10" i="3"/>
  <c r="AW10" i="3" s="1"/>
  <c r="CW10" i="3"/>
  <c r="AV10" i="3" s="1"/>
  <c r="CV10" i="3"/>
  <c r="AU10" i="3" s="1"/>
  <c r="CU10" i="3"/>
  <c r="AT10" i="3" s="1"/>
  <c r="CT10" i="3"/>
  <c r="AS10" i="3" s="1"/>
  <c r="CS10" i="3"/>
  <c r="AR10" i="3" s="1"/>
  <c r="CR10" i="3"/>
  <c r="AQ10" i="3" s="1"/>
  <c r="CQ10" i="3"/>
  <c r="AP10" i="3" s="1"/>
  <c r="CP10" i="3"/>
  <c r="AO10" i="3" s="1"/>
  <c r="CO10" i="3"/>
  <c r="CN10" i="3"/>
  <c r="AM10" i="3" s="1"/>
  <c r="CM10" i="3"/>
  <c r="AL10" i="3" s="1"/>
  <c r="CL10" i="3"/>
  <c r="AK10" i="3" s="1"/>
  <c r="CK10" i="3"/>
  <c r="AJ10" i="3" s="1"/>
  <c r="CJ10" i="3"/>
  <c r="AI10" i="3" s="1"/>
  <c r="CI10" i="3"/>
  <c r="AH10" i="3" s="1"/>
  <c r="CH10" i="3"/>
  <c r="AG10" i="3" s="1"/>
  <c r="CG10" i="3"/>
  <c r="AF10" i="3" s="1"/>
  <c r="CF10" i="3"/>
  <c r="AE10" i="3" s="1"/>
  <c r="CE10" i="3"/>
  <c r="AD10" i="3" s="1"/>
  <c r="CD10" i="3"/>
  <c r="AC10" i="3" s="1"/>
  <c r="CC10" i="3"/>
  <c r="AB10" i="3" s="1"/>
  <c r="CB10" i="3"/>
  <c r="CA10" i="3"/>
  <c r="BZ10" i="3"/>
  <c r="Y10" i="3" s="1"/>
  <c r="BY10" i="3"/>
  <c r="X10" i="3" s="1"/>
  <c r="BX10" i="3"/>
  <c r="W10" i="3" s="1"/>
  <c r="BW10" i="3"/>
  <c r="BV10" i="3"/>
  <c r="U10" i="3" s="1"/>
  <c r="BU10" i="3"/>
  <c r="T10" i="3" s="1"/>
  <c r="BT10" i="3"/>
  <c r="S10" i="3" s="1"/>
  <c r="BS10" i="3"/>
  <c r="R10" i="3" s="1"/>
  <c r="BR10" i="3"/>
  <c r="Q10" i="3" s="1"/>
  <c r="BQ10" i="3"/>
  <c r="P10" i="3" s="1"/>
  <c r="BP10" i="3"/>
  <c r="O10" i="3" s="1"/>
  <c r="BO10" i="3"/>
  <c r="N10" i="3" s="1"/>
  <c r="BN10" i="3"/>
  <c r="M10" i="3" s="1"/>
  <c r="BM10" i="3"/>
  <c r="BL10" i="3"/>
  <c r="K10" i="3" s="1"/>
  <c r="BK10" i="3"/>
  <c r="J10" i="3" s="1"/>
  <c r="BJ10" i="3"/>
  <c r="I10" i="3" s="1"/>
  <c r="BI10" i="3"/>
  <c r="H10" i="3" s="1"/>
  <c r="BH10" i="3"/>
  <c r="G10" i="3" s="1"/>
  <c r="BG10" i="3"/>
  <c r="W75" i="1"/>
  <c r="V75" i="1"/>
  <c r="U75" i="1"/>
  <c r="T75" i="1"/>
  <c r="S75" i="1"/>
  <c r="R75" i="1"/>
  <c r="Q75" i="1"/>
  <c r="P75" i="1"/>
  <c r="O75" i="1"/>
  <c r="N75" i="1"/>
  <c r="W74" i="1"/>
  <c r="V74" i="1"/>
  <c r="U74" i="1"/>
  <c r="T74" i="1"/>
  <c r="S74" i="1"/>
  <c r="R74" i="1"/>
  <c r="Q74" i="1"/>
  <c r="P74" i="1"/>
  <c r="O74" i="1"/>
  <c r="N74" i="1"/>
  <c r="W73" i="1"/>
  <c r="V73" i="1"/>
  <c r="U73" i="1"/>
  <c r="T73" i="1"/>
  <c r="S73" i="1"/>
  <c r="R73" i="1"/>
  <c r="Q73" i="1"/>
  <c r="P73" i="1"/>
  <c r="O73" i="1"/>
  <c r="N73" i="1"/>
  <c r="W72" i="1"/>
  <c r="V72" i="1"/>
  <c r="U72" i="1"/>
  <c r="T72" i="1"/>
  <c r="S72" i="1"/>
  <c r="R72" i="1"/>
  <c r="Q72" i="1"/>
  <c r="P72" i="1"/>
  <c r="O72" i="1"/>
  <c r="N72" i="1"/>
  <c r="W71" i="1"/>
  <c r="V71" i="1"/>
  <c r="U71" i="1"/>
  <c r="T71" i="1"/>
  <c r="S71" i="1"/>
  <c r="R71" i="1"/>
  <c r="Q71" i="1"/>
  <c r="P71" i="1"/>
  <c r="O71" i="1"/>
  <c r="N71" i="1"/>
  <c r="W70" i="1"/>
  <c r="V70" i="1"/>
  <c r="U70" i="1"/>
  <c r="T70" i="1"/>
  <c r="S70" i="1"/>
  <c r="R70" i="1"/>
  <c r="Q70" i="1"/>
  <c r="P70" i="1"/>
  <c r="O70" i="1"/>
  <c r="N70" i="1"/>
  <c r="W69" i="1"/>
  <c r="V69" i="1"/>
  <c r="U69" i="1"/>
  <c r="T69" i="1"/>
  <c r="S69" i="1"/>
  <c r="R69" i="1"/>
  <c r="Q69" i="1"/>
  <c r="P69" i="1"/>
  <c r="O69" i="1"/>
  <c r="N69" i="1"/>
  <c r="W68" i="1"/>
  <c r="V68" i="1"/>
  <c r="U68" i="1"/>
  <c r="T68" i="1"/>
  <c r="S68" i="1"/>
  <c r="R68" i="1"/>
  <c r="Q68" i="1"/>
  <c r="P68" i="1"/>
  <c r="O68" i="1"/>
  <c r="N68" i="1"/>
  <c r="W67" i="1"/>
  <c r="V67" i="1"/>
  <c r="U67" i="1"/>
  <c r="T67" i="1"/>
  <c r="S67" i="1"/>
  <c r="R67" i="1"/>
  <c r="Q67" i="1"/>
  <c r="P67" i="1"/>
  <c r="O67" i="1"/>
  <c r="N67" i="1"/>
  <c r="W66" i="1"/>
  <c r="V66" i="1"/>
  <c r="U66" i="1"/>
  <c r="T66" i="1"/>
  <c r="S66" i="1"/>
  <c r="R66" i="1"/>
  <c r="Q66" i="1"/>
  <c r="P66" i="1"/>
  <c r="O66" i="1"/>
  <c r="N66" i="1"/>
  <c r="W65" i="1"/>
  <c r="V65" i="1"/>
  <c r="U65" i="1"/>
  <c r="T65" i="1"/>
  <c r="S65" i="1"/>
  <c r="R65" i="1"/>
  <c r="Q65" i="1"/>
  <c r="P65" i="1"/>
  <c r="O65" i="1"/>
  <c r="N65" i="1"/>
  <c r="W64" i="1"/>
  <c r="V64" i="1"/>
  <c r="U64" i="1"/>
  <c r="T64" i="1"/>
  <c r="S64" i="1"/>
  <c r="R64" i="1"/>
  <c r="Q64" i="1"/>
  <c r="P64" i="1"/>
  <c r="O64" i="1"/>
  <c r="N64" i="1"/>
  <c r="W63" i="1"/>
  <c r="V63" i="1"/>
  <c r="U63" i="1"/>
  <c r="T63" i="1"/>
  <c r="S63" i="1"/>
  <c r="R63" i="1"/>
  <c r="Q63" i="1"/>
  <c r="P63" i="1"/>
  <c r="O63" i="1"/>
  <c r="N63" i="1"/>
  <c r="W62" i="1"/>
  <c r="V62" i="1"/>
  <c r="U62" i="1"/>
  <c r="T62" i="1"/>
  <c r="S62" i="1"/>
  <c r="R62" i="1"/>
  <c r="Q62" i="1"/>
  <c r="P62" i="1"/>
  <c r="O62" i="1"/>
  <c r="N62" i="1"/>
  <c r="W61" i="1"/>
  <c r="V61" i="1"/>
  <c r="U61" i="1"/>
  <c r="T61" i="1"/>
  <c r="S61" i="1"/>
  <c r="R61" i="1"/>
  <c r="Q61" i="1"/>
  <c r="P61" i="1"/>
  <c r="O61" i="1"/>
  <c r="N61" i="1"/>
  <c r="W60" i="1"/>
  <c r="V60" i="1"/>
  <c r="U60" i="1"/>
  <c r="T60" i="1"/>
  <c r="S60" i="1"/>
  <c r="R60" i="1"/>
  <c r="Q60" i="1"/>
  <c r="P60" i="1"/>
  <c r="O60" i="1"/>
  <c r="N60" i="1"/>
  <c r="W59" i="1"/>
  <c r="V59" i="1"/>
  <c r="U59" i="1"/>
  <c r="T59" i="1"/>
  <c r="S59" i="1"/>
  <c r="R59" i="1"/>
  <c r="Q59" i="1"/>
  <c r="P59" i="1"/>
  <c r="O59" i="1"/>
  <c r="N59" i="1"/>
  <c r="W58" i="1"/>
  <c r="V58" i="1"/>
  <c r="U58" i="1"/>
  <c r="T58" i="1"/>
  <c r="S58" i="1"/>
  <c r="R58" i="1"/>
  <c r="Q58" i="1"/>
  <c r="P58" i="1"/>
  <c r="O58" i="1"/>
  <c r="N58" i="1"/>
  <c r="W57" i="1"/>
  <c r="V57" i="1"/>
  <c r="U57" i="1"/>
  <c r="T57" i="1"/>
  <c r="S57" i="1"/>
  <c r="R57" i="1"/>
  <c r="Q57" i="1"/>
  <c r="P57" i="1"/>
  <c r="O57" i="1"/>
  <c r="N57" i="1"/>
  <c r="W56" i="1"/>
  <c r="V56" i="1"/>
  <c r="U56" i="1"/>
  <c r="T56" i="1"/>
  <c r="S56" i="1"/>
  <c r="R56" i="1"/>
  <c r="Q56" i="1"/>
  <c r="P56" i="1"/>
  <c r="O56" i="1"/>
  <c r="N56" i="1"/>
  <c r="W55" i="1"/>
  <c r="V55" i="1"/>
  <c r="U55" i="1"/>
  <c r="T55" i="1"/>
  <c r="S55" i="1"/>
  <c r="R55" i="1"/>
  <c r="Q55" i="1"/>
  <c r="P55" i="1"/>
  <c r="O55" i="1"/>
  <c r="N55" i="1"/>
  <c r="W54" i="1"/>
  <c r="V54" i="1"/>
  <c r="U54" i="1"/>
  <c r="T54" i="1"/>
  <c r="S54" i="1"/>
  <c r="R54" i="1"/>
  <c r="Q54" i="1"/>
  <c r="P54" i="1"/>
  <c r="O54" i="1"/>
  <c r="N54" i="1"/>
  <c r="W53" i="1"/>
  <c r="V53" i="1"/>
  <c r="U53" i="1"/>
  <c r="T53" i="1"/>
  <c r="S53" i="1"/>
  <c r="R53" i="1"/>
  <c r="Q53" i="1"/>
  <c r="P53" i="1"/>
  <c r="O53" i="1"/>
  <c r="N53" i="1"/>
  <c r="W52" i="1"/>
  <c r="V52" i="1"/>
  <c r="U52" i="1"/>
  <c r="T52" i="1"/>
  <c r="S52" i="1"/>
  <c r="R52" i="1"/>
  <c r="Q52" i="1"/>
  <c r="P52" i="1"/>
  <c r="O52" i="1"/>
  <c r="N52" i="1"/>
  <c r="W51" i="1"/>
  <c r="V51" i="1"/>
  <c r="U51" i="1"/>
  <c r="T51" i="1"/>
  <c r="S51" i="1"/>
  <c r="R51" i="1"/>
  <c r="Q51" i="1"/>
  <c r="P51" i="1"/>
  <c r="O51" i="1"/>
  <c r="N51" i="1"/>
  <c r="W50" i="1"/>
  <c r="V50" i="1"/>
  <c r="U50" i="1"/>
  <c r="T50" i="1"/>
  <c r="S50" i="1"/>
  <c r="R50" i="1"/>
  <c r="Q50" i="1"/>
  <c r="P50" i="1"/>
  <c r="O50" i="1"/>
  <c r="N50" i="1"/>
  <c r="W49" i="1"/>
  <c r="V49" i="1"/>
  <c r="U49" i="1"/>
  <c r="T49" i="1"/>
  <c r="S49" i="1"/>
  <c r="R49" i="1"/>
  <c r="Q49" i="1"/>
  <c r="P49" i="1"/>
  <c r="O49" i="1"/>
  <c r="N49" i="1"/>
  <c r="W48" i="1"/>
  <c r="V48" i="1"/>
  <c r="U48" i="1"/>
  <c r="T48" i="1"/>
  <c r="S48" i="1"/>
  <c r="R48" i="1"/>
  <c r="Q48" i="1"/>
  <c r="P48" i="1"/>
  <c r="O48" i="1"/>
  <c r="N48" i="1"/>
  <c r="W47" i="1"/>
  <c r="V47" i="1"/>
  <c r="U47" i="1"/>
  <c r="T47" i="1"/>
  <c r="S47" i="1"/>
  <c r="R47" i="1"/>
  <c r="Q47" i="1"/>
  <c r="P47" i="1"/>
  <c r="O47" i="1"/>
  <c r="N47" i="1"/>
  <c r="W46" i="1"/>
  <c r="V46" i="1"/>
  <c r="U46" i="1"/>
  <c r="T46" i="1"/>
  <c r="S46" i="1"/>
  <c r="R46" i="1"/>
  <c r="Q46" i="1"/>
  <c r="P46" i="1"/>
  <c r="O46" i="1"/>
  <c r="N46" i="1"/>
  <c r="W45" i="1"/>
  <c r="V45" i="1"/>
  <c r="U45" i="1"/>
  <c r="T45" i="1"/>
  <c r="S45" i="1"/>
  <c r="R45" i="1"/>
  <c r="Q45" i="1"/>
  <c r="P45" i="1"/>
  <c r="O45" i="1"/>
  <c r="N45" i="1"/>
  <c r="W44" i="1"/>
  <c r="V44" i="1"/>
  <c r="U44" i="1"/>
  <c r="T44" i="1"/>
  <c r="S44" i="1"/>
  <c r="R44" i="1"/>
  <c r="Q44" i="1"/>
  <c r="P44" i="1"/>
  <c r="O44" i="1"/>
  <c r="N44" i="1"/>
  <c r="W43" i="1"/>
  <c r="V43" i="1"/>
  <c r="U43" i="1"/>
  <c r="T43" i="1"/>
  <c r="S43" i="1"/>
  <c r="R43" i="1"/>
  <c r="Q43" i="1"/>
  <c r="P43" i="1"/>
  <c r="O43" i="1"/>
  <c r="N43" i="1"/>
  <c r="W42" i="1"/>
  <c r="V42" i="1"/>
  <c r="U42" i="1"/>
  <c r="T42" i="1"/>
  <c r="S42" i="1"/>
  <c r="R42" i="1"/>
  <c r="Q42" i="1"/>
  <c r="P42" i="1"/>
  <c r="O42" i="1"/>
  <c r="N42" i="1"/>
  <c r="W41" i="1"/>
  <c r="V41" i="1"/>
  <c r="U41" i="1"/>
  <c r="T41" i="1"/>
  <c r="S41" i="1"/>
  <c r="R41" i="1"/>
  <c r="Q41" i="1"/>
  <c r="P41" i="1"/>
  <c r="O41" i="1"/>
  <c r="N41" i="1"/>
  <c r="W40" i="1"/>
  <c r="V40" i="1"/>
  <c r="U40" i="1"/>
  <c r="T40" i="1"/>
  <c r="S40" i="1"/>
  <c r="R40" i="1"/>
  <c r="Q40" i="1"/>
  <c r="P40" i="1"/>
  <c r="O40" i="1"/>
  <c r="N40" i="1"/>
  <c r="W39" i="1"/>
  <c r="V39" i="1"/>
  <c r="U39" i="1"/>
  <c r="T39" i="1"/>
  <c r="S39" i="1"/>
  <c r="R39" i="1"/>
  <c r="Q39" i="1"/>
  <c r="P39" i="1"/>
  <c r="O39" i="1"/>
  <c r="N39" i="1"/>
  <c r="W38" i="1"/>
  <c r="V38" i="1"/>
  <c r="U38" i="1"/>
  <c r="T38" i="1"/>
  <c r="S38" i="1"/>
  <c r="R38" i="1"/>
  <c r="Q38" i="1"/>
  <c r="P38" i="1"/>
  <c r="O38" i="1"/>
  <c r="N38" i="1"/>
  <c r="W37" i="1"/>
  <c r="V37" i="1"/>
  <c r="U37" i="1"/>
  <c r="T37" i="1"/>
  <c r="S37" i="1"/>
  <c r="R37" i="1"/>
  <c r="Q37" i="1"/>
  <c r="P37" i="1"/>
  <c r="O37" i="1"/>
  <c r="N37" i="1"/>
  <c r="W36" i="1"/>
  <c r="V36" i="1"/>
  <c r="U36" i="1"/>
  <c r="T36" i="1"/>
  <c r="S36" i="1"/>
  <c r="R36" i="1"/>
  <c r="Q36" i="1"/>
  <c r="P36" i="1"/>
  <c r="O36" i="1"/>
  <c r="N36" i="1"/>
  <c r="W35" i="1"/>
  <c r="V35" i="1"/>
  <c r="U35" i="1"/>
  <c r="T35" i="1"/>
  <c r="S35" i="1"/>
  <c r="R35" i="1"/>
  <c r="Q35" i="1"/>
  <c r="P35" i="1"/>
  <c r="O35" i="1"/>
  <c r="N35" i="1"/>
  <c r="W34" i="1"/>
  <c r="V34" i="1"/>
  <c r="U34" i="1"/>
  <c r="T34" i="1"/>
  <c r="S34" i="1"/>
  <c r="R34" i="1"/>
  <c r="Q34" i="1"/>
  <c r="P34" i="1"/>
  <c r="O34" i="1"/>
  <c r="N34" i="1"/>
  <c r="W33" i="1"/>
  <c r="V33" i="1"/>
  <c r="U33" i="1"/>
  <c r="T33" i="1"/>
  <c r="S33" i="1"/>
  <c r="R33" i="1"/>
  <c r="Q33" i="1"/>
  <c r="P33" i="1"/>
  <c r="O33" i="1"/>
  <c r="N33" i="1"/>
  <c r="W32" i="1"/>
  <c r="V32" i="1"/>
  <c r="U32" i="1"/>
  <c r="T32" i="1"/>
  <c r="S32" i="1"/>
  <c r="R32" i="1"/>
  <c r="Q32" i="1"/>
  <c r="P32" i="1"/>
  <c r="O32" i="1"/>
  <c r="N32" i="1"/>
  <c r="W31" i="1"/>
  <c r="V31" i="1"/>
  <c r="U31" i="1"/>
  <c r="T31" i="1"/>
  <c r="S31" i="1"/>
  <c r="R31" i="1"/>
  <c r="Q31" i="1"/>
  <c r="P31" i="1"/>
  <c r="O31" i="1"/>
  <c r="N31" i="1"/>
  <c r="W30" i="1"/>
  <c r="V30" i="1"/>
  <c r="U30" i="1"/>
  <c r="T30" i="1"/>
  <c r="S30" i="1"/>
  <c r="R30" i="1"/>
  <c r="Q30" i="1"/>
  <c r="P30" i="1"/>
  <c r="O30" i="1"/>
  <c r="N30" i="1"/>
  <c r="W29" i="1"/>
  <c r="V29" i="1"/>
  <c r="U29" i="1"/>
  <c r="T29" i="1"/>
  <c r="S29" i="1"/>
  <c r="R29" i="1"/>
  <c r="Q29" i="1"/>
  <c r="P29" i="1"/>
  <c r="O29" i="1"/>
  <c r="N29" i="1"/>
  <c r="W28" i="1"/>
  <c r="V28" i="1"/>
  <c r="U28" i="1"/>
  <c r="T28" i="1"/>
  <c r="S28" i="1"/>
  <c r="R28" i="1"/>
  <c r="Q28" i="1"/>
  <c r="P28" i="1"/>
  <c r="O28" i="1"/>
  <c r="N28" i="1"/>
  <c r="W27" i="1"/>
  <c r="V27" i="1"/>
  <c r="U27" i="1"/>
  <c r="T27" i="1"/>
  <c r="S27" i="1"/>
  <c r="R27" i="1"/>
  <c r="Q27" i="1"/>
  <c r="P27" i="1"/>
  <c r="O27" i="1"/>
  <c r="N27" i="1"/>
  <c r="W26" i="1"/>
  <c r="V26" i="1"/>
  <c r="U26" i="1"/>
  <c r="T26" i="1"/>
  <c r="S26" i="1"/>
  <c r="R26" i="1"/>
  <c r="Q26" i="1"/>
  <c r="P26" i="1"/>
  <c r="O26" i="1"/>
  <c r="N26" i="1"/>
  <c r="W25" i="1"/>
  <c r="V25" i="1"/>
  <c r="U25" i="1"/>
  <c r="T25" i="1"/>
  <c r="S25" i="1"/>
  <c r="R25" i="1"/>
  <c r="Q25" i="1"/>
  <c r="P25" i="1"/>
  <c r="O25" i="1"/>
  <c r="N25" i="1"/>
  <c r="W24" i="1"/>
  <c r="V24" i="1"/>
  <c r="U24" i="1"/>
  <c r="T24" i="1"/>
  <c r="S24" i="1"/>
  <c r="R24" i="1"/>
  <c r="Q24" i="1"/>
  <c r="P24" i="1"/>
  <c r="O24" i="1"/>
  <c r="N24" i="1"/>
  <c r="W23" i="1"/>
  <c r="V23" i="1"/>
  <c r="U23" i="1"/>
  <c r="T23" i="1"/>
  <c r="S23" i="1"/>
  <c r="R23" i="1"/>
  <c r="Q23" i="1"/>
  <c r="P23" i="1"/>
  <c r="O23" i="1"/>
  <c r="N23" i="1"/>
  <c r="W22" i="1"/>
  <c r="V22" i="1"/>
  <c r="U22" i="1"/>
  <c r="T22" i="1"/>
  <c r="S22" i="1"/>
  <c r="R22" i="1"/>
  <c r="Q22" i="1"/>
  <c r="P22" i="1"/>
  <c r="O22" i="1"/>
  <c r="N22" i="1"/>
  <c r="W21" i="1"/>
  <c r="V21" i="1"/>
  <c r="U21" i="1"/>
  <c r="T21" i="1"/>
  <c r="S21" i="1"/>
  <c r="R21" i="1"/>
  <c r="Q21" i="1"/>
  <c r="P21" i="1"/>
  <c r="O21" i="1"/>
  <c r="N21" i="1"/>
  <c r="W20" i="1"/>
  <c r="V20" i="1"/>
  <c r="U20" i="1"/>
  <c r="T20" i="1"/>
  <c r="S20" i="1"/>
  <c r="R20" i="1"/>
  <c r="Q20" i="1"/>
  <c r="P20" i="1"/>
  <c r="O20" i="1"/>
  <c r="N20" i="1"/>
  <c r="W19" i="1"/>
  <c r="V19" i="1"/>
  <c r="U19" i="1"/>
  <c r="T19" i="1"/>
  <c r="S19" i="1"/>
  <c r="R19" i="1"/>
  <c r="Q19" i="1"/>
  <c r="P19" i="1"/>
  <c r="O19" i="1"/>
  <c r="N19" i="1"/>
  <c r="W18" i="1"/>
  <c r="V18" i="1"/>
  <c r="U18" i="1"/>
  <c r="T18" i="1"/>
  <c r="S18" i="1"/>
  <c r="R18" i="1"/>
  <c r="Q18" i="1"/>
  <c r="P18" i="1"/>
  <c r="O18" i="1"/>
  <c r="N18" i="1"/>
  <c r="W17" i="1"/>
  <c r="V17" i="1"/>
  <c r="U17" i="1"/>
  <c r="T17" i="1"/>
  <c r="S17" i="1"/>
  <c r="R17" i="1"/>
  <c r="Q17" i="1"/>
  <c r="P17" i="1"/>
  <c r="O17" i="1"/>
  <c r="N17" i="1"/>
  <c r="W16" i="1"/>
  <c r="V16" i="1"/>
  <c r="U16" i="1"/>
  <c r="T16" i="1"/>
  <c r="S16" i="1"/>
  <c r="R16" i="1"/>
  <c r="Q16" i="1"/>
  <c r="P16" i="1"/>
  <c r="O16" i="1"/>
  <c r="N16" i="1"/>
  <c r="W15" i="1"/>
  <c r="V15" i="1"/>
  <c r="U15" i="1"/>
  <c r="T15" i="1"/>
  <c r="S15" i="1"/>
  <c r="R15" i="1"/>
  <c r="Q15" i="1"/>
  <c r="P15" i="1"/>
  <c r="O15" i="1"/>
  <c r="N15" i="1"/>
  <c r="W14" i="1"/>
  <c r="V14" i="1"/>
  <c r="U14" i="1"/>
  <c r="T14" i="1"/>
  <c r="S14" i="1"/>
  <c r="R14" i="1"/>
  <c r="Q14" i="1"/>
  <c r="P14" i="1"/>
  <c r="O14" i="1"/>
  <c r="N14" i="1"/>
  <c r="W13" i="1"/>
  <c r="V13" i="1"/>
  <c r="U13" i="1"/>
  <c r="T13" i="1"/>
  <c r="S13" i="1"/>
  <c r="R13" i="1"/>
  <c r="Q13" i="1"/>
  <c r="P13" i="1"/>
  <c r="O13" i="1"/>
  <c r="N13" i="1"/>
  <c r="W12" i="1"/>
  <c r="V12" i="1"/>
  <c r="U12" i="1"/>
  <c r="T12" i="1"/>
  <c r="S12" i="1"/>
  <c r="R12" i="1"/>
  <c r="Q12" i="1"/>
  <c r="P12" i="1"/>
  <c r="O12" i="1"/>
  <c r="N12" i="1"/>
  <c r="W11" i="1"/>
  <c r="V11" i="1"/>
  <c r="U11" i="1"/>
  <c r="T11" i="1"/>
  <c r="S11" i="1"/>
  <c r="R11" i="1"/>
  <c r="Q11" i="1"/>
  <c r="P11" i="1"/>
  <c r="O11" i="1"/>
  <c r="N11" i="1"/>
  <c r="W10" i="1"/>
  <c r="V10" i="1"/>
  <c r="U10" i="1"/>
  <c r="T10" i="1"/>
  <c r="S10" i="1"/>
  <c r="R10" i="1"/>
  <c r="Q10" i="1"/>
  <c r="P10" i="1"/>
  <c r="O10" i="1"/>
  <c r="N10" i="1"/>
  <c r="W9" i="1"/>
  <c r="V9" i="1"/>
  <c r="U9" i="1"/>
  <c r="T9" i="1"/>
  <c r="S9" i="1"/>
  <c r="R9" i="1"/>
  <c r="Q9" i="1"/>
  <c r="P9" i="1"/>
  <c r="O9" i="1"/>
  <c r="N9" i="1"/>
  <c r="W8" i="1"/>
  <c r="V8" i="1"/>
  <c r="U8" i="1"/>
  <c r="T8" i="1"/>
  <c r="S8" i="1"/>
  <c r="R8" i="1"/>
  <c r="Q8" i="1"/>
  <c r="P8" i="1"/>
  <c r="O8" i="1"/>
  <c r="N8" i="1"/>
  <c r="W7" i="1"/>
  <c r="V7" i="1"/>
  <c r="U7" i="1"/>
  <c r="T7" i="1"/>
  <c r="S7" i="1"/>
  <c r="R7" i="1"/>
  <c r="Q7" i="1"/>
  <c r="P7" i="1"/>
  <c r="O7" i="1"/>
  <c r="N7" i="1"/>
  <c r="W6" i="1"/>
  <c r="V6" i="1"/>
  <c r="U6" i="1"/>
  <c r="T6" i="1"/>
  <c r="S6" i="1"/>
  <c r="R6" i="1"/>
  <c r="Q6" i="1"/>
  <c r="P6" i="1"/>
  <c r="O6" i="1"/>
  <c r="N6" i="1"/>
  <c r="W5" i="1"/>
  <c r="V5" i="1"/>
  <c r="U5" i="1"/>
  <c r="T5" i="1"/>
  <c r="S5" i="1"/>
  <c r="R5" i="1"/>
  <c r="Q5" i="1"/>
  <c r="P5" i="1"/>
  <c r="O5" i="1"/>
  <c r="N5" i="1"/>
  <c r="W4" i="1"/>
  <c r="V4" i="1"/>
  <c r="U4" i="1"/>
  <c r="T4" i="1"/>
  <c r="S4" i="1"/>
  <c r="R4" i="1"/>
  <c r="Q4" i="1"/>
  <c r="P4" i="1"/>
  <c r="O4" i="1"/>
  <c r="N4" i="1"/>
  <c r="W3" i="1"/>
  <c r="V3" i="1"/>
  <c r="U3" i="1"/>
  <c r="T3" i="1"/>
  <c r="S3" i="1"/>
  <c r="R3" i="1"/>
  <c r="Q3" i="1"/>
  <c r="P3" i="1"/>
  <c r="O3" i="1"/>
  <c r="N3" i="1"/>
  <c r="W2" i="1"/>
  <c r="V2" i="1"/>
  <c r="U2" i="1"/>
  <c r="T2" i="1"/>
  <c r="S2" i="1"/>
  <c r="R2" i="1"/>
  <c r="Q2" i="1"/>
  <c r="P2" i="1"/>
  <c r="O2" i="1"/>
  <c r="N2" i="1"/>
  <c r="AW13" i="5"/>
  <c r="AU13" i="5"/>
  <c r="AT13" i="5"/>
  <c r="AS13" i="5"/>
  <c r="AR13" i="5"/>
  <c r="AK13" i="5"/>
  <c r="AJ13" i="5"/>
  <c r="AI13" i="5"/>
  <c r="AG13" i="5"/>
  <c r="AF13" i="5"/>
  <c r="AE13" i="5"/>
  <c r="AD13" i="5"/>
  <c r="V13" i="5"/>
  <c r="U13" i="5"/>
  <c r="T13" i="5"/>
  <c r="S13" i="5"/>
  <c r="R13" i="5"/>
  <c r="Q13" i="5"/>
  <c r="P13" i="5"/>
  <c r="F13" i="5"/>
  <c r="E13" i="5"/>
  <c r="D13" i="5"/>
  <c r="C13" i="5"/>
  <c r="B13" i="5"/>
  <c r="AW10" i="5"/>
  <c r="AV10" i="5"/>
  <c r="R6" i="3" s="1"/>
  <c r="R102" i="3" s="1"/>
  <c r="AU10" i="5"/>
  <c r="AT10" i="5"/>
  <c r="AS10" i="5"/>
  <c r="AR10" i="5"/>
  <c r="AQ10" i="5"/>
  <c r="AQ13" i="5" s="1"/>
  <c r="AP10" i="5"/>
  <c r="AP13" i="5" s="1"/>
  <c r="AO10" i="5"/>
  <c r="AN10" i="5"/>
  <c r="AM10" i="5"/>
  <c r="AM13" i="5" s="1"/>
  <c r="AL10" i="5"/>
  <c r="AL13" i="5" s="1"/>
  <c r="AK10" i="5"/>
  <c r="AJ6" i="3" s="1"/>
  <c r="AJ9" i="3" s="1"/>
  <c r="AJ10" i="5"/>
  <c r="AI10" i="5"/>
  <c r="AH10" i="5"/>
  <c r="S6" i="3" s="1"/>
  <c r="S105" i="3" s="1"/>
  <c r="E105" i="3" s="1"/>
  <c r="AG10" i="5"/>
  <c r="AF10" i="5"/>
  <c r="AE10" i="5"/>
  <c r="AD10" i="5"/>
  <c r="AC10" i="5"/>
  <c r="AC13" i="5" s="1"/>
  <c r="AB10" i="5"/>
  <c r="AA10" i="5"/>
  <c r="AA13" i="5" s="1"/>
  <c r="Z10" i="5"/>
  <c r="Z13" i="5" s="1"/>
  <c r="Y10" i="5"/>
  <c r="Y13" i="5" s="1"/>
  <c r="X10" i="5"/>
  <c r="X13" i="5" s="1"/>
  <c r="W10" i="5"/>
  <c r="W13" i="5" s="1"/>
  <c r="V10" i="5"/>
  <c r="U10" i="5"/>
  <c r="T10" i="5"/>
  <c r="S10" i="5"/>
  <c r="R10" i="5"/>
  <c r="Q10" i="5"/>
  <c r="P10" i="5"/>
  <c r="O10" i="5"/>
  <c r="O13" i="5" s="1"/>
  <c r="N10" i="5"/>
  <c r="M10" i="5"/>
  <c r="M13" i="5" s="1"/>
  <c r="L10" i="5"/>
  <c r="L13" i="5" s="1"/>
  <c r="K10" i="5"/>
  <c r="K13" i="5" s="1"/>
  <c r="J10" i="5"/>
  <c r="J13" i="5" s="1"/>
  <c r="I10" i="5"/>
  <c r="J6" i="3" s="1"/>
  <c r="J109" i="3" s="1"/>
  <c r="H10" i="5"/>
  <c r="H13" i="5" s="1"/>
  <c r="G10" i="5"/>
  <c r="M6" i="3" s="1"/>
  <c r="M99" i="3" s="1"/>
  <c r="F10" i="5"/>
  <c r="E10" i="5"/>
  <c r="D10" i="5"/>
  <c r="C10" i="5"/>
  <c r="B10" i="5"/>
  <c r="AY8" i="5"/>
  <c r="AY7" i="5"/>
  <c r="AY6" i="5"/>
  <c r="AY5" i="5"/>
  <c r="AY4" i="5"/>
  <c r="AY3" i="5"/>
  <c r="AY2" i="5"/>
  <c r="AN9" i="3"/>
  <c r="AZ9" i="3"/>
  <c r="AX103" i="3"/>
  <c r="AW88" i="3"/>
  <c r="AV103" i="3"/>
  <c r="AU9" i="3"/>
  <c r="AT103" i="3"/>
  <c r="AO9" i="3"/>
  <c r="AN104" i="3"/>
  <c r="AL99" i="3"/>
  <c r="AK101" i="3"/>
  <c r="AI9" i="3"/>
  <c r="AG96" i="3"/>
  <c r="AF102" i="3"/>
  <c r="AD102" i="3"/>
  <c r="AC101" i="3"/>
  <c r="AB9" i="3"/>
  <c r="W9" i="3"/>
  <c r="V101" i="3"/>
  <c r="Q92" i="3"/>
  <c r="P9" i="3"/>
  <c r="L99" i="3"/>
  <c r="BA4" i="3"/>
  <c r="AZ4" i="3"/>
  <c r="AY4" i="3"/>
  <c r="AX4" i="3"/>
  <c r="AW4" i="3"/>
  <c r="AV4" i="3"/>
  <c r="AU4" i="3"/>
  <c r="AT4" i="3"/>
  <c r="AS4" i="3"/>
  <c r="AR4" i="3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Y4" i="3"/>
  <c r="X4" i="3"/>
  <c r="W4" i="3"/>
  <c r="V4" i="3"/>
  <c r="U4" i="3"/>
  <c r="T4" i="3"/>
  <c r="S4" i="3"/>
  <c r="R4" i="3"/>
  <c r="Q4" i="3"/>
  <c r="P4" i="3"/>
  <c r="O4" i="3"/>
  <c r="N4" i="3"/>
  <c r="M4" i="3"/>
  <c r="L4" i="3"/>
  <c r="K4" i="3"/>
  <c r="J4" i="3"/>
  <c r="I4" i="3"/>
  <c r="H4" i="3"/>
  <c r="G4" i="3"/>
  <c r="F4" i="3"/>
  <c r="J104" i="3" l="1"/>
  <c r="I13" i="5"/>
  <c r="AU14" i="5" s="1"/>
  <c r="G13" i="5"/>
  <c r="M52" i="3"/>
  <c r="AH13" i="5"/>
  <c r="AV13" i="5"/>
  <c r="R109" i="3"/>
  <c r="R107" i="3"/>
  <c r="E107" i="3" s="1"/>
  <c r="N13" i="5"/>
  <c r="I6" i="3"/>
  <c r="I67" i="3" s="1"/>
  <c r="AO13" i="5"/>
  <c r="H6" i="3"/>
  <c r="H9" i="3" s="1"/>
  <c r="AN13" i="5"/>
  <c r="G6" i="3"/>
  <c r="G9" i="3" s="1"/>
  <c r="AB13" i="5"/>
  <c r="F6" i="3"/>
  <c r="F104" i="3" s="1"/>
  <c r="O100" i="3"/>
  <c r="O103" i="3"/>
  <c r="AY104" i="3"/>
  <c r="AE104" i="3"/>
  <c r="K104" i="3"/>
  <c r="K103" i="3"/>
  <c r="AA103" i="3"/>
  <c r="AA104" i="3"/>
  <c r="AA102" i="3"/>
  <c r="AH12" i="3"/>
  <c r="U100" i="3"/>
  <c r="BA9" i="3"/>
  <c r="Y97" i="3"/>
  <c r="Y103" i="3"/>
  <c r="AR104" i="3"/>
  <c r="AM100" i="3"/>
  <c r="AP13" i="3"/>
  <c r="N99" i="3"/>
  <c r="N98" i="3"/>
  <c r="AD97" i="3"/>
  <c r="AT98" i="3"/>
  <c r="AT97" i="3"/>
  <c r="L10" i="3"/>
  <c r="M66" i="3"/>
  <c r="AC69" i="3"/>
  <c r="AC70" i="3"/>
  <c r="AS71" i="3"/>
  <c r="AV100" i="3"/>
  <c r="AV97" i="3"/>
  <c r="N13" i="3"/>
  <c r="AT80" i="3"/>
  <c r="J99" i="3"/>
  <c r="J96" i="3"/>
  <c r="K97" i="3"/>
  <c r="K99" i="3"/>
  <c r="K98" i="3"/>
  <c r="K100" i="3"/>
  <c r="AA100" i="3"/>
  <c r="AA97" i="3"/>
  <c r="AX101" i="3"/>
  <c r="AX96" i="3"/>
  <c r="R101" i="3"/>
  <c r="E101" i="3" s="1"/>
  <c r="R96" i="3"/>
  <c r="AN98" i="3"/>
  <c r="AN101" i="3"/>
  <c r="G96" i="3"/>
  <c r="G99" i="3"/>
  <c r="U9" i="3"/>
  <c r="U94" i="3"/>
  <c r="K9" i="3"/>
  <c r="N95" i="3"/>
  <c r="N90" i="3"/>
  <c r="AD83" i="3"/>
  <c r="AD92" i="3"/>
  <c r="AD86" i="3"/>
  <c r="AD91" i="3"/>
  <c r="AT9" i="3"/>
  <c r="AT93" i="3"/>
  <c r="AT94" i="3"/>
  <c r="AT84" i="3"/>
  <c r="AG88" i="3"/>
  <c r="O17" i="3"/>
  <c r="R9" i="3"/>
  <c r="R86" i="3"/>
  <c r="R89" i="3"/>
  <c r="AH9" i="3"/>
  <c r="AH90" i="3"/>
  <c r="AH92" i="3"/>
  <c r="AH85" i="3"/>
  <c r="AH95" i="3"/>
  <c r="AX89" i="3"/>
  <c r="AX88" i="3"/>
  <c r="AF9" i="3"/>
  <c r="AF90" i="3"/>
  <c r="AH11" i="3"/>
  <c r="AX12" i="3"/>
  <c r="S9" i="3"/>
  <c r="S88" i="3"/>
  <c r="AK9" i="3"/>
  <c r="AK88" i="3"/>
  <c r="AK92" i="3"/>
  <c r="V9" i="3"/>
  <c r="V87" i="3"/>
  <c r="V89" i="3"/>
  <c r="V91" i="3"/>
  <c r="AL9" i="3"/>
  <c r="AL84" i="3"/>
  <c r="AL95" i="3"/>
  <c r="AL89" i="3"/>
  <c r="AL91" i="3"/>
  <c r="AE9" i="3"/>
  <c r="AE84" i="3"/>
  <c r="AM9" i="3"/>
  <c r="AM85" i="3"/>
  <c r="AM93" i="3"/>
  <c r="AM94" i="3"/>
  <c r="AM87" i="3"/>
  <c r="X86" i="3"/>
  <c r="X84" i="3"/>
  <c r="AN92" i="3"/>
  <c r="AN93" i="3"/>
  <c r="AN86" i="3"/>
  <c r="AN88" i="3"/>
  <c r="Q9" i="3"/>
  <c r="AL15" i="3"/>
  <c r="AL77" i="3"/>
  <c r="AV9" i="3"/>
  <c r="AV83" i="3"/>
  <c r="AV91" i="3"/>
  <c r="AV92" i="3"/>
  <c r="AV87" i="3"/>
  <c r="AY9" i="3"/>
  <c r="AY89" i="3"/>
  <c r="AY84" i="3"/>
  <c r="AY95" i="3"/>
  <c r="Y92" i="3"/>
  <c r="Y88" i="3"/>
  <c r="Z93" i="3"/>
  <c r="Z94" i="3"/>
  <c r="Z87" i="3"/>
  <c r="Z90" i="3"/>
  <c r="Z83" i="3"/>
  <c r="AP94" i="3"/>
  <c r="AP83" i="3"/>
  <c r="AP88" i="3"/>
  <c r="AP90" i="3"/>
  <c r="AG9" i="3"/>
  <c r="AN10" i="3"/>
  <c r="AN13" i="3"/>
  <c r="AN22" i="3"/>
  <c r="X27" i="3"/>
  <c r="AN32" i="3"/>
  <c r="X39" i="3"/>
  <c r="X50" i="3"/>
  <c r="AN50" i="3"/>
  <c r="X51" i="3"/>
  <c r="H52" i="3"/>
  <c r="AN58" i="3"/>
  <c r="H59" i="3"/>
  <c r="H60" i="3"/>
  <c r="AN64" i="3"/>
  <c r="AN67" i="3"/>
  <c r="AN69" i="3"/>
  <c r="H72" i="3"/>
  <c r="AN74" i="3"/>
  <c r="AN76" i="3"/>
  <c r="Y14" i="3"/>
  <c r="Y19" i="3"/>
  <c r="Y20" i="3"/>
  <c r="Y21" i="3"/>
  <c r="Y28" i="3"/>
  <c r="Y31" i="3"/>
  <c r="Y33" i="3"/>
  <c r="Y39" i="3"/>
  <c r="Y50" i="3"/>
  <c r="Y51" i="3"/>
  <c r="Y54" i="3"/>
  <c r="Y55" i="3"/>
  <c r="Y60" i="3"/>
  <c r="Y63" i="3"/>
  <c r="Y64" i="3"/>
  <c r="AA88" i="3"/>
  <c r="AA85" i="3"/>
  <c r="AA92" i="3"/>
  <c r="AR92" i="3"/>
  <c r="AR91" i="3"/>
  <c r="AR84" i="3"/>
  <c r="AW9" i="3"/>
  <c r="Z10" i="3"/>
  <c r="O84" i="3"/>
  <c r="O93" i="3"/>
  <c r="O91" i="3"/>
  <c r="O90" i="3"/>
  <c r="AQ9" i="3"/>
  <c r="AQ89" i="3"/>
  <c r="AQ87" i="3"/>
  <c r="M9" i="3"/>
  <c r="AC9" i="3"/>
  <c r="AC84" i="3"/>
  <c r="AS9" i="3"/>
  <c r="AS85" i="3"/>
  <c r="AX9" i="3"/>
  <c r="AA10" i="3"/>
  <c r="AQ11" i="3"/>
  <c r="AA17" i="3"/>
  <c r="AA18" i="3"/>
  <c r="AQ20" i="3"/>
  <c r="K22" i="3"/>
  <c r="K24" i="3"/>
  <c r="K25" i="3"/>
  <c r="AA25" i="3"/>
  <c r="K26" i="3"/>
  <c r="AA26" i="3"/>
  <c r="AA27" i="3"/>
  <c r="AA28" i="3"/>
  <c r="K31" i="3"/>
  <c r="AA31" i="3"/>
  <c r="AQ31" i="3"/>
  <c r="AA32" i="3"/>
  <c r="K33" i="3"/>
  <c r="AA34" i="3"/>
  <c r="K39" i="3"/>
  <c r="AA41" i="3"/>
  <c r="K44" i="3"/>
  <c r="AA44" i="3"/>
  <c r="AA49" i="3"/>
  <c r="K50" i="3"/>
  <c r="AA54" i="3"/>
  <c r="AA57" i="3"/>
  <c r="K58" i="3"/>
  <c r="AA60" i="3"/>
  <c r="AA65" i="3"/>
  <c r="Y77" i="3"/>
  <c r="Y78" i="3"/>
  <c r="Y79" i="3"/>
  <c r="Z14" i="3"/>
  <c r="AP15" i="3"/>
  <c r="AP17" i="3"/>
  <c r="J19" i="3"/>
  <c r="AP19" i="3"/>
  <c r="J21" i="3"/>
  <c r="Z21" i="3"/>
  <c r="AP23" i="3"/>
  <c r="J25" i="3"/>
  <c r="Z25" i="3"/>
  <c r="J26" i="3"/>
  <c r="Z26" i="3"/>
  <c r="J28" i="3"/>
  <c r="J31" i="3"/>
  <c r="J32" i="3"/>
  <c r="AP36" i="3"/>
  <c r="AP37" i="3"/>
  <c r="Z40" i="3"/>
  <c r="Z41" i="3"/>
  <c r="AP42" i="3"/>
  <c r="J44" i="3"/>
  <c r="Z44" i="3"/>
  <c r="Z46" i="3"/>
  <c r="J47" i="3"/>
  <c r="Z49" i="3"/>
  <c r="AP50" i="3"/>
  <c r="AP51" i="3"/>
  <c r="Z52" i="3"/>
  <c r="Z53" i="3"/>
  <c r="J55" i="3"/>
  <c r="J58" i="3"/>
  <c r="AP59" i="3"/>
  <c r="AP61" i="3"/>
  <c r="J62" i="3"/>
  <c r="Z62" i="3"/>
  <c r="Z63" i="3"/>
  <c r="Z64" i="3"/>
  <c r="AP65" i="3"/>
  <c r="Z66" i="3"/>
  <c r="J68" i="3"/>
  <c r="AP70" i="3"/>
  <c r="Z71" i="3"/>
  <c r="Z73" i="3"/>
  <c r="J75" i="3"/>
  <c r="AP76" i="3"/>
  <c r="Z78" i="3"/>
  <c r="AP80" i="3"/>
  <c r="AA69" i="3"/>
  <c r="AA72" i="3"/>
  <c r="AA75" i="3"/>
  <c r="K77" i="3"/>
  <c r="AR12" i="3"/>
  <c r="L15" i="3"/>
  <c r="AB24" i="3"/>
  <c r="AR25" i="3"/>
  <c r="AR32" i="3"/>
  <c r="L34" i="3"/>
  <c r="AR35" i="3"/>
  <c r="AR36" i="3"/>
  <c r="L37" i="3"/>
  <c r="AR37" i="3"/>
  <c r="AR38" i="3"/>
  <c r="AB39" i="3"/>
  <c r="AB40" i="3"/>
  <c r="AR44" i="3"/>
  <c r="AR51" i="3"/>
  <c r="AR58" i="3"/>
  <c r="AR59" i="3"/>
  <c r="AR61" i="3"/>
  <c r="AR62" i="3"/>
  <c r="AR63" i="3"/>
  <c r="L72" i="3"/>
  <c r="AR72" i="3"/>
  <c r="AB73" i="3"/>
  <c r="AR73" i="3"/>
  <c r="L74" i="3"/>
  <c r="AB81" i="3"/>
  <c r="AD11" i="3"/>
  <c r="AD12" i="3"/>
  <c r="N17" i="3"/>
  <c r="AT17" i="3"/>
  <c r="N20" i="3"/>
  <c r="AD22" i="3"/>
  <c r="AD23" i="3"/>
  <c r="AT24" i="3"/>
  <c r="AT30" i="3"/>
  <c r="AD35" i="3"/>
  <c r="AD36" i="3"/>
  <c r="AT38" i="3"/>
  <c r="AD39" i="3"/>
  <c r="AD40" i="3"/>
  <c r="AD42" i="3"/>
  <c r="N43" i="3"/>
  <c r="E43" i="3" s="1"/>
  <c r="AD45" i="3"/>
  <c r="AD46" i="3"/>
  <c r="N48" i="3"/>
  <c r="AT49" i="3"/>
  <c r="AT56" i="3"/>
  <c r="AD59" i="3"/>
  <c r="N63" i="3"/>
  <c r="AD64" i="3"/>
  <c r="N65" i="3"/>
  <c r="AT66" i="3"/>
  <c r="AD67" i="3"/>
  <c r="AT68" i="3"/>
  <c r="AD70" i="3"/>
  <c r="AD74" i="3"/>
  <c r="N75" i="3"/>
  <c r="AT75" i="3"/>
  <c r="AD77" i="3"/>
  <c r="AT77" i="3"/>
  <c r="AD78" i="3"/>
  <c r="AT78" i="3"/>
  <c r="AT79" i="3"/>
  <c r="N81" i="3"/>
  <c r="N82" i="3"/>
  <c r="AE20" i="3"/>
  <c r="O21" i="3"/>
  <c r="AE24" i="3"/>
  <c r="AE25" i="3"/>
  <c r="AE26" i="3"/>
  <c r="AE27" i="3"/>
  <c r="AE28" i="3"/>
  <c r="AU30" i="3"/>
  <c r="O33" i="3"/>
  <c r="AE33" i="3"/>
  <c r="O40" i="3"/>
  <c r="AE44" i="3"/>
  <c r="O49" i="3"/>
  <c r="O52" i="3"/>
  <c r="O53" i="3"/>
  <c r="AE53" i="3"/>
  <c r="AE55" i="3"/>
  <c r="O56" i="3"/>
  <c r="O57" i="3"/>
  <c r="AE58" i="3"/>
  <c r="O59" i="3"/>
  <c r="O60" i="3"/>
  <c r="O61" i="3"/>
  <c r="O63" i="3"/>
  <c r="O67" i="3"/>
  <c r="O73" i="3"/>
  <c r="O74" i="3"/>
  <c r="AE75" i="3"/>
  <c r="AE76" i="3"/>
  <c r="AE77" i="3"/>
  <c r="AE82" i="3"/>
  <c r="P17" i="3"/>
  <c r="AV21" i="3"/>
  <c r="AF28" i="3"/>
  <c r="AV30" i="3"/>
  <c r="AF35" i="3"/>
  <c r="AF38" i="3"/>
  <c r="AF40" i="3"/>
  <c r="AV40" i="3"/>
  <c r="AV41" i="3"/>
  <c r="AV50" i="3"/>
  <c r="AF52" i="3"/>
  <c r="AV57" i="3"/>
  <c r="AV58" i="3"/>
  <c r="AF60" i="3"/>
  <c r="AV62" i="3"/>
  <c r="AV66" i="3"/>
  <c r="AV72" i="3"/>
  <c r="AG15" i="3"/>
  <c r="Q19" i="3"/>
  <c r="Q27" i="3"/>
  <c r="Q30" i="3"/>
  <c r="Q39" i="3"/>
  <c r="Q40" i="3"/>
  <c r="AG41" i="3"/>
  <c r="AG46" i="3"/>
  <c r="AW49" i="3"/>
  <c r="AW52" i="3"/>
  <c r="Q56" i="3"/>
  <c r="AW60" i="3"/>
  <c r="Q63" i="3"/>
  <c r="Q64" i="3"/>
  <c r="AG69" i="3"/>
  <c r="AW73" i="3"/>
  <c r="AG82" i="3"/>
  <c r="AX10" i="3"/>
  <c r="AX11" i="3"/>
  <c r="R12" i="3"/>
  <c r="AH13" i="3"/>
  <c r="AX15" i="3"/>
  <c r="AH16" i="3"/>
  <c r="R18" i="3"/>
  <c r="AX18" i="3"/>
  <c r="AH19" i="3"/>
  <c r="R21" i="3"/>
  <c r="AH26" i="3"/>
  <c r="R27" i="3"/>
  <c r="R28" i="3"/>
  <c r="AX30" i="3"/>
  <c r="R31" i="3"/>
  <c r="AX32" i="3"/>
  <c r="AX33" i="3"/>
  <c r="R34" i="3"/>
  <c r="AX34" i="3"/>
  <c r="R39" i="3"/>
  <c r="R40" i="3"/>
  <c r="AH40" i="3"/>
  <c r="R42" i="3"/>
  <c r="AX43" i="3"/>
  <c r="AH45" i="3"/>
  <c r="AH47" i="3"/>
  <c r="AH48" i="3"/>
  <c r="R49" i="3"/>
  <c r="R54" i="3"/>
  <c r="AX57" i="3"/>
  <c r="AH59" i="3"/>
  <c r="AX61" i="3"/>
  <c r="R62" i="3"/>
  <c r="AX63" i="3"/>
  <c r="R67" i="3"/>
  <c r="R68" i="3"/>
  <c r="AX69" i="3"/>
  <c r="R71" i="3"/>
  <c r="AX74" i="3"/>
  <c r="R76" i="3"/>
  <c r="AH79" i="3"/>
  <c r="R81" i="3"/>
  <c r="AH82" i="3"/>
  <c r="AY12" i="3"/>
  <c r="AY14" i="3"/>
  <c r="AY18" i="3"/>
  <c r="AY21" i="3"/>
  <c r="AY25" i="3"/>
  <c r="AY26" i="3"/>
  <c r="AY28" i="3"/>
  <c r="AY35" i="3"/>
  <c r="AY37" i="3"/>
  <c r="AY38" i="3"/>
  <c r="AI40" i="3"/>
  <c r="AY41" i="3"/>
  <c r="S42" i="3"/>
  <c r="AY44" i="3"/>
  <c r="AI47" i="3"/>
  <c r="AY48" i="3"/>
  <c r="AI50" i="3"/>
  <c r="AI51" i="3"/>
  <c r="AY52" i="3"/>
  <c r="AY53" i="3"/>
  <c r="AY54" i="3"/>
  <c r="AY58" i="3"/>
  <c r="AY60" i="3"/>
  <c r="AY62" i="3"/>
  <c r="AY72" i="3"/>
  <c r="S73" i="3"/>
  <c r="AY77" i="3"/>
  <c r="AY78" i="3"/>
  <c r="AY80" i="3"/>
  <c r="AY81" i="3"/>
  <c r="AZ18" i="3"/>
  <c r="T20" i="3"/>
  <c r="T24" i="3"/>
  <c r="T28" i="3"/>
  <c r="AJ31" i="3"/>
  <c r="AZ31" i="3"/>
  <c r="AJ39" i="3"/>
  <c r="AZ52" i="3"/>
  <c r="T60" i="3"/>
  <c r="T73" i="3"/>
  <c r="T80" i="3"/>
  <c r="T82" i="3"/>
  <c r="U14" i="3"/>
  <c r="BA17" i="3"/>
  <c r="U19" i="3"/>
  <c r="AK19" i="3"/>
  <c r="BA19" i="3"/>
  <c r="U22" i="3"/>
  <c r="BA24" i="3"/>
  <c r="AK33" i="3"/>
  <c r="AK35" i="3"/>
  <c r="U37" i="3"/>
  <c r="AK37" i="3"/>
  <c r="U38" i="3"/>
  <c r="AK38" i="3"/>
  <c r="AK47" i="3"/>
  <c r="AK53" i="3"/>
  <c r="U56" i="3"/>
  <c r="AK57" i="3"/>
  <c r="AK58" i="3"/>
  <c r="U60" i="3"/>
  <c r="U68" i="3"/>
  <c r="AK72" i="3"/>
  <c r="U79" i="3"/>
  <c r="V10" i="3"/>
  <c r="AL16" i="3"/>
  <c r="AL18" i="3"/>
  <c r="V20" i="3"/>
  <c r="AL20" i="3"/>
  <c r="V22" i="3"/>
  <c r="V23" i="3"/>
  <c r="AL23" i="3"/>
  <c r="F24" i="3"/>
  <c r="V24" i="3"/>
  <c r="AL25" i="3"/>
  <c r="AL27" i="3"/>
  <c r="V30" i="3"/>
  <c r="AL32" i="3"/>
  <c r="AL33" i="3"/>
  <c r="AL35" i="3"/>
  <c r="AL36" i="3"/>
  <c r="V39" i="3"/>
  <c r="AL44" i="3"/>
  <c r="AL45" i="3"/>
  <c r="V46" i="3"/>
  <c r="AL46" i="3"/>
  <c r="AL48" i="3"/>
  <c r="V49" i="3"/>
  <c r="AL51" i="3"/>
  <c r="AL55" i="3"/>
  <c r="V57" i="3"/>
  <c r="AL58" i="3"/>
  <c r="V61" i="3"/>
  <c r="F68" i="3"/>
  <c r="V71" i="3"/>
  <c r="V73" i="3"/>
  <c r="AL74" i="3"/>
  <c r="V75" i="3"/>
  <c r="V76" i="3"/>
  <c r="AL78" i="3"/>
  <c r="AL79" i="3"/>
  <c r="AL80" i="3"/>
  <c r="V82" i="3"/>
  <c r="AM18" i="3"/>
  <c r="AM24" i="3"/>
  <c r="W25" i="3"/>
  <c r="W26" i="3"/>
  <c r="AM26" i="3"/>
  <c r="AM28" i="3"/>
  <c r="G30" i="3"/>
  <c r="AM34" i="3"/>
  <c r="AM35" i="3"/>
  <c r="W36" i="3"/>
  <c r="W37" i="3"/>
  <c r="AM37" i="3"/>
  <c r="AM38" i="3"/>
  <c r="W44" i="3"/>
  <c r="AM50" i="3"/>
  <c r="AM51" i="3"/>
  <c r="AM52" i="3"/>
  <c r="AM54" i="3"/>
  <c r="AM60" i="3"/>
  <c r="AM62" i="3"/>
  <c r="AM65" i="3"/>
  <c r="AM70" i="3"/>
  <c r="AM73" i="3"/>
  <c r="X2" i="1"/>
  <c r="X51" i="1"/>
  <c r="X6" i="1"/>
  <c r="X48" i="1"/>
  <c r="X53" i="1"/>
  <c r="X62" i="1"/>
  <c r="X63" i="1"/>
  <c r="X66" i="1"/>
  <c r="X67" i="1"/>
  <c r="X5" i="1"/>
  <c r="X34" i="1"/>
  <c r="U7" i="3"/>
  <c r="X20" i="1"/>
  <c r="V7" i="3"/>
  <c r="AY8" i="3"/>
  <c r="AY16" i="3"/>
  <c r="K8" i="3"/>
  <c r="K16" i="3"/>
  <c r="X24" i="1"/>
  <c r="AQ7" i="3"/>
  <c r="AM8" i="3"/>
  <c r="AM16" i="3"/>
  <c r="AC7" i="3"/>
  <c r="R8" i="3"/>
  <c r="AO8" i="3"/>
  <c r="O7" i="3"/>
  <c r="X49" i="1"/>
  <c r="Y8" i="3"/>
  <c r="Y16" i="3"/>
  <c r="S8" i="3"/>
  <c r="BA8" i="3"/>
  <c r="BA16" i="3"/>
  <c r="X35" i="1"/>
  <c r="AG8" i="3"/>
  <c r="G7" i="3"/>
  <c r="AI7" i="3"/>
  <c r="AW7" i="3"/>
  <c r="M7" i="3"/>
  <c r="AA7" i="3"/>
  <c r="AO7" i="3"/>
  <c r="H7" i="3"/>
  <c r="AJ7" i="3"/>
  <c r="AX7" i="3"/>
  <c r="N7" i="3"/>
  <c r="AB7" i="3"/>
  <c r="AP7" i="3"/>
  <c r="AP8" i="3"/>
  <c r="T8" i="3"/>
  <c r="AH8" i="3"/>
  <c r="AV8" i="3"/>
  <c r="G8" i="3"/>
  <c r="U8" i="3"/>
  <c r="AI8" i="3"/>
  <c r="AW8" i="3"/>
  <c r="P7" i="3"/>
  <c r="P8" i="3"/>
  <c r="AD8" i="3"/>
  <c r="AD7" i="3"/>
  <c r="AR7" i="3"/>
  <c r="AR8" i="3"/>
  <c r="H8" i="3"/>
  <c r="V8" i="3"/>
  <c r="AJ8" i="3"/>
  <c r="AX8" i="3"/>
  <c r="Q8" i="3"/>
  <c r="Q7" i="3"/>
  <c r="AE8" i="3"/>
  <c r="AS7" i="3"/>
  <c r="AS8" i="3"/>
  <c r="I8" i="3"/>
  <c r="W8" i="3"/>
  <c r="AK8" i="3"/>
  <c r="G16" i="3"/>
  <c r="U16" i="3"/>
  <c r="AI16" i="3"/>
  <c r="AW16" i="3"/>
  <c r="X36" i="1"/>
  <c r="AT8" i="3"/>
  <c r="J8" i="3"/>
  <c r="X8" i="3"/>
  <c r="AL8" i="3"/>
  <c r="AZ8" i="3"/>
  <c r="H16" i="3"/>
  <c r="V16" i="3"/>
  <c r="AJ16" i="3"/>
  <c r="AX16" i="3"/>
  <c r="AU8" i="3"/>
  <c r="K7" i="3"/>
  <c r="Y7" i="3"/>
  <c r="AM7" i="3"/>
  <c r="AM29" i="3"/>
  <c r="BA7" i="3"/>
  <c r="X39" i="1"/>
  <c r="L7" i="3"/>
  <c r="Z7" i="3"/>
  <c r="AN7" i="3"/>
  <c r="AE7" i="3"/>
  <c r="L29" i="3"/>
  <c r="Z29" i="3"/>
  <c r="AN29" i="3"/>
  <c r="L8" i="3"/>
  <c r="Z8" i="3"/>
  <c r="AN8" i="3"/>
  <c r="M29" i="3"/>
  <c r="AA29" i="3"/>
  <c r="AO29" i="3"/>
  <c r="R7" i="3"/>
  <c r="AF7" i="3"/>
  <c r="AT7" i="3"/>
  <c r="M8" i="3"/>
  <c r="AA8" i="3"/>
  <c r="N29" i="3"/>
  <c r="AB29" i="3"/>
  <c r="AP29" i="3"/>
  <c r="F7" i="3"/>
  <c r="S7" i="3"/>
  <c r="AG7" i="3"/>
  <c r="AU7" i="3"/>
  <c r="N8" i="3"/>
  <c r="AB8" i="3"/>
  <c r="O29" i="3"/>
  <c r="AC29" i="3"/>
  <c r="AQ29" i="3"/>
  <c r="F8" i="3"/>
  <c r="T7" i="3"/>
  <c r="AH7" i="3"/>
  <c r="AV7" i="3"/>
  <c r="O8" i="3"/>
  <c r="AC8" i="3"/>
  <c r="AQ8" i="3"/>
  <c r="I7" i="3"/>
  <c r="W7" i="3"/>
  <c r="AK7" i="3"/>
  <c r="AY7" i="3"/>
  <c r="AF8" i="3"/>
  <c r="S29" i="3"/>
  <c r="AG29" i="3"/>
  <c r="J7" i="3"/>
  <c r="X7" i="3"/>
  <c r="AL7" i="3"/>
  <c r="AZ7" i="3"/>
  <c r="T29" i="3"/>
  <c r="AH29" i="3"/>
  <c r="AV29" i="3"/>
  <c r="R29" i="3"/>
  <c r="G29" i="3"/>
  <c r="U29" i="3"/>
  <c r="AI29" i="3"/>
  <c r="AW29" i="3"/>
  <c r="X21" i="1"/>
  <c r="H29" i="3"/>
  <c r="V29" i="3"/>
  <c r="AJ29" i="3"/>
  <c r="AX29" i="3"/>
  <c r="I29" i="3"/>
  <c r="W29" i="3"/>
  <c r="AK29" i="3"/>
  <c r="J29" i="3"/>
  <c r="X29" i="3"/>
  <c r="AL29" i="3"/>
  <c r="AZ29" i="3"/>
  <c r="X32" i="1"/>
  <c r="X15" i="1"/>
  <c r="X16" i="1"/>
  <c r="X44" i="1"/>
  <c r="X58" i="1"/>
  <c r="X71" i="1"/>
  <c r="X47" i="1"/>
  <c r="X61" i="1"/>
  <c r="X17" i="1"/>
  <c r="X31" i="1"/>
  <c r="X14" i="1"/>
  <c r="X73" i="1"/>
  <c r="X69" i="1"/>
  <c r="X11" i="1"/>
  <c r="X54" i="1"/>
  <c r="X18" i="1"/>
  <c r="X50" i="1"/>
  <c r="X65" i="1"/>
  <c r="X33" i="1"/>
  <c r="X12" i="1"/>
  <c r="X43" i="1"/>
  <c r="X10" i="1"/>
  <c r="X72" i="1"/>
  <c r="X68" i="1"/>
  <c r="X19" i="1"/>
  <c r="X13" i="1"/>
  <c r="X29" i="1"/>
  <c r="X57" i="1"/>
  <c r="X70" i="1"/>
  <c r="X25" i="1"/>
  <c r="X37" i="1"/>
  <c r="X38" i="1"/>
  <c r="X52" i="1"/>
  <c r="X22" i="1"/>
  <c r="X40" i="1"/>
  <c r="X75" i="1"/>
  <c r="X56" i="1"/>
  <c r="L9" i="3"/>
  <c r="Z9" i="3"/>
  <c r="X9" i="1"/>
  <c r="X64" i="1"/>
  <c r="X28" i="1"/>
  <c r="X46" i="1"/>
  <c r="X8" i="1"/>
  <c r="X27" i="1"/>
  <c r="X30" i="1"/>
  <c r="X45" i="1"/>
  <c r="Y9" i="3"/>
  <c r="X60" i="1"/>
  <c r="X26" i="1"/>
  <c r="X74" i="1"/>
  <c r="X4" i="1"/>
  <c r="X7" i="1"/>
  <c r="X42" i="1"/>
  <c r="X3" i="1"/>
  <c r="X23" i="1"/>
  <c r="X41" i="1"/>
  <c r="X55" i="1"/>
  <c r="X59" i="1"/>
  <c r="J9" i="3"/>
  <c r="X9" i="3"/>
  <c r="T9" i="3"/>
  <c r="AA9" i="3"/>
  <c r="AP9" i="3"/>
  <c r="AR9" i="3"/>
  <c r="N9" i="3"/>
  <c r="O9" i="3"/>
  <c r="AD9" i="3"/>
  <c r="AL14" i="5"/>
  <c r="O14" i="5"/>
  <c r="F14" i="5"/>
  <c r="V14" i="5"/>
  <c r="AI14" i="5"/>
  <c r="I14" i="5"/>
  <c r="AK14" i="5"/>
  <c r="AW14" i="5"/>
  <c r="Z14" i="5" l="1"/>
  <c r="I18" i="3"/>
  <c r="H54" i="3"/>
  <c r="D14" i="5"/>
  <c r="I14" i="3"/>
  <c r="I58" i="3"/>
  <c r="H80" i="3"/>
  <c r="H79" i="3"/>
  <c r="X14" i="5"/>
  <c r="G14" i="5"/>
  <c r="B14" i="5"/>
  <c r="H78" i="3"/>
  <c r="AO14" i="5"/>
  <c r="AV14" i="5"/>
  <c r="I52" i="3"/>
  <c r="E52" i="3" s="1"/>
  <c r="H77" i="3"/>
  <c r="AB14" i="5"/>
  <c r="AA14" i="5"/>
  <c r="I9" i="3"/>
  <c r="AP14" i="5"/>
  <c r="M14" i="5"/>
  <c r="F62" i="3"/>
  <c r="F34" i="3"/>
  <c r="F20" i="3"/>
  <c r="F19" i="3"/>
  <c r="F51" i="3"/>
  <c r="F32" i="3"/>
  <c r="E32" i="3" s="1"/>
  <c r="F31" i="3"/>
  <c r="E31" i="3" s="1"/>
  <c r="F16" i="3"/>
  <c r="H39" i="3"/>
  <c r="E39" i="3" s="1"/>
  <c r="F102" i="3"/>
  <c r="E102" i="3" s="1"/>
  <c r="F50" i="3"/>
  <c r="F47" i="3"/>
  <c r="E47" i="3" s="1"/>
  <c r="F26" i="3"/>
  <c r="E26" i="3" s="1"/>
  <c r="H73" i="3"/>
  <c r="E73" i="3" s="1"/>
  <c r="F25" i="3"/>
  <c r="E25" i="3" s="1"/>
  <c r="H70" i="3"/>
  <c r="H93" i="3"/>
  <c r="I69" i="3"/>
  <c r="F64" i="3"/>
  <c r="F44" i="3"/>
  <c r="E44" i="3" s="1"/>
  <c r="F9" i="3"/>
  <c r="F10" i="3"/>
  <c r="I28" i="3"/>
  <c r="E28" i="3" s="1"/>
  <c r="F99" i="3"/>
  <c r="F91" i="3"/>
  <c r="H99" i="3"/>
  <c r="I109" i="3"/>
  <c r="E109" i="3" s="1"/>
  <c r="I99" i="3"/>
  <c r="E41" i="3"/>
  <c r="C14" i="5"/>
  <c r="E15" i="3"/>
  <c r="Q14" i="5"/>
  <c r="AE14" i="5"/>
  <c r="H14" i="5"/>
  <c r="AN14" i="5"/>
  <c r="W14" i="5"/>
  <c r="T14" i="5"/>
  <c r="L14" i="5"/>
  <c r="AT14" i="5"/>
  <c r="P14" i="5"/>
  <c r="E17" i="3"/>
  <c r="E14" i="5"/>
  <c r="S14" i="5"/>
  <c r="AS14" i="5"/>
  <c r="AM14" i="5"/>
  <c r="U14" i="5"/>
  <c r="AH14" i="5"/>
  <c r="R14" i="5"/>
  <c r="Y14" i="5"/>
  <c r="E76" i="3"/>
  <c r="E81" i="3"/>
  <c r="E53" i="3"/>
  <c r="E69" i="3"/>
  <c r="E72" i="3"/>
  <c r="AC14" i="5"/>
  <c r="AR14" i="5"/>
  <c r="K14" i="5"/>
  <c r="E30" i="3"/>
  <c r="E18" i="3"/>
  <c r="E63" i="3"/>
  <c r="E74" i="3"/>
  <c r="E37" i="3"/>
  <c r="E93" i="3"/>
  <c r="AQ14" i="5"/>
  <c r="AF14" i="5"/>
  <c r="E62" i="3"/>
  <c r="E23" i="3"/>
  <c r="E56" i="3"/>
  <c r="E21" i="3"/>
  <c r="E87" i="3"/>
  <c r="J14" i="5"/>
  <c r="N14" i="5"/>
  <c r="AG14" i="5"/>
  <c r="AJ14" i="5"/>
  <c r="AD14" i="5"/>
  <c r="E90" i="3"/>
  <c r="E67" i="3"/>
  <c r="E66" i="3"/>
  <c r="E12" i="3"/>
  <c r="E95" i="3"/>
  <c r="E58" i="3"/>
  <c r="E65" i="3"/>
  <c r="E22" i="3"/>
  <c r="E27" i="3"/>
  <c r="E46" i="3"/>
  <c r="E11" i="3"/>
  <c r="E55" i="3"/>
  <c r="E92" i="3"/>
  <c r="E42" i="3"/>
  <c r="E75" i="3"/>
  <c r="E70" i="3"/>
  <c r="E64" i="3"/>
  <c r="E14" i="3"/>
  <c r="E71" i="3"/>
  <c r="E85" i="3"/>
  <c r="E104" i="3"/>
  <c r="E51" i="3"/>
  <c r="E82" i="3"/>
  <c r="E83" i="3"/>
  <c r="E103" i="3"/>
  <c r="E96" i="3"/>
  <c r="E57" i="3"/>
  <c r="E38" i="3"/>
  <c r="E49" i="3"/>
  <c r="E35" i="3"/>
  <c r="E48" i="3"/>
  <c r="E33" i="3"/>
  <c r="E36" i="3"/>
  <c r="E40" i="3"/>
  <c r="E61" i="3"/>
  <c r="E100" i="3"/>
  <c r="E68" i="3"/>
  <c r="E98" i="3"/>
  <c r="E60" i="3"/>
  <c r="E91" i="3"/>
  <c r="E97" i="3"/>
  <c r="E29" i="3"/>
  <c r="E34" i="3"/>
  <c r="E59" i="3"/>
  <c r="E20" i="3"/>
  <c r="E89" i="3"/>
  <c r="E94" i="3"/>
  <c r="E19" i="3"/>
  <c r="E54" i="3"/>
  <c r="E86" i="3"/>
  <c r="E80" i="3"/>
  <c r="E13" i="3"/>
  <c r="E45" i="3"/>
  <c r="E24" i="3"/>
  <c r="E50" i="3"/>
  <c r="E79" i="3"/>
  <c r="E88" i="3"/>
  <c r="E16" i="3"/>
  <c r="E84" i="3"/>
  <c r="E78" i="3"/>
  <c r="E77" i="3"/>
  <c r="E10" i="3"/>
  <c r="E99" i="3" l="1"/>
  <c r="D103" i="3"/>
  <c r="D104" i="3"/>
  <c r="D105" i="3"/>
  <c r="D107" i="3"/>
  <c r="D108" i="3"/>
  <c r="D109" i="3"/>
  <c r="D106" i="3"/>
  <c r="D74" i="3"/>
  <c r="D28" i="3"/>
  <c r="D102" i="3"/>
  <c r="D54" i="3"/>
  <c r="D88" i="3"/>
  <c r="D46" i="3"/>
  <c r="D31" i="3"/>
  <c r="D100" i="3"/>
  <c r="D14" i="3"/>
  <c r="D58" i="3"/>
  <c r="D51" i="3"/>
  <c r="D20" i="3"/>
  <c r="D61" i="3"/>
  <c r="D63" i="3"/>
  <c r="D57" i="3"/>
  <c r="D62" i="3"/>
  <c r="D59" i="3"/>
  <c r="D76" i="3"/>
  <c r="D10" i="3"/>
  <c r="D101" i="3"/>
  <c r="D87" i="3"/>
  <c r="D65" i="3"/>
  <c r="D22" i="3"/>
  <c r="D67" i="3"/>
  <c r="D47" i="3"/>
  <c r="D52" i="3"/>
  <c r="D41" i="3"/>
  <c r="D80" i="3"/>
  <c r="D79" i="3"/>
  <c r="D68" i="3"/>
  <c r="D90" i="3"/>
  <c r="D21" i="3"/>
  <c r="D50" i="3"/>
  <c r="D70" i="3"/>
  <c r="D71" i="3"/>
  <c r="D24" i="3"/>
  <c r="D73" i="3"/>
  <c r="D42" i="3"/>
  <c r="D23" i="3"/>
  <c r="D29" i="3"/>
  <c r="D12" i="3"/>
  <c r="D66" i="3"/>
  <c r="D49" i="3"/>
  <c r="D84" i="3"/>
  <c r="D99" i="3"/>
  <c r="D91" i="3"/>
  <c r="D85" i="3"/>
  <c r="D37" i="3"/>
  <c r="D53" i="3"/>
  <c r="D35" i="3"/>
  <c r="D94" i="3"/>
  <c r="D44" i="3"/>
  <c r="D34" i="3"/>
  <c r="D17" i="3"/>
  <c r="D45" i="3"/>
  <c r="D13" i="3"/>
  <c r="D72" i="3"/>
  <c r="D15" i="3"/>
  <c r="D97" i="3"/>
  <c r="D16" i="3"/>
  <c r="D30" i="3"/>
  <c r="D60" i="3"/>
  <c r="D75" i="3"/>
  <c r="D69" i="3"/>
  <c r="D83" i="3"/>
  <c r="D33" i="3"/>
  <c r="D39" i="3"/>
  <c r="D26" i="3"/>
  <c r="D43" i="3"/>
  <c r="D11" i="3"/>
  <c r="D78" i="3"/>
  <c r="D38" i="3"/>
  <c r="D32" i="3"/>
  <c r="D25" i="3"/>
  <c r="D56" i="3"/>
  <c r="D81" i="3"/>
  <c r="D55" i="3"/>
  <c r="D96" i="3"/>
  <c r="D19" i="3"/>
  <c r="D89" i="3"/>
  <c r="D18" i="3"/>
  <c r="D64" i="3"/>
  <c r="D36" i="3"/>
  <c r="D95" i="3"/>
  <c r="D77" i="3"/>
  <c r="D40" i="3"/>
  <c r="D93" i="3"/>
  <c r="D27" i="3"/>
  <c r="D86" i="3"/>
  <c r="D98" i="3"/>
  <c r="D92" i="3"/>
  <c r="D48" i="3"/>
  <c r="D82" i="3"/>
  <c r="BC113" i="3" l="1"/>
  <c r="F2" i="4"/>
  <c r="C19" i="4" s="1"/>
  <c r="D16" i="4" l="1"/>
  <c r="D15" i="4"/>
  <c r="D14" i="4"/>
  <c r="D4" i="4"/>
  <c r="D13" i="4"/>
  <c r="D2" i="4"/>
  <c r="D8" i="4"/>
  <c r="D5" i="4"/>
  <c r="D11" i="4"/>
  <c r="D3" i="4"/>
  <c r="D9" i="4"/>
  <c r="D7" i="4"/>
  <c r="F3" i="4"/>
  <c r="D12" i="4"/>
  <c r="D6" i="4"/>
  <c r="D10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E3E8F95-E99E-47FA-840A-327585F020E1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<sst xmlns="http://schemas.openxmlformats.org/spreadsheetml/2006/main" count="3992" uniqueCount="301">
  <si>
    <t>Email</t>
  </si>
  <si>
    <t>Corey Strand</t>
  </si>
  <si>
    <t>corey.j.strand@gmail.com</t>
  </si>
  <si>
    <t>Corey Strand  V2</t>
  </si>
  <si>
    <t>petelochner1</t>
  </si>
  <si>
    <t>Peter.Lochner@ampf.com</t>
  </si>
  <si>
    <t>MatthewSchaefer</t>
  </si>
  <si>
    <t>mschaefer0825@gmail.com</t>
  </si>
  <si>
    <t>John Falck</t>
  </si>
  <si>
    <t>John@contractcaulking.com</t>
  </si>
  <si>
    <t>paul@claireandpaul.net</t>
  </si>
  <si>
    <t>Manson2SudAmericaDrama</t>
  </si>
  <si>
    <t>Manson3HeartofHearts</t>
  </si>
  <si>
    <t>NickHanson1</t>
  </si>
  <si>
    <t>NickHanson2</t>
  </si>
  <si>
    <t>shoup1</t>
  </si>
  <si>
    <t>michael@shouper.com</t>
  </si>
  <si>
    <t>shoup2</t>
  </si>
  <si>
    <t>AbbieSchaeferWorldCupPicks</t>
  </si>
  <si>
    <t>JoelsBalance</t>
  </si>
  <si>
    <t>joels96@aol.com</t>
  </si>
  <si>
    <t>JoelsBigShort</t>
  </si>
  <si>
    <t>JoelsSenegalFlex</t>
  </si>
  <si>
    <t>LaurenBullock</t>
  </si>
  <si>
    <t>jdbullock@gmail.com</t>
  </si>
  <si>
    <t>WillBullock</t>
  </si>
  <si>
    <t>Entry</t>
  </si>
  <si>
    <t>Team 1</t>
  </si>
  <si>
    <t>Team 2</t>
  </si>
  <si>
    <t>Team 3</t>
  </si>
  <si>
    <t>Team 4</t>
  </si>
  <si>
    <t>Team 5</t>
  </si>
  <si>
    <t>Team 6</t>
  </si>
  <si>
    <t>Team 7</t>
  </si>
  <si>
    <t>Team 8</t>
  </si>
  <si>
    <t>Team 9</t>
  </si>
  <si>
    <t>Short</t>
  </si>
  <si>
    <t>S</t>
  </si>
  <si>
    <t>Germany</t>
  </si>
  <si>
    <t>Norway</t>
  </si>
  <si>
    <t>Netherlands</t>
  </si>
  <si>
    <t>Japan</t>
  </si>
  <si>
    <t>Mexico</t>
  </si>
  <si>
    <t>Qatar</t>
  </si>
  <si>
    <t>England</t>
  </si>
  <si>
    <t>Spain</t>
  </si>
  <si>
    <t>Algeria</t>
  </si>
  <si>
    <t>Belgium</t>
  </si>
  <si>
    <t>Austria</t>
  </si>
  <si>
    <t>Croatia</t>
  </si>
  <si>
    <t>USA</t>
  </si>
  <si>
    <t>Argentina</t>
  </si>
  <si>
    <t>Brazil</t>
  </si>
  <si>
    <t>Türkiye</t>
  </si>
  <si>
    <t>Ecuador</t>
  </si>
  <si>
    <t>Czechia</t>
  </si>
  <si>
    <t>Jordan</t>
  </si>
  <si>
    <t>Sweden</t>
  </si>
  <si>
    <t>New Zealand</t>
  </si>
  <si>
    <t>France</t>
  </si>
  <si>
    <t>Switzerland</t>
  </si>
  <si>
    <t>Portugal</t>
  </si>
  <si>
    <t>Morocco</t>
  </si>
  <si>
    <t>Haiti</t>
  </si>
  <si>
    <t>Panama</t>
  </si>
  <si>
    <t>Senegal</t>
  </si>
  <si>
    <t>Ghana</t>
  </si>
  <si>
    <t>Canada</t>
  </si>
  <si>
    <t>Uruguay</t>
  </si>
  <si>
    <t>Scotland</t>
  </si>
  <si>
    <t>Australia</t>
  </si>
  <si>
    <t>Egypt</t>
  </si>
  <si>
    <t>Colombia</t>
  </si>
  <si>
    <t>Tunisia</t>
  </si>
  <si>
    <t>Curaçao</t>
  </si>
  <si>
    <t>Ivory Coast</t>
  </si>
  <si>
    <t>Iran</t>
  </si>
  <si>
    <t>DR Congo</t>
  </si>
  <si>
    <t>Group A</t>
  </si>
  <si>
    <t>Group B</t>
  </si>
  <si>
    <t>Group C</t>
  </si>
  <si>
    <t>Group D</t>
  </si>
  <si>
    <t>Group E</t>
  </si>
  <si>
    <t>Group F</t>
  </si>
  <si>
    <t>Group G</t>
  </si>
  <si>
    <t>Group H</t>
  </si>
  <si>
    <t>Rank</t>
  </si>
  <si>
    <t>Total Points</t>
  </si>
  <si>
    <t>South Africa</t>
  </si>
  <si>
    <t>South Korea</t>
  </si>
  <si>
    <t>Bosnia and Herzegovina</t>
  </si>
  <si>
    <t>Paraguay</t>
  </si>
  <si>
    <t>Cape Verde</t>
  </si>
  <si>
    <t>Saudi Arabia</t>
  </si>
  <si>
    <t>Iraq</t>
  </si>
  <si>
    <t>Uzbekistan</t>
  </si>
  <si>
    <t>Paid in?</t>
  </si>
  <si>
    <t>Payout</t>
  </si>
  <si>
    <t>Net</t>
  </si>
  <si>
    <t>Paid out?</t>
  </si>
  <si>
    <t>Number Chosen</t>
  </si>
  <si>
    <t>Price</t>
  </si>
  <si>
    <t>Points</t>
  </si>
  <si>
    <t># of times chosen</t>
  </si>
  <si>
    <t># of times shorted</t>
  </si>
  <si>
    <t>Points Earned / Price</t>
  </si>
  <si>
    <t>No</t>
  </si>
  <si>
    <t>NA</t>
  </si>
  <si>
    <t>% of total</t>
  </si>
  <si>
    <t>1st</t>
  </si>
  <si>
    <t>Total Entries:</t>
  </si>
  <si>
    <t>2nd</t>
  </si>
  <si>
    <t>Must Pay to place #: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</si>
  <si>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</si>
  <si>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</si>
  <si>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</si>
  <si>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</si>
  <si>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</si>
  <si>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</si>
  <si>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</si>
  <si>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</si>
  <si>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</si>
  <si>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</si>
  <si>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Check</t>
  </si>
  <si>
    <t>Group Stage Round 1</t>
  </si>
  <si>
    <t>Total Check</t>
  </si>
  <si>
    <t>Group Stage Round 2</t>
  </si>
  <si>
    <t>Group Stage Round 3</t>
  </si>
  <si>
    <t>Group Stage Finish</t>
  </si>
  <si>
    <t>Round of 16</t>
  </si>
  <si>
    <t>Quarterfinal</t>
  </si>
  <si>
    <t>Semifinal</t>
  </si>
  <si>
    <t>Champion / 3rd Place</t>
  </si>
  <si>
    <t>Total</t>
  </si>
  <si>
    <t>Value (Points/Price)</t>
  </si>
  <si>
    <t>Value Rank</t>
  </si>
  <si>
    <t>Point System:</t>
  </si>
  <si>
    <t>Group phase:</t>
  </si>
  <si>
    <t>Win = 2 points</t>
  </si>
  <si>
    <t>Tie = 1 point</t>
  </si>
  <si>
    <t>1st place in group = 2 points</t>
  </si>
  <si>
    <t>2nd place in group = 1 point</t>
  </si>
  <si>
    <t>Knockout phase:</t>
  </si>
  <si>
    <t>Round of 16 win = 3 points</t>
  </si>
  <si>
    <t>Quarterfinal win = 4 points</t>
  </si>
  <si>
    <t>Semifinal win = 5 points</t>
  </si>
  <si>
    <t>3rd place winner = 1 point</t>
  </si>
  <si>
    <t>World cup champion = 7 points</t>
  </si>
  <si>
    <t>Marissa Cleaveland2</t>
  </si>
  <si>
    <t>Marissa.Cleaveland@nimblelytic.com</t>
  </si>
  <si>
    <t>Manson1ColumbusGotLost</t>
  </si>
  <si>
    <t>Nicholas.Hanson@ampf.com</t>
  </si>
  <si>
    <t>abbieschae@sbcglobal.net</t>
  </si>
  <si>
    <t>AinsleyBullock</t>
  </si>
  <si>
    <t>JohnBullock1</t>
  </si>
  <si>
    <t>JohnBullock2</t>
  </si>
  <si>
    <t>John Falck #2</t>
  </si>
  <si>
    <t>john@contractcaulking.com</t>
  </si>
  <si>
    <t>Tim Armbrustmacher1</t>
  </si>
  <si>
    <t>Tim Armbrustmacher2</t>
  </si>
  <si>
    <t>MikePollei1</t>
  </si>
  <si>
    <t>mikepollei@gmail.com</t>
  </si>
  <si>
    <t>MikePollei2</t>
  </si>
  <si>
    <t>mike.x.pollei@ampf.com</t>
  </si>
  <si>
    <t>MichellePollei</t>
  </si>
  <si>
    <t>michellepollei@gmail.com</t>
  </si>
  <si>
    <t>SarahPollei</t>
  </si>
  <si>
    <t>sarahpollei24@gmail.com</t>
  </si>
  <si>
    <t>Sean ODonnell1</t>
  </si>
  <si>
    <t>odonnell.sm@gmail.com</t>
  </si>
  <si>
    <t>Sean ODonnell2</t>
  </si>
  <si>
    <t>Cà Phê Đen Kid</t>
  </si>
  <si>
    <t>cdptravel132@yahoo.com</t>
  </si>
  <si>
    <t>AnaTwohy1</t>
  </si>
  <si>
    <t>anatwohy@gmail.com</t>
  </si>
  <si>
    <t>AnaTwohy2</t>
  </si>
  <si>
    <t>JoshTwohy1</t>
  </si>
  <si>
    <t>joshtwohy@gmail.com</t>
  </si>
  <si>
    <t>JoshTwohy2</t>
  </si>
  <si>
    <t>WillTwohy1</t>
  </si>
  <si>
    <t>willtwohy@gmail.com</t>
  </si>
  <si>
    <t>WillTwohy2</t>
  </si>
  <si>
    <t>Niedermaier_1A</t>
  </si>
  <si>
    <t>ben.niedermaier4@gmail.com</t>
  </si>
  <si>
    <t>Niedermaier_2B</t>
  </si>
  <si>
    <t>betsyg</t>
  </si>
  <si>
    <t>jngreeno@hotmail.com</t>
  </si>
  <si>
    <t>greeno</t>
  </si>
  <si>
    <t>lucasgilkay</t>
  </si>
  <si>
    <t>gilkaylucas@wisc.edu</t>
  </si>
  <si>
    <t>AshleyAlloway1</t>
  </si>
  <si>
    <t>ashleyalloway42@yahoo.com</t>
  </si>
  <si>
    <t>John Lindlof</t>
  </si>
  <si>
    <t>mcleaveland@icloud.com</t>
  </si>
  <si>
    <t>Marissa Cleaveland</t>
  </si>
  <si>
    <t>Henry Cleaveland</t>
  </si>
  <si>
    <t>L_Smith777</t>
  </si>
  <si>
    <t>colinsmith1025@gmail.com</t>
  </si>
  <si>
    <t>Tony M Pick 1</t>
  </si>
  <si>
    <t>Tony M Pick 2</t>
  </si>
  <si>
    <t>apurwiggam@yahoo.com</t>
  </si>
  <si>
    <t>ZachSchaefer1</t>
  </si>
  <si>
    <t>zdschaefer4@gmail.com</t>
  </si>
  <si>
    <t>shoupmicah</t>
  </si>
  <si>
    <t>Tim Skierka</t>
  </si>
  <si>
    <t>Timothy.Skierka@ampf.com</t>
  </si>
  <si>
    <t>JHudd1</t>
  </si>
  <si>
    <t>jeffrey.r.huddleston@gmail.com</t>
  </si>
  <si>
    <t>JHudd2</t>
  </si>
  <si>
    <t>Anne H</t>
  </si>
  <si>
    <t>spanny33333@gmail.com</t>
  </si>
  <si>
    <t>Sam H</t>
  </si>
  <si>
    <t>Maddie/Quinn</t>
  </si>
  <si>
    <t>Brianco1</t>
  </si>
  <si>
    <t>brianco55@yahoo.com</t>
  </si>
  <si>
    <t>Brianco2</t>
  </si>
  <si>
    <t>Ben Ritz Picks</t>
  </si>
  <si>
    <t>BenjaminRitz@ampf.com</t>
  </si>
  <si>
    <t>chrishalverson1</t>
  </si>
  <si>
    <t>cdh@halverson.org</t>
  </si>
  <si>
    <t>chrishalverson2</t>
  </si>
  <si>
    <t>D*Rock</t>
  </si>
  <si>
    <t>dfarmer@yahoo.com</t>
  </si>
  <si>
    <t>JonHendrickson</t>
  </si>
  <si>
    <t>jon.hendrickson@ampf.com</t>
  </si>
  <si>
    <t>Bwelter</t>
  </si>
  <si>
    <t>welter34@gmail.com</t>
  </si>
  <si>
    <t xml:space="preserve">ryan.hartman01@gmail.com </t>
  </si>
  <si>
    <t>Ryan H</t>
  </si>
  <si>
    <t>colvineric94@gmail.com</t>
  </si>
  <si>
    <t>EColvin1</t>
  </si>
  <si>
    <t>EColvin2</t>
  </si>
  <si>
    <t>EColvin3</t>
  </si>
  <si>
    <t>Noah Meier</t>
  </si>
  <si>
    <t>noah.meier@ampf.com</t>
  </si>
  <si>
    <t>gretameier1</t>
  </si>
  <si>
    <t>gschleif14@gmail.com</t>
  </si>
  <si>
    <t>Schultzy1</t>
  </si>
  <si>
    <t>schultzys@hotmail.com</t>
  </si>
  <si>
    <t>Schultzy2</t>
  </si>
  <si>
    <t>BBRooks</t>
  </si>
  <si>
    <t>bbrooksbank@gmail.com</t>
  </si>
  <si>
    <t>Craig Miller 1</t>
  </si>
  <si>
    <t>cmill6065@gmail.com</t>
  </si>
  <si>
    <t>Craig Miller 2</t>
  </si>
  <si>
    <t>Dane Miller</t>
  </si>
  <si>
    <t>danemiller635@gmail.com</t>
  </si>
  <si>
    <t>DC</t>
  </si>
  <si>
    <t>dchrisi@hotmail.com</t>
  </si>
  <si>
    <t>MatthewLeners</t>
  </si>
  <si>
    <t>Matthew.Leners@ampf.com</t>
  </si>
  <si>
    <t>reidschaefer1</t>
  </si>
  <si>
    <t>reidschaefer@yahoo.com</t>
  </si>
  <si>
    <t>RobertSpangler</t>
  </si>
  <si>
    <t>robert.spangler@ampf.com</t>
  </si>
  <si>
    <t>sarahschaefer</t>
  </si>
  <si>
    <t>sarahschaefer1969@gmail.com</t>
  </si>
  <si>
    <t>KenOlson1</t>
  </si>
  <si>
    <t>kjo1080@hotmail.com</t>
  </si>
  <si>
    <t>KenOlson2</t>
  </si>
  <si>
    <t>KenOlson3</t>
  </si>
  <si>
    <t>Horth</t>
  </si>
  <si>
    <t>hclayton10@gmail.com</t>
  </si>
  <si>
    <t>MonicaBullock</t>
  </si>
  <si>
    <t>nels2383@gmail.com</t>
  </si>
  <si>
    <t>mynameisjeff</t>
  </si>
  <si>
    <t>Jeffrey.Eberlein@ampf.com</t>
  </si>
  <si>
    <t>NTourville1</t>
  </si>
  <si>
    <t>nicholastourville24@gmail.com</t>
  </si>
  <si>
    <t>Vin - 1</t>
  </si>
  <si>
    <t>vinodhshan@gmail.com</t>
  </si>
  <si>
    <t>Vin - 2</t>
  </si>
  <si>
    <t>BrianCleaveland1</t>
  </si>
  <si>
    <t>brian.cleaveland@nimblelytic.com</t>
  </si>
  <si>
    <t>jongerdin1</t>
  </si>
  <si>
    <t>jgerdin01@yahoo.com</t>
  </si>
  <si>
    <t>jongerdin3</t>
  </si>
  <si>
    <t>jongerdin2</t>
  </si>
  <si>
    <t>Tim F1</t>
  </si>
  <si>
    <t>Tim F2</t>
  </si>
  <si>
    <t>Andy F1</t>
  </si>
  <si>
    <t>Andy F2</t>
  </si>
  <si>
    <t>dignund@yahoo.com</t>
  </si>
  <si>
    <t>`</t>
  </si>
  <si>
    <t>Group I</t>
  </si>
  <si>
    <t>Group J</t>
  </si>
  <si>
    <t>Group K</t>
  </si>
  <si>
    <t>Group L</t>
  </si>
  <si>
    <t>13th</t>
  </si>
  <si>
    <t>15th</t>
  </si>
  <si>
    <t>14th</t>
  </si>
  <si>
    <t>Group</t>
  </si>
  <si>
    <t>Country</t>
  </si>
  <si>
    <t>Cost</t>
  </si>
  <si>
    <t>EntryName</t>
  </si>
  <si>
    <t>tim_armbrustmacher@yahoo.com</t>
  </si>
  <si>
    <t>Attribute</t>
  </si>
  <si>
    <t>Value</t>
  </si>
  <si>
    <t>PickTyoe</t>
  </si>
  <si>
    <t>long</t>
  </si>
  <si>
    <t>short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</si>
</sst>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0.0"/>
    <numFmt numFmtId="166" formatCode="&quot;$&quot;#,##0"/>
    <numFmt numFmtId="167" formatCode="0_);[Red]\(0\)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8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</fills>
  <borders count="22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9" fontId="3" fillId="0" borderId="0"/>
  </cellStyleXfs>
  <cellXfs count="53">
    <xf numFmtId="0" fontId="0" fillId="0" borderId="0" xfId="0"/>
    <xf numFmtId="0" fontId="1" fillId="0" borderId="0" xfId="0" applyFont="1"/>
    <xf numFmtId="0" fontId="1" fillId="0" borderId="0" xfId="0" applyFont="1" applyAlignment="1">
      <alignment textRotation="90"/>
    </xf>
    <xf numFmtId="0" fontId="0" fillId="2" borderId="1" xfId="0" applyFill="1" applyBorder="1"/>
    <xf numFmtId="0" fontId="0" fillId="0" borderId="4" xfId="0" applyBorder="1" applyAlignment="1">
      <alignment horizontal="center"/>
    </xf>
    <xf numFmtId="0" fontId="0" fillId="0" borderId="0" xfId="0" applyAlignment="1">
      <alignment horizontal="center"/>
    </xf>
    <xf numFmtId="0" fontId="0" fillId="2" borderId="5" xfId="0" applyFill="1" applyBorder="1"/>
    <xf numFmtId="0" fontId="0" fillId="0" borderId="1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7" xfId="0" applyFont="1" applyBorder="1" applyAlignment="1">
      <alignment horizontal="center"/>
    </xf>
    <xf numFmtId="0" fontId="0" fillId="0" borderId="0" xfId="0" applyAlignment="1">
      <alignment horizontal="right"/>
    </xf>
    <xf numFmtId="0" fontId="1" fillId="0" borderId="6" xfId="0" applyFont="1" applyBorder="1" applyAlignment="1">
      <alignment horizontal="right"/>
    </xf>
    <xf numFmtId="0" fontId="1" fillId="0" borderId="8" xfId="0" applyFont="1" applyBorder="1" applyAlignment="1">
      <alignment horizontal="right"/>
    </xf>
    <xf numFmtId="165" fontId="0" fillId="0" borderId="0" xfId="0" applyNumberFormat="1" applyAlignment="1">
      <alignment horizontal="center"/>
    </xf>
    <xf numFmtId="0" fontId="4" fillId="0" borderId="0" xfId="0" applyFont="1"/>
    <xf numFmtId="0" fontId="0" fillId="3" borderId="7" xfId="0" applyFill="1" applyBorder="1" applyAlignment="1">
      <alignment horizontal="center"/>
    </xf>
    <xf numFmtId="0" fontId="2" fillId="0" borderId="0" xfId="0" applyFont="1" applyAlignment="1">
      <alignment vertical="center" textRotation="90"/>
    </xf>
    <xf numFmtId="0" fontId="0" fillId="0" borderId="0" xfId="0" applyAlignment="1">
      <alignment horizontal="center" textRotation="90"/>
    </xf>
    <xf numFmtId="0" fontId="5" fillId="0" borderId="0" xfId="0" applyFont="1" applyAlignment="1">
      <alignment horizontal="center" textRotation="90"/>
    </xf>
    <xf numFmtId="166" fontId="0" fillId="0" borderId="0" xfId="0" applyNumberFormat="1" applyAlignment="1">
      <alignment horizontal="center"/>
    </xf>
    <xf numFmtId="0" fontId="0" fillId="4" borderId="0" xfId="0" applyFill="1"/>
    <xf numFmtId="166" fontId="0" fillId="0" borderId="0" xfId="0" applyNumberFormat="1" applyAlignment="1">
      <alignment horizontal="left"/>
    </xf>
    <xf numFmtId="165" fontId="0" fillId="3" borderId="1" xfId="0" applyNumberForma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65" fontId="0" fillId="3" borderId="9" xfId="0" applyNumberFormat="1" applyFill="1" applyBorder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Continuous"/>
    </xf>
    <xf numFmtId="0" fontId="7" fillId="0" borderId="0" xfId="0" applyFont="1"/>
    <xf numFmtId="0" fontId="7" fillId="0" borderId="0" xfId="0" applyFont="1" applyAlignment="1">
      <alignment horizontal="centerContinuous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0" xfId="0" applyBorder="1" applyAlignment="1">
      <alignment horizontal="center" textRotation="90"/>
    </xf>
    <xf numFmtId="0" fontId="0" fillId="0" borderId="6" xfId="0" applyBorder="1" applyAlignment="1">
      <alignment horizontal="center" textRotation="90"/>
    </xf>
    <xf numFmtId="0" fontId="0" fillId="0" borderId="9" xfId="0" applyBorder="1" applyAlignment="1">
      <alignment horizontal="center"/>
    </xf>
    <xf numFmtId="0" fontId="0" fillId="0" borderId="20" xfId="0" applyBorder="1" applyAlignment="1">
      <alignment horizontal="center"/>
    </xf>
    <xf numFmtId="0" fontId="1" fillId="0" borderId="11" xfId="0" applyFon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164" fontId="0" fillId="0" borderId="0" xfId="1" applyNumberFormat="1" applyFont="1" applyAlignment="1">
      <alignment horizontal="center"/>
    </xf>
    <xf numFmtId="167" fontId="0" fillId="3" borderId="16" xfId="0" applyNumberFormat="1" applyFill="1" applyBorder="1" applyAlignment="1">
      <alignment horizontal="center"/>
    </xf>
    <xf numFmtId="167" fontId="0" fillId="3" borderId="3" xfId="0" applyNumberFormat="1" applyFill="1" applyBorder="1" applyAlignment="1">
      <alignment horizontal="center"/>
    </xf>
    <xf numFmtId="167" fontId="0" fillId="3" borderId="8" xfId="0" applyNumberFormat="1" applyFill="1" applyBorder="1" applyAlignment="1">
      <alignment horizontal="center"/>
    </xf>
    <xf numFmtId="167" fontId="8" fillId="3" borderId="16" xfId="0" applyNumberFormat="1" applyFont="1" applyFill="1" applyBorder="1" applyAlignment="1">
      <alignment horizontal="center"/>
    </xf>
    <xf numFmtId="167" fontId="0" fillId="3" borderId="17" xfId="0" applyNumberFormat="1" applyFill="1" applyBorder="1" applyAlignment="1">
      <alignment horizontal="center"/>
    </xf>
    <xf numFmtId="167" fontId="0" fillId="3" borderId="18" xfId="0" applyNumberFormat="1" applyFill="1" applyBorder="1" applyAlignment="1">
      <alignment horizontal="center"/>
    </xf>
    <xf numFmtId="167" fontId="0" fillId="3" borderId="19" xfId="0" applyNumberFormat="1" applyFill="1" applyBorder="1" applyAlignment="1">
      <alignment horizontal="center"/>
    </xf>
    <xf numFmtId="167" fontId="8" fillId="3" borderId="17" xfId="0" applyNumberFormat="1" applyFont="1" applyFill="1" applyBorder="1" applyAlignment="1">
      <alignment horizontal="center"/>
    </xf>
    <xf numFmtId="0" fontId="0" fillId="6" borderId="0" xfId="0" applyFill="1"/>
    <xf numFmtId="0" fontId="6" fillId="5" borderId="21" xfId="0" applyFont="1" applyFill="1" applyBorder="1" applyAlignment="1">
      <alignment horizontal="center"/>
    </xf>
    <xf numFmtId="0" fontId="0" fillId="0" borderId="14" xfId="0" applyBorder="1"/>
    <xf numFmtId="0" fontId="0" fillId="0" borderId="15" xfId="0" applyBorder="1"/>
    <xf numFmtId="0" fontId="0" fillId="0" borderId="0" xfId="0" applyNumberFormat="1"/>
  </cellXfs>
  <cellStyles count="2">
    <cellStyle name="Normal" xfId="0" builtinId="0"/>
    <cellStyle name="Percent" xfId="1" builtinId="5"/>
  </cellStyles>
  <dxfs count="373"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rgb="FF92D050"/>
        </patternFill>
      </fill>
    </dxf>
    <dxf>
      <fill>
        <patternFill>
          <bgColor rgb="FF63BE7B"/>
        </patternFill>
      </fill>
    </dxf>
    <dxf>
      <fill>
        <patternFill>
          <bgColor rgb="FFF8696B"/>
        </patternFill>
      </fill>
    </dxf>
    <dxf>
      <fill>
        <patternFill>
          <bgColor rgb="FF92D050"/>
        </patternFill>
      </fill>
    </dxf>
    <dxf>
      <fill>
        <patternFill>
          <bgColor rgb="FF63BE7B"/>
        </patternFill>
      </fill>
    </dxf>
    <dxf>
      <fill>
        <patternFill>
          <bgColor rgb="FFF8696B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Picks&amp;Groups"/>
      <sheetName val="Group Schedule"/>
      <sheetName val="Prices"/>
    </sheetNames>
    <sheetDataSet>
      <sheetData sheetId="0" refreshError="1"/>
      <sheetData sheetId="1" refreshError="1"/>
      <sheetData sheetId="2" refreshError="1"/>
      <sheetData sheetId="3">
        <row r="3">
          <cell r="B3" t="str">
            <v>Spain</v>
          </cell>
          <cell r="C3">
            <v>2</v>
          </cell>
          <cell r="D3">
            <v>4</v>
          </cell>
          <cell r="E3">
            <v>4</v>
          </cell>
          <cell r="F3">
            <v>4</v>
          </cell>
          <cell r="G3">
            <v>75</v>
          </cell>
          <cell r="H3">
            <v>4</v>
          </cell>
          <cell r="I3">
            <v>1</v>
          </cell>
        </row>
        <row r="4">
          <cell r="B4" t="str">
            <v>Brazil</v>
          </cell>
          <cell r="C4">
            <v>1</v>
          </cell>
          <cell r="D4">
            <v>5</v>
          </cell>
          <cell r="E4">
            <v>5</v>
          </cell>
          <cell r="F4">
            <v>5</v>
          </cell>
          <cell r="G4">
            <v>70</v>
          </cell>
          <cell r="H4">
            <v>5</v>
          </cell>
          <cell r="I4">
            <v>2</v>
          </cell>
        </row>
        <row r="5">
          <cell r="B5" t="str">
            <v>England</v>
          </cell>
          <cell r="C5">
            <v>8</v>
          </cell>
          <cell r="D5">
            <v>5.5</v>
          </cell>
          <cell r="E5">
            <v>5.5</v>
          </cell>
          <cell r="F5">
            <v>5.5</v>
          </cell>
          <cell r="G5">
            <v>60</v>
          </cell>
          <cell r="H5">
            <v>5.5</v>
          </cell>
          <cell r="I5">
            <v>3</v>
          </cell>
        </row>
        <row r="6">
          <cell r="B6" t="str">
            <v>Argentina</v>
          </cell>
          <cell r="C6">
            <v>7</v>
          </cell>
          <cell r="D6">
            <v>9</v>
          </cell>
          <cell r="E6">
            <v>9</v>
          </cell>
          <cell r="F6">
            <v>7</v>
          </cell>
          <cell r="G6">
            <v>55</v>
          </cell>
          <cell r="H6">
            <v>8.3000000000000007</v>
          </cell>
          <cell r="I6">
            <v>4</v>
          </cell>
        </row>
        <row r="7">
          <cell r="B7" t="str">
            <v>Italy</v>
          </cell>
          <cell r="C7">
            <v>5</v>
          </cell>
          <cell r="D7">
            <v>12</v>
          </cell>
          <cell r="E7">
            <v>12</v>
          </cell>
          <cell r="F7">
            <v>14</v>
          </cell>
          <cell r="G7">
            <v>50</v>
          </cell>
          <cell r="H7">
            <v>12.7</v>
          </cell>
          <cell r="I7">
            <v>5</v>
          </cell>
        </row>
        <row r="8">
          <cell r="B8" t="str">
            <v>Netherlands</v>
          </cell>
          <cell r="C8">
            <v>4</v>
          </cell>
          <cell r="D8">
            <v>14</v>
          </cell>
          <cell r="E8">
            <v>12</v>
          </cell>
          <cell r="F8">
            <v>14</v>
          </cell>
          <cell r="G8">
            <v>47</v>
          </cell>
          <cell r="H8">
            <v>13.3</v>
          </cell>
          <cell r="I8">
            <v>6</v>
          </cell>
        </row>
        <row r="9">
          <cell r="B9" t="str">
            <v>Germany</v>
          </cell>
          <cell r="C9">
            <v>6</v>
          </cell>
          <cell r="D9">
            <v>14</v>
          </cell>
          <cell r="E9">
            <v>14</v>
          </cell>
          <cell r="F9">
            <v>15</v>
          </cell>
          <cell r="G9">
            <v>44</v>
          </cell>
          <cell r="H9">
            <v>14.3</v>
          </cell>
          <cell r="I9">
            <v>7</v>
          </cell>
        </row>
        <row r="10">
          <cell r="B10" t="str">
            <v>France</v>
          </cell>
          <cell r="C10">
            <v>10</v>
          </cell>
          <cell r="D10">
            <v>12</v>
          </cell>
          <cell r="E10">
            <v>18</v>
          </cell>
          <cell r="F10">
            <v>16</v>
          </cell>
          <cell r="G10">
            <v>40</v>
          </cell>
          <cell r="H10">
            <v>15.3</v>
          </cell>
          <cell r="I10">
            <v>8</v>
          </cell>
        </row>
        <row r="11">
          <cell r="B11" t="str">
            <v>Portugal</v>
          </cell>
          <cell r="C11">
            <v>3</v>
          </cell>
          <cell r="D11">
            <v>25</v>
          </cell>
          <cell r="E11">
            <v>25</v>
          </cell>
          <cell r="F11">
            <v>22</v>
          </cell>
          <cell r="G11">
            <v>37</v>
          </cell>
          <cell r="H11">
            <v>24</v>
          </cell>
          <cell r="I11">
            <v>9</v>
          </cell>
        </row>
        <row r="12">
          <cell r="B12" t="str">
            <v>Ivory Coast</v>
          </cell>
          <cell r="C12">
            <v>27</v>
          </cell>
          <cell r="D12">
            <v>25</v>
          </cell>
          <cell r="E12">
            <v>25</v>
          </cell>
          <cell r="F12">
            <v>28</v>
          </cell>
          <cell r="G12">
            <v>35</v>
          </cell>
          <cell r="H12">
            <v>26</v>
          </cell>
          <cell r="I12">
            <v>10</v>
          </cell>
        </row>
        <row r="13">
          <cell r="B13" t="str">
            <v>Chile</v>
          </cell>
          <cell r="C13">
            <v>15</v>
          </cell>
          <cell r="D13">
            <v>50</v>
          </cell>
          <cell r="E13">
            <v>66</v>
          </cell>
          <cell r="F13">
            <v>50</v>
          </cell>
          <cell r="G13">
            <v>25</v>
          </cell>
          <cell r="H13">
            <v>55.3</v>
          </cell>
          <cell r="I13">
            <v>11</v>
          </cell>
        </row>
        <row r="14">
          <cell r="B14" t="str">
            <v>Mexico</v>
          </cell>
          <cell r="C14">
            <v>17</v>
          </cell>
          <cell r="D14">
            <v>50</v>
          </cell>
          <cell r="E14">
            <v>66</v>
          </cell>
          <cell r="F14">
            <v>66</v>
          </cell>
          <cell r="G14">
            <v>25</v>
          </cell>
          <cell r="H14">
            <v>60.7</v>
          </cell>
          <cell r="I14">
            <v>13</v>
          </cell>
        </row>
        <row r="15">
          <cell r="B15" t="str">
            <v>Paraguay</v>
          </cell>
          <cell r="C15">
            <v>30</v>
          </cell>
          <cell r="D15">
            <v>40</v>
          </cell>
          <cell r="E15">
            <v>66</v>
          </cell>
          <cell r="F15">
            <v>66</v>
          </cell>
          <cell r="G15">
            <v>25</v>
          </cell>
          <cell r="H15">
            <v>57.3</v>
          </cell>
          <cell r="I15">
            <v>12</v>
          </cell>
        </row>
        <row r="16">
          <cell r="B16" t="str">
            <v>Serbia</v>
          </cell>
          <cell r="C16">
            <v>16</v>
          </cell>
          <cell r="D16">
            <v>66</v>
          </cell>
          <cell r="E16">
            <v>66</v>
          </cell>
          <cell r="F16">
            <v>66</v>
          </cell>
          <cell r="G16">
            <v>23</v>
          </cell>
          <cell r="H16">
            <v>66</v>
          </cell>
          <cell r="I16">
            <v>14</v>
          </cell>
        </row>
        <row r="17">
          <cell r="B17" t="str">
            <v>Ghana</v>
          </cell>
          <cell r="C17">
            <v>32</v>
          </cell>
          <cell r="D17">
            <v>75</v>
          </cell>
          <cell r="E17">
            <v>66</v>
          </cell>
          <cell r="F17">
            <v>66</v>
          </cell>
          <cell r="G17">
            <v>21</v>
          </cell>
          <cell r="H17">
            <v>69</v>
          </cell>
          <cell r="I17">
            <v>15</v>
          </cell>
        </row>
        <row r="18">
          <cell r="B18" t="str">
            <v>USA</v>
          </cell>
          <cell r="C18">
            <v>14</v>
          </cell>
          <cell r="D18">
            <v>66</v>
          </cell>
          <cell r="E18">
            <v>66</v>
          </cell>
          <cell r="F18">
            <v>80</v>
          </cell>
          <cell r="G18">
            <v>20</v>
          </cell>
          <cell r="H18">
            <v>70.7</v>
          </cell>
          <cell r="I18">
            <v>16</v>
          </cell>
        </row>
        <row r="19">
          <cell r="B19" t="str">
            <v>Cameroon</v>
          </cell>
          <cell r="C19">
            <v>19</v>
          </cell>
          <cell r="D19">
            <v>80</v>
          </cell>
          <cell r="E19">
            <v>80</v>
          </cell>
          <cell r="F19">
            <v>80</v>
          </cell>
          <cell r="G19">
            <v>19</v>
          </cell>
          <cell r="H19">
            <v>80</v>
          </cell>
          <cell r="I19">
            <v>17</v>
          </cell>
        </row>
        <row r="20">
          <cell r="B20" t="str">
            <v>Uruguay</v>
          </cell>
          <cell r="C20">
            <v>18</v>
          </cell>
          <cell r="D20">
            <v>80</v>
          </cell>
          <cell r="E20">
            <v>100</v>
          </cell>
          <cell r="F20">
            <v>80</v>
          </cell>
          <cell r="G20">
            <v>18</v>
          </cell>
          <cell r="H20">
            <v>86.7</v>
          </cell>
          <cell r="I20">
            <v>18</v>
          </cell>
        </row>
        <row r="21">
          <cell r="B21" t="str">
            <v>Denmark</v>
          </cell>
          <cell r="C21">
            <v>35</v>
          </cell>
          <cell r="D21">
            <v>80</v>
          </cell>
          <cell r="E21">
            <v>100</v>
          </cell>
          <cell r="F21">
            <v>125</v>
          </cell>
          <cell r="G21">
            <v>15</v>
          </cell>
          <cell r="H21">
            <v>101.7</v>
          </cell>
          <cell r="I21">
            <v>20</v>
          </cell>
        </row>
        <row r="22">
          <cell r="B22" t="str">
            <v>Nigeria</v>
          </cell>
          <cell r="C22">
            <v>20</v>
          </cell>
          <cell r="D22">
            <v>100</v>
          </cell>
          <cell r="E22">
            <v>100</v>
          </cell>
          <cell r="F22">
            <v>100</v>
          </cell>
          <cell r="G22">
            <v>15</v>
          </cell>
          <cell r="H22">
            <v>100</v>
          </cell>
          <cell r="I22">
            <v>19</v>
          </cell>
        </row>
        <row r="23">
          <cell r="B23" t="str">
            <v>South Africa</v>
          </cell>
          <cell r="C23">
            <v>90</v>
          </cell>
          <cell r="D23">
            <v>80</v>
          </cell>
          <cell r="E23">
            <v>125</v>
          </cell>
          <cell r="F23">
            <v>125</v>
          </cell>
          <cell r="G23">
            <v>15</v>
          </cell>
          <cell r="H23">
            <v>110</v>
          </cell>
          <cell r="I23">
            <v>21</v>
          </cell>
        </row>
        <row r="24">
          <cell r="B24" t="str">
            <v>Greece</v>
          </cell>
          <cell r="C24">
            <v>11</v>
          </cell>
          <cell r="D24">
            <v>100</v>
          </cell>
          <cell r="E24">
            <v>100</v>
          </cell>
          <cell r="F24">
            <v>150</v>
          </cell>
          <cell r="G24">
            <v>14</v>
          </cell>
          <cell r="H24">
            <v>116.7</v>
          </cell>
          <cell r="I24">
            <v>22</v>
          </cell>
        </row>
        <row r="25">
          <cell r="B25" t="str">
            <v>Australia</v>
          </cell>
          <cell r="C25">
            <v>21</v>
          </cell>
          <cell r="D25">
            <v>125</v>
          </cell>
          <cell r="E25">
            <v>125</v>
          </cell>
          <cell r="F25">
            <v>125</v>
          </cell>
          <cell r="G25">
            <v>13</v>
          </cell>
          <cell r="H25">
            <v>125</v>
          </cell>
          <cell r="I25">
            <v>23</v>
          </cell>
        </row>
        <row r="26">
          <cell r="B26" t="str">
            <v>Switzerland</v>
          </cell>
          <cell r="C26">
            <v>26</v>
          </cell>
          <cell r="D26">
            <v>175</v>
          </cell>
          <cell r="E26">
            <v>150</v>
          </cell>
          <cell r="F26">
            <v>200</v>
          </cell>
          <cell r="G26">
            <v>11</v>
          </cell>
          <cell r="H26">
            <v>175</v>
          </cell>
          <cell r="I26">
            <v>24</v>
          </cell>
        </row>
        <row r="27">
          <cell r="B27" t="str">
            <v>Slovenia</v>
          </cell>
          <cell r="C27">
            <v>23</v>
          </cell>
          <cell r="D27">
            <v>175</v>
          </cell>
          <cell r="E27">
            <v>200</v>
          </cell>
          <cell r="F27">
            <v>250</v>
          </cell>
          <cell r="G27">
            <v>10</v>
          </cell>
          <cell r="H27">
            <v>208.3</v>
          </cell>
          <cell r="I27">
            <v>25</v>
          </cell>
        </row>
        <row r="28">
          <cell r="B28" t="str">
            <v>Slovakia</v>
          </cell>
          <cell r="C28">
            <v>38</v>
          </cell>
          <cell r="D28">
            <v>200</v>
          </cell>
          <cell r="E28">
            <v>200</v>
          </cell>
          <cell r="F28">
            <v>250</v>
          </cell>
          <cell r="G28">
            <v>9</v>
          </cell>
          <cell r="H28">
            <v>216.7</v>
          </cell>
          <cell r="I28">
            <v>27</v>
          </cell>
        </row>
        <row r="29">
          <cell r="B29" t="str">
            <v>Japan</v>
          </cell>
          <cell r="C29">
            <v>45</v>
          </cell>
          <cell r="D29">
            <v>200</v>
          </cell>
          <cell r="E29">
            <v>250</v>
          </cell>
          <cell r="F29">
            <v>200</v>
          </cell>
          <cell r="G29">
            <v>8</v>
          </cell>
          <cell r="H29">
            <v>216.7</v>
          </cell>
          <cell r="I29">
            <v>27</v>
          </cell>
        </row>
        <row r="30">
          <cell r="B30" t="str">
            <v>South Korea</v>
          </cell>
          <cell r="C30">
            <v>47</v>
          </cell>
          <cell r="D30">
            <v>250</v>
          </cell>
          <cell r="E30">
            <v>250</v>
          </cell>
          <cell r="F30">
            <v>200</v>
          </cell>
          <cell r="G30">
            <v>7</v>
          </cell>
          <cell r="H30">
            <v>233.3</v>
          </cell>
          <cell r="I30">
            <v>28</v>
          </cell>
        </row>
        <row r="31">
          <cell r="B31" t="str">
            <v>Algeria</v>
          </cell>
          <cell r="C31">
            <v>31</v>
          </cell>
          <cell r="D31">
            <v>500</v>
          </cell>
          <cell r="E31">
            <v>350</v>
          </cell>
          <cell r="F31">
            <v>250</v>
          </cell>
          <cell r="G31">
            <v>6</v>
          </cell>
          <cell r="H31">
            <v>366.7</v>
          </cell>
          <cell r="I31">
            <v>29</v>
          </cell>
        </row>
        <row r="32">
          <cell r="B32" t="str">
            <v>Honduras</v>
          </cell>
          <cell r="C32">
            <v>40</v>
          </cell>
          <cell r="D32">
            <v>400</v>
          </cell>
          <cell r="E32">
            <v>1000</v>
          </cell>
          <cell r="F32">
            <v>750</v>
          </cell>
          <cell r="G32">
            <v>5</v>
          </cell>
          <cell r="H32">
            <v>716.7</v>
          </cell>
          <cell r="I32">
            <v>30</v>
          </cell>
        </row>
        <row r="33">
          <cell r="B33" t="str">
            <v>New Zealand</v>
          </cell>
          <cell r="C33">
            <v>78</v>
          </cell>
          <cell r="D33">
            <v>750</v>
          </cell>
          <cell r="E33">
            <v>2000</v>
          </cell>
          <cell r="F33">
            <v>2000</v>
          </cell>
          <cell r="G33">
            <v>3</v>
          </cell>
          <cell r="H33">
            <v>1583.3</v>
          </cell>
          <cell r="I33">
            <v>32</v>
          </cell>
        </row>
        <row r="34">
          <cell r="B34" t="str">
            <v>North Korea</v>
          </cell>
          <cell r="C34">
            <v>106</v>
          </cell>
          <cell r="D34">
            <v>1000</v>
          </cell>
          <cell r="E34">
            <v>1500</v>
          </cell>
          <cell r="F34">
            <v>2000</v>
          </cell>
          <cell r="G34">
            <v>2</v>
          </cell>
          <cell r="H34">
            <v>1500</v>
          </cell>
          <cell r="I34">
            <v>31</v>
          </cell>
        </row>
      </sheetData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8B188CA9-66DF-4156-990E-AD3BF2D02874}" autoFormatId="16" applyNumberFormats="0" applyBorderFormats="0" applyFontFormats="0" applyPatternFormats="0" applyAlignmentFormats="0" applyWidthHeightFormats="0">
  <queryTableRefresh nextId="5">
    <queryTableFields count="4">
      <queryTableField id="1" name="Entry" tableColumnId="1"/>
      <queryTableField id="2" name="Attribute" tableColumnId="2"/>
      <queryTableField id="3" name="Value" tableColumnId="3"/>
      <queryTableField id="4" name="PickTyoe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D001491-4AE9-494A-8003-C75966E0FD2B}" name="Table1_1" displayName="Table1_1" ref="A1:D649" tableType="queryTable" totalsRowShown="0">
  <autoFilter ref="A1:D649" xr:uid="{4D001491-4AE9-494A-8003-C75966E0FD2B}"/>
  <tableColumns count="4">
    <tableColumn id="1" xr3:uid="{C96A7A6C-8A77-4AB1-B58E-E98F57A37FE0}" uniqueName="1" name="Entry" queryTableFieldId="1" dataDxfId="2"/>
    <tableColumn id="2" xr3:uid="{836EBCA9-0364-47F4-A1A5-BFE2B31C8470}" uniqueName="2" name="Attribute" queryTableFieldId="2" dataDxfId="1"/>
    <tableColumn id="3" xr3:uid="{56D2404B-A56C-4694-BC98-97C39FBD1997}" uniqueName="3" name="Value" queryTableFieldId="3" dataDxfId="0"/>
    <tableColumn id="4" xr3:uid="{6F124501-CBD5-46B2-BD3A-C0223B939CB5}" uniqueName="4" name="PickTyoe" queryTableField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DDFB06-814F-45E8-86E0-B25BD100A33E}" name="Table1" displayName="Table1" ref="B1:L101" totalsRowShown="0" headerRowDxfId="3" dataDxfId="4">
  <autoFilter ref="B1:L101" xr:uid="{0BDDFB06-814F-45E8-86E0-B25BD100A33E}"/>
  <tableColumns count="11">
    <tableColumn id="1" xr3:uid="{40D6560A-BA0B-48C9-857D-05F0565963AF}" name="Entry" dataDxfId="15"/>
    <tableColumn id="2" xr3:uid="{7B0FE722-8A73-4CDA-8E46-49268621F8BF}" name="Team 1" dataDxfId="14"/>
    <tableColumn id="3" xr3:uid="{DDF81024-4599-40D4-A8A4-56E8D8C0760F}" name="Team 2" dataDxfId="13"/>
    <tableColumn id="4" xr3:uid="{E1E061CE-C842-43D7-BDC2-1A7A243C3B18}" name="Team 3" dataDxfId="12"/>
    <tableColumn id="5" xr3:uid="{A32B9F50-4AC8-4282-B5AC-86D73671433A}" name="Team 4" dataDxfId="11"/>
    <tableColumn id="6" xr3:uid="{C7B735F5-E77B-4D7E-B453-B5DF032B2C5A}" name="Team 5" dataDxfId="10"/>
    <tableColumn id="7" xr3:uid="{9C6C32D0-4B6A-489E-B240-3C4C7DE4DBA2}" name="Team 6" dataDxfId="9"/>
    <tableColumn id="8" xr3:uid="{0235CC2A-CD2D-47A9-B9EB-FA82434FFA52}" name="Team 7" dataDxfId="8"/>
    <tableColumn id="9" xr3:uid="{A71D52A5-14E9-41A5-8974-87F59789A246}" name="Team 8" dataDxfId="7"/>
    <tableColumn id="10" xr3:uid="{628C6159-5249-4661-88F1-615F8D609B87}" name="Team 9" dataDxfId="6"/>
    <tableColumn id="11" xr3:uid="{6DE747BB-A72A-41DD-B34C-D9981E4F6745}" name="Short" dataDxfId="5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1"/>
  <sheetViews>
    <sheetView zoomScale="80" zoomScaleNormal="80" workbookViewId="0">
      <pane ySplit="1" topLeftCell="A57" activePane="bottomLeft" state="frozen"/>
      <selection pane="bottomLeft" activeCell="A2" sqref="A2:A101"/>
    </sheetView>
  </sheetViews>
  <sheetFormatPr defaultRowHeight="15" x14ac:dyDescent="0.25"/>
  <cols>
    <col min="1" max="1" width="27.28515625" customWidth="1"/>
    <col min="2" max="2" width="38.140625" bestFit="1" customWidth="1"/>
  </cols>
  <sheetData>
    <row r="1" spans="1:2" x14ac:dyDescent="0.25">
      <c r="A1" s="1" t="s">
        <v>294</v>
      </c>
      <c r="B1" s="1" t="s">
        <v>0</v>
      </c>
    </row>
    <row r="2" spans="1:2" x14ac:dyDescent="0.25">
      <c r="A2" t="s">
        <v>1</v>
      </c>
      <c r="B2" s="22" t="s">
        <v>2</v>
      </c>
    </row>
    <row r="3" spans="1:2" x14ac:dyDescent="0.25">
      <c r="A3" t="s">
        <v>3</v>
      </c>
      <c r="B3" s="22" t="s">
        <v>2</v>
      </c>
    </row>
    <row r="4" spans="1:2" x14ac:dyDescent="0.25">
      <c r="A4" t="s">
        <v>4</v>
      </c>
      <c r="B4" s="22" t="s">
        <v>5</v>
      </c>
    </row>
    <row r="5" spans="1:2" x14ac:dyDescent="0.25">
      <c r="A5" t="s">
        <v>6</v>
      </c>
      <c r="B5" s="22" t="s">
        <v>7</v>
      </c>
    </row>
    <row r="6" spans="1:2" x14ac:dyDescent="0.25">
      <c r="A6" t="s">
        <v>148</v>
      </c>
      <c r="B6" s="22" t="s">
        <v>149</v>
      </c>
    </row>
    <row r="7" spans="1:2" x14ac:dyDescent="0.25">
      <c r="A7" t="s">
        <v>8</v>
      </c>
      <c r="B7" s="22" t="s">
        <v>9</v>
      </c>
    </row>
    <row r="8" spans="1:2" x14ac:dyDescent="0.25">
      <c r="A8" t="s">
        <v>150</v>
      </c>
      <c r="B8" s="22" t="s">
        <v>10</v>
      </c>
    </row>
    <row r="9" spans="1:2" x14ac:dyDescent="0.25">
      <c r="A9" t="s">
        <v>11</v>
      </c>
      <c r="B9" s="22" t="s">
        <v>10</v>
      </c>
    </row>
    <row r="10" spans="1:2" x14ac:dyDescent="0.25">
      <c r="A10" t="s">
        <v>12</v>
      </c>
      <c r="B10" s="22" t="s">
        <v>10</v>
      </c>
    </row>
    <row r="11" spans="1:2" x14ac:dyDescent="0.25">
      <c r="A11" t="s">
        <v>13</v>
      </c>
      <c r="B11" s="22" t="s">
        <v>151</v>
      </c>
    </row>
    <row r="12" spans="1:2" x14ac:dyDescent="0.25">
      <c r="A12" t="s">
        <v>14</v>
      </c>
      <c r="B12" s="22" t="s">
        <v>151</v>
      </c>
    </row>
    <row r="13" spans="1:2" x14ac:dyDescent="0.25">
      <c r="A13" t="s">
        <v>15</v>
      </c>
      <c r="B13" s="22" t="s">
        <v>16</v>
      </c>
    </row>
    <row r="14" spans="1:2" x14ac:dyDescent="0.25">
      <c r="A14" t="s">
        <v>17</v>
      </c>
      <c r="B14" s="22" t="s">
        <v>16</v>
      </c>
    </row>
    <row r="15" spans="1:2" x14ac:dyDescent="0.25">
      <c r="A15" t="s">
        <v>18</v>
      </c>
      <c r="B15" s="22" t="s">
        <v>152</v>
      </c>
    </row>
    <row r="16" spans="1:2" x14ac:dyDescent="0.25">
      <c r="A16" t="s">
        <v>19</v>
      </c>
      <c r="B16" s="22" t="s">
        <v>20</v>
      </c>
    </row>
    <row r="17" spans="1:2" x14ac:dyDescent="0.25">
      <c r="A17" t="s">
        <v>21</v>
      </c>
      <c r="B17" s="22" t="s">
        <v>20</v>
      </c>
    </row>
    <row r="18" spans="1:2" x14ac:dyDescent="0.25">
      <c r="A18" t="s">
        <v>22</v>
      </c>
      <c r="B18" s="22" t="s">
        <v>20</v>
      </c>
    </row>
    <row r="19" spans="1:2" x14ac:dyDescent="0.25">
      <c r="A19" t="s">
        <v>23</v>
      </c>
      <c r="B19" s="22" t="s">
        <v>24</v>
      </c>
    </row>
    <row r="20" spans="1:2" x14ac:dyDescent="0.25">
      <c r="A20" t="s">
        <v>25</v>
      </c>
      <c r="B20" s="22" t="s">
        <v>24</v>
      </c>
    </row>
    <row r="21" spans="1:2" x14ac:dyDescent="0.25">
      <c r="A21" t="s">
        <v>154</v>
      </c>
      <c r="B21" s="22" t="s">
        <v>24</v>
      </c>
    </row>
    <row r="22" spans="1:2" x14ac:dyDescent="0.25">
      <c r="A22" t="s">
        <v>155</v>
      </c>
      <c r="B22" s="22" t="s">
        <v>24</v>
      </c>
    </row>
    <row r="23" spans="1:2" x14ac:dyDescent="0.25">
      <c r="A23" t="s">
        <v>153</v>
      </c>
      <c r="B23" s="22" t="s">
        <v>24</v>
      </c>
    </row>
    <row r="24" spans="1:2" x14ac:dyDescent="0.25">
      <c r="A24" t="s">
        <v>156</v>
      </c>
      <c r="B24" s="22" t="s">
        <v>157</v>
      </c>
    </row>
    <row r="25" spans="1:2" x14ac:dyDescent="0.25">
      <c r="A25" t="s">
        <v>158</v>
      </c>
      <c r="B25" s="22" t="s">
        <v>295</v>
      </c>
    </row>
    <row r="26" spans="1:2" x14ac:dyDescent="0.25">
      <c r="A26" t="s">
        <v>159</v>
      </c>
      <c r="B26" s="22" t="s">
        <v>295</v>
      </c>
    </row>
    <row r="27" spans="1:2" x14ac:dyDescent="0.25">
      <c r="A27" t="s">
        <v>160</v>
      </c>
      <c r="B27" s="22" t="s">
        <v>161</v>
      </c>
    </row>
    <row r="28" spans="1:2" x14ac:dyDescent="0.25">
      <c r="A28" t="s">
        <v>162</v>
      </c>
      <c r="B28" s="22" t="s">
        <v>163</v>
      </c>
    </row>
    <row r="29" spans="1:2" x14ac:dyDescent="0.25">
      <c r="A29" t="s">
        <v>164</v>
      </c>
      <c r="B29" s="22" t="s">
        <v>165</v>
      </c>
    </row>
    <row r="30" spans="1:2" x14ac:dyDescent="0.25">
      <c r="A30" t="s">
        <v>166</v>
      </c>
      <c r="B30" s="22" t="s">
        <v>167</v>
      </c>
    </row>
    <row r="31" spans="1:2" x14ac:dyDescent="0.25">
      <c r="A31" t="s">
        <v>168</v>
      </c>
      <c r="B31" s="22" t="s">
        <v>169</v>
      </c>
    </row>
    <row r="32" spans="1:2" x14ac:dyDescent="0.25">
      <c r="A32" t="s">
        <v>170</v>
      </c>
      <c r="B32" s="22" t="s">
        <v>169</v>
      </c>
    </row>
    <row r="33" spans="1:2" x14ac:dyDescent="0.25">
      <c r="A33" t="s">
        <v>171</v>
      </c>
      <c r="B33" s="22" t="s">
        <v>172</v>
      </c>
    </row>
    <row r="34" spans="1:2" x14ac:dyDescent="0.25">
      <c r="A34" t="s">
        <v>173</v>
      </c>
      <c r="B34" s="22" t="s">
        <v>174</v>
      </c>
    </row>
    <row r="35" spans="1:2" x14ac:dyDescent="0.25">
      <c r="A35" t="s">
        <v>175</v>
      </c>
      <c r="B35" s="22" t="s">
        <v>174</v>
      </c>
    </row>
    <row r="36" spans="1:2" x14ac:dyDescent="0.25">
      <c r="A36" t="s">
        <v>176</v>
      </c>
      <c r="B36" s="22" t="s">
        <v>177</v>
      </c>
    </row>
    <row r="37" spans="1:2" x14ac:dyDescent="0.25">
      <c r="A37" t="s">
        <v>178</v>
      </c>
      <c r="B37" s="22" t="s">
        <v>177</v>
      </c>
    </row>
    <row r="38" spans="1:2" x14ac:dyDescent="0.25">
      <c r="A38" t="s">
        <v>179</v>
      </c>
      <c r="B38" s="22" t="s">
        <v>180</v>
      </c>
    </row>
    <row r="39" spans="1:2" x14ac:dyDescent="0.25">
      <c r="A39" t="s">
        <v>181</v>
      </c>
      <c r="B39" s="22" t="s">
        <v>180</v>
      </c>
    </row>
    <row r="40" spans="1:2" x14ac:dyDescent="0.25">
      <c r="A40" t="s">
        <v>182</v>
      </c>
      <c r="B40" s="22" t="s">
        <v>183</v>
      </c>
    </row>
    <row r="41" spans="1:2" x14ac:dyDescent="0.25">
      <c r="A41" t="s">
        <v>184</v>
      </c>
      <c r="B41" s="22" t="s">
        <v>183</v>
      </c>
    </row>
    <row r="42" spans="1:2" x14ac:dyDescent="0.25">
      <c r="A42" t="s">
        <v>185</v>
      </c>
      <c r="B42" s="22" t="s">
        <v>186</v>
      </c>
    </row>
    <row r="43" spans="1:2" x14ac:dyDescent="0.25">
      <c r="A43" t="s">
        <v>187</v>
      </c>
      <c r="B43" s="22" t="s">
        <v>186</v>
      </c>
    </row>
    <row r="44" spans="1:2" x14ac:dyDescent="0.25">
      <c r="A44" t="s">
        <v>188</v>
      </c>
      <c r="B44" s="22" t="s">
        <v>189</v>
      </c>
    </row>
    <row r="45" spans="1:2" x14ac:dyDescent="0.25">
      <c r="A45" t="s">
        <v>190</v>
      </c>
      <c r="B45" s="22" t="s">
        <v>191</v>
      </c>
    </row>
    <row r="46" spans="1:2" x14ac:dyDescent="0.25">
      <c r="A46" t="s">
        <v>192</v>
      </c>
      <c r="B46" s="22" t="s">
        <v>193</v>
      </c>
    </row>
    <row r="47" spans="1:2" x14ac:dyDescent="0.25">
      <c r="A47" t="s">
        <v>194</v>
      </c>
      <c r="B47" s="22" t="s">
        <v>193</v>
      </c>
    </row>
    <row r="48" spans="1:2" x14ac:dyDescent="0.25">
      <c r="A48" t="s">
        <v>195</v>
      </c>
      <c r="B48" s="22" t="s">
        <v>193</v>
      </c>
    </row>
    <row r="49" spans="1:2" x14ac:dyDescent="0.25">
      <c r="A49" t="s">
        <v>196</v>
      </c>
      <c r="B49" s="22" t="s">
        <v>197</v>
      </c>
    </row>
    <row r="50" spans="1:2" x14ac:dyDescent="0.25">
      <c r="A50" t="s">
        <v>198</v>
      </c>
      <c r="B50" s="22" t="s">
        <v>200</v>
      </c>
    </row>
    <row r="51" spans="1:2" x14ac:dyDescent="0.25">
      <c r="A51" t="s">
        <v>199</v>
      </c>
      <c r="B51" s="22" t="s">
        <v>200</v>
      </c>
    </row>
    <row r="52" spans="1:2" x14ac:dyDescent="0.25">
      <c r="A52" t="s">
        <v>201</v>
      </c>
      <c r="B52" s="22" t="s">
        <v>202</v>
      </c>
    </row>
    <row r="53" spans="1:2" x14ac:dyDescent="0.25">
      <c r="A53" t="s">
        <v>203</v>
      </c>
      <c r="B53" s="22" t="s">
        <v>16</v>
      </c>
    </row>
    <row r="54" spans="1:2" x14ac:dyDescent="0.25">
      <c r="A54" t="s">
        <v>204</v>
      </c>
      <c r="B54" s="22" t="s">
        <v>205</v>
      </c>
    </row>
    <row r="55" spans="1:2" x14ac:dyDescent="0.25">
      <c r="A55" t="s">
        <v>206</v>
      </c>
      <c r="B55" s="22" t="s">
        <v>207</v>
      </c>
    </row>
    <row r="56" spans="1:2" x14ac:dyDescent="0.25">
      <c r="A56" t="s">
        <v>208</v>
      </c>
      <c r="B56" s="22" t="s">
        <v>207</v>
      </c>
    </row>
    <row r="57" spans="1:2" x14ac:dyDescent="0.25">
      <c r="A57" t="s">
        <v>209</v>
      </c>
      <c r="B57" s="22" t="s">
        <v>210</v>
      </c>
    </row>
    <row r="58" spans="1:2" x14ac:dyDescent="0.25">
      <c r="A58" t="s">
        <v>211</v>
      </c>
      <c r="B58" s="22" t="s">
        <v>210</v>
      </c>
    </row>
    <row r="59" spans="1:2" x14ac:dyDescent="0.25">
      <c r="A59" t="s">
        <v>212</v>
      </c>
      <c r="B59" s="22" t="s">
        <v>210</v>
      </c>
    </row>
    <row r="60" spans="1:2" x14ac:dyDescent="0.25">
      <c r="A60" t="s">
        <v>213</v>
      </c>
      <c r="B60" s="22" t="s">
        <v>214</v>
      </c>
    </row>
    <row r="61" spans="1:2" x14ac:dyDescent="0.25">
      <c r="A61" t="s">
        <v>215</v>
      </c>
      <c r="B61" s="22" t="s">
        <v>214</v>
      </c>
    </row>
    <row r="62" spans="1:2" x14ac:dyDescent="0.25">
      <c r="A62" t="s">
        <v>216</v>
      </c>
      <c r="B62" s="22" t="s">
        <v>217</v>
      </c>
    </row>
    <row r="63" spans="1:2" x14ac:dyDescent="0.25">
      <c r="A63" t="s">
        <v>218</v>
      </c>
      <c r="B63" s="22" t="s">
        <v>219</v>
      </c>
    </row>
    <row r="64" spans="1:2" x14ac:dyDescent="0.25">
      <c r="A64" t="s">
        <v>220</v>
      </c>
      <c r="B64" s="22" t="s">
        <v>219</v>
      </c>
    </row>
    <row r="65" spans="1:2" x14ac:dyDescent="0.25">
      <c r="A65" t="s">
        <v>221</v>
      </c>
      <c r="B65" s="22" t="s">
        <v>222</v>
      </c>
    </row>
    <row r="66" spans="1:2" x14ac:dyDescent="0.25">
      <c r="A66" t="s">
        <v>223</v>
      </c>
      <c r="B66" s="22" t="s">
        <v>224</v>
      </c>
    </row>
    <row r="67" spans="1:2" x14ac:dyDescent="0.25">
      <c r="A67" t="s">
        <v>225</v>
      </c>
      <c r="B67" s="22" t="s">
        <v>226</v>
      </c>
    </row>
    <row r="68" spans="1:2" x14ac:dyDescent="0.25">
      <c r="A68" t="s">
        <v>228</v>
      </c>
      <c r="B68" s="22" t="s">
        <v>227</v>
      </c>
    </row>
    <row r="69" spans="1:2" x14ac:dyDescent="0.25">
      <c r="A69" t="s">
        <v>230</v>
      </c>
      <c r="B69" s="22" t="s">
        <v>229</v>
      </c>
    </row>
    <row r="70" spans="1:2" x14ac:dyDescent="0.25">
      <c r="A70" t="s">
        <v>231</v>
      </c>
      <c r="B70" s="22" t="s">
        <v>229</v>
      </c>
    </row>
    <row r="71" spans="1:2" x14ac:dyDescent="0.25">
      <c r="A71" t="s">
        <v>232</v>
      </c>
      <c r="B71" s="22" t="s">
        <v>229</v>
      </c>
    </row>
    <row r="72" spans="1:2" x14ac:dyDescent="0.25">
      <c r="A72" t="s">
        <v>233</v>
      </c>
      <c r="B72" s="22" t="s">
        <v>234</v>
      </c>
    </row>
    <row r="73" spans="1:2" x14ac:dyDescent="0.25">
      <c r="A73" t="s">
        <v>235</v>
      </c>
      <c r="B73" s="22" t="s">
        <v>236</v>
      </c>
    </row>
    <row r="74" spans="1:2" x14ac:dyDescent="0.25">
      <c r="A74" t="s">
        <v>237</v>
      </c>
      <c r="B74" s="22" t="s">
        <v>238</v>
      </c>
    </row>
    <row r="75" spans="1:2" x14ac:dyDescent="0.25">
      <c r="A75" t="s">
        <v>239</v>
      </c>
      <c r="B75" s="22" t="s">
        <v>238</v>
      </c>
    </row>
    <row r="76" spans="1:2" x14ac:dyDescent="0.25">
      <c r="A76" t="s">
        <v>240</v>
      </c>
      <c r="B76" s="22" t="s">
        <v>241</v>
      </c>
    </row>
    <row r="77" spans="1:2" x14ac:dyDescent="0.25">
      <c r="A77" t="s">
        <v>242</v>
      </c>
      <c r="B77" s="22" t="s">
        <v>243</v>
      </c>
    </row>
    <row r="78" spans="1:2" x14ac:dyDescent="0.25">
      <c r="A78" t="s">
        <v>244</v>
      </c>
      <c r="B78" s="22" t="s">
        <v>243</v>
      </c>
    </row>
    <row r="79" spans="1:2" x14ac:dyDescent="0.25">
      <c r="A79" t="s">
        <v>245</v>
      </c>
      <c r="B79" s="22" t="s">
        <v>246</v>
      </c>
    </row>
    <row r="80" spans="1:2" x14ac:dyDescent="0.25">
      <c r="A80" t="s">
        <v>247</v>
      </c>
      <c r="B80" s="22" t="s">
        <v>248</v>
      </c>
    </row>
    <row r="81" spans="1:2" x14ac:dyDescent="0.25">
      <c r="A81" t="s">
        <v>249</v>
      </c>
      <c r="B81" s="22" t="s">
        <v>250</v>
      </c>
    </row>
    <row r="82" spans="1:2" x14ac:dyDescent="0.25">
      <c r="A82" t="s">
        <v>251</v>
      </c>
      <c r="B82" s="22" t="s">
        <v>252</v>
      </c>
    </row>
    <row r="83" spans="1:2" x14ac:dyDescent="0.25">
      <c r="A83" t="s">
        <v>253</v>
      </c>
      <c r="B83" s="22" t="s">
        <v>254</v>
      </c>
    </row>
    <row r="84" spans="1:2" x14ac:dyDescent="0.25">
      <c r="A84" t="s">
        <v>255</v>
      </c>
      <c r="B84" s="22" t="s">
        <v>256</v>
      </c>
    </row>
    <row r="85" spans="1:2" x14ac:dyDescent="0.25">
      <c r="A85" t="s">
        <v>257</v>
      </c>
      <c r="B85" s="22" t="s">
        <v>258</v>
      </c>
    </row>
    <row r="86" spans="1:2" x14ac:dyDescent="0.25">
      <c r="A86" t="s">
        <v>259</v>
      </c>
      <c r="B86" s="22" t="s">
        <v>258</v>
      </c>
    </row>
    <row r="87" spans="1:2" x14ac:dyDescent="0.25">
      <c r="A87" t="s">
        <v>260</v>
      </c>
      <c r="B87" s="22" t="s">
        <v>258</v>
      </c>
    </row>
    <row r="88" spans="1:2" x14ac:dyDescent="0.25">
      <c r="A88" t="s">
        <v>261</v>
      </c>
      <c r="B88" s="22" t="s">
        <v>262</v>
      </c>
    </row>
    <row r="89" spans="1:2" x14ac:dyDescent="0.25">
      <c r="A89" t="s">
        <v>263</v>
      </c>
      <c r="B89" s="22" t="s">
        <v>264</v>
      </c>
    </row>
    <row r="90" spans="1:2" x14ac:dyDescent="0.25">
      <c r="A90" t="s">
        <v>265</v>
      </c>
      <c r="B90" s="22" t="s">
        <v>266</v>
      </c>
    </row>
    <row r="91" spans="1:2" x14ac:dyDescent="0.25">
      <c r="A91" t="s">
        <v>267</v>
      </c>
      <c r="B91" s="22" t="s">
        <v>268</v>
      </c>
    </row>
    <row r="92" spans="1:2" x14ac:dyDescent="0.25">
      <c r="A92" t="s">
        <v>269</v>
      </c>
      <c r="B92" s="22" t="s">
        <v>270</v>
      </c>
    </row>
    <row r="93" spans="1:2" x14ac:dyDescent="0.25">
      <c r="A93" t="s">
        <v>271</v>
      </c>
      <c r="B93" s="22" t="s">
        <v>270</v>
      </c>
    </row>
    <row r="94" spans="1:2" x14ac:dyDescent="0.25">
      <c r="A94" t="s">
        <v>272</v>
      </c>
      <c r="B94" s="22" t="s">
        <v>273</v>
      </c>
    </row>
    <row r="95" spans="1:2" x14ac:dyDescent="0.25">
      <c r="A95" t="s">
        <v>274</v>
      </c>
      <c r="B95" s="22" t="s">
        <v>275</v>
      </c>
    </row>
    <row r="96" spans="1:2" x14ac:dyDescent="0.25">
      <c r="A96" t="s">
        <v>277</v>
      </c>
      <c r="B96" s="22" t="s">
        <v>275</v>
      </c>
    </row>
    <row r="97" spans="1:2" x14ac:dyDescent="0.25">
      <c r="A97" t="s">
        <v>276</v>
      </c>
      <c r="B97" s="22" t="s">
        <v>275</v>
      </c>
    </row>
    <row r="98" spans="1:2" x14ac:dyDescent="0.25">
      <c r="A98" t="s">
        <v>278</v>
      </c>
      <c r="B98" s="22" t="s">
        <v>282</v>
      </c>
    </row>
    <row r="99" spans="1:2" x14ac:dyDescent="0.25">
      <c r="A99" t="s">
        <v>279</v>
      </c>
      <c r="B99" s="22" t="s">
        <v>282</v>
      </c>
    </row>
    <row r="100" spans="1:2" x14ac:dyDescent="0.25">
      <c r="A100" t="s">
        <v>280</v>
      </c>
      <c r="B100" s="22" t="s">
        <v>282</v>
      </c>
    </row>
    <row r="101" spans="1:2" x14ac:dyDescent="0.25">
      <c r="A101" t="s">
        <v>281</v>
      </c>
      <c r="B101" s="22" t="s">
        <v>282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981DC-5444-4E90-A634-889EC99D13AD}">
  <dimension ref="A1:D649"/>
  <sheetViews>
    <sheetView tabSelected="1" workbookViewId="0">
      <selection activeCell="L14" sqref="L14"/>
    </sheetView>
  </sheetViews>
  <sheetFormatPr defaultRowHeight="15" x14ac:dyDescent="0.25"/>
  <cols>
    <col min="1" max="1" width="27.85546875" bestFit="1" customWidth="1"/>
    <col min="2" max="2" width="11.42578125" bestFit="1" customWidth="1"/>
    <col min="3" max="3" width="22.42578125" bestFit="1" customWidth="1"/>
    <col min="4" max="4" width="11.140625" bestFit="1" customWidth="1"/>
  </cols>
  <sheetData>
    <row r="1" spans="1:4" x14ac:dyDescent="0.25">
      <c r="A1" t="s">
        <v>26</v>
      </c>
      <c r="B1" t="s">
        <v>296</v>
      </c>
      <c r="C1" t="s">
        <v>297</v>
      </c>
      <c r="D1" t="s">
        <v>298</v>
      </c>
    </row>
    <row r="2" spans="1:4" x14ac:dyDescent="0.25">
      <c r="A2" s="52" t="s">
        <v>1</v>
      </c>
      <c r="B2" s="52" t="s">
        <v>27</v>
      </c>
      <c r="C2" s="52" t="s">
        <v>38</v>
      </c>
      <c r="D2" t="s">
        <v>299</v>
      </c>
    </row>
    <row r="3" spans="1:4" x14ac:dyDescent="0.25">
      <c r="A3" s="52" t="s">
        <v>1</v>
      </c>
      <c r="B3" s="52" t="s">
        <v>28</v>
      </c>
      <c r="C3" s="52" t="s">
        <v>39</v>
      </c>
      <c r="D3" t="s">
        <v>299</v>
      </c>
    </row>
    <row r="4" spans="1:4" x14ac:dyDescent="0.25">
      <c r="A4" s="52" t="s">
        <v>1</v>
      </c>
      <c r="B4" s="52" t="s">
        <v>29</v>
      </c>
      <c r="C4" s="52" t="s">
        <v>40</v>
      </c>
      <c r="D4" t="s">
        <v>299</v>
      </c>
    </row>
    <row r="5" spans="1:4" x14ac:dyDescent="0.25">
      <c r="A5" s="52" t="s">
        <v>1</v>
      </c>
      <c r="B5" s="52" t="s">
        <v>30</v>
      </c>
      <c r="C5" s="52" t="s">
        <v>41</v>
      </c>
      <c r="D5" t="s">
        <v>299</v>
      </c>
    </row>
    <row r="6" spans="1:4" x14ac:dyDescent="0.25">
      <c r="A6" s="52" t="s">
        <v>1</v>
      </c>
      <c r="B6" s="52" t="s">
        <v>31</v>
      </c>
      <c r="C6" s="52" t="s">
        <v>42</v>
      </c>
      <c r="D6" t="s">
        <v>299</v>
      </c>
    </row>
    <row r="7" spans="1:4" x14ac:dyDescent="0.25">
      <c r="A7" s="52" t="s">
        <v>1</v>
      </c>
      <c r="B7" s="52" t="s">
        <v>32</v>
      </c>
      <c r="C7" s="52" t="s">
        <v>43</v>
      </c>
      <c r="D7" t="s">
        <v>299</v>
      </c>
    </row>
    <row r="8" spans="1:4" x14ac:dyDescent="0.25">
      <c r="A8" s="52" t="s">
        <v>1</v>
      </c>
      <c r="B8" s="52" t="s">
        <v>36</v>
      </c>
      <c r="C8" s="52" t="s">
        <v>44</v>
      </c>
      <c r="D8" t="s">
        <v>300</v>
      </c>
    </row>
    <row r="9" spans="1:4" x14ac:dyDescent="0.25">
      <c r="A9" s="52" t="s">
        <v>3</v>
      </c>
      <c r="B9" s="52" t="s">
        <v>27</v>
      </c>
      <c r="C9" s="52" t="s">
        <v>44</v>
      </c>
      <c r="D9" t="s">
        <v>299</v>
      </c>
    </row>
    <row r="10" spans="1:4" x14ac:dyDescent="0.25">
      <c r="A10" s="52" t="s">
        <v>3</v>
      </c>
      <c r="B10" s="52" t="s">
        <v>28</v>
      </c>
      <c r="C10" s="52" t="s">
        <v>45</v>
      </c>
      <c r="D10" t="s">
        <v>299</v>
      </c>
    </row>
    <row r="11" spans="1:4" x14ac:dyDescent="0.25">
      <c r="A11" s="52" t="s">
        <v>3</v>
      </c>
      <c r="B11" s="52" t="s">
        <v>29</v>
      </c>
      <c r="C11" s="52" t="s">
        <v>46</v>
      </c>
      <c r="D11" t="s">
        <v>299</v>
      </c>
    </row>
    <row r="12" spans="1:4" x14ac:dyDescent="0.25">
      <c r="A12" s="52" t="s">
        <v>3</v>
      </c>
      <c r="B12" s="52" t="s">
        <v>36</v>
      </c>
      <c r="C12" s="52" t="s">
        <v>47</v>
      </c>
      <c r="D12" t="s">
        <v>300</v>
      </c>
    </row>
    <row r="13" spans="1:4" x14ac:dyDescent="0.25">
      <c r="A13" s="52" t="s">
        <v>4</v>
      </c>
      <c r="B13" s="52" t="s">
        <v>27</v>
      </c>
      <c r="C13" s="52" t="s">
        <v>45</v>
      </c>
      <c r="D13" t="s">
        <v>299</v>
      </c>
    </row>
    <row r="14" spans="1:4" x14ac:dyDescent="0.25">
      <c r="A14" s="52" t="s">
        <v>4</v>
      </c>
      <c r="B14" s="52" t="s">
        <v>28</v>
      </c>
      <c r="C14" s="52" t="s">
        <v>48</v>
      </c>
      <c r="D14" t="s">
        <v>299</v>
      </c>
    </row>
    <row r="15" spans="1:4" x14ac:dyDescent="0.25">
      <c r="A15" s="52" t="s">
        <v>4</v>
      </c>
      <c r="B15" s="52" t="s">
        <v>29</v>
      </c>
      <c r="C15" s="52" t="s">
        <v>49</v>
      </c>
      <c r="D15" t="s">
        <v>299</v>
      </c>
    </row>
    <row r="16" spans="1:4" x14ac:dyDescent="0.25">
      <c r="A16" s="52" t="s">
        <v>4</v>
      </c>
      <c r="B16" s="52" t="s">
        <v>30</v>
      </c>
      <c r="C16" s="52" t="s">
        <v>47</v>
      </c>
      <c r="D16" t="s">
        <v>299</v>
      </c>
    </row>
    <row r="17" spans="1:4" x14ac:dyDescent="0.25">
      <c r="A17" s="52" t="s">
        <v>4</v>
      </c>
      <c r="B17" s="52" t="s">
        <v>31</v>
      </c>
      <c r="C17" s="52" t="s">
        <v>50</v>
      </c>
      <c r="D17" t="s">
        <v>299</v>
      </c>
    </row>
    <row r="18" spans="1:4" x14ac:dyDescent="0.25">
      <c r="A18" s="52" t="s">
        <v>4</v>
      </c>
      <c r="B18" s="52" t="s">
        <v>36</v>
      </c>
      <c r="C18" s="52" t="s">
        <v>44</v>
      </c>
      <c r="D18" t="s">
        <v>300</v>
      </c>
    </row>
    <row r="19" spans="1:4" x14ac:dyDescent="0.25">
      <c r="A19" s="52" t="s">
        <v>6</v>
      </c>
      <c r="B19" s="52" t="s">
        <v>27</v>
      </c>
      <c r="C19" s="52" t="s">
        <v>51</v>
      </c>
      <c r="D19" t="s">
        <v>299</v>
      </c>
    </row>
    <row r="20" spans="1:4" x14ac:dyDescent="0.25">
      <c r="A20" s="52" t="s">
        <v>6</v>
      </c>
      <c r="B20" s="52" t="s">
        <v>28</v>
      </c>
      <c r="C20" s="52" t="s">
        <v>45</v>
      </c>
      <c r="D20" t="s">
        <v>299</v>
      </c>
    </row>
    <row r="21" spans="1:4" x14ac:dyDescent="0.25">
      <c r="A21" s="52" t="s">
        <v>6</v>
      </c>
      <c r="B21" s="52" t="s">
        <v>29</v>
      </c>
      <c r="C21" s="52" t="s">
        <v>39</v>
      </c>
      <c r="D21" t="s">
        <v>299</v>
      </c>
    </row>
    <row r="22" spans="1:4" x14ac:dyDescent="0.25">
      <c r="A22" s="52" t="s">
        <v>6</v>
      </c>
      <c r="B22" s="52" t="s">
        <v>36</v>
      </c>
      <c r="C22" s="52" t="s">
        <v>52</v>
      </c>
      <c r="D22" t="s">
        <v>300</v>
      </c>
    </row>
    <row r="23" spans="1:4" x14ac:dyDescent="0.25">
      <c r="A23" s="52" t="s">
        <v>148</v>
      </c>
      <c r="B23" s="52" t="s">
        <v>27</v>
      </c>
      <c r="C23" s="52" t="s">
        <v>40</v>
      </c>
      <c r="D23" t="s">
        <v>299</v>
      </c>
    </row>
    <row r="24" spans="1:4" x14ac:dyDescent="0.25">
      <c r="A24" s="52" t="s">
        <v>148</v>
      </c>
      <c r="B24" s="52" t="s">
        <v>28</v>
      </c>
      <c r="C24" s="52" t="s">
        <v>53</v>
      </c>
      <c r="D24" t="s">
        <v>299</v>
      </c>
    </row>
    <row r="25" spans="1:4" x14ac:dyDescent="0.25">
      <c r="A25" s="52" t="s">
        <v>148</v>
      </c>
      <c r="B25" s="52" t="s">
        <v>29</v>
      </c>
      <c r="C25" s="52" t="s">
        <v>49</v>
      </c>
      <c r="D25" t="s">
        <v>299</v>
      </c>
    </row>
    <row r="26" spans="1:4" x14ac:dyDescent="0.25">
      <c r="A26" s="52" t="s">
        <v>148</v>
      </c>
      <c r="B26" s="52" t="s">
        <v>30</v>
      </c>
      <c r="C26" s="52" t="s">
        <v>54</v>
      </c>
      <c r="D26" t="s">
        <v>299</v>
      </c>
    </row>
    <row r="27" spans="1:4" x14ac:dyDescent="0.25">
      <c r="A27" s="52" t="s">
        <v>148</v>
      </c>
      <c r="B27" s="52" t="s">
        <v>31</v>
      </c>
      <c r="C27" s="52" t="s">
        <v>55</v>
      </c>
      <c r="D27" t="s">
        <v>299</v>
      </c>
    </row>
    <row r="28" spans="1:4" x14ac:dyDescent="0.25">
      <c r="A28" s="52" t="s">
        <v>8</v>
      </c>
      <c r="B28" s="52" t="s">
        <v>27</v>
      </c>
      <c r="C28" s="52" t="s">
        <v>56</v>
      </c>
      <c r="D28" t="s">
        <v>299</v>
      </c>
    </row>
    <row r="29" spans="1:4" x14ac:dyDescent="0.25">
      <c r="A29" s="52" t="s">
        <v>8</v>
      </c>
      <c r="B29" s="52" t="s">
        <v>28</v>
      </c>
      <c r="C29" s="52" t="s">
        <v>44</v>
      </c>
      <c r="D29" t="s">
        <v>299</v>
      </c>
    </row>
    <row r="30" spans="1:4" x14ac:dyDescent="0.25">
      <c r="A30" s="52" t="s">
        <v>8</v>
      </c>
      <c r="B30" s="52" t="s">
        <v>29</v>
      </c>
      <c r="C30" s="52" t="s">
        <v>43</v>
      </c>
      <c r="D30" t="s">
        <v>299</v>
      </c>
    </row>
    <row r="31" spans="1:4" x14ac:dyDescent="0.25">
      <c r="A31" s="52" t="s">
        <v>8</v>
      </c>
      <c r="B31" s="52" t="s">
        <v>30</v>
      </c>
      <c r="C31" s="52" t="s">
        <v>57</v>
      </c>
      <c r="D31" t="s">
        <v>299</v>
      </c>
    </row>
    <row r="32" spans="1:4" x14ac:dyDescent="0.25">
      <c r="A32" s="52" t="s">
        <v>8</v>
      </c>
      <c r="B32" s="52" t="s">
        <v>31</v>
      </c>
      <c r="C32" s="52" t="s">
        <v>58</v>
      </c>
      <c r="D32" t="s">
        <v>299</v>
      </c>
    </row>
    <row r="33" spans="1:4" x14ac:dyDescent="0.25">
      <c r="A33" s="52" t="s">
        <v>8</v>
      </c>
      <c r="B33" s="52" t="s">
        <v>32</v>
      </c>
      <c r="C33" s="52" t="s">
        <v>59</v>
      </c>
      <c r="D33" t="s">
        <v>299</v>
      </c>
    </row>
    <row r="34" spans="1:4" x14ac:dyDescent="0.25">
      <c r="A34" s="52" t="s">
        <v>8</v>
      </c>
      <c r="B34" s="52" t="s">
        <v>36</v>
      </c>
      <c r="C34" s="52" t="s">
        <v>51</v>
      </c>
      <c r="D34" t="s">
        <v>300</v>
      </c>
    </row>
    <row r="35" spans="1:4" x14ac:dyDescent="0.25">
      <c r="A35" s="52" t="s">
        <v>150</v>
      </c>
      <c r="B35" s="52" t="s">
        <v>27</v>
      </c>
      <c r="C35" s="52" t="s">
        <v>59</v>
      </c>
      <c r="D35" t="s">
        <v>299</v>
      </c>
    </row>
    <row r="36" spans="1:4" x14ac:dyDescent="0.25">
      <c r="A36" s="52" t="s">
        <v>150</v>
      </c>
      <c r="B36" s="52" t="s">
        <v>28</v>
      </c>
      <c r="C36" s="52" t="s">
        <v>38</v>
      </c>
      <c r="D36" t="s">
        <v>299</v>
      </c>
    </row>
    <row r="37" spans="1:4" x14ac:dyDescent="0.25">
      <c r="A37" s="52" t="s">
        <v>150</v>
      </c>
      <c r="B37" s="52" t="s">
        <v>29</v>
      </c>
      <c r="C37" s="52" t="s">
        <v>42</v>
      </c>
      <c r="D37" t="s">
        <v>299</v>
      </c>
    </row>
    <row r="38" spans="1:4" x14ac:dyDescent="0.25">
      <c r="A38" s="52" t="s">
        <v>150</v>
      </c>
      <c r="B38" s="52" t="s">
        <v>30</v>
      </c>
      <c r="C38" s="52" t="s">
        <v>60</v>
      </c>
      <c r="D38" t="s">
        <v>299</v>
      </c>
    </row>
    <row r="39" spans="1:4" x14ac:dyDescent="0.25">
      <c r="A39" s="52" t="s">
        <v>150</v>
      </c>
      <c r="B39" s="52" t="s">
        <v>36</v>
      </c>
      <c r="C39" s="52" t="s">
        <v>45</v>
      </c>
      <c r="D39" t="s">
        <v>300</v>
      </c>
    </row>
    <row r="40" spans="1:4" x14ac:dyDescent="0.25">
      <c r="A40" s="52" t="s">
        <v>11</v>
      </c>
      <c r="B40" s="52" t="s">
        <v>27</v>
      </c>
      <c r="C40" s="52" t="s">
        <v>51</v>
      </c>
      <c r="D40" t="s">
        <v>299</v>
      </c>
    </row>
    <row r="41" spans="1:4" x14ac:dyDescent="0.25">
      <c r="A41" s="52" t="s">
        <v>11</v>
      </c>
      <c r="B41" s="52" t="s">
        <v>28</v>
      </c>
      <c r="C41" s="52" t="s">
        <v>61</v>
      </c>
      <c r="D41" t="s">
        <v>299</v>
      </c>
    </row>
    <row r="42" spans="1:4" x14ac:dyDescent="0.25">
      <c r="A42" s="52" t="s">
        <v>11</v>
      </c>
      <c r="B42" s="52" t="s">
        <v>29</v>
      </c>
      <c r="C42" s="52" t="s">
        <v>41</v>
      </c>
      <c r="D42" t="s">
        <v>299</v>
      </c>
    </row>
    <row r="43" spans="1:4" x14ac:dyDescent="0.25">
      <c r="A43" s="52" t="s">
        <v>11</v>
      </c>
      <c r="B43" s="52" t="s">
        <v>30</v>
      </c>
      <c r="C43" s="52" t="s">
        <v>62</v>
      </c>
      <c r="D43" t="s">
        <v>299</v>
      </c>
    </row>
    <row r="44" spans="1:4" x14ac:dyDescent="0.25">
      <c r="A44" s="52" t="s">
        <v>11</v>
      </c>
      <c r="B44" s="52" t="s">
        <v>31</v>
      </c>
      <c r="C44" s="52" t="s">
        <v>63</v>
      </c>
      <c r="D44" t="s">
        <v>299</v>
      </c>
    </row>
    <row r="45" spans="1:4" x14ac:dyDescent="0.25">
      <c r="A45" s="52" t="s">
        <v>11</v>
      </c>
      <c r="B45" s="52" t="s">
        <v>32</v>
      </c>
      <c r="C45" s="52" t="s">
        <v>64</v>
      </c>
      <c r="D45" t="s">
        <v>299</v>
      </c>
    </row>
    <row r="46" spans="1:4" x14ac:dyDescent="0.25">
      <c r="A46" s="52" t="s">
        <v>11</v>
      </c>
      <c r="B46" s="52" t="s">
        <v>36</v>
      </c>
      <c r="C46" s="52" t="s">
        <v>52</v>
      </c>
      <c r="D46" t="s">
        <v>300</v>
      </c>
    </row>
    <row r="47" spans="1:4" x14ac:dyDescent="0.25">
      <c r="A47" s="52" t="s">
        <v>12</v>
      </c>
      <c r="B47" s="52" t="s">
        <v>27</v>
      </c>
      <c r="C47" s="52" t="s">
        <v>59</v>
      </c>
      <c r="D47" t="s">
        <v>299</v>
      </c>
    </row>
    <row r="48" spans="1:4" x14ac:dyDescent="0.25">
      <c r="A48" s="52" t="s">
        <v>12</v>
      </c>
      <c r="B48" s="52" t="s">
        <v>28</v>
      </c>
      <c r="C48" s="52" t="s">
        <v>50</v>
      </c>
      <c r="D48" t="s">
        <v>299</v>
      </c>
    </row>
    <row r="49" spans="1:4" x14ac:dyDescent="0.25">
      <c r="A49" s="52" t="s">
        <v>12</v>
      </c>
      <c r="B49" s="52" t="s">
        <v>29</v>
      </c>
      <c r="C49" s="52" t="s">
        <v>41</v>
      </c>
      <c r="D49" t="s">
        <v>299</v>
      </c>
    </row>
    <row r="50" spans="1:4" x14ac:dyDescent="0.25">
      <c r="A50" s="52" t="s">
        <v>12</v>
      </c>
      <c r="B50" s="52" t="s">
        <v>30</v>
      </c>
      <c r="C50" s="52" t="s">
        <v>49</v>
      </c>
      <c r="D50" t="s">
        <v>299</v>
      </c>
    </row>
    <row r="51" spans="1:4" x14ac:dyDescent="0.25">
      <c r="A51" s="52" t="s">
        <v>12</v>
      </c>
      <c r="B51" s="52" t="s">
        <v>31</v>
      </c>
      <c r="C51" s="52" t="s">
        <v>55</v>
      </c>
      <c r="D51" t="s">
        <v>299</v>
      </c>
    </row>
    <row r="52" spans="1:4" x14ac:dyDescent="0.25">
      <c r="A52" s="52" t="s">
        <v>12</v>
      </c>
      <c r="B52" s="52" t="s">
        <v>32</v>
      </c>
      <c r="C52" s="52" t="s">
        <v>65</v>
      </c>
      <c r="D52" t="s">
        <v>299</v>
      </c>
    </row>
    <row r="53" spans="1:4" x14ac:dyDescent="0.25">
      <c r="A53" s="52" t="s">
        <v>12</v>
      </c>
      <c r="B53" s="52" t="s">
        <v>33</v>
      </c>
      <c r="C53" s="52" t="s">
        <v>66</v>
      </c>
      <c r="D53" t="s">
        <v>299</v>
      </c>
    </row>
    <row r="54" spans="1:4" x14ac:dyDescent="0.25">
      <c r="A54" s="52" t="s">
        <v>12</v>
      </c>
      <c r="B54" s="52" t="s">
        <v>36</v>
      </c>
      <c r="C54" s="52" t="s">
        <v>44</v>
      </c>
      <c r="D54" t="s">
        <v>300</v>
      </c>
    </row>
    <row r="55" spans="1:4" x14ac:dyDescent="0.25">
      <c r="A55" s="52" t="s">
        <v>13</v>
      </c>
      <c r="B55" s="52" t="s">
        <v>27</v>
      </c>
      <c r="C55" s="52" t="s">
        <v>51</v>
      </c>
      <c r="D55" t="s">
        <v>299</v>
      </c>
    </row>
    <row r="56" spans="1:4" x14ac:dyDescent="0.25">
      <c r="A56" s="52" t="s">
        <v>13</v>
      </c>
      <c r="B56" s="52" t="s">
        <v>28</v>
      </c>
      <c r="C56" s="52" t="s">
        <v>42</v>
      </c>
      <c r="D56" t="s">
        <v>299</v>
      </c>
    </row>
    <row r="57" spans="1:4" x14ac:dyDescent="0.25">
      <c r="A57" s="52" t="s">
        <v>13</v>
      </c>
      <c r="B57" s="52" t="s">
        <v>29</v>
      </c>
      <c r="C57" s="52" t="s">
        <v>53</v>
      </c>
      <c r="D57" t="s">
        <v>299</v>
      </c>
    </row>
    <row r="58" spans="1:4" x14ac:dyDescent="0.25">
      <c r="A58" s="52" t="s">
        <v>13</v>
      </c>
      <c r="B58" s="52" t="s">
        <v>30</v>
      </c>
      <c r="C58" s="52" t="s">
        <v>67</v>
      </c>
      <c r="D58" t="s">
        <v>299</v>
      </c>
    </row>
    <row r="59" spans="1:4" x14ac:dyDescent="0.25">
      <c r="A59" s="52" t="s">
        <v>13</v>
      </c>
      <c r="B59" s="52" t="s">
        <v>31</v>
      </c>
      <c r="C59" s="52" t="s">
        <v>68</v>
      </c>
      <c r="D59" t="s">
        <v>299</v>
      </c>
    </row>
    <row r="60" spans="1:4" x14ac:dyDescent="0.25">
      <c r="A60" s="52" t="s">
        <v>13</v>
      </c>
      <c r="B60" s="52" t="s">
        <v>32</v>
      </c>
      <c r="C60" s="52" t="s">
        <v>54</v>
      </c>
      <c r="D60" t="s">
        <v>299</v>
      </c>
    </row>
    <row r="61" spans="1:4" x14ac:dyDescent="0.25">
      <c r="A61" s="52" t="s">
        <v>13</v>
      </c>
      <c r="B61" s="52" t="s">
        <v>33</v>
      </c>
      <c r="C61" s="52" t="s">
        <v>69</v>
      </c>
      <c r="D61" t="s">
        <v>299</v>
      </c>
    </row>
    <row r="62" spans="1:4" x14ac:dyDescent="0.25">
      <c r="A62" s="52" t="s">
        <v>13</v>
      </c>
      <c r="B62" s="52" t="s">
        <v>34</v>
      </c>
      <c r="C62" s="52" t="s">
        <v>64</v>
      </c>
      <c r="D62" t="s">
        <v>299</v>
      </c>
    </row>
    <row r="63" spans="1:4" x14ac:dyDescent="0.25">
      <c r="A63" s="52" t="s">
        <v>13</v>
      </c>
      <c r="B63" s="52" t="s">
        <v>35</v>
      </c>
      <c r="C63" s="52" t="s">
        <v>56</v>
      </c>
      <c r="D63" t="s">
        <v>299</v>
      </c>
    </row>
    <row r="64" spans="1:4" x14ac:dyDescent="0.25">
      <c r="A64" s="52" t="s">
        <v>13</v>
      </c>
      <c r="B64" s="52" t="s">
        <v>36</v>
      </c>
      <c r="C64" s="52" t="s">
        <v>45</v>
      </c>
      <c r="D64" t="s">
        <v>300</v>
      </c>
    </row>
    <row r="65" spans="1:4" x14ac:dyDescent="0.25">
      <c r="A65" s="52" t="s">
        <v>14</v>
      </c>
      <c r="B65" s="52" t="s">
        <v>27</v>
      </c>
      <c r="C65" s="52" t="s">
        <v>52</v>
      </c>
      <c r="D65" t="s">
        <v>299</v>
      </c>
    </row>
    <row r="66" spans="1:4" x14ac:dyDescent="0.25">
      <c r="A66" s="52" t="s">
        <v>14</v>
      </c>
      <c r="B66" s="52" t="s">
        <v>28</v>
      </c>
      <c r="C66" s="52" t="s">
        <v>38</v>
      </c>
      <c r="D66" t="s">
        <v>299</v>
      </c>
    </row>
    <row r="67" spans="1:4" x14ac:dyDescent="0.25">
      <c r="A67" s="52" t="s">
        <v>14</v>
      </c>
      <c r="B67" s="52" t="s">
        <v>29</v>
      </c>
      <c r="C67" s="52" t="s">
        <v>42</v>
      </c>
      <c r="D67" t="s">
        <v>299</v>
      </c>
    </row>
    <row r="68" spans="1:4" x14ac:dyDescent="0.25">
      <c r="A68" s="52" t="s">
        <v>14</v>
      </c>
      <c r="B68" s="52" t="s">
        <v>30</v>
      </c>
      <c r="C68" s="52" t="s">
        <v>54</v>
      </c>
      <c r="D68" t="s">
        <v>299</v>
      </c>
    </row>
    <row r="69" spans="1:4" x14ac:dyDescent="0.25">
      <c r="A69" s="52" t="s">
        <v>14</v>
      </c>
      <c r="B69" s="52" t="s">
        <v>31</v>
      </c>
      <c r="C69" s="52" t="s">
        <v>46</v>
      </c>
      <c r="D69" t="s">
        <v>299</v>
      </c>
    </row>
    <row r="70" spans="1:4" x14ac:dyDescent="0.25">
      <c r="A70" s="52" t="s">
        <v>14</v>
      </c>
      <c r="B70" s="52" t="s">
        <v>32</v>
      </c>
      <c r="C70" s="52" t="s">
        <v>70</v>
      </c>
      <c r="D70" t="s">
        <v>299</v>
      </c>
    </row>
    <row r="71" spans="1:4" x14ac:dyDescent="0.25">
      <c r="A71" s="52" t="s">
        <v>14</v>
      </c>
      <c r="B71" s="52" t="s">
        <v>33</v>
      </c>
      <c r="C71" s="52" t="s">
        <v>71</v>
      </c>
      <c r="D71" t="s">
        <v>299</v>
      </c>
    </row>
    <row r="72" spans="1:4" x14ac:dyDescent="0.25">
      <c r="A72" s="52" t="s">
        <v>14</v>
      </c>
      <c r="B72" s="52" t="s">
        <v>36</v>
      </c>
      <c r="C72" s="52" t="s">
        <v>59</v>
      </c>
      <c r="D72" t="s">
        <v>300</v>
      </c>
    </row>
    <row r="73" spans="1:4" x14ac:dyDescent="0.25">
      <c r="A73" s="52" t="s">
        <v>15</v>
      </c>
      <c r="B73" s="52" t="s">
        <v>27</v>
      </c>
      <c r="C73" s="52" t="s">
        <v>50</v>
      </c>
      <c r="D73" t="s">
        <v>299</v>
      </c>
    </row>
    <row r="74" spans="1:4" x14ac:dyDescent="0.25">
      <c r="A74" s="52" t="s">
        <v>15</v>
      </c>
      <c r="B74" s="52" t="s">
        <v>28</v>
      </c>
      <c r="C74" s="52" t="s">
        <v>67</v>
      </c>
      <c r="D74" t="s">
        <v>299</v>
      </c>
    </row>
    <row r="75" spans="1:4" x14ac:dyDescent="0.25">
      <c r="A75" s="52" t="s">
        <v>15</v>
      </c>
      <c r="B75" s="52" t="s">
        <v>29</v>
      </c>
      <c r="C75" s="52" t="s">
        <v>72</v>
      </c>
      <c r="D75" t="s">
        <v>299</v>
      </c>
    </row>
    <row r="76" spans="1:4" x14ac:dyDescent="0.25">
      <c r="A76" s="52" t="s">
        <v>15</v>
      </c>
      <c r="B76" s="52" t="s">
        <v>30</v>
      </c>
      <c r="C76" s="52" t="s">
        <v>57</v>
      </c>
      <c r="D76" t="s">
        <v>299</v>
      </c>
    </row>
    <row r="77" spans="1:4" x14ac:dyDescent="0.25">
      <c r="A77" s="52" t="s">
        <v>15</v>
      </c>
      <c r="B77" s="52" t="s">
        <v>31</v>
      </c>
      <c r="C77" s="52" t="s">
        <v>62</v>
      </c>
      <c r="D77" t="s">
        <v>299</v>
      </c>
    </row>
    <row r="78" spans="1:4" x14ac:dyDescent="0.25">
      <c r="A78" s="52" t="s">
        <v>15</v>
      </c>
      <c r="B78" s="52" t="s">
        <v>32</v>
      </c>
      <c r="C78" s="52" t="s">
        <v>54</v>
      </c>
      <c r="D78" t="s">
        <v>299</v>
      </c>
    </row>
    <row r="79" spans="1:4" x14ac:dyDescent="0.25">
      <c r="A79" s="52" t="s">
        <v>15</v>
      </c>
      <c r="B79" s="52" t="s">
        <v>33</v>
      </c>
      <c r="C79" s="52" t="s">
        <v>49</v>
      </c>
      <c r="D79" t="s">
        <v>299</v>
      </c>
    </row>
    <row r="80" spans="1:4" x14ac:dyDescent="0.25">
      <c r="A80" s="52" t="s">
        <v>15</v>
      </c>
      <c r="B80" s="52" t="s">
        <v>36</v>
      </c>
      <c r="C80" s="52" t="s">
        <v>40</v>
      </c>
      <c r="D80" t="s">
        <v>300</v>
      </c>
    </row>
    <row r="81" spans="1:4" x14ac:dyDescent="0.25">
      <c r="A81" s="52" t="s">
        <v>17</v>
      </c>
      <c r="B81" s="52" t="s">
        <v>27</v>
      </c>
      <c r="C81" s="52" t="s">
        <v>38</v>
      </c>
      <c r="D81" t="s">
        <v>299</v>
      </c>
    </row>
    <row r="82" spans="1:4" x14ac:dyDescent="0.25">
      <c r="A82" s="52" t="s">
        <v>17</v>
      </c>
      <c r="B82" s="52" t="s">
        <v>28</v>
      </c>
      <c r="C82" s="52" t="s">
        <v>53</v>
      </c>
      <c r="D82" t="s">
        <v>299</v>
      </c>
    </row>
    <row r="83" spans="1:4" x14ac:dyDescent="0.25">
      <c r="A83" s="52" t="s">
        <v>17</v>
      </c>
      <c r="B83" s="52" t="s">
        <v>29</v>
      </c>
      <c r="C83" s="52" t="s">
        <v>60</v>
      </c>
      <c r="D83" t="s">
        <v>299</v>
      </c>
    </row>
    <row r="84" spans="1:4" x14ac:dyDescent="0.25">
      <c r="A84" s="52" t="s">
        <v>17</v>
      </c>
      <c r="B84" s="52" t="s">
        <v>30</v>
      </c>
      <c r="C84" s="52" t="s">
        <v>47</v>
      </c>
      <c r="D84" t="s">
        <v>299</v>
      </c>
    </row>
    <row r="85" spans="1:4" x14ac:dyDescent="0.25">
      <c r="A85" s="52" t="s">
        <v>17</v>
      </c>
      <c r="B85" s="52" t="s">
        <v>36</v>
      </c>
      <c r="C85" s="52" t="s">
        <v>39</v>
      </c>
      <c r="D85" t="s">
        <v>300</v>
      </c>
    </row>
    <row r="86" spans="1:4" x14ac:dyDescent="0.25">
      <c r="A86" s="52" t="s">
        <v>18</v>
      </c>
      <c r="B86" s="52" t="s">
        <v>27</v>
      </c>
      <c r="C86" s="52" t="s">
        <v>59</v>
      </c>
      <c r="D86" t="s">
        <v>299</v>
      </c>
    </row>
    <row r="87" spans="1:4" x14ac:dyDescent="0.25">
      <c r="A87" s="52" t="s">
        <v>18</v>
      </c>
      <c r="B87" s="52" t="s">
        <v>28</v>
      </c>
      <c r="C87" s="52" t="s">
        <v>38</v>
      </c>
      <c r="D87" t="s">
        <v>299</v>
      </c>
    </row>
    <row r="88" spans="1:4" x14ac:dyDescent="0.25">
      <c r="A88" s="52" t="s">
        <v>18</v>
      </c>
      <c r="B88" s="52" t="s">
        <v>29</v>
      </c>
      <c r="C88" s="52" t="s">
        <v>47</v>
      </c>
      <c r="D88" t="s">
        <v>299</v>
      </c>
    </row>
    <row r="89" spans="1:4" x14ac:dyDescent="0.25">
      <c r="A89" s="52" t="s">
        <v>18</v>
      </c>
      <c r="B89" s="52" t="s">
        <v>36</v>
      </c>
      <c r="C89" s="52" t="s">
        <v>51</v>
      </c>
      <c r="D89" t="s">
        <v>300</v>
      </c>
    </row>
    <row r="90" spans="1:4" x14ac:dyDescent="0.25">
      <c r="A90" s="52" t="s">
        <v>19</v>
      </c>
      <c r="B90" s="52" t="s">
        <v>27</v>
      </c>
      <c r="C90" s="52" t="s">
        <v>61</v>
      </c>
      <c r="D90" t="s">
        <v>299</v>
      </c>
    </row>
    <row r="91" spans="1:4" x14ac:dyDescent="0.25">
      <c r="A91" s="52" t="s">
        <v>19</v>
      </c>
      <c r="B91" s="52" t="s">
        <v>28</v>
      </c>
      <c r="C91" s="52" t="s">
        <v>42</v>
      </c>
      <c r="D91" t="s">
        <v>299</v>
      </c>
    </row>
    <row r="92" spans="1:4" x14ac:dyDescent="0.25">
      <c r="A92" s="52" t="s">
        <v>19</v>
      </c>
      <c r="B92" s="52" t="s">
        <v>29</v>
      </c>
      <c r="C92" s="52" t="s">
        <v>60</v>
      </c>
      <c r="D92" t="s">
        <v>299</v>
      </c>
    </row>
    <row r="93" spans="1:4" x14ac:dyDescent="0.25">
      <c r="A93" s="52" t="s">
        <v>19</v>
      </c>
      <c r="B93" s="52" t="s">
        <v>30</v>
      </c>
      <c r="C93" s="52" t="s">
        <v>71</v>
      </c>
      <c r="D93" t="s">
        <v>299</v>
      </c>
    </row>
    <row r="94" spans="1:4" x14ac:dyDescent="0.25">
      <c r="A94" s="52" t="s">
        <v>19</v>
      </c>
      <c r="B94" s="52" t="s">
        <v>31</v>
      </c>
      <c r="C94" s="52" t="s">
        <v>65</v>
      </c>
      <c r="D94" t="s">
        <v>299</v>
      </c>
    </row>
    <row r="95" spans="1:4" x14ac:dyDescent="0.25">
      <c r="A95" s="52" t="s">
        <v>19</v>
      </c>
      <c r="B95" s="52" t="s">
        <v>32</v>
      </c>
      <c r="C95" s="52" t="s">
        <v>70</v>
      </c>
      <c r="D95" t="s">
        <v>299</v>
      </c>
    </row>
    <row r="96" spans="1:4" x14ac:dyDescent="0.25">
      <c r="A96" s="52" t="s">
        <v>19</v>
      </c>
      <c r="B96" s="52" t="s">
        <v>33</v>
      </c>
      <c r="C96" s="52" t="s">
        <v>73</v>
      </c>
      <c r="D96" t="s">
        <v>299</v>
      </c>
    </row>
    <row r="97" spans="1:4" x14ac:dyDescent="0.25">
      <c r="A97" s="52" t="s">
        <v>19</v>
      </c>
      <c r="B97" s="52" t="s">
        <v>34</v>
      </c>
      <c r="C97" s="52" t="s">
        <v>64</v>
      </c>
      <c r="D97" t="s">
        <v>299</v>
      </c>
    </row>
    <row r="98" spans="1:4" x14ac:dyDescent="0.25">
      <c r="A98" s="52" t="s">
        <v>19</v>
      </c>
      <c r="B98" s="52" t="s">
        <v>36</v>
      </c>
      <c r="C98" s="52" t="s">
        <v>38</v>
      </c>
      <c r="D98" t="s">
        <v>300</v>
      </c>
    </row>
    <row r="99" spans="1:4" x14ac:dyDescent="0.25">
      <c r="A99" s="52" t="s">
        <v>21</v>
      </c>
      <c r="B99" s="52" t="s">
        <v>27</v>
      </c>
      <c r="C99" s="52" t="s">
        <v>40</v>
      </c>
      <c r="D99" t="s">
        <v>299</v>
      </c>
    </row>
    <row r="100" spans="1:4" x14ac:dyDescent="0.25">
      <c r="A100" s="52" t="s">
        <v>21</v>
      </c>
      <c r="B100" s="52" t="s">
        <v>28</v>
      </c>
      <c r="C100" s="52" t="s">
        <v>60</v>
      </c>
      <c r="D100" t="s">
        <v>299</v>
      </c>
    </row>
    <row r="101" spans="1:4" x14ac:dyDescent="0.25">
      <c r="A101" s="52" t="s">
        <v>21</v>
      </c>
      <c r="B101" s="52" t="s">
        <v>29</v>
      </c>
      <c r="C101" s="52" t="s">
        <v>42</v>
      </c>
      <c r="D101" t="s">
        <v>299</v>
      </c>
    </row>
    <row r="102" spans="1:4" x14ac:dyDescent="0.25">
      <c r="A102" s="52" t="s">
        <v>21</v>
      </c>
      <c r="B102" s="52" t="s">
        <v>30</v>
      </c>
      <c r="C102" s="52" t="s">
        <v>41</v>
      </c>
      <c r="D102" t="s">
        <v>299</v>
      </c>
    </row>
    <row r="103" spans="1:4" x14ac:dyDescent="0.25">
      <c r="A103" s="52" t="s">
        <v>21</v>
      </c>
      <c r="B103" s="52" t="s">
        <v>31</v>
      </c>
      <c r="C103" s="52" t="s">
        <v>67</v>
      </c>
      <c r="D103" t="s">
        <v>299</v>
      </c>
    </row>
    <row r="104" spans="1:4" x14ac:dyDescent="0.25">
      <c r="A104" s="52" t="s">
        <v>21</v>
      </c>
      <c r="B104" s="52" t="s">
        <v>32</v>
      </c>
      <c r="C104" s="52" t="s">
        <v>49</v>
      </c>
      <c r="D104" t="s">
        <v>299</v>
      </c>
    </row>
    <row r="105" spans="1:4" x14ac:dyDescent="0.25">
      <c r="A105" s="52" t="s">
        <v>21</v>
      </c>
      <c r="B105" s="52" t="s">
        <v>33</v>
      </c>
      <c r="C105" s="52" t="s">
        <v>48</v>
      </c>
      <c r="D105" t="s">
        <v>299</v>
      </c>
    </row>
    <row r="106" spans="1:4" x14ac:dyDescent="0.25">
      <c r="A106" s="52" t="s">
        <v>21</v>
      </c>
      <c r="B106" s="52" t="s">
        <v>34</v>
      </c>
      <c r="C106" s="52" t="s">
        <v>71</v>
      </c>
      <c r="D106" t="s">
        <v>299</v>
      </c>
    </row>
    <row r="107" spans="1:4" x14ac:dyDescent="0.25">
      <c r="A107" s="52" t="s">
        <v>21</v>
      </c>
      <c r="B107" s="52" t="s">
        <v>35</v>
      </c>
      <c r="C107" s="52" t="s">
        <v>74</v>
      </c>
      <c r="D107" t="s">
        <v>299</v>
      </c>
    </row>
    <row r="108" spans="1:4" x14ac:dyDescent="0.25">
      <c r="A108" s="52" t="s">
        <v>21</v>
      </c>
      <c r="B108" s="52" t="s">
        <v>36</v>
      </c>
      <c r="C108" s="52" t="s">
        <v>59</v>
      </c>
      <c r="D108" t="s">
        <v>300</v>
      </c>
    </row>
    <row r="109" spans="1:4" x14ac:dyDescent="0.25">
      <c r="A109" s="52" t="s">
        <v>22</v>
      </c>
      <c r="B109" s="52" t="s">
        <v>27</v>
      </c>
      <c r="C109" s="52" t="s">
        <v>40</v>
      </c>
      <c r="D109" t="s">
        <v>299</v>
      </c>
    </row>
    <row r="110" spans="1:4" x14ac:dyDescent="0.25">
      <c r="A110" s="52" t="s">
        <v>22</v>
      </c>
      <c r="B110" s="52" t="s">
        <v>28</v>
      </c>
      <c r="C110" s="52" t="s">
        <v>60</v>
      </c>
      <c r="D110" t="s">
        <v>299</v>
      </c>
    </row>
    <row r="111" spans="1:4" x14ac:dyDescent="0.25">
      <c r="A111" s="52" t="s">
        <v>22</v>
      </c>
      <c r="B111" s="52" t="s">
        <v>29</v>
      </c>
      <c r="C111" s="52" t="s">
        <v>42</v>
      </c>
      <c r="D111" t="s">
        <v>299</v>
      </c>
    </row>
    <row r="112" spans="1:4" x14ac:dyDescent="0.25">
      <c r="A112" s="52" t="s">
        <v>22</v>
      </c>
      <c r="B112" s="52" t="s">
        <v>30</v>
      </c>
      <c r="C112" s="52" t="s">
        <v>41</v>
      </c>
      <c r="D112" t="s">
        <v>299</v>
      </c>
    </row>
    <row r="113" spans="1:4" x14ac:dyDescent="0.25">
      <c r="A113" s="52" t="s">
        <v>22</v>
      </c>
      <c r="B113" s="52" t="s">
        <v>31</v>
      </c>
      <c r="C113" s="52" t="s">
        <v>67</v>
      </c>
      <c r="D113" t="s">
        <v>299</v>
      </c>
    </row>
    <row r="114" spans="1:4" x14ac:dyDescent="0.25">
      <c r="A114" s="52" t="s">
        <v>22</v>
      </c>
      <c r="B114" s="52" t="s">
        <v>32</v>
      </c>
      <c r="C114" s="52" t="s">
        <v>49</v>
      </c>
      <c r="D114" t="s">
        <v>299</v>
      </c>
    </row>
    <row r="115" spans="1:4" x14ac:dyDescent="0.25">
      <c r="A115" s="52" t="s">
        <v>22</v>
      </c>
      <c r="B115" s="52" t="s">
        <v>33</v>
      </c>
      <c r="C115" s="52" t="s">
        <v>65</v>
      </c>
      <c r="D115" t="s">
        <v>299</v>
      </c>
    </row>
    <row r="116" spans="1:4" x14ac:dyDescent="0.25">
      <c r="A116" s="52" t="s">
        <v>22</v>
      </c>
      <c r="B116" s="52" t="s">
        <v>34</v>
      </c>
      <c r="C116" s="52" t="s">
        <v>71</v>
      </c>
      <c r="D116" t="s">
        <v>299</v>
      </c>
    </row>
    <row r="117" spans="1:4" x14ac:dyDescent="0.25">
      <c r="A117" s="52" t="s">
        <v>22</v>
      </c>
      <c r="B117" s="52" t="s">
        <v>35</v>
      </c>
      <c r="C117" s="52" t="s">
        <v>74</v>
      </c>
      <c r="D117" t="s">
        <v>299</v>
      </c>
    </row>
    <row r="118" spans="1:4" x14ac:dyDescent="0.25">
      <c r="A118" s="52" t="s">
        <v>22</v>
      </c>
      <c r="B118" s="52" t="s">
        <v>36</v>
      </c>
      <c r="C118" s="52" t="s">
        <v>45</v>
      </c>
      <c r="D118" t="s">
        <v>300</v>
      </c>
    </row>
    <row r="119" spans="1:4" x14ac:dyDescent="0.25">
      <c r="A119" s="52" t="s">
        <v>23</v>
      </c>
      <c r="B119" s="52" t="s">
        <v>27</v>
      </c>
      <c r="C119" s="52" t="s">
        <v>59</v>
      </c>
      <c r="D119" t="s">
        <v>299</v>
      </c>
    </row>
    <row r="120" spans="1:4" x14ac:dyDescent="0.25">
      <c r="A120" s="52" t="s">
        <v>23</v>
      </c>
      <c r="B120" s="52" t="s">
        <v>28</v>
      </c>
      <c r="C120" s="52" t="s">
        <v>50</v>
      </c>
      <c r="D120" t="s">
        <v>299</v>
      </c>
    </row>
    <row r="121" spans="1:4" x14ac:dyDescent="0.25">
      <c r="A121" s="52" t="s">
        <v>23</v>
      </c>
      <c r="B121" s="52" t="s">
        <v>29</v>
      </c>
      <c r="C121" s="52" t="s">
        <v>69</v>
      </c>
      <c r="D121" t="s">
        <v>299</v>
      </c>
    </row>
    <row r="122" spans="1:4" x14ac:dyDescent="0.25">
      <c r="A122" s="52" t="s">
        <v>23</v>
      </c>
      <c r="B122" s="52" t="s">
        <v>30</v>
      </c>
      <c r="C122" s="52" t="s">
        <v>71</v>
      </c>
      <c r="D122" t="s">
        <v>299</v>
      </c>
    </row>
    <row r="123" spans="1:4" x14ac:dyDescent="0.25">
      <c r="A123" s="52" t="s">
        <v>23</v>
      </c>
      <c r="B123" s="52" t="s">
        <v>31</v>
      </c>
      <c r="C123" s="52" t="s">
        <v>75</v>
      </c>
      <c r="D123" t="s">
        <v>299</v>
      </c>
    </row>
    <row r="124" spans="1:4" x14ac:dyDescent="0.25">
      <c r="A124" s="52" t="s">
        <v>23</v>
      </c>
      <c r="B124" s="52" t="s">
        <v>36</v>
      </c>
      <c r="C124" s="52" t="s">
        <v>41</v>
      </c>
      <c r="D124" t="s">
        <v>300</v>
      </c>
    </row>
    <row r="125" spans="1:4" x14ac:dyDescent="0.25">
      <c r="A125" s="52" t="s">
        <v>25</v>
      </c>
      <c r="B125" s="52" t="s">
        <v>27</v>
      </c>
      <c r="C125" s="52" t="s">
        <v>67</v>
      </c>
      <c r="D125" t="s">
        <v>299</v>
      </c>
    </row>
    <row r="126" spans="1:4" x14ac:dyDescent="0.25">
      <c r="A126" s="52" t="s">
        <v>25</v>
      </c>
      <c r="B126" s="52" t="s">
        <v>28</v>
      </c>
      <c r="C126" s="52" t="s">
        <v>55</v>
      </c>
      <c r="D126" t="s">
        <v>299</v>
      </c>
    </row>
    <row r="127" spans="1:4" x14ac:dyDescent="0.25">
      <c r="A127" s="52" t="s">
        <v>25</v>
      </c>
      <c r="B127" s="52" t="s">
        <v>29</v>
      </c>
      <c r="C127" s="52" t="s">
        <v>65</v>
      </c>
      <c r="D127" t="s">
        <v>299</v>
      </c>
    </row>
    <row r="128" spans="1:4" x14ac:dyDescent="0.25">
      <c r="A128" s="52" t="s">
        <v>25</v>
      </c>
      <c r="B128" s="52" t="s">
        <v>30</v>
      </c>
      <c r="C128" s="52" t="s">
        <v>41</v>
      </c>
      <c r="D128" t="s">
        <v>299</v>
      </c>
    </row>
    <row r="129" spans="1:4" x14ac:dyDescent="0.25">
      <c r="A129" s="52" t="s">
        <v>25</v>
      </c>
      <c r="B129" s="52" t="s">
        <v>31</v>
      </c>
      <c r="C129" s="52" t="s">
        <v>70</v>
      </c>
      <c r="D129" t="s">
        <v>299</v>
      </c>
    </row>
    <row r="130" spans="1:4" x14ac:dyDescent="0.25">
      <c r="A130" s="52" t="s">
        <v>25</v>
      </c>
      <c r="B130" s="52" t="s">
        <v>32</v>
      </c>
      <c r="C130" s="52" t="s">
        <v>76</v>
      </c>
      <c r="D130" t="s">
        <v>299</v>
      </c>
    </row>
    <row r="131" spans="1:4" x14ac:dyDescent="0.25">
      <c r="A131" s="52" t="s">
        <v>25</v>
      </c>
      <c r="B131" s="52" t="s">
        <v>33</v>
      </c>
      <c r="C131" s="52" t="s">
        <v>71</v>
      </c>
      <c r="D131" t="s">
        <v>299</v>
      </c>
    </row>
    <row r="132" spans="1:4" x14ac:dyDescent="0.25">
      <c r="A132" s="52" t="s">
        <v>25</v>
      </c>
      <c r="B132" s="52" t="s">
        <v>34</v>
      </c>
      <c r="C132" s="52" t="s">
        <v>54</v>
      </c>
      <c r="D132" t="s">
        <v>299</v>
      </c>
    </row>
    <row r="133" spans="1:4" x14ac:dyDescent="0.25">
      <c r="A133" s="52" t="s">
        <v>25</v>
      </c>
      <c r="B133" s="52" t="s">
        <v>35</v>
      </c>
      <c r="C133" s="52" t="s">
        <v>49</v>
      </c>
      <c r="D133" t="s">
        <v>299</v>
      </c>
    </row>
    <row r="134" spans="1:4" x14ac:dyDescent="0.25">
      <c r="A134" s="52" t="s">
        <v>25</v>
      </c>
      <c r="B134" s="52" t="s">
        <v>36</v>
      </c>
      <c r="C134" s="52" t="s">
        <v>50</v>
      </c>
      <c r="D134" t="s">
        <v>300</v>
      </c>
    </row>
    <row r="135" spans="1:4" x14ac:dyDescent="0.25">
      <c r="A135" s="52" t="s">
        <v>154</v>
      </c>
      <c r="B135" s="52" t="s">
        <v>27</v>
      </c>
      <c r="C135" s="52" t="s">
        <v>41</v>
      </c>
      <c r="D135" t="s">
        <v>299</v>
      </c>
    </row>
    <row r="136" spans="1:4" x14ac:dyDescent="0.25">
      <c r="A136" s="52" t="s">
        <v>154</v>
      </c>
      <c r="B136" s="52" t="s">
        <v>28</v>
      </c>
      <c r="C136" s="52" t="s">
        <v>59</v>
      </c>
      <c r="D136" t="s">
        <v>299</v>
      </c>
    </row>
    <row r="137" spans="1:4" x14ac:dyDescent="0.25">
      <c r="A137" s="52" t="s">
        <v>154</v>
      </c>
      <c r="B137" s="52" t="s">
        <v>29</v>
      </c>
      <c r="C137" s="52" t="s">
        <v>50</v>
      </c>
      <c r="D137" t="s">
        <v>299</v>
      </c>
    </row>
    <row r="138" spans="1:4" x14ac:dyDescent="0.25">
      <c r="A138" s="52" t="s">
        <v>154</v>
      </c>
      <c r="B138" s="52" t="s">
        <v>30</v>
      </c>
      <c r="C138" s="52" t="s">
        <v>62</v>
      </c>
      <c r="D138" t="s">
        <v>299</v>
      </c>
    </row>
    <row r="139" spans="1:4" x14ac:dyDescent="0.25">
      <c r="A139" s="52" t="s">
        <v>154</v>
      </c>
      <c r="B139" s="52" t="s">
        <v>31</v>
      </c>
      <c r="C139" s="52" t="s">
        <v>43</v>
      </c>
      <c r="D139" t="s">
        <v>299</v>
      </c>
    </row>
    <row r="140" spans="1:4" x14ac:dyDescent="0.25">
      <c r="A140" s="52" t="s">
        <v>154</v>
      </c>
      <c r="B140" s="52" t="s">
        <v>36</v>
      </c>
      <c r="C140" s="52" t="s">
        <v>40</v>
      </c>
      <c r="D140" t="s">
        <v>300</v>
      </c>
    </row>
    <row r="141" spans="1:4" x14ac:dyDescent="0.25">
      <c r="A141" s="52" t="s">
        <v>155</v>
      </c>
      <c r="B141" s="52" t="s">
        <v>27</v>
      </c>
      <c r="C141" s="52" t="s">
        <v>44</v>
      </c>
      <c r="D141" t="s">
        <v>299</v>
      </c>
    </row>
    <row r="142" spans="1:4" x14ac:dyDescent="0.25">
      <c r="A142" s="52" t="s">
        <v>155</v>
      </c>
      <c r="B142" s="52" t="s">
        <v>28</v>
      </c>
      <c r="C142" s="52" t="s">
        <v>72</v>
      </c>
      <c r="D142" t="s">
        <v>299</v>
      </c>
    </row>
    <row r="143" spans="1:4" x14ac:dyDescent="0.25">
      <c r="A143" s="52" t="s">
        <v>155</v>
      </c>
      <c r="B143" s="52" t="s">
        <v>29</v>
      </c>
      <c r="C143" s="52" t="s">
        <v>95</v>
      </c>
      <c r="D143" t="s">
        <v>299</v>
      </c>
    </row>
    <row r="144" spans="1:4" x14ac:dyDescent="0.25">
      <c r="A144" s="52" t="s">
        <v>155</v>
      </c>
      <c r="B144" s="52" t="s">
        <v>30</v>
      </c>
      <c r="C144" s="52" t="s">
        <v>38</v>
      </c>
      <c r="D144" t="s">
        <v>299</v>
      </c>
    </row>
    <row r="145" spans="1:4" x14ac:dyDescent="0.25">
      <c r="A145" s="52" t="s">
        <v>155</v>
      </c>
      <c r="B145" s="52" t="s">
        <v>31</v>
      </c>
      <c r="C145" s="52" t="s">
        <v>69</v>
      </c>
      <c r="D145" t="s">
        <v>299</v>
      </c>
    </row>
    <row r="146" spans="1:4" x14ac:dyDescent="0.25">
      <c r="A146" s="52" t="s">
        <v>155</v>
      </c>
      <c r="B146" s="52" t="s">
        <v>32</v>
      </c>
      <c r="C146" s="52" t="s">
        <v>88</v>
      </c>
      <c r="D146" t="s">
        <v>299</v>
      </c>
    </row>
    <row r="147" spans="1:4" x14ac:dyDescent="0.25">
      <c r="A147" s="52" t="s">
        <v>155</v>
      </c>
      <c r="B147" s="52" t="s">
        <v>36</v>
      </c>
      <c r="C147" s="52" t="s">
        <v>61</v>
      </c>
      <c r="D147" t="s">
        <v>300</v>
      </c>
    </row>
    <row r="148" spans="1:4" x14ac:dyDescent="0.25">
      <c r="A148" s="52" t="s">
        <v>153</v>
      </c>
      <c r="B148" s="52" t="s">
        <v>27</v>
      </c>
      <c r="C148" s="52" t="s">
        <v>50</v>
      </c>
      <c r="D148" t="s">
        <v>299</v>
      </c>
    </row>
    <row r="149" spans="1:4" x14ac:dyDescent="0.25">
      <c r="A149" s="52" t="s">
        <v>153</v>
      </c>
      <c r="B149" s="52" t="s">
        <v>28</v>
      </c>
      <c r="C149" s="52" t="s">
        <v>42</v>
      </c>
      <c r="D149" t="s">
        <v>299</v>
      </c>
    </row>
    <row r="150" spans="1:4" x14ac:dyDescent="0.25">
      <c r="A150" s="52" t="s">
        <v>153</v>
      </c>
      <c r="B150" s="52" t="s">
        <v>29</v>
      </c>
      <c r="C150" s="52" t="s">
        <v>67</v>
      </c>
      <c r="D150" t="s">
        <v>299</v>
      </c>
    </row>
    <row r="151" spans="1:4" x14ac:dyDescent="0.25">
      <c r="A151" s="52" t="s">
        <v>153</v>
      </c>
      <c r="B151" s="52" t="s">
        <v>30</v>
      </c>
      <c r="C151" s="52" t="s">
        <v>66</v>
      </c>
      <c r="D151" t="s">
        <v>299</v>
      </c>
    </row>
    <row r="152" spans="1:4" x14ac:dyDescent="0.25">
      <c r="A152" s="52" t="s">
        <v>153</v>
      </c>
      <c r="B152" s="52" t="s">
        <v>31</v>
      </c>
      <c r="C152" s="52" t="s">
        <v>46</v>
      </c>
      <c r="D152" t="s">
        <v>299</v>
      </c>
    </row>
    <row r="153" spans="1:4" x14ac:dyDescent="0.25">
      <c r="A153" s="52" t="s">
        <v>153</v>
      </c>
      <c r="B153" s="52" t="s">
        <v>32</v>
      </c>
      <c r="C153" s="52" t="s">
        <v>41</v>
      </c>
      <c r="D153" t="s">
        <v>299</v>
      </c>
    </row>
    <row r="154" spans="1:4" x14ac:dyDescent="0.25">
      <c r="A154" s="52" t="s">
        <v>153</v>
      </c>
      <c r="B154" s="52" t="s">
        <v>33</v>
      </c>
      <c r="C154" s="52" t="s">
        <v>54</v>
      </c>
      <c r="D154" t="s">
        <v>299</v>
      </c>
    </row>
    <row r="155" spans="1:4" x14ac:dyDescent="0.25">
      <c r="A155" s="52" t="s">
        <v>153</v>
      </c>
      <c r="B155" s="52" t="s">
        <v>34</v>
      </c>
      <c r="C155" s="52" t="s">
        <v>93</v>
      </c>
      <c r="D155" t="s">
        <v>299</v>
      </c>
    </row>
    <row r="156" spans="1:4" x14ac:dyDescent="0.25">
      <c r="A156" s="52" t="s">
        <v>153</v>
      </c>
      <c r="B156" s="52" t="s">
        <v>36</v>
      </c>
      <c r="C156" s="52" t="s">
        <v>60</v>
      </c>
      <c r="D156" t="s">
        <v>300</v>
      </c>
    </row>
    <row r="157" spans="1:4" x14ac:dyDescent="0.25">
      <c r="A157" s="52" t="s">
        <v>156</v>
      </c>
      <c r="B157" s="52" t="s">
        <v>27</v>
      </c>
      <c r="C157" s="52" t="s">
        <v>67</v>
      </c>
      <c r="D157" t="s">
        <v>299</v>
      </c>
    </row>
    <row r="158" spans="1:4" x14ac:dyDescent="0.25">
      <c r="A158" s="52" t="s">
        <v>156</v>
      </c>
      <c r="B158" s="52" t="s">
        <v>28</v>
      </c>
      <c r="C158" s="52" t="s">
        <v>39</v>
      </c>
      <c r="D158" t="s">
        <v>299</v>
      </c>
    </row>
    <row r="159" spans="1:4" x14ac:dyDescent="0.25">
      <c r="A159" s="52" t="s">
        <v>156</v>
      </c>
      <c r="B159" s="52" t="s">
        <v>29</v>
      </c>
      <c r="C159" s="52" t="s">
        <v>42</v>
      </c>
      <c r="D159" t="s">
        <v>299</v>
      </c>
    </row>
    <row r="160" spans="1:4" x14ac:dyDescent="0.25">
      <c r="A160" s="52" t="s">
        <v>156</v>
      </c>
      <c r="B160" s="52" t="s">
        <v>30</v>
      </c>
      <c r="C160" s="52" t="s">
        <v>44</v>
      </c>
      <c r="D160" t="s">
        <v>299</v>
      </c>
    </row>
    <row r="161" spans="1:4" x14ac:dyDescent="0.25">
      <c r="A161" s="52" t="s">
        <v>156</v>
      </c>
      <c r="B161" s="52" t="s">
        <v>31</v>
      </c>
      <c r="C161" s="52" t="s">
        <v>41</v>
      </c>
      <c r="D161" t="s">
        <v>299</v>
      </c>
    </row>
    <row r="162" spans="1:4" x14ac:dyDescent="0.25">
      <c r="A162" s="52" t="s">
        <v>156</v>
      </c>
      <c r="B162" s="52" t="s">
        <v>32</v>
      </c>
      <c r="C162" s="52" t="s">
        <v>48</v>
      </c>
      <c r="D162" t="s">
        <v>299</v>
      </c>
    </row>
    <row r="163" spans="1:4" x14ac:dyDescent="0.25">
      <c r="A163" s="52" t="s">
        <v>156</v>
      </c>
      <c r="B163" s="52" t="s">
        <v>36</v>
      </c>
      <c r="C163" s="52" t="s">
        <v>59</v>
      </c>
      <c r="D163" t="s">
        <v>300</v>
      </c>
    </row>
    <row r="164" spans="1:4" x14ac:dyDescent="0.25">
      <c r="A164" s="52" t="s">
        <v>158</v>
      </c>
      <c r="B164" s="52" t="s">
        <v>27</v>
      </c>
      <c r="C164" s="52" t="s">
        <v>60</v>
      </c>
      <c r="D164" t="s">
        <v>299</v>
      </c>
    </row>
    <row r="165" spans="1:4" x14ac:dyDescent="0.25">
      <c r="A165" s="52" t="s">
        <v>158</v>
      </c>
      <c r="B165" s="52" t="s">
        <v>28</v>
      </c>
      <c r="C165" s="52" t="s">
        <v>54</v>
      </c>
      <c r="D165" t="s">
        <v>299</v>
      </c>
    </row>
    <row r="166" spans="1:4" x14ac:dyDescent="0.25">
      <c r="A166" s="52" t="s">
        <v>158</v>
      </c>
      <c r="B166" s="52" t="s">
        <v>29</v>
      </c>
      <c r="C166" s="52" t="s">
        <v>62</v>
      </c>
      <c r="D166" t="s">
        <v>299</v>
      </c>
    </row>
    <row r="167" spans="1:4" x14ac:dyDescent="0.25">
      <c r="A167" s="52" t="s">
        <v>158</v>
      </c>
      <c r="B167" s="52" t="s">
        <v>30</v>
      </c>
      <c r="C167" s="52" t="s">
        <v>71</v>
      </c>
      <c r="D167" t="s">
        <v>299</v>
      </c>
    </row>
    <row r="168" spans="1:4" x14ac:dyDescent="0.25">
      <c r="A168" s="52" t="s">
        <v>158</v>
      </c>
      <c r="B168" s="52" t="s">
        <v>31</v>
      </c>
      <c r="C168" s="52" t="s">
        <v>68</v>
      </c>
      <c r="D168" t="s">
        <v>299</v>
      </c>
    </row>
    <row r="169" spans="1:4" x14ac:dyDescent="0.25">
      <c r="A169" s="52" t="s">
        <v>158</v>
      </c>
      <c r="B169" s="52" t="s">
        <v>32</v>
      </c>
      <c r="C169" s="52" t="s">
        <v>59</v>
      </c>
      <c r="D169" t="s">
        <v>299</v>
      </c>
    </row>
    <row r="170" spans="1:4" x14ac:dyDescent="0.25">
      <c r="A170" s="52" t="s">
        <v>158</v>
      </c>
      <c r="B170" s="52" t="s">
        <v>36</v>
      </c>
      <c r="C170" s="52" t="s">
        <v>44</v>
      </c>
      <c r="D170" t="s">
        <v>300</v>
      </c>
    </row>
    <row r="171" spans="1:4" x14ac:dyDescent="0.25">
      <c r="A171" s="52" t="s">
        <v>159</v>
      </c>
      <c r="B171" s="52" t="s">
        <v>27</v>
      </c>
      <c r="C171" s="52" t="s">
        <v>42</v>
      </c>
      <c r="D171" t="s">
        <v>299</v>
      </c>
    </row>
    <row r="172" spans="1:4" x14ac:dyDescent="0.25">
      <c r="A172" s="52" t="s">
        <v>159</v>
      </c>
      <c r="B172" s="52" t="s">
        <v>28</v>
      </c>
      <c r="C172" s="52" t="s">
        <v>65</v>
      </c>
      <c r="D172" t="s">
        <v>299</v>
      </c>
    </row>
    <row r="173" spans="1:4" x14ac:dyDescent="0.25">
      <c r="A173" s="52" t="s">
        <v>159</v>
      </c>
      <c r="B173" s="52" t="s">
        <v>29</v>
      </c>
      <c r="C173" s="52" t="s">
        <v>43</v>
      </c>
      <c r="D173" t="s">
        <v>299</v>
      </c>
    </row>
    <row r="174" spans="1:4" x14ac:dyDescent="0.25">
      <c r="A174" s="52" t="s">
        <v>159</v>
      </c>
      <c r="B174" s="52" t="s">
        <v>30</v>
      </c>
      <c r="C174" s="52" t="s">
        <v>44</v>
      </c>
      <c r="D174" t="s">
        <v>299</v>
      </c>
    </row>
    <row r="175" spans="1:4" x14ac:dyDescent="0.25">
      <c r="A175" s="52" t="s">
        <v>159</v>
      </c>
      <c r="B175" s="52" t="s">
        <v>31</v>
      </c>
      <c r="C175" s="52" t="s">
        <v>41</v>
      </c>
      <c r="D175" t="s">
        <v>299</v>
      </c>
    </row>
    <row r="176" spans="1:4" x14ac:dyDescent="0.25">
      <c r="A176" s="52" t="s">
        <v>159</v>
      </c>
      <c r="B176" s="52" t="s">
        <v>36</v>
      </c>
      <c r="C176" s="52" t="s">
        <v>50</v>
      </c>
      <c r="D176" t="s">
        <v>300</v>
      </c>
    </row>
    <row r="177" spans="1:4" x14ac:dyDescent="0.25">
      <c r="A177" s="52" t="s">
        <v>160</v>
      </c>
      <c r="B177" s="52" t="s">
        <v>27</v>
      </c>
      <c r="C177" s="52" t="s">
        <v>59</v>
      </c>
      <c r="D177" t="s">
        <v>299</v>
      </c>
    </row>
    <row r="178" spans="1:4" x14ac:dyDescent="0.25">
      <c r="A178" s="52" t="s">
        <v>160</v>
      </c>
      <c r="B178" s="52" t="s">
        <v>28</v>
      </c>
      <c r="C178" s="52" t="s">
        <v>49</v>
      </c>
      <c r="D178" t="s">
        <v>299</v>
      </c>
    </row>
    <row r="179" spans="1:4" x14ac:dyDescent="0.25">
      <c r="A179" s="52" t="s">
        <v>160</v>
      </c>
      <c r="B179" s="52" t="s">
        <v>29</v>
      </c>
      <c r="C179" s="52" t="s">
        <v>68</v>
      </c>
      <c r="D179" t="s">
        <v>299</v>
      </c>
    </row>
    <row r="180" spans="1:4" x14ac:dyDescent="0.25">
      <c r="A180" s="52" t="s">
        <v>160</v>
      </c>
      <c r="B180" s="52" t="s">
        <v>30</v>
      </c>
      <c r="C180" s="52" t="s">
        <v>48</v>
      </c>
      <c r="D180" t="s">
        <v>299</v>
      </c>
    </row>
    <row r="181" spans="1:4" x14ac:dyDescent="0.25">
      <c r="A181" s="52" t="s">
        <v>160</v>
      </c>
      <c r="B181" s="52" t="s">
        <v>31</v>
      </c>
      <c r="C181" s="52" t="s">
        <v>65</v>
      </c>
      <c r="D181" t="s">
        <v>299</v>
      </c>
    </row>
    <row r="182" spans="1:4" x14ac:dyDescent="0.25">
      <c r="A182" s="52" t="s">
        <v>160</v>
      </c>
      <c r="B182" s="52" t="s">
        <v>32</v>
      </c>
      <c r="C182" s="52" t="s">
        <v>56</v>
      </c>
      <c r="D182" t="s">
        <v>299</v>
      </c>
    </row>
    <row r="183" spans="1:4" x14ac:dyDescent="0.25">
      <c r="A183" s="52" t="s">
        <v>160</v>
      </c>
      <c r="B183" s="52" t="s">
        <v>33</v>
      </c>
      <c r="C183" s="52" t="s">
        <v>76</v>
      </c>
      <c r="D183" t="s">
        <v>299</v>
      </c>
    </row>
    <row r="184" spans="1:4" x14ac:dyDescent="0.25">
      <c r="A184" s="52" t="s">
        <v>160</v>
      </c>
      <c r="B184" s="52" t="s">
        <v>36</v>
      </c>
      <c r="C184" s="52" t="s">
        <v>47</v>
      </c>
      <c r="D184" t="s">
        <v>300</v>
      </c>
    </row>
    <row r="185" spans="1:4" x14ac:dyDescent="0.25">
      <c r="A185" s="52" t="s">
        <v>162</v>
      </c>
      <c r="B185" s="52" t="s">
        <v>27</v>
      </c>
      <c r="C185" s="52" t="s">
        <v>59</v>
      </c>
      <c r="D185" t="s">
        <v>299</v>
      </c>
    </row>
    <row r="186" spans="1:4" x14ac:dyDescent="0.25">
      <c r="A186" s="52" t="s">
        <v>162</v>
      </c>
      <c r="B186" s="52" t="s">
        <v>28</v>
      </c>
      <c r="C186" s="52" t="s">
        <v>51</v>
      </c>
      <c r="D186" t="s">
        <v>299</v>
      </c>
    </row>
    <row r="187" spans="1:4" x14ac:dyDescent="0.25">
      <c r="A187" s="52" t="s">
        <v>162</v>
      </c>
      <c r="B187" s="52" t="s">
        <v>29</v>
      </c>
      <c r="C187" s="52" t="s">
        <v>48</v>
      </c>
      <c r="D187" t="s">
        <v>299</v>
      </c>
    </row>
    <row r="188" spans="1:4" x14ac:dyDescent="0.25">
      <c r="A188" s="52" t="s">
        <v>162</v>
      </c>
      <c r="B188" s="52" t="s">
        <v>30</v>
      </c>
      <c r="C188" s="52" t="s">
        <v>74</v>
      </c>
      <c r="D188" t="s">
        <v>299</v>
      </c>
    </row>
    <row r="189" spans="1:4" x14ac:dyDescent="0.25">
      <c r="A189" s="52" t="s">
        <v>162</v>
      </c>
      <c r="B189" s="52" t="s">
        <v>31</v>
      </c>
      <c r="C189" s="52" t="s">
        <v>56</v>
      </c>
      <c r="D189" t="s">
        <v>299</v>
      </c>
    </row>
    <row r="190" spans="1:4" x14ac:dyDescent="0.25">
      <c r="A190" s="52" t="s">
        <v>162</v>
      </c>
      <c r="B190" s="52" t="s">
        <v>36</v>
      </c>
      <c r="C190" s="52" t="s">
        <v>47</v>
      </c>
      <c r="D190" t="s">
        <v>300</v>
      </c>
    </row>
    <row r="191" spans="1:4" x14ac:dyDescent="0.25">
      <c r="A191" s="52" t="s">
        <v>164</v>
      </c>
      <c r="B191" s="52" t="s">
        <v>27</v>
      </c>
      <c r="C191" s="52" t="s">
        <v>51</v>
      </c>
      <c r="D191" t="s">
        <v>299</v>
      </c>
    </row>
    <row r="192" spans="1:4" x14ac:dyDescent="0.25">
      <c r="A192" s="52" t="s">
        <v>164</v>
      </c>
      <c r="B192" s="52" t="s">
        <v>28</v>
      </c>
      <c r="C192" s="52" t="s">
        <v>68</v>
      </c>
      <c r="D192" t="s">
        <v>299</v>
      </c>
    </row>
    <row r="193" spans="1:4" x14ac:dyDescent="0.25">
      <c r="A193" s="52" t="s">
        <v>164</v>
      </c>
      <c r="B193" s="52" t="s">
        <v>29</v>
      </c>
      <c r="C193" s="52" t="s">
        <v>49</v>
      </c>
      <c r="D193" t="s">
        <v>299</v>
      </c>
    </row>
    <row r="194" spans="1:4" x14ac:dyDescent="0.25">
      <c r="A194" s="52" t="s">
        <v>164</v>
      </c>
      <c r="B194" s="52" t="s">
        <v>30</v>
      </c>
      <c r="C194" s="52" t="s">
        <v>48</v>
      </c>
      <c r="D194" t="s">
        <v>299</v>
      </c>
    </row>
    <row r="195" spans="1:4" x14ac:dyDescent="0.25">
      <c r="A195" s="52" t="s">
        <v>164</v>
      </c>
      <c r="B195" s="52" t="s">
        <v>31</v>
      </c>
      <c r="C195" s="52" t="s">
        <v>65</v>
      </c>
      <c r="D195" t="s">
        <v>299</v>
      </c>
    </row>
    <row r="196" spans="1:4" x14ac:dyDescent="0.25">
      <c r="A196" s="52" t="s">
        <v>164</v>
      </c>
      <c r="B196" s="52" t="s">
        <v>32</v>
      </c>
      <c r="C196" s="52" t="s">
        <v>56</v>
      </c>
      <c r="D196" t="s">
        <v>299</v>
      </c>
    </row>
    <row r="197" spans="1:4" x14ac:dyDescent="0.25">
      <c r="A197" s="52" t="s">
        <v>164</v>
      </c>
      <c r="B197" s="52" t="s">
        <v>33</v>
      </c>
      <c r="C197" s="52" t="s">
        <v>74</v>
      </c>
      <c r="D197" t="s">
        <v>299</v>
      </c>
    </row>
    <row r="198" spans="1:4" x14ac:dyDescent="0.25">
      <c r="A198" s="52" t="s">
        <v>164</v>
      </c>
      <c r="B198" s="52" t="s">
        <v>34</v>
      </c>
      <c r="C198" s="52" t="s">
        <v>43</v>
      </c>
      <c r="D198" t="s">
        <v>299</v>
      </c>
    </row>
    <row r="199" spans="1:4" x14ac:dyDescent="0.25">
      <c r="A199" s="52" t="s">
        <v>164</v>
      </c>
      <c r="B199" s="52" t="s">
        <v>36</v>
      </c>
      <c r="C199" s="52" t="s">
        <v>53</v>
      </c>
      <c r="D199" t="s">
        <v>300</v>
      </c>
    </row>
    <row r="200" spans="1:4" x14ac:dyDescent="0.25">
      <c r="A200" s="52" t="s">
        <v>166</v>
      </c>
      <c r="B200" s="52" t="s">
        <v>27</v>
      </c>
      <c r="C200" s="52" t="s">
        <v>61</v>
      </c>
      <c r="D200" t="s">
        <v>299</v>
      </c>
    </row>
    <row r="201" spans="1:4" x14ac:dyDescent="0.25">
      <c r="A201" s="52" t="s">
        <v>166</v>
      </c>
      <c r="B201" s="52" t="s">
        <v>28</v>
      </c>
      <c r="C201" s="52" t="s">
        <v>68</v>
      </c>
      <c r="D201" t="s">
        <v>299</v>
      </c>
    </row>
    <row r="202" spans="1:4" x14ac:dyDescent="0.25">
      <c r="A202" s="52" t="s">
        <v>166</v>
      </c>
      <c r="B202" s="52" t="s">
        <v>29</v>
      </c>
      <c r="C202" s="52" t="s">
        <v>49</v>
      </c>
      <c r="D202" t="s">
        <v>299</v>
      </c>
    </row>
    <row r="203" spans="1:4" x14ac:dyDescent="0.25">
      <c r="A203" s="52" t="s">
        <v>166</v>
      </c>
      <c r="B203" s="52" t="s">
        <v>30</v>
      </c>
      <c r="C203" s="52" t="s">
        <v>48</v>
      </c>
      <c r="D203" t="s">
        <v>299</v>
      </c>
    </row>
    <row r="204" spans="1:4" x14ac:dyDescent="0.25">
      <c r="A204" s="52" t="s">
        <v>166</v>
      </c>
      <c r="B204" s="52" t="s">
        <v>31</v>
      </c>
      <c r="C204" s="52" t="s">
        <v>65</v>
      </c>
      <c r="D204" t="s">
        <v>299</v>
      </c>
    </row>
    <row r="205" spans="1:4" x14ac:dyDescent="0.25">
      <c r="A205" s="52" t="s">
        <v>166</v>
      </c>
      <c r="B205" s="52" t="s">
        <v>32</v>
      </c>
      <c r="C205" s="52" t="s">
        <v>76</v>
      </c>
      <c r="D205" t="s">
        <v>299</v>
      </c>
    </row>
    <row r="206" spans="1:4" x14ac:dyDescent="0.25">
      <c r="A206" s="52" t="s">
        <v>166</v>
      </c>
      <c r="B206" s="52" t="s">
        <v>33</v>
      </c>
      <c r="C206" s="52" t="s">
        <v>56</v>
      </c>
      <c r="D206" t="s">
        <v>299</v>
      </c>
    </row>
    <row r="207" spans="1:4" x14ac:dyDescent="0.25">
      <c r="A207" s="52" t="s">
        <v>166</v>
      </c>
      <c r="B207" s="52" t="s">
        <v>36</v>
      </c>
      <c r="C207" s="52" t="s">
        <v>53</v>
      </c>
      <c r="D207" t="s">
        <v>300</v>
      </c>
    </row>
    <row r="208" spans="1:4" x14ac:dyDescent="0.25">
      <c r="A208" s="52" t="s">
        <v>168</v>
      </c>
      <c r="B208" s="52" t="s">
        <v>27</v>
      </c>
      <c r="C208" s="52" t="s">
        <v>50</v>
      </c>
      <c r="D208" t="s">
        <v>299</v>
      </c>
    </row>
    <row r="209" spans="1:4" x14ac:dyDescent="0.25">
      <c r="A209" s="52" t="s">
        <v>168</v>
      </c>
      <c r="B209" s="52" t="s">
        <v>28</v>
      </c>
      <c r="C209" s="52" t="s">
        <v>60</v>
      </c>
      <c r="D209" t="s">
        <v>299</v>
      </c>
    </row>
    <row r="210" spans="1:4" x14ac:dyDescent="0.25">
      <c r="A210" s="52" t="s">
        <v>168</v>
      </c>
      <c r="B210" s="52" t="s">
        <v>29</v>
      </c>
      <c r="C210" s="52" t="s">
        <v>89</v>
      </c>
      <c r="D210" t="s">
        <v>299</v>
      </c>
    </row>
    <row r="211" spans="1:4" x14ac:dyDescent="0.25">
      <c r="A211" s="52" t="s">
        <v>168</v>
      </c>
      <c r="B211" s="52" t="s">
        <v>30</v>
      </c>
      <c r="C211" s="52" t="s">
        <v>47</v>
      </c>
      <c r="D211" t="s">
        <v>299</v>
      </c>
    </row>
    <row r="212" spans="1:4" x14ac:dyDescent="0.25">
      <c r="A212" s="52" t="s">
        <v>168</v>
      </c>
      <c r="B212" s="52" t="s">
        <v>31</v>
      </c>
      <c r="C212" s="52" t="s">
        <v>93</v>
      </c>
      <c r="D212" t="s">
        <v>299</v>
      </c>
    </row>
    <row r="213" spans="1:4" x14ac:dyDescent="0.25">
      <c r="A213" s="52" t="s">
        <v>168</v>
      </c>
      <c r="B213" s="52" t="s">
        <v>32</v>
      </c>
      <c r="C213" s="52" t="s">
        <v>54</v>
      </c>
      <c r="D213" t="s">
        <v>299</v>
      </c>
    </row>
    <row r="214" spans="1:4" x14ac:dyDescent="0.25">
      <c r="A214" s="52" t="s">
        <v>168</v>
      </c>
      <c r="B214" s="52" t="s">
        <v>33</v>
      </c>
      <c r="C214" s="52" t="s">
        <v>69</v>
      </c>
      <c r="D214" t="s">
        <v>299</v>
      </c>
    </row>
    <row r="215" spans="1:4" x14ac:dyDescent="0.25">
      <c r="A215" s="52" t="s">
        <v>168</v>
      </c>
      <c r="B215" s="52" t="s">
        <v>34</v>
      </c>
      <c r="C215" s="52" t="s">
        <v>75</v>
      </c>
      <c r="D215" t="s">
        <v>299</v>
      </c>
    </row>
    <row r="216" spans="1:4" x14ac:dyDescent="0.25">
      <c r="A216" s="52" t="s">
        <v>168</v>
      </c>
      <c r="B216" s="52" t="s">
        <v>35</v>
      </c>
      <c r="C216" s="52" t="s">
        <v>73</v>
      </c>
      <c r="D216" t="s">
        <v>299</v>
      </c>
    </row>
    <row r="217" spans="1:4" x14ac:dyDescent="0.25">
      <c r="A217" s="52" t="s">
        <v>168</v>
      </c>
      <c r="B217" s="52" t="s">
        <v>36</v>
      </c>
      <c r="C217" s="52" t="s">
        <v>38</v>
      </c>
      <c r="D217" t="s">
        <v>300</v>
      </c>
    </row>
    <row r="218" spans="1:4" x14ac:dyDescent="0.25">
      <c r="A218" s="52" t="s">
        <v>170</v>
      </c>
      <c r="B218" s="52" t="s">
        <v>27</v>
      </c>
      <c r="C218" s="52" t="s">
        <v>40</v>
      </c>
      <c r="D218" t="s">
        <v>299</v>
      </c>
    </row>
    <row r="219" spans="1:4" x14ac:dyDescent="0.25">
      <c r="A219" s="52" t="s">
        <v>170</v>
      </c>
      <c r="B219" s="52" t="s">
        <v>28</v>
      </c>
      <c r="C219" s="52" t="s">
        <v>62</v>
      </c>
      <c r="D219" t="s">
        <v>299</v>
      </c>
    </row>
    <row r="220" spans="1:4" x14ac:dyDescent="0.25">
      <c r="A220" s="52" t="s">
        <v>170</v>
      </c>
      <c r="B220" s="52" t="s">
        <v>29</v>
      </c>
      <c r="C220" s="52" t="s">
        <v>50</v>
      </c>
      <c r="D220" t="s">
        <v>299</v>
      </c>
    </row>
    <row r="221" spans="1:4" x14ac:dyDescent="0.25">
      <c r="A221" s="52" t="s">
        <v>170</v>
      </c>
      <c r="B221" s="52" t="s">
        <v>30</v>
      </c>
      <c r="C221" s="52" t="s">
        <v>47</v>
      </c>
      <c r="D221" t="s">
        <v>299</v>
      </c>
    </row>
    <row r="222" spans="1:4" x14ac:dyDescent="0.25">
      <c r="A222" s="52" t="s">
        <v>170</v>
      </c>
      <c r="B222" s="52" t="s">
        <v>31</v>
      </c>
      <c r="C222" s="52" t="s">
        <v>72</v>
      </c>
      <c r="D222" t="s">
        <v>299</v>
      </c>
    </row>
    <row r="223" spans="1:4" x14ac:dyDescent="0.25">
      <c r="A223" s="52" t="s">
        <v>170</v>
      </c>
      <c r="B223" s="52" t="s">
        <v>32</v>
      </c>
      <c r="C223" s="52" t="s">
        <v>69</v>
      </c>
      <c r="D223" t="s">
        <v>299</v>
      </c>
    </row>
    <row r="224" spans="1:4" x14ac:dyDescent="0.25">
      <c r="A224" s="52" t="s">
        <v>170</v>
      </c>
      <c r="B224" s="52" t="s">
        <v>33</v>
      </c>
      <c r="C224" s="52" t="s">
        <v>76</v>
      </c>
      <c r="D224" t="s">
        <v>299</v>
      </c>
    </row>
    <row r="225" spans="1:4" x14ac:dyDescent="0.25">
      <c r="A225" s="52" t="s">
        <v>170</v>
      </c>
      <c r="B225" s="52" t="s">
        <v>34</v>
      </c>
      <c r="C225" s="52" t="s">
        <v>73</v>
      </c>
      <c r="D225" t="s">
        <v>299</v>
      </c>
    </row>
    <row r="226" spans="1:4" x14ac:dyDescent="0.25">
      <c r="A226" s="52" t="s">
        <v>170</v>
      </c>
      <c r="B226" s="52" t="s">
        <v>35</v>
      </c>
      <c r="C226" s="52" t="s">
        <v>92</v>
      </c>
      <c r="D226" t="s">
        <v>299</v>
      </c>
    </row>
    <row r="227" spans="1:4" x14ac:dyDescent="0.25">
      <c r="A227" s="52" t="s">
        <v>170</v>
      </c>
      <c r="B227" s="52" t="s">
        <v>36</v>
      </c>
      <c r="C227" s="52" t="s">
        <v>45</v>
      </c>
      <c r="D227" t="s">
        <v>300</v>
      </c>
    </row>
    <row r="228" spans="1:4" x14ac:dyDescent="0.25">
      <c r="A228" s="52" t="s">
        <v>171</v>
      </c>
      <c r="B228" s="52" t="s">
        <v>27</v>
      </c>
      <c r="C228" s="52" t="s">
        <v>72</v>
      </c>
      <c r="D228" t="s">
        <v>299</v>
      </c>
    </row>
    <row r="229" spans="1:4" x14ac:dyDescent="0.25">
      <c r="A229" s="52" t="s">
        <v>171</v>
      </c>
      <c r="B229" s="52" t="s">
        <v>28</v>
      </c>
      <c r="C229" s="52" t="s">
        <v>49</v>
      </c>
      <c r="D229" t="s">
        <v>299</v>
      </c>
    </row>
    <row r="230" spans="1:4" x14ac:dyDescent="0.25">
      <c r="A230" s="52" t="s">
        <v>171</v>
      </c>
      <c r="B230" s="52" t="s">
        <v>29</v>
      </c>
      <c r="C230" s="52" t="s">
        <v>58</v>
      </c>
      <c r="D230" t="s">
        <v>299</v>
      </c>
    </row>
    <row r="231" spans="1:4" x14ac:dyDescent="0.25">
      <c r="A231" s="52" t="s">
        <v>171</v>
      </c>
      <c r="B231" s="52" t="s">
        <v>30</v>
      </c>
      <c r="C231" s="52" t="s">
        <v>41</v>
      </c>
      <c r="D231" t="s">
        <v>299</v>
      </c>
    </row>
    <row r="232" spans="1:4" x14ac:dyDescent="0.25">
      <c r="A232" s="52" t="s">
        <v>171</v>
      </c>
      <c r="B232" s="52" t="s">
        <v>31</v>
      </c>
      <c r="C232" s="52" t="s">
        <v>40</v>
      </c>
      <c r="D232" t="s">
        <v>299</v>
      </c>
    </row>
    <row r="233" spans="1:4" x14ac:dyDescent="0.25">
      <c r="A233" s="52" t="s">
        <v>173</v>
      </c>
      <c r="B233" s="52" t="s">
        <v>27</v>
      </c>
      <c r="C233" s="52" t="s">
        <v>51</v>
      </c>
      <c r="D233" t="s">
        <v>299</v>
      </c>
    </row>
    <row r="234" spans="1:4" x14ac:dyDescent="0.25">
      <c r="A234" s="52" t="s">
        <v>173</v>
      </c>
      <c r="B234" s="52" t="s">
        <v>28</v>
      </c>
      <c r="C234" s="52" t="s">
        <v>50</v>
      </c>
      <c r="D234" t="s">
        <v>299</v>
      </c>
    </row>
    <row r="235" spans="1:4" x14ac:dyDescent="0.25">
      <c r="A235" s="52" t="s">
        <v>173</v>
      </c>
      <c r="B235" s="52" t="s">
        <v>29</v>
      </c>
      <c r="C235" s="52" t="s">
        <v>47</v>
      </c>
      <c r="D235" t="s">
        <v>299</v>
      </c>
    </row>
    <row r="236" spans="1:4" x14ac:dyDescent="0.25">
      <c r="A236" s="52" t="s">
        <v>173</v>
      </c>
      <c r="B236" s="52" t="s">
        <v>36</v>
      </c>
      <c r="C236" s="52" t="s">
        <v>91</v>
      </c>
      <c r="D236" t="s">
        <v>300</v>
      </c>
    </row>
    <row r="237" spans="1:4" x14ac:dyDescent="0.25">
      <c r="A237" s="52" t="s">
        <v>175</v>
      </c>
      <c r="B237" s="52" t="s">
        <v>27</v>
      </c>
      <c r="C237" s="52" t="s">
        <v>44</v>
      </c>
      <c r="D237" t="s">
        <v>299</v>
      </c>
    </row>
    <row r="238" spans="1:4" x14ac:dyDescent="0.25">
      <c r="A238" s="52" t="s">
        <v>175</v>
      </c>
      <c r="B238" s="52" t="s">
        <v>28</v>
      </c>
      <c r="C238" s="52" t="s">
        <v>52</v>
      </c>
      <c r="D238" t="s">
        <v>299</v>
      </c>
    </row>
    <row r="239" spans="1:4" x14ac:dyDescent="0.25">
      <c r="A239" s="52" t="s">
        <v>175</v>
      </c>
      <c r="B239" s="52" t="s">
        <v>36</v>
      </c>
      <c r="C239" s="52" t="s">
        <v>57</v>
      </c>
      <c r="D239" t="s">
        <v>300</v>
      </c>
    </row>
    <row r="240" spans="1:4" x14ac:dyDescent="0.25">
      <c r="A240" s="52" t="s">
        <v>176</v>
      </c>
      <c r="B240" s="52" t="s">
        <v>27</v>
      </c>
      <c r="C240" s="52" t="s">
        <v>40</v>
      </c>
      <c r="D240" t="s">
        <v>299</v>
      </c>
    </row>
    <row r="241" spans="1:4" x14ac:dyDescent="0.25">
      <c r="A241" s="52" t="s">
        <v>176</v>
      </c>
      <c r="B241" s="52" t="s">
        <v>28</v>
      </c>
      <c r="C241" s="52" t="s">
        <v>42</v>
      </c>
      <c r="D241" t="s">
        <v>299</v>
      </c>
    </row>
    <row r="242" spans="1:4" x14ac:dyDescent="0.25">
      <c r="A242" s="52" t="s">
        <v>176</v>
      </c>
      <c r="B242" s="52" t="s">
        <v>29</v>
      </c>
      <c r="C242" s="52" t="s">
        <v>60</v>
      </c>
      <c r="D242" t="s">
        <v>299</v>
      </c>
    </row>
    <row r="243" spans="1:4" x14ac:dyDescent="0.25">
      <c r="A243" s="52" t="s">
        <v>176</v>
      </c>
      <c r="B243" s="52" t="s">
        <v>30</v>
      </c>
      <c r="C243" s="52" t="s">
        <v>41</v>
      </c>
      <c r="D243" t="s">
        <v>299</v>
      </c>
    </row>
    <row r="244" spans="1:4" x14ac:dyDescent="0.25">
      <c r="A244" s="52" t="s">
        <v>176</v>
      </c>
      <c r="B244" s="52" t="s">
        <v>31</v>
      </c>
      <c r="C244" s="52" t="s">
        <v>67</v>
      </c>
      <c r="D244" t="s">
        <v>299</v>
      </c>
    </row>
    <row r="245" spans="1:4" x14ac:dyDescent="0.25">
      <c r="A245" s="52" t="s">
        <v>176</v>
      </c>
      <c r="B245" s="52" t="s">
        <v>32</v>
      </c>
      <c r="C245" s="52" t="s">
        <v>49</v>
      </c>
      <c r="D245" t="s">
        <v>299</v>
      </c>
    </row>
    <row r="246" spans="1:4" x14ac:dyDescent="0.25">
      <c r="A246" s="52" t="s">
        <v>176</v>
      </c>
      <c r="B246" s="52" t="s">
        <v>33</v>
      </c>
      <c r="C246" s="52" t="s">
        <v>48</v>
      </c>
      <c r="D246" t="s">
        <v>299</v>
      </c>
    </row>
    <row r="247" spans="1:4" x14ac:dyDescent="0.25">
      <c r="A247" s="52" t="s">
        <v>176</v>
      </c>
      <c r="B247" s="52" t="s">
        <v>34</v>
      </c>
      <c r="C247" s="52" t="s">
        <v>71</v>
      </c>
      <c r="D247" t="s">
        <v>299</v>
      </c>
    </row>
    <row r="248" spans="1:4" x14ac:dyDescent="0.25">
      <c r="A248" s="52" t="s">
        <v>176</v>
      </c>
      <c r="B248" s="52" t="s">
        <v>35</v>
      </c>
      <c r="C248" s="52" t="s">
        <v>74</v>
      </c>
      <c r="D248" t="s">
        <v>299</v>
      </c>
    </row>
    <row r="249" spans="1:4" x14ac:dyDescent="0.25">
      <c r="A249" s="52" t="s">
        <v>176</v>
      </c>
      <c r="B249" s="52" t="s">
        <v>36</v>
      </c>
      <c r="C249" s="52" t="s">
        <v>59</v>
      </c>
      <c r="D249" t="s">
        <v>300</v>
      </c>
    </row>
    <row r="250" spans="1:4" x14ac:dyDescent="0.25">
      <c r="A250" s="52" t="s">
        <v>178</v>
      </c>
      <c r="B250" s="52" t="s">
        <v>27</v>
      </c>
      <c r="C250" s="52" t="s">
        <v>59</v>
      </c>
      <c r="D250" t="s">
        <v>299</v>
      </c>
    </row>
    <row r="251" spans="1:4" x14ac:dyDescent="0.25">
      <c r="A251" s="52" t="s">
        <v>178</v>
      </c>
      <c r="B251" s="52" t="s">
        <v>28</v>
      </c>
      <c r="C251" s="52" t="s">
        <v>45</v>
      </c>
      <c r="D251" t="s">
        <v>299</v>
      </c>
    </row>
    <row r="252" spans="1:4" x14ac:dyDescent="0.25">
      <c r="A252" s="52" t="s">
        <v>178</v>
      </c>
      <c r="B252" s="52" t="s">
        <v>36</v>
      </c>
      <c r="C252" s="52" t="s">
        <v>47</v>
      </c>
      <c r="D252" t="s">
        <v>300</v>
      </c>
    </row>
    <row r="253" spans="1:4" x14ac:dyDescent="0.25">
      <c r="A253" s="52" t="s">
        <v>179</v>
      </c>
      <c r="B253" s="52" t="s">
        <v>27</v>
      </c>
      <c r="C253" s="52" t="s">
        <v>47</v>
      </c>
      <c r="D253" t="s">
        <v>299</v>
      </c>
    </row>
    <row r="254" spans="1:4" x14ac:dyDescent="0.25">
      <c r="A254" s="52" t="s">
        <v>179</v>
      </c>
      <c r="B254" s="52" t="s">
        <v>28</v>
      </c>
      <c r="C254" s="52" t="s">
        <v>40</v>
      </c>
      <c r="D254" t="s">
        <v>299</v>
      </c>
    </row>
    <row r="255" spans="1:4" x14ac:dyDescent="0.25">
      <c r="A255" s="52" t="s">
        <v>179</v>
      </c>
      <c r="B255" s="52" t="s">
        <v>29</v>
      </c>
      <c r="C255" s="52" t="s">
        <v>59</v>
      </c>
      <c r="D255" t="s">
        <v>299</v>
      </c>
    </row>
    <row r="256" spans="1:4" x14ac:dyDescent="0.25">
      <c r="A256" s="52" t="s">
        <v>179</v>
      </c>
      <c r="B256" s="52" t="s">
        <v>30</v>
      </c>
      <c r="C256" s="52" t="s">
        <v>58</v>
      </c>
      <c r="D256" t="s">
        <v>299</v>
      </c>
    </row>
    <row r="257" spans="1:4" x14ac:dyDescent="0.25">
      <c r="A257" s="52" t="s">
        <v>179</v>
      </c>
      <c r="B257" s="52" t="s">
        <v>36</v>
      </c>
      <c r="C257" s="52" t="s">
        <v>38</v>
      </c>
      <c r="D257" t="s">
        <v>300</v>
      </c>
    </row>
    <row r="258" spans="1:4" x14ac:dyDescent="0.25">
      <c r="A258" s="52" t="s">
        <v>181</v>
      </c>
      <c r="B258" s="52" t="s">
        <v>27</v>
      </c>
      <c r="C258" s="52" t="s">
        <v>45</v>
      </c>
      <c r="D258" t="s">
        <v>299</v>
      </c>
    </row>
    <row r="259" spans="1:4" x14ac:dyDescent="0.25">
      <c r="A259" s="52" t="s">
        <v>181</v>
      </c>
      <c r="B259" s="52" t="s">
        <v>28</v>
      </c>
      <c r="C259" s="52" t="s">
        <v>42</v>
      </c>
      <c r="D259" t="s">
        <v>299</v>
      </c>
    </row>
    <row r="260" spans="1:4" x14ac:dyDescent="0.25">
      <c r="A260" s="52" t="s">
        <v>181</v>
      </c>
      <c r="B260" s="52" t="s">
        <v>29</v>
      </c>
      <c r="C260" s="52" t="s">
        <v>68</v>
      </c>
      <c r="D260" t="s">
        <v>299</v>
      </c>
    </row>
    <row r="261" spans="1:4" x14ac:dyDescent="0.25">
      <c r="A261" s="52" t="s">
        <v>181</v>
      </c>
      <c r="B261" s="52" t="s">
        <v>30</v>
      </c>
      <c r="C261" s="52" t="s">
        <v>92</v>
      </c>
      <c r="D261" t="s">
        <v>299</v>
      </c>
    </row>
    <row r="262" spans="1:4" x14ac:dyDescent="0.25">
      <c r="A262" s="52" t="s">
        <v>181</v>
      </c>
      <c r="B262" s="52" t="s">
        <v>36</v>
      </c>
      <c r="C262" s="52" t="s">
        <v>67</v>
      </c>
      <c r="D262" t="s">
        <v>300</v>
      </c>
    </row>
    <row r="263" spans="1:4" x14ac:dyDescent="0.25">
      <c r="A263" s="52" t="s">
        <v>182</v>
      </c>
      <c r="B263" s="52" t="s">
        <v>27</v>
      </c>
      <c r="C263" s="52" t="s">
        <v>59</v>
      </c>
      <c r="D263" t="s">
        <v>299</v>
      </c>
    </row>
    <row r="264" spans="1:4" x14ac:dyDescent="0.25">
      <c r="A264" s="52" t="s">
        <v>182</v>
      </c>
      <c r="B264" s="52" t="s">
        <v>28</v>
      </c>
      <c r="C264" s="52" t="s">
        <v>45</v>
      </c>
      <c r="D264" t="s">
        <v>299</v>
      </c>
    </row>
    <row r="265" spans="1:4" x14ac:dyDescent="0.25">
      <c r="A265" s="52" t="s">
        <v>182</v>
      </c>
      <c r="B265" s="52" t="s">
        <v>29</v>
      </c>
      <c r="C265" s="52" t="s">
        <v>49</v>
      </c>
      <c r="D265" t="s">
        <v>299</v>
      </c>
    </row>
    <row r="266" spans="1:4" x14ac:dyDescent="0.25">
      <c r="A266" s="52" t="s">
        <v>182</v>
      </c>
      <c r="B266" s="52" t="s">
        <v>36</v>
      </c>
      <c r="C266" s="52" t="s">
        <v>52</v>
      </c>
      <c r="D266" t="s">
        <v>300</v>
      </c>
    </row>
    <row r="267" spans="1:4" x14ac:dyDescent="0.25">
      <c r="A267" s="52" t="s">
        <v>184</v>
      </c>
      <c r="B267" s="52" t="s">
        <v>27</v>
      </c>
      <c r="C267" s="52" t="s">
        <v>38</v>
      </c>
      <c r="D267" t="s">
        <v>299</v>
      </c>
    </row>
    <row r="268" spans="1:4" x14ac:dyDescent="0.25">
      <c r="A268" s="52" t="s">
        <v>184</v>
      </c>
      <c r="B268" s="52" t="s">
        <v>28</v>
      </c>
      <c r="C268" s="52" t="s">
        <v>40</v>
      </c>
      <c r="D268" t="s">
        <v>299</v>
      </c>
    </row>
    <row r="269" spans="1:4" x14ac:dyDescent="0.25">
      <c r="A269" s="52" t="s">
        <v>184</v>
      </c>
      <c r="B269" s="52" t="s">
        <v>29</v>
      </c>
      <c r="C269" s="52" t="s">
        <v>41</v>
      </c>
      <c r="D269" t="s">
        <v>299</v>
      </c>
    </row>
    <row r="270" spans="1:4" x14ac:dyDescent="0.25">
      <c r="A270" s="52" t="s">
        <v>184</v>
      </c>
      <c r="B270" s="52" t="s">
        <v>30</v>
      </c>
      <c r="C270" s="52" t="s">
        <v>62</v>
      </c>
      <c r="D270" t="s">
        <v>299</v>
      </c>
    </row>
    <row r="271" spans="1:4" x14ac:dyDescent="0.25">
      <c r="A271" s="52" t="s">
        <v>184</v>
      </c>
      <c r="B271" s="52" t="s">
        <v>31</v>
      </c>
      <c r="C271" s="52" t="s">
        <v>50</v>
      </c>
      <c r="D271" t="s">
        <v>299</v>
      </c>
    </row>
    <row r="272" spans="1:4" x14ac:dyDescent="0.25">
      <c r="A272" s="52" t="s">
        <v>184</v>
      </c>
      <c r="B272" s="52" t="s">
        <v>32</v>
      </c>
      <c r="C272" s="52" t="s">
        <v>77</v>
      </c>
      <c r="D272" t="s">
        <v>299</v>
      </c>
    </row>
    <row r="273" spans="1:4" x14ac:dyDescent="0.25">
      <c r="A273" s="52" t="s">
        <v>184</v>
      </c>
      <c r="B273" s="52" t="s">
        <v>36</v>
      </c>
      <c r="C273" s="52" t="s">
        <v>61</v>
      </c>
      <c r="D273" t="s">
        <v>300</v>
      </c>
    </row>
    <row r="274" spans="1:4" x14ac:dyDescent="0.25">
      <c r="A274" s="52" t="s">
        <v>185</v>
      </c>
      <c r="B274" s="52" t="s">
        <v>27</v>
      </c>
      <c r="C274" s="52" t="s">
        <v>75</v>
      </c>
      <c r="D274" t="s">
        <v>299</v>
      </c>
    </row>
    <row r="275" spans="1:4" x14ac:dyDescent="0.25">
      <c r="A275" s="52" t="s">
        <v>185</v>
      </c>
      <c r="B275" s="52" t="s">
        <v>28</v>
      </c>
      <c r="C275" s="52" t="s">
        <v>65</v>
      </c>
      <c r="D275" t="s">
        <v>299</v>
      </c>
    </row>
    <row r="276" spans="1:4" x14ac:dyDescent="0.25">
      <c r="A276" s="52" t="s">
        <v>185</v>
      </c>
      <c r="B276" s="52" t="s">
        <v>29</v>
      </c>
      <c r="C276" s="52" t="s">
        <v>54</v>
      </c>
      <c r="D276" t="s">
        <v>299</v>
      </c>
    </row>
    <row r="277" spans="1:4" x14ac:dyDescent="0.25">
      <c r="A277" s="52" t="s">
        <v>185</v>
      </c>
      <c r="B277" s="52" t="s">
        <v>30</v>
      </c>
      <c r="C277" s="52" t="s">
        <v>39</v>
      </c>
      <c r="D277" t="s">
        <v>299</v>
      </c>
    </row>
    <row r="278" spans="1:4" x14ac:dyDescent="0.25">
      <c r="A278" s="52" t="s">
        <v>185</v>
      </c>
      <c r="B278" s="52" t="s">
        <v>31</v>
      </c>
      <c r="C278" s="52" t="s">
        <v>42</v>
      </c>
      <c r="D278" t="s">
        <v>299</v>
      </c>
    </row>
    <row r="279" spans="1:4" x14ac:dyDescent="0.25">
      <c r="A279" s="52" t="s">
        <v>185</v>
      </c>
      <c r="B279" s="52" t="s">
        <v>32</v>
      </c>
      <c r="C279" s="52" t="s">
        <v>92</v>
      </c>
      <c r="D279" t="s">
        <v>299</v>
      </c>
    </row>
    <row r="280" spans="1:4" x14ac:dyDescent="0.25">
      <c r="A280" s="52" t="s">
        <v>185</v>
      </c>
      <c r="B280" s="52" t="s">
        <v>33</v>
      </c>
      <c r="C280" s="52" t="s">
        <v>60</v>
      </c>
      <c r="D280" t="s">
        <v>299</v>
      </c>
    </row>
    <row r="281" spans="1:4" x14ac:dyDescent="0.25">
      <c r="A281" s="52" t="s">
        <v>185</v>
      </c>
      <c r="B281" s="52" t="s">
        <v>34</v>
      </c>
      <c r="C281" s="52" t="s">
        <v>72</v>
      </c>
      <c r="D281" t="s">
        <v>299</v>
      </c>
    </row>
    <row r="282" spans="1:4" x14ac:dyDescent="0.25">
      <c r="A282" s="52" t="s">
        <v>185</v>
      </c>
      <c r="B282" s="52" t="s">
        <v>36</v>
      </c>
      <c r="C282" s="52" t="s">
        <v>51</v>
      </c>
      <c r="D282" t="s">
        <v>300</v>
      </c>
    </row>
    <row r="283" spans="1:4" x14ac:dyDescent="0.25">
      <c r="A283" s="52" t="s">
        <v>187</v>
      </c>
      <c r="B283" s="52" t="s">
        <v>27</v>
      </c>
      <c r="C283" s="52" t="s">
        <v>75</v>
      </c>
      <c r="D283" t="s">
        <v>299</v>
      </c>
    </row>
    <row r="284" spans="1:4" x14ac:dyDescent="0.25">
      <c r="A284" s="52" t="s">
        <v>187</v>
      </c>
      <c r="B284" s="52" t="s">
        <v>28</v>
      </c>
      <c r="C284" s="52" t="s">
        <v>65</v>
      </c>
      <c r="D284" t="s">
        <v>299</v>
      </c>
    </row>
    <row r="285" spans="1:4" x14ac:dyDescent="0.25">
      <c r="A285" s="52" t="s">
        <v>187</v>
      </c>
      <c r="B285" s="52" t="s">
        <v>29</v>
      </c>
      <c r="C285" s="52" t="s">
        <v>54</v>
      </c>
      <c r="D285" t="s">
        <v>299</v>
      </c>
    </row>
    <row r="286" spans="1:4" x14ac:dyDescent="0.25">
      <c r="A286" s="52" t="s">
        <v>187</v>
      </c>
      <c r="B286" s="52" t="s">
        <v>30</v>
      </c>
      <c r="C286" s="52" t="s">
        <v>59</v>
      </c>
      <c r="D286" t="s">
        <v>299</v>
      </c>
    </row>
    <row r="287" spans="1:4" x14ac:dyDescent="0.25">
      <c r="A287" s="52" t="s">
        <v>187</v>
      </c>
      <c r="B287" s="52" t="s">
        <v>31</v>
      </c>
      <c r="C287" s="52" t="s">
        <v>42</v>
      </c>
      <c r="D287" t="s">
        <v>299</v>
      </c>
    </row>
    <row r="288" spans="1:4" x14ac:dyDescent="0.25">
      <c r="A288" s="52" t="s">
        <v>187</v>
      </c>
      <c r="B288" s="52" t="s">
        <v>32</v>
      </c>
      <c r="C288" s="52" t="s">
        <v>92</v>
      </c>
      <c r="D288" t="s">
        <v>299</v>
      </c>
    </row>
    <row r="289" spans="1:4" x14ac:dyDescent="0.25">
      <c r="A289" s="52" t="s">
        <v>187</v>
      </c>
      <c r="B289" s="52" t="s">
        <v>33</v>
      </c>
      <c r="C289" s="52" t="s">
        <v>48</v>
      </c>
      <c r="D289" t="s">
        <v>299</v>
      </c>
    </row>
    <row r="290" spans="1:4" x14ac:dyDescent="0.25">
      <c r="A290" s="52" t="s">
        <v>187</v>
      </c>
      <c r="B290" s="52" t="s">
        <v>36</v>
      </c>
      <c r="C290" s="52" t="s">
        <v>51</v>
      </c>
      <c r="D290" t="s">
        <v>300</v>
      </c>
    </row>
    <row r="291" spans="1:4" x14ac:dyDescent="0.25">
      <c r="A291" s="52" t="s">
        <v>188</v>
      </c>
      <c r="B291" s="52" t="s">
        <v>27</v>
      </c>
      <c r="C291" s="52" t="s">
        <v>90</v>
      </c>
      <c r="D291" t="s">
        <v>299</v>
      </c>
    </row>
    <row r="292" spans="1:4" x14ac:dyDescent="0.25">
      <c r="A292" s="52" t="s">
        <v>188</v>
      </c>
      <c r="B292" s="52" t="s">
        <v>28</v>
      </c>
      <c r="C292" s="52" t="s">
        <v>66</v>
      </c>
      <c r="D292" t="s">
        <v>299</v>
      </c>
    </row>
    <row r="293" spans="1:4" x14ac:dyDescent="0.25">
      <c r="A293" s="52" t="s">
        <v>188</v>
      </c>
      <c r="B293" s="52" t="s">
        <v>29</v>
      </c>
      <c r="C293" s="52" t="s">
        <v>65</v>
      </c>
      <c r="D293" t="s">
        <v>299</v>
      </c>
    </row>
    <row r="294" spans="1:4" x14ac:dyDescent="0.25">
      <c r="A294" s="52" t="s">
        <v>188</v>
      </c>
      <c r="B294" s="52" t="s">
        <v>30</v>
      </c>
      <c r="C294" s="52" t="s">
        <v>55</v>
      </c>
      <c r="D294" t="s">
        <v>299</v>
      </c>
    </row>
    <row r="295" spans="1:4" x14ac:dyDescent="0.25">
      <c r="A295" s="52" t="s">
        <v>188</v>
      </c>
      <c r="B295" s="52" t="s">
        <v>31</v>
      </c>
      <c r="C295" s="52" t="s">
        <v>89</v>
      </c>
      <c r="D295" t="s">
        <v>299</v>
      </c>
    </row>
    <row r="296" spans="1:4" x14ac:dyDescent="0.25">
      <c r="A296" s="52" t="s">
        <v>188</v>
      </c>
      <c r="B296" s="52" t="s">
        <v>32</v>
      </c>
      <c r="C296" s="52" t="s">
        <v>77</v>
      </c>
      <c r="D296" t="s">
        <v>299</v>
      </c>
    </row>
    <row r="297" spans="1:4" x14ac:dyDescent="0.25">
      <c r="A297" s="52" t="s">
        <v>188</v>
      </c>
      <c r="B297" s="52" t="s">
        <v>33</v>
      </c>
      <c r="C297" s="52" t="s">
        <v>49</v>
      </c>
      <c r="D297" t="s">
        <v>299</v>
      </c>
    </row>
    <row r="298" spans="1:4" x14ac:dyDescent="0.25">
      <c r="A298" s="52" t="s">
        <v>188</v>
      </c>
      <c r="B298" s="52" t="s">
        <v>34</v>
      </c>
      <c r="C298" s="52" t="s">
        <v>76</v>
      </c>
      <c r="D298" t="s">
        <v>299</v>
      </c>
    </row>
    <row r="299" spans="1:4" x14ac:dyDescent="0.25">
      <c r="A299" s="52" t="s">
        <v>188</v>
      </c>
      <c r="B299" s="52" t="s">
        <v>35</v>
      </c>
      <c r="C299" s="52" t="s">
        <v>40</v>
      </c>
      <c r="D299" t="s">
        <v>299</v>
      </c>
    </row>
    <row r="300" spans="1:4" x14ac:dyDescent="0.25">
      <c r="A300" s="52" t="s">
        <v>188</v>
      </c>
      <c r="B300" s="52" t="s">
        <v>36</v>
      </c>
      <c r="C300" s="52" t="s">
        <v>62</v>
      </c>
      <c r="D300" t="s">
        <v>300</v>
      </c>
    </row>
    <row r="301" spans="1:4" x14ac:dyDescent="0.25">
      <c r="A301" s="52" t="s">
        <v>190</v>
      </c>
      <c r="B301" s="52" t="s">
        <v>27</v>
      </c>
      <c r="C301" s="52" t="s">
        <v>40</v>
      </c>
      <c r="D301" t="s">
        <v>299</v>
      </c>
    </row>
    <row r="302" spans="1:4" x14ac:dyDescent="0.25">
      <c r="A302" s="52" t="s">
        <v>190</v>
      </c>
      <c r="B302" s="52" t="s">
        <v>28</v>
      </c>
      <c r="C302" s="52" t="s">
        <v>49</v>
      </c>
      <c r="D302" t="s">
        <v>299</v>
      </c>
    </row>
    <row r="303" spans="1:4" x14ac:dyDescent="0.25">
      <c r="A303" s="52" t="s">
        <v>190</v>
      </c>
      <c r="B303" s="52" t="s">
        <v>29</v>
      </c>
      <c r="C303" s="52" t="s">
        <v>62</v>
      </c>
      <c r="D303" t="s">
        <v>299</v>
      </c>
    </row>
    <row r="304" spans="1:4" x14ac:dyDescent="0.25">
      <c r="A304" s="52" t="s">
        <v>190</v>
      </c>
      <c r="B304" s="52" t="s">
        <v>30</v>
      </c>
      <c r="C304" s="52" t="s">
        <v>71</v>
      </c>
      <c r="D304" t="s">
        <v>299</v>
      </c>
    </row>
    <row r="305" spans="1:4" x14ac:dyDescent="0.25">
      <c r="A305" s="52" t="s">
        <v>190</v>
      </c>
      <c r="B305" s="52" t="s">
        <v>31</v>
      </c>
      <c r="C305" s="52" t="s">
        <v>68</v>
      </c>
      <c r="D305" t="s">
        <v>299</v>
      </c>
    </row>
    <row r="306" spans="1:4" x14ac:dyDescent="0.25">
      <c r="A306" s="52" t="s">
        <v>192</v>
      </c>
      <c r="B306" s="52" t="s">
        <v>27</v>
      </c>
      <c r="C306" s="52" t="s">
        <v>54</v>
      </c>
      <c r="D306" t="s">
        <v>299</v>
      </c>
    </row>
    <row r="307" spans="1:4" x14ac:dyDescent="0.25">
      <c r="A307" s="52" t="s">
        <v>192</v>
      </c>
      <c r="B307" s="52" t="s">
        <v>28</v>
      </c>
      <c r="C307" s="52" t="s">
        <v>41</v>
      </c>
      <c r="D307" t="s">
        <v>299</v>
      </c>
    </row>
    <row r="308" spans="1:4" x14ac:dyDescent="0.25">
      <c r="A308" s="52" t="s">
        <v>192</v>
      </c>
      <c r="B308" s="52" t="s">
        <v>29</v>
      </c>
      <c r="C308" s="52" t="s">
        <v>50</v>
      </c>
      <c r="D308" t="s">
        <v>299</v>
      </c>
    </row>
    <row r="309" spans="1:4" x14ac:dyDescent="0.25">
      <c r="A309" s="52" t="s">
        <v>192</v>
      </c>
      <c r="B309" s="52" t="s">
        <v>30</v>
      </c>
      <c r="C309" s="52" t="s">
        <v>89</v>
      </c>
      <c r="D309" t="s">
        <v>299</v>
      </c>
    </row>
    <row r="310" spans="1:4" x14ac:dyDescent="0.25">
      <c r="A310" s="52" t="s">
        <v>192</v>
      </c>
      <c r="B310" s="52" t="s">
        <v>31</v>
      </c>
      <c r="C310" s="52" t="s">
        <v>49</v>
      </c>
      <c r="D310" t="s">
        <v>299</v>
      </c>
    </row>
    <row r="311" spans="1:4" x14ac:dyDescent="0.25">
      <c r="A311" s="52" t="s">
        <v>192</v>
      </c>
      <c r="B311" s="52" t="s">
        <v>32</v>
      </c>
      <c r="C311" s="52" t="s">
        <v>65</v>
      </c>
      <c r="D311" t="s">
        <v>299</v>
      </c>
    </row>
    <row r="312" spans="1:4" x14ac:dyDescent="0.25">
      <c r="A312" s="52" t="s">
        <v>194</v>
      </c>
      <c r="B312" s="52" t="s">
        <v>27</v>
      </c>
      <c r="C312" s="52" t="s">
        <v>59</v>
      </c>
      <c r="D312" t="s">
        <v>299</v>
      </c>
    </row>
    <row r="313" spans="1:4" x14ac:dyDescent="0.25">
      <c r="A313" s="52" t="s">
        <v>194</v>
      </c>
      <c r="B313" s="52" t="s">
        <v>28</v>
      </c>
      <c r="C313" s="52" t="s">
        <v>71</v>
      </c>
      <c r="D313" t="s">
        <v>299</v>
      </c>
    </row>
    <row r="314" spans="1:4" x14ac:dyDescent="0.25">
      <c r="A314" s="52" t="s">
        <v>194</v>
      </c>
      <c r="B314" s="52" t="s">
        <v>29</v>
      </c>
      <c r="C314" s="52" t="s">
        <v>67</v>
      </c>
      <c r="D314" t="s">
        <v>299</v>
      </c>
    </row>
    <row r="315" spans="1:4" x14ac:dyDescent="0.25">
      <c r="A315" s="52" t="s">
        <v>194</v>
      </c>
      <c r="B315" s="52" t="s">
        <v>30</v>
      </c>
      <c r="C315" s="52" t="s">
        <v>54</v>
      </c>
      <c r="D315" t="s">
        <v>299</v>
      </c>
    </row>
    <row r="316" spans="1:4" x14ac:dyDescent="0.25">
      <c r="A316" s="52" t="s">
        <v>194</v>
      </c>
      <c r="B316" s="52" t="s">
        <v>36</v>
      </c>
      <c r="C316" s="52" t="s">
        <v>57</v>
      </c>
      <c r="D316" t="s">
        <v>300</v>
      </c>
    </row>
    <row r="317" spans="1:4" x14ac:dyDescent="0.25">
      <c r="A317" s="52" t="s">
        <v>195</v>
      </c>
      <c r="B317" s="52" t="s">
        <v>27</v>
      </c>
      <c r="C317" s="52" t="s">
        <v>61</v>
      </c>
      <c r="D317" t="s">
        <v>299</v>
      </c>
    </row>
    <row r="318" spans="1:4" x14ac:dyDescent="0.25">
      <c r="A318" s="52" t="s">
        <v>195</v>
      </c>
      <c r="B318" s="52" t="s">
        <v>28</v>
      </c>
      <c r="C318" s="52" t="s">
        <v>53</v>
      </c>
      <c r="D318" t="s">
        <v>299</v>
      </c>
    </row>
    <row r="319" spans="1:4" x14ac:dyDescent="0.25">
      <c r="A319" s="52" t="s">
        <v>195</v>
      </c>
      <c r="B319" s="52" t="s">
        <v>29</v>
      </c>
      <c r="C319" s="52" t="s">
        <v>62</v>
      </c>
      <c r="D319" t="s">
        <v>299</v>
      </c>
    </row>
    <row r="320" spans="1:4" x14ac:dyDescent="0.25">
      <c r="A320" s="52" t="s">
        <v>195</v>
      </c>
      <c r="B320" s="52" t="s">
        <v>30</v>
      </c>
      <c r="C320" s="52" t="s">
        <v>69</v>
      </c>
      <c r="D320" t="s">
        <v>299</v>
      </c>
    </row>
    <row r="321" spans="1:4" x14ac:dyDescent="0.25">
      <c r="A321" s="52" t="s">
        <v>196</v>
      </c>
      <c r="B321" s="52" t="s">
        <v>27</v>
      </c>
      <c r="C321" s="52" t="s">
        <v>44</v>
      </c>
      <c r="D321" t="s">
        <v>299</v>
      </c>
    </row>
    <row r="322" spans="1:4" x14ac:dyDescent="0.25">
      <c r="A322" s="52" t="s">
        <v>196</v>
      </c>
      <c r="B322" s="52" t="s">
        <v>28</v>
      </c>
      <c r="C322" s="52" t="s">
        <v>72</v>
      </c>
      <c r="D322" t="s">
        <v>299</v>
      </c>
    </row>
    <row r="323" spans="1:4" x14ac:dyDescent="0.25">
      <c r="A323" s="52" t="s">
        <v>196</v>
      </c>
      <c r="B323" s="52" t="s">
        <v>29</v>
      </c>
      <c r="C323" s="52" t="s">
        <v>62</v>
      </c>
      <c r="D323" t="s">
        <v>299</v>
      </c>
    </row>
    <row r="324" spans="1:4" x14ac:dyDescent="0.25">
      <c r="A324" s="52" t="s">
        <v>196</v>
      </c>
      <c r="B324" s="52" t="s">
        <v>30</v>
      </c>
      <c r="C324" s="52" t="s">
        <v>41</v>
      </c>
      <c r="D324" t="s">
        <v>299</v>
      </c>
    </row>
    <row r="325" spans="1:4" x14ac:dyDescent="0.25">
      <c r="A325" s="52" t="s">
        <v>196</v>
      </c>
      <c r="B325" s="52" t="s">
        <v>31</v>
      </c>
      <c r="C325" s="52" t="s">
        <v>68</v>
      </c>
      <c r="D325" t="s">
        <v>299</v>
      </c>
    </row>
    <row r="326" spans="1:4" x14ac:dyDescent="0.25">
      <c r="A326" s="52" t="s">
        <v>196</v>
      </c>
      <c r="B326" s="52" t="s">
        <v>36</v>
      </c>
      <c r="C326" s="52" t="s">
        <v>38</v>
      </c>
      <c r="D326" t="s">
        <v>300</v>
      </c>
    </row>
    <row r="327" spans="1:4" x14ac:dyDescent="0.25">
      <c r="A327" s="52" t="s">
        <v>198</v>
      </c>
      <c r="B327" s="52" t="s">
        <v>27</v>
      </c>
      <c r="C327" s="52" t="s">
        <v>68</v>
      </c>
      <c r="D327" t="s">
        <v>299</v>
      </c>
    </row>
    <row r="328" spans="1:4" x14ac:dyDescent="0.25">
      <c r="A328" s="52" t="s">
        <v>198</v>
      </c>
      <c r="B328" s="52" t="s">
        <v>28</v>
      </c>
      <c r="C328" s="52" t="s">
        <v>60</v>
      </c>
      <c r="D328" t="s">
        <v>299</v>
      </c>
    </row>
    <row r="329" spans="1:4" x14ac:dyDescent="0.25">
      <c r="A329" s="52" t="s">
        <v>198</v>
      </c>
      <c r="B329" s="52" t="s">
        <v>29</v>
      </c>
      <c r="C329" s="52" t="s">
        <v>72</v>
      </c>
      <c r="D329" t="s">
        <v>299</v>
      </c>
    </row>
    <row r="330" spans="1:4" x14ac:dyDescent="0.25">
      <c r="A330" s="52" t="s">
        <v>198</v>
      </c>
      <c r="B330" s="52" t="s">
        <v>30</v>
      </c>
      <c r="C330" s="52" t="s">
        <v>67</v>
      </c>
      <c r="D330" t="s">
        <v>299</v>
      </c>
    </row>
    <row r="331" spans="1:4" x14ac:dyDescent="0.25">
      <c r="A331" s="52" t="s">
        <v>198</v>
      </c>
      <c r="B331" s="52" t="s">
        <v>31</v>
      </c>
      <c r="C331" s="52" t="s">
        <v>49</v>
      </c>
      <c r="D331" t="s">
        <v>299</v>
      </c>
    </row>
    <row r="332" spans="1:4" x14ac:dyDescent="0.25">
      <c r="A332" s="52" t="s">
        <v>198</v>
      </c>
      <c r="B332" s="52" t="s">
        <v>32</v>
      </c>
      <c r="C332" s="52" t="s">
        <v>71</v>
      </c>
      <c r="D332" t="s">
        <v>299</v>
      </c>
    </row>
    <row r="333" spans="1:4" x14ac:dyDescent="0.25">
      <c r="A333" s="52" t="s">
        <v>198</v>
      </c>
      <c r="B333" s="52" t="s">
        <v>33</v>
      </c>
      <c r="C333" s="52" t="s">
        <v>55</v>
      </c>
      <c r="D333" t="s">
        <v>299</v>
      </c>
    </row>
    <row r="334" spans="1:4" x14ac:dyDescent="0.25">
      <c r="A334" s="52" t="s">
        <v>198</v>
      </c>
      <c r="B334" s="52" t="s">
        <v>34</v>
      </c>
      <c r="C334" s="52" t="s">
        <v>39</v>
      </c>
      <c r="D334" t="s">
        <v>299</v>
      </c>
    </row>
    <row r="335" spans="1:4" x14ac:dyDescent="0.25">
      <c r="A335" s="52" t="s">
        <v>198</v>
      </c>
      <c r="B335" s="52" t="s">
        <v>35</v>
      </c>
      <c r="C335" s="52" t="s">
        <v>48</v>
      </c>
      <c r="D335" t="s">
        <v>299</v>
      </c>
    </row>
    <row r="336" spans="1:4" x14ac:dyDescent="0.25">
      <c r="A336" s="52" t="s">
        <v>198</v>
      </c>
      <c r="B336" s="52" t="s">
        <v>36</v>
      </c>
      <c r="C336" s="52" t="s">
        <v>59</v>
      </c>
      <c r="D336" t="s">
        <v>300</v>
      </c>
    </row>
    <row r="337" spans="1:4" x14ac:dyDescent="0.25">
      <c r="A337" s="52" t="s">
        <v>199</v>
      </c>
      <c r="B337" s="52" t="s">
        <v>27</v>
      </c>
      <c r="C337" s="52" t="s">
        <v>45</v>
      </c>
      <c r="D337" t="s">
        <v>299</v>
      </c>
    </row>
    <row r="338" spans="1:4" x14ac:dyDescent="0.25">
      <c r="A338" s="52" t="s">
        <v>199</v>
      </c>
      <c r="B338" s="52" t="s">
        <v>28</v>
      </c>
      <c r="C338" s="52" t="s">
        <v>47</v>
      </c>
      <c r="D338" t="s">
        <v>299</v>
      </c>
    </row>
    <row r="339" spans="1:4" x14ac:dyDescent="0.25">
      <c r="A339" s="52" t="s">
        <v>199</v>
      </c>
      <c r="B339" s="52" t="s">
        <v>29</v>
      </c>
      <c r="C339" s="52" t="s">
        <v>62</v>
      </c>
      <c r="D339" t="s">
        <v>299</v>
      </c>
    </row>
    <row r="340" spans="1:4" x14ac:dyDescent="0.25">
      <c r="A340" s="52" t="s">
        <v>199</v>
      </c>
      <c r="B340" s="52" t="s">
        <v>30</v>
      </c>
      <c r="C340" s="52" t="s">
        <v>48</v>
      </c>
      <c r="D340" t="s">
        <v>299</v>
      </c>
    </row>
    <row r="341" spans="1:4" x14ac:dyDescent="0.25">
      <c r="A341" s="52" t="s">
        <v>199</v>
      </c>
      <c r="B341" s="52" t="s">
        <v>31</v>
      </c>
      <c r="C341" s="52" t="s">
        <v>89</v>
      </c>
      <c r="D341" t="s">
        <v>299</v>
      </c>
    </row>
    <row r="342" spans="1:4" x14ac:dyDescent="0.25">
      <c r="A342" s="52" t="s">
        <v>199</v>
      </c>
      <c r="B342" s="52" t="s">
        <v>36</v>
      </c>
      <c r="C342" s="52" t="s">
        <v>51</v>
      </c>
      <c r="D342" t="s">
        <v>300</v>
      </c>
    </row>
    <row r="343" spans="1:4" x14ac:dyDescent="0.25">
      <c r="A343" s="52" t="s">
        <v>201</v>
      </c>
      <c r="B343" s="52" t="s">
        <v>27</v>
      </c>
      <c r="C343" s="52" t="s">
        <v>76</v>
      </c>
      <c r="D343" t="s">
        <v>299</v>
      </c>
    </row>
    <row r="344" spans="1:4" x14ac:dyDescent="0.25">
      <c r="A344" s="52" t="s">
        <v>201</v>
      </c>
      <c r="B344" s="52" t="s">
        <v>28</v>
      </c>
      <c r="C344" s="52" t="s">
        <v>77</v>
      </c>
      <c r="D344" t="s">
        <v>299</v>
      </c>
    </row>
    <row r="345" spans="1:4" x14ac:dyDescent="0.25">
      <c r="A345" s="52" t="s">
        <v>201</v>
      </c>
      <c r="B345" s="52" t="s">
        <v>29</v>
      </c>
      <c r="C345" s="52" t="s">
        <v>89</v>
      </c>
      <c r="D345" t="s">
        <v>299</v>
      </c>
    </row>
    <row r="346" spans="1:4" x14ac:dyDescent="0.25">
      <c r="A346" s="52" t="s">
        <v>201</v>
      </c>
      <c r="B346" s="52" t="s">
        <v>30</v>
      </c>
      <c r="C346" s="52" t="s">
        <v>65</v>
      </c>
      <c r="D346" t="s">
        <v>299</v>
      </c>
    </row>
    <row r="347" spans="1:4" x14ac:dyDescent="0.25">
      <c r="A347" s="52" t="s">
        <v>201</v>
      </c>
      <c r="B347" s="52" t="s">
        <v>31</v>
      </c>
      <c r="C347" s="52" t="s">
        <v>41</v>
      </c>
      <c r="D347" t="s">
        <v>299</v>
      </c>
    </row>
    <row r="348" spans="1:4" x14ac:dyDescent="0.25">
      <c r="A348" s="52" t="s">
        <v>201</v>
      </c>
      <c r="B348" s="52" t="s">
        <v>32</v>
      </c>
      <c r="C348" s="52" t="s">
        <v>62</v>
      </c>
      <c r="D348" t="s">
        <v>299</v>
      </c>
    </row>
    <row r="349" spans="1:4" x14ac:dyDescent="0.25">
      <c r="A349" s="52" t="s">
        <v>201</v>
      </c>
      <c r="B349" s="52" t="s">
        <v>33</v>
      </c>
      <c r="C349" s="52" t="s">
        <v>70</v>
      </c>
      <c r="D349" t="s">
        <v>299</v>
      </c>
    </row>
    <row r="350" spans="1:4" x14ac:dyDescent="0.25">
      <c r="A350" s="52" t="s">
        <v>201</v>
      </c>
      <c r="B350" s="52" t="s">
        <v>34</v>
      </c>
      <c r="C350" s="52" t="s">
        <v>54</v>
      </c>
      <c r="D350" t="s">
        <v>299</v>
      </c>
    </row>
    <row r="351" spans="1:4" x14ac:dyDescent="0.25">
      <c r="A351" s="52" t="s">
        <v>201</v>
      </c>
      <c r="B351" s="52" t="s">
        <v>35</v>
      </c>
      <c r="C351" s="52" t="s">
        <v>49</v>
      </c>
      <c r="D351" t="s">
        <v>299</v>
      </c>
    </row>
    <row r="352" spans="1:4" x14ac:dyDescent="0.25">
      <c r="A352" s="52" t="s">
        <v>201</v>
      </c>
      <c r="B352" s="52" t="s">
        <v>36</v>
      </c>
      <c r="C352" s="52" t="s">
        <v>53</v>
      </c>
      <c r="D352" t="s">
        <v>300</v>
      </c>
    </row>
    <row r="353" spans="1:4" x14ac:dyDescent="0.25">
      <c r="A353" s="52" t="s">
        <v>203</v>
      </c>
      <c r="B353" s="52" t="s">
        <v>27</v>
      </c>
      <c r="C353" s="52" t="s">
        <v>51</v>
      </c>
      <c r="D353" t="s">
        <v>299</v>
      </c>
    </row>
    <row r="354" spans="1:4" x14ac:dyDescent="0.25">
      <c r="A354" s="52" t="s">
        <v>203</v>
      </c>
      <c r="B354" s="52" t="s">
        <v>28</v>
      </c>
      <c r="C354" s="52" t="s">
        <v>62</v>
      </c>
      <c r="D354" t="s">
        <v>299</v>
      </c>
    </row>
    <row r="355" spans="1:4" x14ac:dyDescent="0.25">
      <c r="A355" s="52" t="s">
        <v>203</v>
      </c>
      <c r="B355" s="52" t="s">
        <v>29</v>
      </c>
      <c r="C355" s="52" t="s">
        <v>44</v>
      </c>
      <c r="D355" t="s">
        <v>299</v>
      </c>
    </row>
    <row r="356" spans="1:4" x14ac:dyDescent="0.25">
      <c r="A356" s="52" t="s">
        <v>203</v>
      </c>
      <c r="B356" s="52" t="s">
        <v>30</v>
      </c>
      <c r="C356" s="52" t="s">
        <v>48</v>
      </c>
      <c r="D356" t="s">
        <v>299</v>
      </c>
    </row>
    <row r="357" spans="1:4" x14ac:dyDescent="0.25">
      <c r="A357" s="52" t="s">
        <v>203</v>
      </c>
      <c r="B357" s="52" t="s">
        <v>36</v>
      </c>
      <c r="C357" s="52" t="s">
        <v>38</v>
      </c>
      <c r="D357" t="s">
        <v>300</v>
      </c>
    </row>
    <row r="358" spans="1:4" x14ac:dyDescent="0.25">
      <c r="A358" s="52" t="s">
        <v>204</v>
      </c>
      <c r="B358" s="52" t="s">
        <v>27</v>
      </c>
      <c r="C358" s="52" t="s">
        <v>42</v>
      </c>
      <c r="D358" t="s">
        <v>299</v>
      </c>
    </row>
    <row r="359" spans="1:4" x14ac:dyDescent="0.25">
      <c r="A359" s="52" t="s">
        <v>204</v>
      </c>
      <c r="B359" s="52" t="s">
        <v>28</v>
      </c>
      <c r="C359" s="52" t="s">
        <v>48</v>
      </c>
      <c r="D359" t="s">
        <v>299</v>
      </c>
    </row>
    <row r="360" spans="1:4" x14ac:dyDescent="0.25">
      <c r="A360" s="52" t="s">
        <v>204</v>
      </c>
      <c r="B360" s="52" t="s">
        <v>29</v>
      </c>
      <c r="C360" s="52" t="s">
        <v>65</v>
      </c>
      <c r="D360" t="s">
        <v>299</v>
      </c>
    </row>
    <row r="361" spans="1:4" x14ac:dyDescent="0.25">
      <c r="A361" s="52" t="s">
        <v>204</v>
      </c>
      <c r="B361" s="52" t="s">
        <v>30</v>
      </c>
      <c r="C361" s="52" t="s">
        <v>67</v>
      </c>
      <c r="D361" t="s">
        <v>299</v>
      </c>
    </row>
    <row r="362" spans="1:4" x14ac:dyDescent="0.25">
      <c r="A362" s="52" t="s">
        <v>204</v>
      </c>
      <c r="B362" s="52" t="s">
        <v>31</v>
      </c>
      <c r="C362" s="52" t="s">
        <v>72</v>
      </c>
      <c r="D362" t="s">
        <v>299</v>
      </c>
    </row>
    <row r="363" spans="1:4" x14ac:dyDescent="0.25">
      <c r="A363" s="52" t="s">
        <v>204</v>
      </c>
      <c r="B363" s="52" t="s">
        <v>32</v>
      </c>
      <c r="C363" s="52" t="s">
        <v>49</v>
      </c>
      <c r="D363" t="s">
        <v>299</v>
      </c>
    </row>
    <row r="364" spans="1:4" x14ac:dyDescent="0.25">
      <c r="A364" s="52" t="s">
        <v>204</v>
      </c>
      <c r="B364" s="52" t="s">
        <v>33</v>
      </c>
      <c r="C364" s="52" t="s">
        <v>50</v>
      </c>
      <c r="D364" t="s">
        <v>299</v>
      </c>
    </row>
    <row r="365" spans="1:4" x14ac:dyDescent="0.25">
      <c r="A365" s="52" t="s">
        <v>204</v>
      </c>
      <c r="B365" s="52" t="s">
        <v>36</v>
      </c>
      <c r="C365" s="52" t="s">
        <v>40</v>
      </c>
      <c r="D365" t="s">
        <v>300</v>
      </c>
    </row>
    <row r="366" spans="1:4" x14ac:dyDescent="0.25">
      <c r="A366" s="52" t="s">
        <v>206</v>
      </c>
      <c r="B366" s="52" t="s">
        <v>27</v>
      </c>
      <c r="C366" s="52" t="s">
        <v>62</v>
      </c>
      <c r="D366" t="s">
        <v>299</v>
      </c>
    </row>
    <row r="367" spans="1:4" x14ac:dyDescent="0.25">
      <c r="A367" s="52" t="s">
        <v>206</v>
      </c>
      <c r="B367" s="52" t="s">
        <v>28</v>
      </c>
      <c r="C367" s="52" t="s">
        <v>69</v>
      </c>
      <c r="D367" t="s">
        <v>299</v>
      </c>
    </row>
    <row r="368" spans="1:4" x14ac:dyDescent="0.25">
      <c r="A368" s="52" t="s">
        <v>206</v>
      </c>
      <c r="B368" s="52" t="s">
        <v>29</v>
      </c>
      <c r="C368" s="52" t="s">
        <v>40</v>
      </c>
      <c r="D368" t="s">
        <v>299</v>
      </c>
    </row>
    <row r="369" spans="1:4" x14ac:dyDescent="0.25">
      <c r="A369" s="52" t="s">
        <v>206</v>
      </c>
      <c r="B369" s="52" t="s">
        <v>30</v>
      </c>
      <c r="C369" s="52" t="s">
        <v>54</v>
      </c>
      <c r="D369" t="s">
        <v>299</v>
      </c>
    </row>
    <row r="370" spans="1:4" x14ac:dyDescent="0.25">
      <c r="A370" s="52" t="s">
        <v>206</v>
      </c>
      <c r="B370" s="52" t="s">
        <v>31</v>
      </c>
      <c r="C370" s="52" t="s">
        <v>44</v>
      </c>
      <c r="D370" t="s">
        <v>299</v>
      </c>
    </row>
    <row r="371" spans="1:4" x14ac:dyDescent="0.25">
      <c r="A371" s="52" t="s">
        <v>206</v>
      </c>
      <c r="B371" s="52" t="s">
        <v>32</v>
      </c>
      <c r="C371" s="52" t="s">
        <v>48</v>
      </c>
      <c r="D371" t="s">
        <v>299</v>
      </c>
    </row>
    <row r="372" spans="1:4" x14ac:dyDescent="0.25">
      <c r="A372" s="52" t="s">
        <v>206</v>
      </c>
      <c r="B372" s="52" t="s">
        <v>36</v>
      </c>
      <c r="C372" s="52" t="s">
        <v>52</v>
      </c>
      <c r="D372" t="s">
        <v>300</v>
      </c>
    </row>
    <row r="373" spans="1:4" x14ac:dyDescent="0.25">
      <c r="A373" s="52" t="s">
        <v>208</v>
      </c>
      <c r="B373" s="52" t="s">
        <v>27</v>
      </c>
      <c r="C373" s="52" t="s">
        <v>57</v>
      </c>
      <c r="D373" t="s">
        <v>299</v>
      </c>
    </row>
    <row r="374" spans="1:4" x14ac:dyDescent="0.25">
      <c r="A374" s="52" t="s">
        <v>208</v>
      </c>
      <c r="B374" s="52" t="s">
        <v>28</v>
      </c>
      <c r="C374" s="52" t="s">
        <v>39</v>
      </c>
      <c r="D374" t="s">
        <v>299</v>
      </c>
    </row>
    <row r="375" spans="1:4" x14ac:dyDescent="0.25">
      <c r="A375" s="52" t="s">
        <v>208</v>
      </c>
      <c r="B375" s="52" t="s">
        <v>29</v>
      </c>
      <c r="C375" s="52" t="s">
        <v>42</v>
      </c>
      <c r="D375" t="s">
        <v>299</v>
      </c>
    </row>
    <row r="376" spans="1:4" x14ac:dyDescent="0.25">
      <c r="A376" s="52" t="s">
        <v>208</v>
      </c>
      <c r="B376" s="52" t="s">
        <v>30</v>
      </c>
      <c r="C376" s="52" t="s">
        <v>54</v>
      </c>
      <c r="D376" t="s">
        <v>299</v>
      </c>
    </row>
    <row r="377" spans="1:4" x14ac:dyDescent="0.25">
      <c r="A377" s="52" t="s">
        <v>208</v>
      </c>
      <c r="B377" s="52" t="s">
        <v>31</v>
      </c>
      <c r="C377" s="52" t="s">
        <v>47</v>
      </c>
      <c r="D377" t="s">
        <v>299</v>
      </c>
    </row>
    <row r="378" spans="1:4" x14ac:dyDescent="0.25">
      <c r="A378" s="52" t="s">
        <v>208</v>
      </c>
      <c r="B378" s="52" t="s">
        <v>32</v>
      </c>
      <c r="C378" s="52" t="s">
        <v>69</v>
      </c>
      <c r="D378" t="s">
        <v>299</v>
      </c>
    </row>
    <row r="379" spans="1:4" x14ac:dyDescent="0.25">
      <c r="A379" s="52" t="s">
        <v>208</v>
      </c>
      <c r="B379" s="52" t="s">
        <v>36</v>
      </c>
      <c r="C379" s="52" t="s">
        <v>40</v>
      </c>
      <c r="D379" t="s">
        <v>300</v>
      </c>
    </row>
    <row r="380" spans="1:4" x14ac:dyDescent="0.25">
      <c r="A380" s="52" t="s">
        <v>209</v>
      </c>
      <c r="B380" s="52" t="s">
        <v>27</v>
      </c>
      <c r="C380" s="52" t="s">
        <v>51</v>
      </c>
      <c r="D380" t="s">
        <v>299</v>
      </c>
    </row>
    <row r="381" spans="1:4" x14ac:dyDescent="0.25">
      <c r="A381" s="52" t="s">
        <v>209</v>
      </c>
      <c r="B381" s="52" t="s">
        <v>28</v>
      </c>
      <c r="C381" s="52" t="s">
        <v>52</v>
      </c>
      <c r="D381" t="s">
        <v>299</v>
      </c>
    </row>
    <row r="382" spans="1:4" x14ac:dyDescent="0.25">
      <c r="A382" s="52" t="s">
        <v>209</v>
      </c>
      <c r="B382" s="52" t="s">
        <v>29</v>
      </c>
      <c r="C382" s="52" t="s">
        <v>65</v>
      </c>
      <c r="D382" t="s">
        <v>299</v>
      </c>
    </row>
    <row r="383" spans="1:4" x14ac:dyDescent="0.25">
      <c r="A383" s="52" t="s">
        <v>209</v>
      </c>
      <c r="B383" s="52" t="s">
        <v>36</v>
      </c>
      <c r="C383" s="52" t="s">
        <v>41</v>
      </c>
      <c r="D383" t="s">
        <v>300</v>
      </c>
    </row>
    <row r="384" spans="1:4" x14ac:dyDescent="0.25">
      <c r="A384" s="52" t="s">
        <v>211</v>
      </c>
      <c r="B384" s="52" t="s">
        <v>27</v>
      </c>
      <c r="C384" s="52" t="s">
        <v>61</v>
      </c>
      <c r="D384" t="s">
        <v>299</v>
      </c>
    </row>
    <row r="385" spans="1:4" x14ac:dyDescent="0.25">
      <c r="A385" s="52" t="s">
        <v>211</v>
      </c>
      <c r="B385" s="52" t="s">
        <v>28</v>
      </c>
      <c r="C385" s="52" t="s">
        <v>40</v>
      </c>
      <c r="D385" t="s">
        <v>299</v>
      </c>
    </row>
    <row r="386" spans="1:4" x14ac:dyDescent="0.25">
      <c r="A386" s="52" t="s">
        <v>211</v>
      </c>
      <c r="B386" s="52" t="s">
        <v>29</v>
      </c>
      <c r="C386" s="52" t="s">
        <v>72</v>
      </c>
      <c r="D386" t="s">
        <v>299</v>
      </c>
    </row>
    <row r="387" spans="1:4" x14ac:dyDescent="0.25">
      <c r="A387" s="52" t="s">
        <v>211</v>
      </c>
      <c r="B387" s="52" t="s">
        <v>36</v>
      </c>
      <c r="C387" s="52" t="s">
        <v>90</v>
      </c>
      <c r="D387" t="s">
        <v>300</v>
      </c>
    </row>
    <row r="388" spans="1:4" x14ac:dyDescent="0.25">
      <c r="A388" s="52" t="s">
        <v>212</v>
      </c>
      <c r="B388" s="52" t="s">
        <v>27</v>
      </c>
      <c r="C388" s="52" t="s">
        <v>50</v>
      </c>
      <c r="D388" t="s">
        <v>299</v>
      </c>
    </row>
    <row r="389" spans="1:4" x14ac:dyDescent="0.25">
      <c r="A389" s="52" t="s">
        <v>212</v>
      </c>
      <c r="B389" s="52" t="s">
        <v>28</v>
      </c>
      <c r="C389" s="52" t="s">
        <v>47</v>
      </c>
      <c r="D389" t="s">
        <v>299</v>
      </c>
    </row>
    <row r="390" spans="1:4" x14ac:dyDescent="0.25">
      <c r="A390" s="52" t="s">
        <v>212</v>
      </c>
      <c r="B390" s="52" t="s">
        <v>29</v>
      </c>
      <c r="C390" s="52" t="s">
        <v>39</v>
      </c>
      <c r="D390" t="s">
        <v>299</v>
      </c>
    </row>
    <row r="391" spans="1:4" x14ac:dyDescent="0.25">
      <c r="A391" s="52" t="s">
        <v>212</v>
      </c>
      <c r="B391" s="52" t="s">
        <v>30</v>
      </c>
      <c r="C391" s="52" t="s">
        <v>62</v>
      </c>
      <c r="D391" t="s">
        <v>299</v>
      </c>
    </row>
    <row r="392" spans="1:4" x14ac:dyDescent="0.25">
      <c r="A392" s="52" t="s">
        <v>212</v>
      </c>
      <c r="B392" s="52" t="s">
        <v>36</v>
      </c>
      <c r="C392" s="52" t="s">
        <v>55</v>
      </c>
      <c r="D392" t="s">
        <v>300</v>
      </c>
    </row>
    <row r="393" spans="1:4" x14ac:dyDescent="0.25">
      <c r="A393" s="52" t="s">
        <v>213</v>
      </c>
      <c r="B393" s="52" t="s">
        <v>27</v>
      </c>
      <c r="C393" s="52" t="s">
        <v>61</v>
      </c>
      <c r="D393" t="s">
        <v>299</v>
      </c>
    </row>
    <row r="394" spans="1:4" x14ac:dyDescent="0.25">
      <c r="A394" s="52" t="s">
        <v>213</v>
      </c>
      <c r="B394" s="52" t="s">
        <v>28</v>
      </c>
      <c r="C394" s="52" t="s">
        <v>50</v>
      </c>
      <c r="D394" t="s">
        <v>299</v>
      </c>
    </row>
    <row r="395" spans="1:4" x14ac:dyDescent="0.25">
      <c r="A395" s="52" t="s">
        <v>213</v>
      </c>
      <c r="B395" s="52" t="s">
        <v>29</v>
      </c>
      <c r="C395" s="52" t="s">
        <v>67</v>
      </c>
      <c r="D395" t="s">
        <v>299</v>
      </c>
    </row>
    <row r="396" spans="1:4" x14ac:dyDescent="0.25">
      <c r="A396" s="52" t="s">
        <v>213</v>
      </c>
      <c r="B396" s="52" t="s">
        <v>30</v>
      </c>
      <c r="C396" s="52" t="s">
        <v>42</v>
      </c>
      <c r="D396" t="s">
        <v>299</v>
      </c>
    </row>
    <row r="397" spans="1:4" x14ac:dyDescent="0.25">
      <c r="A397" s="52" t="s">
        <v>213</v>
      </c>
      <c r="B397" s="52" t="s">
        <v>36</v>
      </c>
      <c r="C397" s="52" t="s">
        <v>53</v>
      </c>
      <c r="D397" t="s">
        <v>300</v>
      </c>
    </row>
    <row r="398" spans="1:4" x14ac:dyDescent="0.25">
      <c r="A398" s="52" t="s">
        <v>215</v>
      </c>
      <c r="B398" s="52" t="s">
        <v>27</v>
      </c>
      <c r="C398" s="52" t="s">
        <v>44</v>
      </c>
      <c r="D398" t="s">
        <v>299</v>
      </c>
    </row>
    <row r="399" spans="1:4" x14ac:dyDescent="0.25">
      <c r="A399" s="52" t="s">
        <v>215</v>
      </c>
      <c r="B399" s="52" t="s">
        <v>28</v>
      </c>
      <c r="C399" s="52" t="s">
        <v>55</v>
      </c>
      <c r="D399" t="s">
        <v>299</v>
      </c>
    </row>
    <row r="400" spans="1:4" x14ac:dyDescent="0.25">
      <c r="A400" s="52" t="s">
        <v>215</v>
      </c>
      <c r="B400" s="52" t="s">
        <v>29</v>
      </c>
      <c r="C400" s="52" t="s">
        <v>39</v>
      </c>
      <c r="D400" t="s">
        <v>299</v>
      </c>
    </row>
    <row r="401" spans="1:4" x14ac:dyDescent="0.25">
      <c r="A401" s="52" t="s">
        <v>215</v>
      </c>
      <c r="B401" s="52" t="s">
        <v>30</v>
      </c>
      <c r="C401" s="52" t="s">
        <v>57</v>
      </c>
      <c r="D401" t="s">
        <v>299</v>
      </c>
    </row>
    <row r="402" spans="1:4" x14ac:dyDescent="0.25">
      <c r="A402" s="52" t="s">
        <v>215</v>
      </c>
      <c r="B402" s="52" t="s">
        <v>31</v>
      </c>
      <c r="C402" s="52" t="s">
        <v>58</v>
      </c>
      <c r="D402" t="s">
        <v>299</v>
      </c>
    </row>
    <row r="403" spans="1:4" x14ac:dyDescent="0.25">
      <c r="A403" s="52" t="s">
        <v>215</v>
      </c>
      <c r="B403" s="52" t="s">
        <v>36</v>
      </c>
      <c r="C403" s="52" t="s">
        <v>41</v>
      </c>
      <c r="D403" t="s">
        <v>300</v>
      </c>
    </row>
    <row r="404" spans="1:4" x14ac:dyDescent="0.25">
      <c r="A404" s="52" t="s">
        <v>216</v>
      </c>
      <c r="B404" s="52" t="s">
        <v>27</v>
      </c>
      <c r="C404" s="52" t="s">
        <v>51</v>
      </c>
      <c r="D404" t="s">
        <v>299</v>
      </c>
    </row>
    <row r="405" spans="1:4" x14ac:dyDescent="0.25">
      <c r="A405" s="52" t="s">
        <v>216</v>
      </c>
      <c r="B405" s="52" t="s">
        <v>28</v>
      </c>
      <c r="C405" s="52" t="s">
        <v>47</v>
      </c>
      <c r="D405" t="s">
        <v>299</v>
      </c>
    </row>
    <row r="406" spans="1:4" x14ac:dyDescent="0.25">
      <c r="A406" s="52" t="s">
        <v>216</v>
      </c>
      <c r="B406" s="52" t="s">
        <v>29</v>
      </c>
      <c r="C406" s="52" t="s">
        <v>89</v>
      </c>
      <c r="D406" t="s">
        <v>299</v>
      </c>
    </row>
    <row r="407" spans="1:4" x14ac:dyDescent="0.25">
      <c r="A407" s="52" t="s">
        <v>216</v>
      </c>
      <c r="B407" s="52" t="s">
        <v>30</v>
      </c>
      <c r="C407" s="52" t="s">
        <v>65</v>
      </c>
      <c r="D407" t="s">
        <v>299</v>
      </c>
    </row>
    <row r="408" spans="1:4" x14ac:dyDescent="0.25">
      <c r="A408" s="52" t="s">
        <v>216</v>
      </c>
      <c r="B408" s="52" t="s">
        <v>36</v>
      </c>
      <c r="C408" s="52" t="s">
        <v>57</v>
      </c>
      <c r="D408" t="s">
        <v>300</v>
      </c>
    </row>
    <row r="409" spans="1:4" x14ac:dyDescent="0.25">
      <c r="A409" s="52" t="s">
        <v>218</v>
      </c>
      <c r="B409" s="52" t="s">
        <v>27</v>
      </c>
      <c r="C409" s="52" t="s">
        <v>50</v>
      </c>
      <c r="D409" t="s">
        <v>299</v>
      </c>
    </row>
    <row r="410" spans="1:4" x14ac:dyDescent="0.25">
      <c r="A410" s="52" t="s">
        <v>218</v>
      </c>
      <c r="B410" s="52" t="s">
        <v>28</v>
      </c>
      <c r="C410" s="52" t="s">
        <v>40</v>
      </c>
      <c r="D410" t="s">
        <v>299</v>
      </c>
    </row>
    <row r="411" spans="1:4" x14ac:dyDescent="0.25">
      <c r="A411" s="52" t="s">
        <v>218</v>
      </c>
      <c r="B411" s="52" t="s">
        <v>29</v>
      </c>
      <c r="C411" s="52" t="s">
        <v>38</v>
      </c>
      <c r="D411" t="s">
        <v>299</v>
      </c>
    </row>
    <row r="412" spans="1:4" x14ac:dyDescent="0.25">
      <c r="A412" s="52" t="s">
        <v>218</v>
      </c>
      <c r="B412" s="52" t="s">
        <v>36</v>
      </c>
      <c r="C412" s="52" t="s">
        <v>56</v>
      </c>
      <c r="D412" t="s">
        <v>300</v>
      </c>
    </row>
    <row r="413" spans="1:4" x14ac:dyDescent="0.25">
      <c r="A413" s="52" t="s">
        <v>220</v>
      </c>
      <c r="B413" s="52" t="s">
        <v>27</v>
      </c>
      <c r="C413" s="52" t="s">
        <v>41</v>
      </c>
      <c r="D413" t="s">
        <v>299</v>
      </c>
    </row>
    <row r="414" spans="1:4" x14ac:dyDescent="0.25">
      <c r="A414" s="52" t="s">
        <v>220</v>
      </c>
      <c r="B414" s="52" t="s">
        <v>28</v>
      </c>
      <c r="C414" s="52" t="s">
        <v>72</v>
      </c>
      <c r="D414" t="s">
        <v>299</v>
      </c>
    </row>
    <row r="415" spans="1:4" x14ac:dyDescent="0.25">
      <c r="A415" s="52" t="s">
        <v>220</v>
      </c>
      <c r="B415" s="52" t="s">
        <v>29</v>
      </c>
      <c r="C415" s="52" t="s">
        <v>68</v>
      </c>
      <c r="D415" t="s">
        <v>299</v>
      </c>
    </row>
    <row r="416" spans="1:4" x14ac:dyDescent="0.25">
      <c r="A416" s="52" t="s">
        <v>220</v>
      </c>
      <c r="B416" s="52" t="s">
        <v>30</v>
      </c>
      <c r="C416" s="52" t="s">
        <v>49</v>
      </c>
      <c r="D416" t="s">
        <v>299</v>
      </c>
    </row>
    <row r="417" spans="1:4" x14ac:dyDescent="0.25">
      <c r="A417" s="52" t="s">
        <v>220</v>
      </c>
      <c r="B417" s="52" t="s">
        <v>31</v>
      </c>
      <c r="C417" s="52" t="s">
        <v>48</v>
      </c>
      <c r="D417" t="s">
        <v>299</v>
      </c>
    </row>
    <row r="418" spans="1:4" x14ac:dyDescent="0.25">
      <c r="A418" s="52" t="s">
        <v>220</v>
      </c>
      <c r="B418" s="52" t="s">
        <v>32</v>
      </c>
      <c r="C418" s="52" t="s">
        <v>89</v>
      </c>
      <c r="D418" t="s">
        <v>299</v>
      </c>
    </row>
    <row r="419" spans="1:4" x14ac:dyDescent="0.25">
      <c r="A419" s="52" t="s">
        <v>220</v>
      </c>
      <c r="B419" s="52" t="s">
        <v>36</v>
      </c>
      <c r="C419" s="52" t="s">
        <v>43</v>
      </c>
      <c r="D419" t="s">
        <v>300</v>
      </c>
    </row>
    <row r="420" spans="1:4" x14ac:dyDescent="0.25">
      <c r="A420" s="52" t="s">
        <v>221</v>
      </c>
      <c r="B420" s="52" t="s">
        <v>27</v>
      </c>
      <c r="C420" s="52" t="s">
        <v>62</v>
      </c>
      <c r="D420" t="s">
        <v>299</v>
      </c>
    </row>
    <row r="421" spans="1:4" x14ac:dyDescent="0.25">
      <c r="A421" s="52" t="s">
        <v>221</v>
      </c>
      <c r="B421" s="52" t="s">
        <v>28</v>
      </c>
      <c r="C421" s="52" t="s">
        <v>70</v>
      </c>
      <c r="D421" t="s">
        <v>299</v>
      </c>
    </row>
    <row r="422" spans="1:4" x14ac:dyDescent="0.25">
      <c r="A422" s="52" t="s">
        <v>221</v>
      </c>
      <c r="B422" s="52" t="s">
        <v>29</v>
      </c>
      <c r="C422" s="52" t="s">
        <v>48</v>
      </c>
      <c r="D422" t="s">
        <v>299</v>
      </c>
    </row>
    <row r="423" spans="1:4" x14ac:dyDescent="0.25">
      <c r="A423" s="52" t="s">
        <v>221</v>
      </c>
      <c r="B423" s="52" t="s">
        <v>30</v>
      </c>
      <c r="C423" s="52" t="s">
        <v>65</v>
      </c>
      <c r="D423" t="s">
        <v>299</v>
      </c>
    </row>
    <row r="424" spans="1:4" x14ac:dyDescent="0.25">
      <c r="A424" s="52" t="s">
        <v>221</v>
      </c>
      <c r="B424" s="52" t="s">
        <v>31</v>
      </c>
      <c r="C424" s="52" t="s">
        <v>77</v>
      </c>
      <c r="D424" t="s">
        <v>299</v>
      </c>
    </row>
    <row r="425" spans="1:4" x14ac:dyDescent="0.25">
      <c r="A425" s="52" t="s">
        <v>221</v>
      </c>
      <c r="B425" s="52" t="s">
        <v>32</v>
      </c>
      <c r="C425" s="52" t="s">
        <v>91</v>
      </c>
      <c r="D425" t="s">
        <v>299</v>
      </c>
    </row>
    <row r="426" spans="1:4" x14ac:dyDescent="0.25">
      <c r="A426" s="52" t="s">
        <v>221</v>
      </c>
      <c r="B426" s="52" t="s">
        <v>33</v>
      </c>
      <c r="C426" s="52" t="s">
        <v>38</v>
      </c>
      <c r="D426" t="s">
        <v>299</v>
      </c>
    </row>
    <row r="427" spans="1:4" x14ac:dyDescent="0.25">
      <c r="A427" s="52" t="s">
        <v>221</v>
      </c>
      <c r="B427" s="52" t="s">
        <v>34</v>
      </c>
      <c r="C427" s="52" t="s">
        <v>73</v>
      </c>
      <c r="D427" t="s">
        <v>299</v>
      </c>
    </row>
    <row r="428" spans="1:4" x14ac:dyDescent="0.25">
      <c r="A428" s="52" t="s">
        <v>221</v>
      </c>
      <c r="B428" s="52" t="s">
        <v>35</v>
      </c>
      <c r="C428" s="52" t="s">
        <v>89</v>
      </c>
      <c r="D428" t="s">
        <v>299</v>
      </c>
    </row>
    <row r="429" spans="1:4" x14ac:dyDescent="0.25">
      <c r="A429" s="52" t="s">
        <v>221</v>
      </c>
      <c r="B429" s="52" t="s">
        <v>36</v>
      </c>
      <c r="C429" s="52" t="s">
        <v>40</v>
      </c>
      <c r="D429" t="s">
        <v>300</v>
      </c>
    </row>
    <row r="430" spans="1:4" x14ac:dyDescent="0.25">
      <c r="A430" s="52" t="s">
        <v>223</v>
      </c>
      <c r="B430" s="52" t="s">
        <v>27</v>
      </c>
      <c r="C430" s="52" t="s">
        <v>59</v>
      </c>
      <c r="D430" t="s">
        <v>299</v>
      </c>
    </row>
    <row r="431" spans="1:4" x14ac:dyDescent="0.25">
      <c r="A431" s="52" t="s">
        <v>223</v>
      </c>
      <c r="B431" s="52" t="s">
        <v>28</v>
      </c>
      <c r="C431" s="52" t="s">
        <v>47</v>
      </c>
      <c r="D431" t="s">
        <v>299</v>
      </c>
    </row>
    <row r="432" spans="1:4" x14ac:dyDescent="0.25">
      <c r="A432" s="52" t="s">
        <v>223</v>
      </c>
      <c r="B432" s="52" t="s">
        <v>29</v>
      </c>
      <c r="C432" s="52" t="s">
        <v>62</v>
      </c>
      <c r="D432" t="s">
        <v>299</v>
      </c>
    </row>
    <row r="433" spans="1:4" x14ac:dyDescent="0.25">
      <c r="A433" s="52" t="s">
        <v>223</v>
      </c>
      <c r="B433" s="52" t="s">
        <v>30</v>
      </c>
      <c r="C433" s="52" t="s">
        <v>39</v>
      </c>
      <c r="D433" t="s">
        <v>299</v>
      </c>
    </row>
    <row r="434" spans="1:4" x14ac:dyDescent="0.25">
      <c r="A434" s="52" t="s">
        <v>223</v>
      </c>
      <c r="B434" s="52" t="s">
        <v>31</v>
      </c>
      <c r="C434" s="52" t="s">
        <v>43</v>
      </c>
      <c r="D434" t="s">
        <v>299</v>
      </c>
    </row>
    <row r="435" spans="1:4" x14ac:dyDescent="0.25">
      <c r="A435" s="52" t="s">
        <v>223</v>
      </c>
      <c r="B435" s="52" t="s">
        <v>36</v>
      </c>
      <c r="C435" s="52" t="s">
        <v>44</v>
      </c>
      <c r="D435" t="s">
        <v>300</v>
      </c>
    </row>
    <row r="436" spans="1:4" x14ac:dyDescent="0.25">
      <c r="A436" s="52" t="s">
        <v>225</v>
      </c>
      <c r="B436" s="52" t="s">
        <v>27</v>
      </c>
      <c r="C436" s="52" t="s">
        <v>71</v>
      </c>
      <c r="D436" t="s">
        <v>299</v>
      </c>
    </row>
    <row r="437" spans="1:4" x14ac:dyDescent="0.25">
      <c r="A437" s="52" t="s">
        <v>225</v>
      </c>
      <c r="B437" s="52" t="s">
        <v>28</v>
      </c>
      <c r="C437" s="52" t="s">
        <v>41</v>
      </c>
      <c r="D437" t="s">
        <v>299</v>
      </c>
    </row>
    <row r="438" spans="1:4" x14ac:dyDescent="0.25">
      <c r="A438" s="52" t="s">
        <v>225</v>
      </c>
      <c r="B438" s="52" t="s">
        <v>29</v>
      </c>
      <c r="C438" s="52" t="s">
        <v>52</v>
      </c>
      <c r="D438" t="s">
        <v>299</v>
      </c>
    </row>
    <row r="439" spans="1:4" x14ac:dyDescent="0.25">
      <c r="A439" s="52" t="s">
        <v>225</v>
      </c>
      <c r="B439" s="52" t="s">
        <v>30</v>
      </c>
      <c r="C439" s="52" t="s">
        <v>67</v>
      </c>
      <c r="D439" t="s">
        <v>299</v>
      </c>
    </row>
    <row r="440" spans="1:4" x14ac:dyDescent="0.25">
      <c r="A440" s="52" t="s">
        <v>225</v>
      </c>
      <c r="B440" s="52" t="s">
        <v>31</v>
      </c>
      <c r="C440" s="52" t="s">
        <v>38</v>
      </c>
      <c r="D440" t="s">
        <v>299</v>
      </c>
    </row>
    <row r="441" spans="1:4" x14ac:dyDescent="0.25">
      <c r="A441" s="52" t="s">
        <v>225</v>
      </c>
      <c r="B441" s="52" t="s">
        <v>36</v>
      </c>
      <c r="C441" s="52" t="s">
        <v>61</v>
      </c>
      <c r="D441" t="s">
        <v>300</v>
      </c>
    </row>
    <row r="442" spans="1:4" x14ac:dyDescent="0.25">
      <c r="A442" s="52" t="s">
        <v>228</v>
      </c>
      <c r="B442" s="52" t="s">
        <v>27</v>
      </c>
      <c r="C442" s="52" t="s">
        <v>38</v>
      </c>
      <c r="D442" t="s">
        <v>299</v>
      </c>
    </row>
    <row r="443" spans="1:4" x14ac:dyDescent="0.25">
      <c r="A443" s="52" t="s">
        <v>228</v>
      </c>
      <c r="B443" s="52" t="s">
        <v>28</v>
      </c>
      <c r="C443" s="52" t="s">
        <v>51</v>
      </c>
      <c r="D443" t="s">
        <v>299</v>
      </c>
    </row>
    <row r="444" spans="1:4" x14ac:dyDescent="0.25">
      <c r="A444" s="52" t="s">
        <v>228</v>
      </c>
      <c r="B444" s="52" t="s">
        <v>29</v>
      </c>
      <c r="C444" s="52" t="s">
        <v>50</v>
      </c>
      <c r="D444" t="s">
        <v>299</v>
      </c>
    </row>
    <row r="445" spans="1:4" x14ac:dyDescent="0.25">
      <c r="A445" s="52" t="s">
        <v>228</v>
      </c>
      <c r="B445" s="52" t="s">
        <v>30</v>
      </c>
      <c r="C445" s="52" t="s">
        <v>71</v>
      </c>
      <c r="D445" t="s">
        <v>299</v>
      </c>
    </row>
    <row r="446" spans="1:4" x14ac:dyDescent="0.25">
      <c r="A446" s="52" t="s">
        <v>228</v>
      </c>
      <c r="B446" s="52" t="s">
        <v>36</v>
      </c>
      <c r="C446" s="52" t="s">
        <v>39</v>
      </c>
      <c r="D446" t="s">
        <v>300</v>
      </c>
    </row>
    <row r="447" spans="1:4" x14ac:dyDescent="0.25">
      <c r="A447" s="52" t="s">
        <v>230</v>
      </c>
      <c r="B447" s="52" t="s">
        <v>27</v>
      </c>
      <c r="C447" s="52" t="s">
        <v>61</v>
      </c>
      <c r="D447" t="s">
        <v>299</v>
      </c>
    </row>
    <row r="448" spans="1:4" x14ac:dyDescent="0.25">
      <c r="A448" s="52" t="s">
        <v>230</v>
      </c>
      <c r="B448" s="52" t="s">
        <v>28</v>
      </c>
      <c r="C448" s="52" t="s">
        <v>47</v>
      </c>
      <c r="D448" t="s">
        <v>299</v>
      </c>
    </row>
    <row r="449" spans="1:4" x14ac:dyDescent="0.25">
      <c r="A449" s="52" t="s">
        <v>230</v>
      </c>
      <c r="B449" s="52" t="s">
        <v>29</v>
      </c>
      <c r="C449" s="52" t="s">
        <v>60</v>
      </c>
      <c r="D449" t="s">
        <v>299</v>
      </c>
    </row>
    <row r="450" spans="1:4" x14ac:dyDescent="0.25">
      <c r="A450" s="52" t="s">
        <v>230</v>
      </c>
      <c r="B450" s="52" t="s">
        <v>30</v>
      </c>
      <c r="C450" s="52" t="s">
        <v>54</v>
      </c>
      <c r="D450" t="s">
        <v>299</v>
      </c>
    </row>
    <row r="451" spans="1:4" x14ac:dyDescent="0.25">
      <c r="A451" s="52" t="s">
        <v>230</v>
      </c>
      <c r="B451" s="52" t="s">
        <v>31</v>
      </c>
      <c r="C451" s="52" t="s">
        <v>49</v>
      </c>
      <c r="D451" t="s">
        <v>299</v>
      </c>
    </row>
    <row r="452" spans="1:4" x14ac:dyDescent="0.25">
      <c r="A452" s="52" t="s">
        <v>230</v>
      </c>
      <c r="B452" s="52" t="s">
        <v>32</v>
      </c>
      <c r="C452" s="52" t="s">
        <v>89</v>
      </c>
      <c r="D452" t="s">
        <v>299</v>
      </c>
    </row>
    <row r="453" spans="1:4" x14ac:dyDescent="0.25">
      <c r="A453" s="52" t="s">
        <v>230</v>
      </c>
      <c r="B453" s="52" t="s">
        <v>33</v>
      </c>
      <c r="C453" s="52" t="s">
        <v>71</v>
      </c>
      <c r="D453" t="s">
        <v>299</v>
      </c>
    </row>
    <row r="454" spans="1:4" x14ac:dyDescent="0.25">
      <c r="A454" s="52" t="s">
        <v>230</v>
      </c>
      <c r="B454" s="52" t="s">
        <v>36</v>
      </c>
      <c r="C454" s="52" t="s">
        <v>59</v>
      </c>
      <c r="D454" t="s">
        <v>300</v>
      </c>
    </row>
    <row r="455" spans="1:4" x14ac:dyDescent="0.25">
      <c r="A455" s="52" t="s">
        <v>231</v>
      </c>
      <c r="B455" s="52" t="s">
        <v>27</v>
      </c>
      <c r="C455" s="52" t="s">
        <v>61</v>
      </c>
      <c r="D455" t="s">
        <v>299</v>
      </c>
    </row>
    <row r="456" spans="1:4" x14ac:dyDescent="0.25">
      <c r="A456" s="52" t="s">
        <v>231</v>
      </c>
      <c r="B456" s="52" t="s">
        <v>28</v>
      </c>
      <c r="C456" s="52" t="s">
        <v>47</v>
      </c>
      <c r="D456" t="s">
        <v>299</v>
      </c>
    </row>
    <row r="457" spans="1:4" x14ac:dyDescent="0.25">
      <c r="A457" s="52" t="s">
        <v>231</v>
      </c>
      <c r="B457" s="52" t="s">
        <v>29</v>
      </c>
      <c r="C457" s="52" t="s">
        <v>40</v>
      </c>
      <c r="D457" t="s">
        <v>299</v>
      </c>
    </row>
    <row r="458" spans="1:4" x14ac:dyDescent="0.25">
      <c r="A458" s="52" t="s">
        <v>231</v>
      </c>
      <c r="B458" s="52" t="s">
        <v>30</v>
      </c>
      <c r="C458" s="52" t="s">
        <v>54</v>
      </c>
      <c r="D458" t="s">
        <v>299</v>
      </c>
    </row>
    <row r="459" spans="1:4" x14ac:dyDescent="0.25">
      <c r="A459" s="52" t="s">
        <v>231</v>
      </c>
      <c r="B459" s="52" t="s">
        <v>31</v>
      </c>
      <c r="C459" s="52" t="s">
        <v>49</v>
      </c>
      <c r="D459" t="s">
        <v>299</v>
      </c>
    </row>
    <row r="460" spans="1:4" x14ac:dyDescent="0.25">
      <c r="A460" s="52" t="s">
        <v>231</v>
      </c>
      <c r="B460" s="52" t="s">
        <v>32</v>
      </c>
      <c r="C460" s="52" t="s">
        <v>89</v>
      </c>
      <c r="D460" t="s">
        <v>299</v>
      </c>
    </row>
    <row r="461" spans="1:4" x14ac:dyDescent="0.25">
      <c r="A461" s="52" t="s">
        <v>231</v>
      </c>
      <c r="B461" s="52" t="s">
        <v>36</v>
      </c>
      <c r="C461" s="52" t="s">
        <v>59</v>
      </c>
      <c r="D461" t="s">
        <v>300</v>
      </c>
    </row>
    <row r="462" spans="1:4" x14ac:dyDescent="0.25">
      <c r="A462" s="52" t="s">
        <v>232</v>
      </c>
      <c r="B462" s="52" t="s">
        <v>27</v>
      </c>
      <c r="C462" s="52" t="s">
        <v>45</v>
      </c>
      <c r="D462" t="s">
        <v>299</v>
      </c>
    </row>
    <row r="463" spans="1:4" x14ac:dyDescent="0.25">
      <c r="A463" s="52" t="s">
        <v>232</v>
      </c>
      <c r="B463" s="52" t="s">
        <v>28</v>
      </c>
      <c r="C463" s="52" t="s">
        <v>61</v>
      </c>
      <c r="D463" t="s">
        <v>299</v>
      </c>
    </row>
    <row r="464" spans="1:4" x14ac:dyDescent="0.25">
      <c r="A464" s="52" t="s">
        <v>232</v>
      </c>
      <c r="B464" s="52" t="s">
        <v>29</v>
      </c>
      <c r="C464" s="52" t="s">
        <v>53</v>
      </c>
      <c r="D464" t="s">
        <v>299</v>
      </c>
    </row>
    <row r="465" spans="1:4" x14ac:dyDescent="0.25">
      <c r="A465" s="52" t="s">
        <v>232</v>
      </c>
      <c r="B465" s="52" t="s">
        <v>30</v>
      </c>
      <c r="C465" s="52" t="s">
        <v>54</v>
      </c>
      <c r="D465" t="s">
        <v>299</v>
      </c>
    </row>
    <row r="466" spans="1:4" x14ac:dyDescent="0.25">
      <c r="A466" s="52" t="s">
        <v>232</v>
      </c>
      <c r="B466" s="52" t="s">
        <v>31</v>
      </c>
      <c r="C466" s="52" t="s">
        <v>89</v>
      </c>
      <c r="D466" t="s">
        <v>299</v>
      </c>
    </row>
    <row r="467" spans="1:4" x14ac:dyDescent="0.25">
      <c r="A467" s="52" t="s">
        <v>232</v>
      </c>
      <c r="B467" s="52" t="s">
        <v>36</v>
      </c>
      <c r="C467" s="52" t="s">
        <v>59</v>
      </c>
      <c r="D467" t="s">
        <v>300</v>
      </c>
    </row>
    <row r="468" spans="1:4" x14ac:dyDescent="0.25">
      <c r="A468" s="52" t="s">
        <v>233</v>
      </c>
      <c r="B468" s="52" t="s">
        <v>27</v>
      </c>
      <c r="C468" s="52" t="s">
        <v>61</v>
      </c>
      <c r="D468" t="s">
        <v>299</v>
      </c>
    </row>
    <row r="469" spans="1:4" x14ac:dyDescent="0.25">
      <c r="A469" s="52" t="s">
        <v>233</v>
      </c>
      <c r="B469" s="52" t="s">
        <v>28</v>
      </c>
      <c r="C469" s="52" t="s">
        <v>89</v>
      </c>
      <c r="D469" t="s">
        <v>299</v>
      </c>
    </row>
    <row r="470" spans="1:4" x14ac:dyDescent="0.25">
      <c r="A470" s="52" t="s">
        <v>233</v>
      </c>
      <c r="B470" s="52" t="s">
        <v>29</v>
      </c>
      <c r="C470" s="52" t="s">
        <v>59</v>
      </c>
      <c r="D470" t="s">
        <v>299</v>
      </c>
    </row>
    <row r="471" spans="1:4" x14ac:dyDescent="0.25">
      <c r="A471" s="52" t="s">
        <v>233</v>
      </c>
      <c r="B471" s="52" t="s">
        <v>30</v>
      </c>
      <c r="C471" s="52" t="s">
        <v>49</v>
      </c>
      <c r="D471" t="s">
        <v>299</v>
      </c>
    </row>
    <row r="472" spans="1:4" x14ac:dyDescent="0.25">
      <c r="A472" s="52" t="s">
        <v>233</v>
      </c>
      <c r="B472" s="52" t="s">
        <v>31</v>
      </c>
      <c r="C472" s="52" t="s">
        <v>70</v>
      </c>
      <c r="D472" t="s">
        <v>299</v>
      </c>
    </row>
    <row r="473" spans="1:4" x14ac:dyDescent="0.25">
      <c r="A473" s="52" t="s">
        <v>233</v>
      </c>
      <c r="B473" s="52" t="s">
        <v>36</v>
      </c>
      <c r="C473" s="52" t="s">
        <v>51</v>
      </c>
      <c r="D473" t="s">
        <v>300</v>
      </c>
    </row>
    <row r="474" spans="1:4" x14ac:dyDescent="0.25">
      <c r="A474" s="52" t="s">
        <v>235</v>
      </c>
      <c r="B474" s="52" t="s">
        <v>27</v>
      </c>
      <c r="C474" s="52" t="s">
        <v>52</v>
      </c>
      <c r="D474" t="s">
        <v>299</v>
      </c>
    </row>
    <row r="475" spans="1:4" x14ac:dyDescent="0.25">
      <c r="A475" s="52" t="s">
        <v>235</v>
      </c>
      <c r="B475" s="52" t="s">
        <v>28</v>
      </c>
      <c r="C475" s="52" t="s">
        <v>50</v>
      </c>
      <c r="D475" t="s">
        <v>299</v>
      </c>
    </row>
    <row r="476" spans="1:4" x14ac:dyDescent="0.25">
      <c r="A476" s="52" t="s">
        <v>235</v>
      </c>
      <c r="B476" s="52" t="s">
        <v>29</v>
      </c>
      <c r="C476" s="52" t="s">
        <v>49</v>
      </c>
      <c r="D476" t="s">
        <v>299</v>
      </c>
    </row>
    <row r="477" spans="1:4" x14ac:dyDescent="0.25">
      <c r="A477" s="52" t="s">
        <v>235</v>
      </c>
      <c r="B477" s="52" t="s">
        <v>30</v>
      </c>
      <c r="C477" s="52" t="s">
        <v>73</v>
      </c>
      <c r="D477" t="s">
        <v>299</v>
      </c>
    </row>
    <row r="478" spans="1:4" x14ac:dyDescent="0.25">
      <c r="A478" s="52" t="s">
        <v>237</v>
      </c>
      <c r="B478" s="52" t="s">
        <v>27</v>
      </c>
      <c r="C478" s="52" t="s">
        <v>70</v>
      </c>
      <c r="D478" t="s">
        <v>299</v>
      </c>
    </row>
    <row r="479" spans="1:4" x14ac:dyDescent="0.25">
      <c r="A479" s="52" t="s">
        <v>237</v>
      </c>
      <c r="B479" s="52" t="s">
        <v>28</v>
      </c>
      <c r="C479" s="52" t="s">
        <v>71</v>
      </c>
      <c r="D479" t="s">
        <v>299</v>
      </c>
    </row>
    <row r="480" spans="1:4" x14ac:dyDescent="0.25">
      <c r="A480" s="52" t="s">
        <v>237</v>
      </c>
      <c r="B480" s="52" t="s">
        <v>29</v>
      </c>
      <c r="C480" s="52" t="s">
        <v>45</v>
      </c>
      <c r="D480" t="s">
        <v>299</v>
      </c>
    </row>
    <row r="481" spans="1:4" x14ac:dyDescent="0.25">
      <c r="A481" s="52" t="s">
        <v>237</v>
      </c>
      <c r="B481" s="52" t="s">
        <v>30</v>
      </c>
      <c r="C481" s="52" t="s">
        <v>52</v>
      </c>
      <c r="D481" t="s">
        <v>299</v>
      </c>
    </row>
    <row r="482" spans="1:4" x14ac:dyDescent="0.25">
      <c r="A482" s="52" t="s">
        <v>237</v>
      </c>
      <c r="B482" s="52" t="s">
        <v>31</v>
      </c>
      <c r="C482" s="52" t="s">
        <v>58</v>
      </c>
      <c r="D482" t="s">
        <v>299</v>
      </c>
    </row>
    <row r="483" spans="1:4" x14ac:dyDescent="0.25">
      <c r="A483" s="52" t="s">
        <v>237</v>
      </c>
      <c r="B483" s="52" t="s">
        <v>36</v>
      </c>
      <c r="C483" s="52" t="s">
        <v>38</v>
      </c>
      <c r="D483" t="s">
        <v>300</v>
      </c>
    </row>
    <row r="484" spans="1:4" x14ac:dyDescent="0.25">
      <c r="A484" s="52" t="s">
        <v>239</v>
      </c>
      <c r="B484" s="52" t="s">
        <v>27</v>
      </c>
      <c r="C484" s="52" t="s">
        <v>40</v>
      </c>
      <c r="D484" t="s">
        <v>299</v>
      </c>
    </row>
    <row r="485" spans="1:4" x14ac:dyDescent="0.25">
      <c r="A485" s="52" t="s">
        <v>239</v>
      </c>
      <c r="B485" s="52" t="s">
        <v>28</v>
      </c>
      <c r="C485" s="52" t="s">
        <v>47</v>
      </c>
      <c r="D485" t="s">
        <v>299</v>
      </c>
    </row>
    <row r="486" spans="1:4" x14ac:dyDescent="0.25">
      <c r="A486" s="52" t="s">
        <v>239</v>
      </c>
      <c r="B486" s="52" t="s">
        <v>29</v>
      </c>
      <c r="C486" s="52" t="s">
        <v>51</v>
      </c>
      <c r="D486" t="s">
        <v>299</v>
      </c>
    </row>
    <row r="487" spans="1:4" x14ac:dyDescent="0.25">
      <c r="A487" s="52" t="s">
        <v>239</v>
      </c>
      <c r="B487" s="52" t="s">
        <v>36</v>
      </c>
      <c r="C487" s="52" t="s">
        <v>72</v>
      </c>
      <c r="D487" t="s">
        <v>300</v>
      </c>
    </row>
    <row r="488" spans="1:4" x14ac:dyDescent="0.25">
      <c r="A488" s="52" t="s">
        <v>240</v>
      </c>
      <c r="B488" s="52" t="s">
        <v>27</v>
      </c>
      <c r="C488" s="52" t="s">
        <v>59</v>
      </c>
      <c r="D488" t="s">
        <v>299</v>
      </c>
    </row>
    <row r="489" spans="1:4" x14ac:dyDescent="0.25">
      <c r="A489" s="52" t="s">
        <v>240</v>
      </c>
      <c r="B489" s="52" t="s">
        <v>28</v>
      </c>
      <c r="C489" s="52" t="s">
        <v>49</v>
      </c>
      <c r="D489" t="s">
        <v>299</v>
      </c>
    </row>
    <row r="490" spans="1:4" x14ac:dyDescent="0.25">
      <c r="A490" s="52" t="s">
        <v>240</v>
      </c>
      <c r="B490" s="52" t="s">
        <v>29</v>
      </c>
      <c r="C490" s="52" t="s">
        <v>57</v>
      </c>
      <c r="D490" t="s">
        <v>299</v>
      </c>
    </row>
    <row r="491" spans="1:4" x14ac:dyDescent="0.25">
      <c r="A491" s="52" t="s">
        <v>240</v>
      </c>
      <c r="B491" s="52" t="s">
        <v>30</v>
      </c>
      <c r="C491" s="52" t="s">
        <v>62</v>
      </c>
      <c r="D491" t="s">
        <v>299</v>
      </c>
    </row>
    <row r="492" spans="1:4" x14ac:dyDescent="0.25">
      <c r="A492" s="52" t="s">
        <v>240</v>
      </c>
      <c r="B492" s="52" t="s">
        <v>31</v>
      </c>
      <c r="C492" s="52" t="s">
        <v>71</v>
      </c>
      <c r="D492" t="s">
        <v>299</v>
      </c>
    </row>
    <row r="493" spans="1:4" x14ac:dyDescent="0.25">
      <c r="A493" s="52" t="s">
        <v>240</v>
      </c>
      <c r="B493" s="52" t="s">
        <v>32</v>
      </c>
      <c r="C493" s="52" t="s">
        <v>48</v>
      </c>
      <c r="D493" t="s">
        <v>299</v>
      </c>
    </row>
    <row r="494" spans="1:4" x14ac:dyDescent="0.25">
      <c r="A494" s="52" t="s">
        <v>240</v>
      </c>
      <c r="B494" s="52" t="s">
        <v>33</v>
      </c>
      <c r="C494" s="52" t="s">
        <v>75</v>
      </c>
      <c r="D494" t="s">
        <v>299</v>
      </c>
    </row>
    <row r="495" spans="1:4" x14ac:dyDescent="0.25">
      <c r="A495" s="52" t="s">
        <v>240</v>
      </c>
      <c r="B495" s="52" t="s">
        <v>36</v>
      </c>
      <c r="C495" s="52" t="s">
        <v>61</v>
      </c>
      <c r="D495" t="s">
        <v>300</v>
      </c>
    </row>
    <row r="496" spans="1:4" x14ac:dyDescent="0.25">
      <c r="A496" s="52" t="s">
        <v>242</v>
      </c>
      <c r="B496" s="52" t="s">
        <v>27</v>
      </c>
      <c r="C496" s="52" t="s">
        <v>45</v>
      </c>
      <c r="D496" t="s">
        <v>299</v>
      </c>
    </row>
    <row r="497" spans="1:4" x14ac:dyDescent="0.25">
      <c r="A497" s="52" t="s">
        <v>242</v>
      </c>
      <c r="B497" s="52" t="s">
        <v>28</v>
      </c>
      <c r="C497" s="52" t="s">
        <v>41</v>
      </c>
      <c r="D497" t="s">
        <v>299</v>
      </c>
    </row>
    <row r="498" spans="1:4" x14ac:dyDescent="0.25">
      <c r="A498" s="52" t="s">
        <v>242</v>
      </c>
      <c r="B498" s="52" t="s">
        <v>29</v>
      </c>
      <c r="C498" s="52" t="s">
        <v>65</v>
      </c>
      <c r="D498" t="s">
        <v>299</v>
      </c>
    </row>
    <row r="499" spans="1:4" x14ac:dyDescent="0.25">
      <c r="A499" s="52" t="s">
        <v>242</v>
      </c>
      <c r="B499" s="52" t="s">
        <v>36</v>
      </c>
      <c r="C499" s="52" t="s">
        <v>56</v>
      </c>
      <c r="D499" t="s">
        <v>300</v>
      </c>
    </row>
    <row r="500" spans="1:4" x14ac:dyDescent="0.25">
      <c r="A500" s="52" t="s">
        <v>244</v>
      </c>
      <c r="B500" s="52" t="s">
        <v>27</v>
      </c>
      <c r="C500" s="52" t="s">
        <v>47</v>
      </c>
      <c r="D500" t="s">
        <v>299</v>
      </c>
    </row>
    <row r="501" spans="1:4" x14ac:dyDescent="0.25">
      <c r="A501" s="52" t="s">
        <v>244</v>
      </c>
      <c r="B501" s="52" t="s">
        <v>28</v>
      </c>
      <c r="C501" s="52" t="s">
        <v>39</v>
      </c>
      <c r="D501" t="s">
        <v>299</v>
      </c>
    </row>
    <row r="502" spans="1:4" x14ac:dyDescent="0.25">
      <c r="A502" s="52" t="s">
        <v>244</v>
      </c>
      <c r="B502" s="52" t="s">
        <v>29</v>
      </c>
      <c r="C502" s="52" t="s">
        <v>50</v>
      </c>
      <c r="D502" t="s">
        <v>299</v>
      </c>
    </row>
    <row r="503" spans="1:4" x14ac:dyDescent="0.25">
      <c r="A503" s="52" t="s">
        <v>244</v>
      </c>
      <c r="B503" s="52" t="s">
        <v>30</v>
      </c>
      <c r="C503" s="52" t="s">
        <v>75</v>
      </c>
      <c r="D503" t="s">
        <v>299</v>
      </c>
    </row>
    <row r="504" spans="1:4" x14ac:dyDescent="0.25">
      <c r="A504" s="52" t="s">
        <v>245</v>
      </c>
      <c r="B504" s="52" t="s">
        <v>27</v>
      </c>
      <c r="C504" s="52" t="s">
        <v>40</v>
      </c>
      <c r="D504" t="s">
        <v>299</v>
      </c>
    </row>
    <row r="505" spans="1:4" x14ac:dyDescent="0.25">
      <c r="A505" s="52" t="s">
        <v>245</v>
      </c>
      <c r="B505" s="52" t="s">
        <v>28</v>
      </c>
      <c r="C505" s="52" t="s">
        <v>72</v>
      </c>
      <c r="D505" t="s">
        <v>299</v>
      </c>
    </row>
    <row r="506" spans="1:4" x14ac:dyDescent="0.25">
      <c r="A506" s="52" t="s">
        <v>245</v>
      </c>
      <c r="B506" s="52" t="s">
        <v>29</v>
      </c>
      <c r="C506" s="52" t="s">
        <v>46</v>
      </c>
      <c r="D506" t="s">
        <v>299</v>
      </c>
    </row>
    <row r="507" spans="1:4" x14ac:dyDescent="0.25">
      <c r="A507" s="52" t="s">
        <v>245</v>
      </c>
      <c r="B507" s="52" t="s">
        <v>30</v>
      </c>
      <c r="C507" s="52" t="s">
        <v>38</v>
      </c>
      <c r="D507" t="s">
        <v>299</v>
      </c>
    </row>
    <row r="508" spans="1:4" x14ac:dyDescent="0.25">
      <c r="A508" s="52" t="s">
        <v>245</v>
      </c>
      <c r="B508" s="52" t="s">
        <v>36</v>
      </c>
      <c r="C508" s="52" t="s">
        <v>65</v>
      </c>
      <c r="D508" t="s">
        <v>300</v>
      </c>
    </row>
    <row r="509" spans="1:4" x14ac:dyDescent="0.25">
      <c r="A509" s="52" t="s">
        <v>247</v>
      </c>
      <c r="B509" s="52" t="s">
        <v>27</v>
      </c>
      <c r="C509" s="52" t="s">
        <v>41</v>
      </c>
      <c r="D509" t="s">
        <v>299</v>
      </c>
    </row>
    <row r="510" spans="1:4" x14ac:dyDescent="0.25">
      <c r="A510" s="52" t="s">
        <v>247</v>
      </c>
      <c r="B510" s="52" t="s">
        <v>28</v>
      </c>
      <c r="C510" s="52" t="s">
        <v>51</v>
      </c>
      <c r="D510" t="s">
        <v>299</v>
      </c>
    </row>
    <row r="511" spans="1:4" x14ac:dyDescent="0.25">
      <c r="A511" s="52" t="s">
        <v>247</v>
      </c>
      <c r="B511" s="52" t="s">
        <v>29</v>
      </c>
      <c r="C511" s="52" t="s">
        <v>39</v>
      </c>
      <c r="D511" t="s">
        <v>299</v>
      </c>
    </row>
    <row r="512" spans="1:4" x14ac:dyDescent="0.25">
      <c r="A512" s="52" t="s">
        <v>247</v>
      </c>
      <c r="B512" s="52" t="s">
        <v>30</v>
      </c>
      <c r="C512" s="52" t="s">
        <v>54</v>
      </c>
      <c r="D512" t="s">
        <v>299</v>
      </c>
    </row>
    <row r="513" spans="1:4" x14ac:dyDescent="0.25">
      <c r="A513" s="52" t="s">
        <v>247</v>
      </c>
      <c r="B513" s="52" t="s">
        <v>31</v>
      </c>
      <c r="C513" s="52" t="s">
        <v>77</v>
      </c>
      <c r="D513" t="s">
        <v>299</v>
      </c>
    </row>
    <row r="514" spans="1:4" x14ac:dyDescent="0.25">
      <c r="A514" s="52" t="s">
        <v>247</v>
      </c>
      <c r="B514" s="52" t="s">
        <v>32</v>
      </c>
      <c r="C514" s="52" t="s">
        <v>91</v>
      </c>
      <c r="D514" t="s">
        <v>299</v>
      </c>
    </row>
    <row r="515" spans="1:4" x14ac:dyDescent="0.25">
      <c r="A515" s="52" t="s">
        <v>247</v>
      </c>
      <c r="B515" s="52" t="s">
        <v>33</v>
      </c>
      <c r="C515" s="52" t="s">
        <v>68</v>
      </c>
      <c r="D515" t="s">
        <v>299</v>
      </c>
    </row>
    <row r="516" spans="1:4" x14ac:dyDescent="0.25">
      <c r="A516" s="52" t="s">
        <v>247</v>
      </c>
      <c r="B516" s="52" t="s">
        <v>34</v>
      </c>
      <c r="C516" s="52" t="s">
        <v>58</v>
      </c>
      <c r="D516" t="s">
        <v>299</v>
      </c>
    </row>
    <row r="517" spans="1:4" x14ac:dyDescent="0.25">
      <c r="A517" s="52" t="s">
        <v>247</v>
      </c>
      <c r="B517" s="52" t="s">
        <v>36</v>
      </c>
      <c r="C517" s="52" t="s">
        <v>44</v>
      </c>
      <c r="D517" t="s">
        <v>300</v>
      </c>
    </row>
    <row r="518" spans="1:4" x14ac:dyDescent="0.25">
      <c r="A518" s="52" t="s">
        <v>249</v>
      </c>
      <c r="B518" s="52" t="s">
        <v>27</v>
      </c>
      <c r="C518" s="52" t="s">
        <v>59</v>
      </c>
      <c r="D518" t="s">
        <v>299</v>
      </c>
    </row>
    <row r="519" spans="1:4" x14ac:dyDescent="0.25">
      <c r="A519" s="52" t="s">
        <v>249</v>
      </c>
      <c r="B519" s="52" t="s">
        <v>28</v>
      </c>
      <c r="C519" s="52" t="s">
        <v>50</v>
      </c>
      <c r="D519" t="s">
        <v>299</v>
      </c>
    </row>
    <row r="520" spans="1:4" x14ac:dyDescent="0.25">
      <c r="A520" s="52" t="s">
        <v>249</v>
      </c>
      <c r="B520" s="52" t="s">
        <v>29</v>
      </c>
      <c r="C520" s="52" t="s">
        <v>38</v>
      </c>
      <c r="D520" t="s">
        <v>299</v>
      </c>
    </row>
    <row r="521" spans="1:4" x14ac:dyDescent="0.25">
      <c r="A521" s="52" t="s">
        <v>249</v>
      </c>
      <c r="B521" s="52" t="s">
        <v>30</v>
      </c>
      <c r="C521" s="52" t="s">
        <v>49</v>
      </c>
      <c r="D521" t="s">
        <v>299</v>
      </c>
    </row>
    <row r="522" spans="1:4" x14ac:dyDescent="0.25">
      <c r="A522" s="52" t="s">
        <v>249</v>
      </c>
      <c r="B522" s="52" t="s">
        <v>31</v>
      </c>
      <c r="C522" s="52" t="s">
        <v>46</v>
      </c>
      <c r="D522" t="s">
        <v>299</v>
      </c>
    </row>
    <row r="523" spans="1:4" x14ac:dyDescent="0.25">
      <c r="A523" s="52" t="s">
        <v>249</v>
      </c>
      <c r="B523" s="52" t="s">
        <v>36</v>
      </c>
      <c r="C523" s="52" t="s">
        <v>44</v>
      </c>
      <c r="D523" t="s">
        <v>300</v>
      </c>
    </row>
    <row r="524" spans="1:4" x14ac:dyDescent="0.25">
      <c r="A524" s="52" t="s">
        <v>251</v>
      </c>
      <c r="B524" s="52" t="s">
        <v>27</v>
      </c>
      <c r="C524" s="52" t="s">
        <v>52</v>
      </c>
      <c r="D524" t="s">
        <v>299</v>
      </c>
    </row>
    <row r="525" spans="1:4" x14ac:dyDescent="0.25">
      <c r="A525" s="52" t="s">
        <v>251</v>
      </c>
      <c r="B525" s="52" t="s">
        <v>28</v>
      </c>
      <c r="C525" s="52" t="s">
        <v>40</v>
      </c>
      <c r="D525" t="s">
        <v>299</v>
      </c>
    </row>
    <row r="526" spans="1:4" x14ac:dyDescent="0.25">
      <c r="A526" s="52" t="s">
        <v>251</v>
      </c>
      <c r="B526" s="52" t="s">
        <v>29</v>
      </c>
      <c r="C526" s="52" t="s">
        <v>51</v>
      </c>
      <c r="D526" t="s">
        <v>299</v>
      </c>
    </row>
    <row r="527" spans="1:4" x14ac:dyDescent="0.25">
      <c r="A527" s="52" t="s">
        <v>251</v>
      </c>
      <c r="B527" s="52" t="s">
        <v>30</v>
      </c>
      <c r="C527" s="52" t="s">
        <v>62</v>
      </c>
      <c r="D527" t="s">
        <v>299</v>
      </c>
    </row>
    <row r="528" spans="1:4" x14ac:dyDescent="0.25">
      <c r="A528" s="52" t="s">
        <v>251</v>
      </c>
      <c r="B528" s="52" t="s">
        <v>31</v>
      </c>
      <c r="C528" s="52" t="s">
        <v>76</v>
      </c>
      <c r="D528" t="s">
        <v>299</v>
      </c>
    </row>
    <row r="529" spans="1:4" x14ac:dyDescent="0.25">
      <c r="A529" s="52" t="s">
        <v>251</v>
      </c>
      <c r="B529" s="52" t="s">
        <v>36</v>
      </c>
      <c r="C529" s="52" t="s">
        <v>45</v>
      </c>
      <c r="D529" t="s">
        <v>300</v>
      </c>
    </row>
    <row r="530" spans="1:4" x14ac:dyDescent="0.25">
      <c r="A530" s="52" t="s">
        <v>253</v>
      </c>
      <c r="B530" s="52" t="s">
        <v>27</v>
      </c>
      <c r="C530" s="52" t="s">
        <v>38</v>
      </c>
      <c r="D530" t="s">
        <v>299</v>
      </c>
    </row>
    <row r="531" spans="1:4" x14ac:dyDescent="0.25">
      <c r="A531" s="52" t="s">
        <v>253</v>
      </c>
      <c r="B531" s="52" t="s">
        <v>28</v>
      </c>
      <c r="C531" s="52" t="s">
        <v>62</v>
      </c>
      <c r="D531" t="s">
        <v>299</v>
      </c>
    </row>
    <row r="532" spans="1:4" x14ac:dyDescent="0.25">
      <c r="A532" s="52" t="s">
        <v>253</v>
      </c>
      <c r="B532" s="52" t="s">
        <v>29</v>
      </c>
      <c r="C532" s="52" t="s">
        <v>47</v>
      </c>
      <c r="D532" t="s">
        <v>299</v>
      </c>
    </row>
    <row r="533" spans="1:4" x14ac:dyDescent="0.25">
      <c r="A533" s="52" t="s">
        <v>253</v>
      </c>
      <c r="B533" s="52" t="s">
        <v>30</v>
      </c>
      <c r="C533" s="52" t="s">
        <v>42</v>
      </c>
      <c r="D533" t="s">
        <v>299</v>
      </c>
    </row>
    <row r="534" spans="1:4" x14ac:dyDescent="0.25">
      <c r="A534" s="52" t="s">
        <v>253</v>
      </c>
      <c r="B534" s="52" t="s">
        <v>31</v>
      </c>
      <c r="C534" s="52" t="s">
        <v>72</v>
      </c>
      <c r="D534" t="s">
        <v>299</v>
      </c>
    </row>
    <row r="535" spans="1:4" x14ac:dyDescent="0.25">
      <c r="A535" s="52" t="s">
        <v>253</v>
      </c>
      <c r="B535" s="52" t="s">
        <v>32</v>
      </c>
      <c r="C535" s="52" t="s">
        <v>48</v>
      </c>
      <c r="D535" t="s">
        <v>299</v>
      </c>
    </row>
    <row r="536" spans="1:4" x14ac:dyDescent="0.25">
      <c r="A536" s="52" t="s">
        <v>253</v>
      </c>
      <c r="B536" s="52" t="s">
        <v>36</v>
      </c>
      <c r="C536" s="52" t="s">
        <v>59</v>
      </c>
      <c r="D536" t="s">
        <v>300</v>
      </c>
    </row>
    <row r="537" spans="1:4" x14ac:dyDescent="0.25">
      <c r="A537" s="52" t="s">
        <v>255</v>
      </c>
      <c r="B537" s="52" t="s">
        <v>27</v>
      </c>
      <c r="C537" s="52" t="s">
        <v>39</v>
      </c>
      <c r="D537" t="s">
        <v>299</v>
      </c>
    </row>
    <row r="538" spans="1:4" x14ac:dyDescent="0.25">
      <c r="A538" s="52" t="s">
        <v>255</v>
      </c>
      <c r="B538" s="52" t="s">
        <v>28</v>
      </c>
      <c r="C538" s="52" t="s">
        <v>72</v>
      </c>
      <c r="D538" t="s">
        <v>299</v>
      </c>
    </row>
    <row r="539" spans="1:4" x14ac:dyDescent="0.25">
      <c r="A539" s="52" t="s">
        <v>255</v>
      </c>
      <c r="B539" s="52" t="s">
        <v>29</v>
      </c>
      <c r="C539" s="52" t="s">
        <v>41</v>
      </c>
      <c r="D539" t="s">
        <v>299</v>
      </c>
    </row>
    <row r="540" spans="1:4" x14ac:dyDescent="0.25">
      <c r="A540" s="52" t="s">
        <v>255</v>
      </c>
      <c r="B540" s="52" t="s">
        <v>30</v>
      </c>
      <c r="C540" s="52" t="s">
        <v>54</v>
      </c>
      <c r="D540" t="s">
        <v>299</v>
      </c>
    </row>
    <row r="541" spans="1:4" x14ac:dyDescent="0.25">
      <c r="A541" s="52" t="s">
        <v>255</v>
      </c>
      <c r="B541" s="52" t="s">
        <v>31</v>
      </c>
      <c r="C541" s="52" t="s">
        <v>47</v>
      </c>
      <c r="D541" t="s">
        <v>299</v>
      </c>
    </row>
    <row r="542" spans="1:4" x14ac:dyDescent="0.25">
      <c r="A542" s="52" t="s">
        <v>255</v>
      </c>
      <c r="B542" s="52" t="s">
        <v>32</v>
      </c>
      <c r="C542" s="52" t="s">
        <v>68</v>
      </c>
      <c r="D542" t="s">
        <v>299</v>
      </c>
    </row>
    <row r="543" spans="1:4" x14ac:dyDescent="0.25">
      <c r="A543" s="52" t="s">
        <v>255</v>
      </c>
      <c r="B543" s="52" t="s">
        <v>33</v>
      </c>
      <c r="C543" s="52" t="s">
        <v>48</v>
      </c>
      <c r="D543" t="s">
        <v>299</v>
      </c>
    </row>
    <row r="544" spans="1:4" x14ac:dyDescent="0.25">
      <c r="A544" s="52" t="s">
        <v>255</v>
      </c>
      <c r="B544" s="52" t="s">
        <v>34</v>
      </c>
      <c r="C544" s="52" t="s">
        <v>69</v>
      </c>
      <c r="D544" t="s">
        <v>299</v>
      </c>
    </row>
    <row r="545" spans="1:4" x14ac:dyDescent="0.25">
      <c r="A545" s="52" t="s">
        <v>255</v>
      </c>
      <c r="B545" s="52" t="s">
        <v>36</v>
      </c>
      <c r="C545" s="52" t="s">
        <v>45</v>
      </c>
      <c r="D545" t="s">
        <v>300</v>
      </c>
    </row>
    <row r="546" spans="1:4" x14ac:dyDescent="0.25">
      <c r="A546" s="52" t="s">
        <v>257</v>
      </c>
      <c r="B546" s="52" t="s">
        <v>27</v>
      </c>
      <c r="C546" s="52" t="s">
        <v>61</v>
      </c>
      <c r="D546" t="s">
        <v>299</v>
      </c>
    </row>
    <row r="547" spans="1:4" x14ac:dyDescent="0.25">
      <c r="A547" s="52" t="s">
        <v>257</v>
      </c>
      <c r="B547" s="52" t="s">
        <v>28</v>
      </c>
      <c r="C547" s="52" t="s">
        <v>40</v>
      </c>
      <c r="D547" t="s">
        <v>299</v>
      </c>
    </row>
    <row r="548" spans="1:4" x14ac:dyDescent="0.25">
      <c r="A548" s="52" t="s">
        <v>257</v>
      </c>
      <c r="B548" s="52" t="s">
        <v>29</v>
      </c>
      <c r="C548" s="52" t="s">
        <v>62</v>
      </c>
      <c r="D548" t="s">
        <v>299</v>
      </c>
    </row>
    <row r="549" spans="1:4" x14ac:dyDescent="0.25">
      <c r="A549" s="52" t="s">
        <v>257</v>
      </c>
      <c r="B549" s="52" t="s">
        <v>30</v>
      </c>
      <c r="C549" s="52" t="s">
        <v>65</v>
      </c>
      <c r="D549" t="s">
        <v>299</v>
      </c>
    </row>
    <row r="550" spans="1:4" x14ac:dyDescent="0.25">
      <c r="A550" s="52" t="s">
        <v>257</v>
      </c>
      <c r="B550" s="52" t="s">
        <v>31</v>
      </c>
      <c r="C550" s="52" t="s">
        <v>89</v>
      </c>
      <c r="D550" t="s">
        <v>299</v>
      </c>
    </row>
    <row r="551" spans="1:4" x14ac:dyDescent="0.25">
      <c r="A551" s="52" t="s">
        <v>257</v>
      </c>
      <c r="B551" s="52" t="s">
        <v>36</v>
      </c>
      <c r="C551" s="52" t="s">
        <v>39</v>
      </c>
      <c r="D551" t="s">
        <v>300</v>
      </c>
    </row>
    <row r="552" spans="1:4" x14ac:dyDescent="0.25">
      <c r="A552" s="52" t="s">
        <v>259</v>
      </c>
      <c r="B552" s="52" t="s">
        <v>27</v>
      </c>
      <c r="C552" s="52" t="s">
        <v>51</v>
      </c>
      <c r="D552" t="s">
        <v>299</v>
      </c>
    </row>
    <row r="553" spans="1:4" x14ac:dyDescent="0.25">
      <c r="A553" s="52" t="s">
        <v>259</v>
      </c>
      <c r="B553" s="52" t="s">
        <v>28</v>
      </c>
      <c r="C553" s="52" t="s">
        <v>61</v>
      </c>
      <c r="D553" t="s">
        <v>299</v>
      </c>
    </row>
    <row r="554" spans="1:4" x14ac:dyDescent="0.25">
      <c r="A554" s="52" t="s">
        <v>259</v>
      </c>
      <c r="B554" s="52" t="s">
        <v>29</v>
      </c>
      <c r="C554" s="52" t="s">
        <v>53</v>
      </c>
      <c r="D554" t="s">
        <v>299</v>
      </c>
    </row>
    <row r="555" spans="1:4" x14ac:dyDescent="0.25">
      <c r="A555" s="52" t="s">
        <v>259</v>
      </c>
      <c r="B555" s="52" t="s">
        <v>30</v>
      </c>
      <c r="C555" s="52" t="s">
        <v>65</v>
      </c>
      <c r="D555" t="s">
        <v>299</v>
      </c>
    </row>
    <row r="556" spans="1:4" x14ac:dyDescent="0.25">
      <c r="A556" s="52" t="s">
        <v>259</v>
      </c>
      <c r="B556" s="52" t="s">
        <v>36</v>
      </c>
      <c r="C556" s="52" t="s">
        <v>40</v>
      </c>
      <c r="D556" t="s">
        <v>300</v>
      </c>
    </row>
    <row r="557" spans="1:4" x14ac:dyDescent="0.25">
      <c r="A557" s="52" t="s">
        <v>260</v>
      </c>
      <c r="B557" s="52" t="s">
        <v>27</v>
      </c>
      <c r="C557" s="52" t="s">
        <v>45</v>
      </c>
      <c r="D557" t="s">
        <v>299</v>
      </c>
    </row>
    <row r="558" spans="1:4" x14ac:dyDescent="0.25">
      <c r="A558" s="52" t="s">
        <v>260</v>
      </c>
      <c r="B558" s="52" t="s">
        <v>28</v>
      </c>
      <c r="C558" s="52" t="s">
        <v>59</v>
      </c>
      <c r="D558" t="s">
        <v>299</v>
      </c>
    </row>
    <row r="559" spans="1:4" x14ac:dyDescent="0.25">
      <c r="A559" s="52" t="s">
        <v>260</v>
      </c>
      <c r="B559" s="52" t="s">
        <v>29</v>
      </c>
      <c r="C559" s="52" t="s">
        <v>49</v>
      </c>
      <c r="D559" t="s">
        <v>299</v>
      </c>
    </row>
    <row r="560" spans="1:4" x14ac:dyDescent="0.25">
      <c r="A560" s="52" t="s">
        <v>260</v>
      </c>
      <c r="B560" s="52" t="s">
        <v>36</v>
      </c>
      <c r="C560" s="52" t="s">
        <v>52</v>
      </c>
      <c r="D560" t="s">
        <v>300</v>
      </c>
    </row>
    <row r="561" spans="1:4" x14ac:dyDescent="0.25">
      <c r="A561" s="52" t="s">
        <v>261</v>
      </c>
      <c r="B561" s="52" t="s">
        <v>27</v>
      </c>
      <c r="C561" s="52" t="s">
        <v>67</v>
      </c>
      <c r="D561" t="s">
        <v>299</v>
      </c>
    </row>
    <row r="562" spans="1:4" x14ac:dyDescent="0.25">
      <c r="A562" s="52" t="s">
        <v>261</v>
      </c>
      <c r="B562" s="52" t="s">
        <v>28</v>
      </c>
      <c r="C562" s="52" t="s">
        <v>50</v>
      </c>
      <c r="D562" t="s">
        <v>299</v>
      </c>
    </row>
    <row r="563" spans="1:4" x14ac:dyDescent="0.25">
      <c r="A563" s="52" t="s">
        <v>261</v>
      </c>
      <c r="B563" s="52" t="s">
        <v>29</v>
      </c>
      <c r="C563" s="52" t="s">
        <v>58</v>
      </c>
      <c r="D563" t="s">
        <v>299</v>
      </c>
    </row>
    <row r="564" spans="1:4" x14ac:dyDescent="0.25">
      <c r="A564" s="52" t="s">
        <v>261</v>
      </c>
      <c r="B564" s="52" t="s">
        <v>30</v>
      </c>
      <c r="C564" s="52" t="s">
        <v>44</v>
      </c>
      <c r="D564" t="s">
        <v>299</v>
      </c>
    </row>
    <row r="565" spans="1:4" x14ac:dyDescent="0.25">
      <c r="A565" s="52" t="s">
        <v>261</v>
      </c>
      <c r="B565" s="52" t="s">
        <v>36</v>
      </c>
      <c r="C565" s="52" t="s">
        <v>88</v>
      </c>
      <c r="D565" t="s">
        <v>300</v>
      </c>
    </row>
    <row r="566" spans="1:4" x14ac:dyDescent="0.25">
      <c r="A566" s="52" t="s">
        <v>263</v>
      </c>
      <c r="B566" s="52" t="s">
        <v>27</v>
      </c>
      <c r="C566" s="52" t="s">
        <v>61</v>
      </c>
      <c r="D566" t="s">
        <v>299</v>
      </c>
    </row>
    <row r="567" spans="1:4" x14ac:dyDescent="0.25">
      <c r="A567" s="52" t="s">
        <v>263</v>
      </c>
      <c r="B567" s="52" t="s">
        <v>28</v>
      </c>
      <c r="C567" s="52" t="s">
        <v>72</v>
      </c>
      <c r="D567" t="s">
        <v>299</v>
      </c>
    </row>
    <row r="568" spans="1:4" x14ac:dyDescent="0.25">
      <c r="A568" s="52" t="s">
        <v>263</v>
      </c>
      <c r="B568" s="52" t="s">
        <v>29</v>
      </c>
      <c r="C568" s="52" t="s">
        <v>54</v>
      </c>
      <c r="D568" t="s">
        <v>299</v>
      </c>
    </row>
    <row r="569" spans="1:4" x14ac:dyDescent="0.25">
      <c r="A569" s="52" t="s">
        <v>263</v>
      </c>
      <c r="B569" s="52" t="s">
        <v>30</v>
      </c>
      <c r="C569" s="52" t="s">
        <v>41</v>
      </c>
      <c r="D569" t="s">
        <v>299</v>
      </c>
    </row>
    <row r="570" spans="1:4" x14ac:dyDescent="0.25">
      <c r="A570" s="52" t="s">
        <v>263</v>
      </c>
      <c r="B570" s="52" t="s">
        <v>31</v>
      </c>
      <c r="C570" s="52" t="s">
        <v>60</v>
      </c>
      <c r="D570" t="s">
        <v>299</v>
      </c>
    </row>
    <row r="571" spans="1:4" x14ac:dyDescent="0.25">
      <c r="A571" s="52" t="s">
        <v>263</v>
      </c>
      <c r="B571" s="52" t="s">
        <v>36</v>
      </c>
      <c r="C571" s="52" t="s">
        <v>47</v>
      </c>
      <c r="D571" t="s">
        <v>300</v>
      </c>
    </row>
    <row r="572" spans="1:4" x14ac:dyDescent="0.25">
      <c r="A572" s="52" t="s">
        <v>265</v>
      </c>
      <c r="B572" s="52" t="s">
        <v>27</v>
      </c>
      <c r="C572" s="52" t="s">
        <v>61</v>
      </c>
      <c r="D572" t="s">
        <v>299</v>
      </c>
    </row>
    <row r="573" spans="1:4" x14ac:dyDescent="0.25">
      <c r="A573" s="52" t="s">
        <v>265</v>
      </c>
      <c r="B573" s="52" t="s">
        <v>28</v>
      </c>
      <c r="C573" s="52" t="s">
        <v>52</v>
      </c>
      <c r="D573" t="s">
        <v>299</v>
      </c>
    </row>
    <row r="574" spans="1:4" x14ac:dyDescent="0.25">
      <c r="A574" s="52" t="s">
        <v>265</v>
      </c>
      <c r="B574" s="52" t="s">
        <v>29</v>
      </c>
      <c r="C574" s="52" t="s">
        <v>60</v>
      </c>
      <c r="D574" t="s">
        <v>299</v>
      </c>
    </row>
    <row r="575" spans="1:4" x14ac:dyDescent="0.25">
      <c r="A575" s="52" t="s">
        <v>265</v>
      </c>
      <c r="B575" s="52" t="s">
        <v>36</v>
      </c>
      <c r="C575" s="52" t="s">
        <v>39</v>
      </c>
      <c r="D575" t="s">
        <v>300</v>
      </c>
    </row>
    <row r="576" spans="1:4" x14ac:dyDescent="0.25">
      <c r="A576" s="52" t="s">
        <v>267</v>
      </c>
      <c r="B576" s="52" t="s">
        <v>27</v>
      </c>
      <c r="C576" s="52" t="s">
        <v>67</v>
      </c>
      <c r="D576" t="s">
        <v>299</v>
      </c>
    </row>
    <row r="577" spans="1:4" x14ac:dyDescent="0.25">
      <c r="A577" s="52" t="s">
        <v>267</v>
      </c>
      <c r="B577" s="52" t="s">
        <v>28</v>
      </c>
      <c r="C577" s="52" t="s">
        <v>60</v>
      </c>
      <c r="D577" t="s">
        <v>299</v>
      </c>
    </row>
    <row r="578" spans="1:4" x14ac:dyDescent="0.25">
      <c r="A578" s="52" t="s">
        <v>267</v>
      </c>
      <c r="B578" s="52" t="s">
        <v>29</v>
      </c>
      <c r="C578" s="52" t="s">
        <v>90</v>
      </c>
      <c r="D578" t="s">
        <v>299</v>
      </c>
    </row>
    <row r="579" spans="1:4" x14ac:dyDescent="0.25">
      <c r="A579" s="52" t="s">
        <v>267</v>
      </c>
      <c r="B579" s="52" t="s">
        <v>30</v>
      </c>
      <c r="C579" s="52" t="s">
        <v>43</v>
      </c>
      <c r="D579" t="s">
        <v>299</v>
      </c>
    </row>
    <row r="580" spans="1:4" x14ac:dyDescent="0.25">
      <c r="A580" s="52" t="s">
        <v>267</v>
      </c>
      <c r="B580" s="52" t="s">
        <v>31</v>
      </c>
      <c r="C580" s="52" t="s">
        <v>42</v>
      </c>
      <c r="D580" t="s">
        <v>299</v>
      </c>
    </row>
    <row r="581" spans="1:4" x14ac:dyDescent="0.25">
      <c r="A581" s="52" t="s">
        <v>267</v>
      </c>
      <c r="B581" s="52" t="s">
        <v>32</v>
      </c>
      <c r="C581" s="52" t="s">
        <v>88</v>
      </c>
      <c r="D581" t="s">
        <v>299</v>
      </c>
    </row>
    <row r="582" spans="1:4" x14ac:dyDescent="0.25">
      <c r="A582" s="52" t="s">
        <v>267</v>
      </c>
      <c r="B582" s="52" t="s">
        <v>33</v>
      </c>
      <c r="C582" s="52" t="s">
        <v>89</v>
      </c>
      <c r="D582" t="s">
        <v>299</v>
      </c>
    </row>
    <row r="583" spans="1:4" x14ac:dyDescent="0.25">
      <c r="A583" s="52" t="s">
        <v>267</v>
      </c>
      <c r="B583" s="52" t="s">
        <v>34</v>
      </c>
      <c r="C583" s="52" t="s">
        <v>55</v>
      </c>
      <c r="D583" t="s">
        <v>299</v>
      </c>
    </row>
    <row r="584" spans="1:4" x14ac:dyDescent="0.25">
      <c r="A584" s="52" t="s">
        <v>267</v>
      </c>
      <c r="B584" s="52" t="s">
        <v>35</v>
      </c>
      <c r="C584" s="52" t="s">
        <v>52</v>
      </c>
      <c r="D584" t="s">
        <v>299</v>
      </c>
    </row>
    <row r="585" spans="1:4" x14ac:dyDescent="0.25">
      <c r="A585" s="52" t="s">
        <v>267</v>
      </c>
      <c r="B585" s="52" t="s">
        <v>36</v>
      </c>
      <c r="C585" s="52" t="s">
        <v>59</v>
      </c>
      <c r="D585" t="s">
        <v>300</v>
      </c>
    </row>
    <row r="586" spans="1:4" x14ac:dyDescent="0.25">
      <c r="A586" s="52" t="s">
        <v>269</v>
      </c>
      <c r="B586" s="52" t="s">
        <v>27</v>
      </c>
      <c r="C586" s="52" t="s">
        <v>60</v>
      </c>
      <c r="D586" t="s">
        <v>299</v>
      </c>
    </row>
    <row r="587" spans="1:4" x14ac:dyDescent="0.25">
      <c r="A587" s="52" t="s">
        <v>269</v>
      </c>
      <c r="B587" s="52" t="s">
        <v>28</v>
      </c>
      <c r="C587" s="52" t="s">
        <v>41</v>
      </c>
      <c r="D587" t="s">
        <v>299</v>
      </c>
    </row>
    <row r="588" spans="1:4" x14ac:dyDescent="0.25">
      <c r="A588" s="52" t="s">
        <v>269</v>
      </c>
      <c r="B588" s="52" t="s">
        <v>29</v>
      </c>
      <c r="C588" s="52" t="s">
        <v>72</v>
      </c>
      <c r="D588" t="s">
        <v>299</v>
      </c>
    </row>
    <row r="589" spans="1:4" x14ac:dyDescent="0.25">
      <c r="A589" s="52" t="s">
        <v>269</v>
      </c>
      <c r="B589" s="52" t="s">
        <v>30</v>
      </c>
      <c r="C589" s="52" t="s">
        <v>62</v>
      </c>
      <c r="D589" t="s">
        <v>299</v>
      </c>
    </row>
    <row r="590" spans="1:4" x14ac:dyDescent="0.25">
      <c r="A590" s="52" t="s">
        <v>269</v>
      </c>
      <c r="B590" s="52" t="s">
        <v>31</v>
      </c>
      <c r="C590" s="52" t="s">
        <v>53</v>
      </c>
      <c r="D590" t="s">
        <v>299</v>
      </c>
    </row>
    <row r="591" spans="1:4" x14ac:dyDescent="0.25">
      <c r="A591" s="52" t="s">
        <v>269</v>
      </c>
      <c r="B591" s="52" t="s">
        <v>36</v>
      </c>
      <c r="C591" s="52" t="s">
        <v>65</v>
      </c>
      <c r="D591" t="s">
        <v>300</v>
      </c>
    </row>
    <row r="592" spans="1:4" x14ac:dyDescent="0.25">
      <c r="A592" s="52" t="s">
        <v>271</v>
      </c>
      <c r="B592" s="52" t="s">
        <v>27</v>
      </c>
      <c r="C592" s="52" t="s">
        <v>44</v>
      </c>
      <c r="D592" t="s">
        <v>299</v>
      </c>
    </row>
    <row r="593" spans="1:4" x14ac:dyDescent="0.25">
      <c r="A593" s="52" t="s">
        <v>271</v>
      </c>
      <c r="B593" s="52" t="s">
        <v>28</v>
      </c>
      <c r="C593" s="52" t="s">
        <v>50</v>
      </c>
      <c r="D593" t="s">
        <v>299</v>
      </c>
    </row>
    <row r="594" spans="1:4" x14ac:dyDescent="0.25">
      <c r="A594" s="52" t="s">
        <v>271</v>
      </c>
      <c r="B594" s="52" t="s">
        <v>29</v>
      </c>
      <c r="C594" s="52" t="s">
        <v>68</v>
      </c>
      <c r="D594" t="s">
        <v>299</v>
      </c>
    </row>
    <row r="595" spans="1:4" x14ac:dyDescent="0.25">
      <c r="A595" s="52" t="s">
        <v>271</v>
      </c>
      <c r="B595" s="52" t="s">
        <v>30</v>
      </c>
      <c r="C595" s="52" t="s">
        <v>39</v>
      </c>
      <c r="D595" t="s">
        <v>299</v>
      </c>
    </row>
    <row r="596" spans="1:4" x14ac:dyDescent="0.25">
      <c r="A596" s="52" t="s">
        <v>271</v>
      </c>
      <c r="B596" s="52" t="s">
        <v>31</v>
      </c>
      <c r="C596" s="52" t="s">
        <v>57</v>
      </c>
      <c r="D596" t="s">
        <v>299</v>
      </c>
    </row>
    <row r="597" spans="1:4" x14ac:dyDescent="0.25">
      <c r="A597" s="52" t="s">
        <v>271</v>
      </c>
      <c r="B597" s="52" t="s">
        <v>36</v>
      </c>
      <c r="C597" s="52" t="s">
        <v>38</v>
      </c>
      <c r="D597" t="s">
        <v>300</v>
      </c>
    </row>
    <row r="598" spans="1:4" x14ac:dyDescent="0.25">
      <c r="A598" s="52" t="s">
        <v>272</v>
      </c>
      <c r="B598" s="52" t="s">
        <v>27</v>
      </c>
      <c r="C598" s="52" t="s">
        <v>47</v>
      </c>
      <c r="D598" t="s">
        <v>299</v>
      </c>
    </row>
    <row r="599" spans="1:4" x14ac:dyDescent="0.25">
      <c r="A599" s="52" t="s">
        <v>272</v>
      </c>
      <c r="B599" s="52" t="s">
        <v>28</v>
      </c>
      <c r="C599" s="52" t="s">
        <v>42</v>
      </c>
      <c r="D599" t="s">
        <v>299</v>
      </c>
    </row>
    <row r="600" spans="1:4" x14ac:dyDescent="0.25">
      <c r="A600" s="52" t="s">
        <v>272</v>
      </c>
      <c r="B600" s="52" t="s">
        <v>29</v>
      </c>
      <c r="C600" s="52" t="s">
        <v>41</v>
      </c>
      <c r="D600" t="s">
        <v>299</v>
      </c>
    </row>
    <row r="601" spans="1:4" x14ac:dyDescent="0.25">
      <c r="A601" s="52" t="s">
        <v>272</v>
      </c>
      <c r="B601" s="52" t="s">
        <v>30</v>
      </c>
      <c r="C601" s="52" t="s">
        <v>50</v>
      </c>
      <c r="D601" t="s">
        <v>299</v>
      </c>
    </row>
    <row r="602" spans="1:4" x14ac:dyDescent="0.25">
      <c r="A602" s="52" t="s">
        <v>272</v>
      </c>
      <c r="B602" s="52" t="s">
        <v>36</v>
      </c>
      <c r="C602" s="52" t="s">
        <v>76</v>
      </c>
      <c r="D602" t="s">
        <v>300</v>
      </c>
    </row>
    <row r="603" spans="1:4" x14ac:dyDescent="0.25">
      <c r="A603" s="52" t="s">
        <v>274</v>
      </c>
      <c r="B603" s="52" t="s">
        <v>27</v>
      </c>
      <c r="C603" s="52" t="s">
        <v>61</v>
      </c>
      <c r="D603" t="s">
        <v>299</v>
      </c>
    </row>
    <row r="604" spans="1:4" x14ac:dyDescent="0.25">
      <c r="A604" s="52" t="s">
        <v>274</v>
      </c>
      <c r="B604" s="52" t="s">
        <v>28</v>
      </c>
      <c r="C604" s="52" t="s">
        <v>60</v>
      </c>
      <c r="D604" t="s">
        <v>299</v>
      </c>
    </row>
    <row r="605" spans="1:4" x14ac:dyDescent="0.25">
      <c r="A605" s="52" t="s">
        <v>274</v>
      </c>
      <c r="B605" s="52" t="s">
        <v>29</v>
      </c>
      <c r="C605" s="52" t="s">
        <v>72</v>
      </c>
      <c r="D605" t="s">
        <v>299</v>
      </c>
    </row>
    <row r="606" spans="1:4" x14ac:dyDescent="0.25">
      <c r="A606" s="52" t="s">
        <v>274</v>
      </c>
      <c r="B606" s="52" t="s">
        <v>30</v>
      </c>
      <c r="C606" s="52" t="s">
        <v>62</v>
      </c>
      <c r="D606" t="s">
        <v>299</v>
      </c>
    </row>
    <row r="607" spans="1:4" x14ac:dyDescent="0.25">
      <c r="A607" s="52" t="s">
        <v>274</v>
      </c>
      <c r="B607" s="52" t="s">
        <v>31</v>
      </c>
      <c r="C607" s="52" t="s">
        <v>41</v>
      </c>
      <c r="D607" t="s">
        <v>299</v>
      </c>
    </row>
    <row r="608" spans="1:4" x14ac:dyDescent="0.25">
      <c r="A608" s="52" t="s">
        <v>274</v>
      </c>
      <c r="B608" s="52" t="s">
        <v>32</v>
      </c>
      <c r="C608" s="52" t="s">
        <v>54</v>
      </c>
      <c r="D608" t="s">
        <v>299</v>
      </c>
    </row>
    <row r="609" spans="1:4" x14ac:dyDescent="0.25">
      <c r="A609" s="52" t="s">
        <v>274</v>
      </c>
      <c r="B609" s="52" t="s">
        <v>36</v>
      </c>
      <c r="C609" s="52" t="s">
        <v>44</v>
      </c>
      <c r="D609" t="s">
        <v>300</v>
      </c>
    </row>
    <row r="610" spans="1:4" x14ac:dyDescent="0.25">
      <c r="A610" s="52" t="s">
        <v>277</v>
      </c>
      <c r="B610" s="52" t="s">
        <v>27</v>
      </c>
      <c r="C610" s="52" t="s">
        <v>42</v>
      </c>
      <c r="D610" t="s">
        <v>299</v>
      </c>
    </row>
    <row r="611" spans="1:4" x14ac:dyDescent="0.25">
      <c r="A611" s="52" t="s">
        <v>277</v>
      </c>
      <c r="B611" s="52" t="s">
        <v>28</v>
      </c>
      <c r="C611" s="52" t="s">
        <v>60</v>
      </c>
      <c r="D611" t="s">
        <v>299</v>
      </c>
    </row>
    <row r="612" spans="1:4" x14ac:dyDescent="0.25">
      <c r="A612" s="52" t="s">
        <v>277</v>
      </c>
      <c r="B612" s="52" t="s">
        <v>29</v>
      </c>
      <c r="C612" s="52" t="s">
        <v>41</v>
      </c>
      <c r="D612" t="s">
        <v>299</v>
      </c>
    </row>
    <row r="613" spans="1:4" x14ac:dyDescent="0.25">
      <c r="A613" s="52" t="s">
        <v>277</v>
      </c>
      <c r="B613" s="52" t="s">
        <v>30</v>
      </c>
      <c r="C613" s="52" t="s">
        <v>67</v>
      </c>
      <c r="D613" t="s">
        <v>299</v>
      </c>
    </row>
    <row r="614" spans="1:4" x14ac:dyDescent="0.25">
      <c r="A614" s="52" t="s">
        <v>277</v>
      </c>
      <c r="B614" s="52" t="s">
        <v>31</v>
      </c>
      <c r="C614" s="52" t="s">
        <v>48</v>
      </c>
      <c r="D614" t="s">
        <v>299</v>
      </c>
    </row>
    <row r="615" spans="1:4" x14ac:dyDescent="0.25">
      <c r="A615" s="52" t="s">
        <v>277</v>
      </c>
      <c r="B615" s="52" t="s">
        <v>32</v>
      </c>
      <c r="C615" s="52" t="s">
        <v>49</v>
      </c>
      <c r="D615" t="s">
        <v>299</v>
      </c>
    </row>
    <row r="616" spans="1:4" x14ac:dyDescent="0.25">
      <c r="A616" s="52" t="s">
        <v>277</v>
      </c>
      <c r="B616" s="52" t="s">
        <v>33</v>
      </c>
      <c r="C616" s="52" t="s">
        <v>71</v>
      </c>
      <c r="D616" t="s">
        <v>299</v>
      </c>
    </row>
    <row r="617" spans="1:4" x14ac:dyDescent="0.25">
      <c r="A617" s="52" t="s">
        <v>277</v>
      </c>
      <c r="B617" s="52" t="s">
        <v>36</v>
      </c>
      <c r="C617" s="52" t="s">
        <v>39</v>
      </c>
      <c r="D617" t="s">
        <v>300</v>
      </c>
    </row>
    <row r="618" spans="1:4" x14ac:dyDescent="0.25">
      <c r="A618" s="52" t="s">
        <v>276</v>
      </c>
      <c r="B618" s="52" t="s">
        <v>27</v>
      </c>
      <c r="C618" s="52" t="s">
        <v>64</v>
      </c>
      <c r="D618" t="s">
        <v>299</v>
      </c>
    </row>
    <row r="619" spans="1:4" x14ac:dyDescent="0.25">
      <c r="A619" s="52" t="s">
        <v>276</v>
      </c>
      <c r="B619" s="52" t="s">
        <v>28</v>
      </c>
      <c r="C619" s="52" t="s">
        <v>48</v>
      </c>
      <c r="D619" t="s">
        <v>299</v>
      </c>
    </row>
    <row r="620" spans="1:4" x14ac:dyDescent="0.25">
      <c r="A620" s="52" t="s">
        <v>276</v>
      </c>
      <c r="B620" s="52" t="s">
        <v>29</v>
      </c>
      <c r="C620" s="52" t="s">
        <v>41</v>
      </c>
      <c r="D620" t="s">
        <v>299</v>
      </c>
    </row>
    <row r="621" spans="1:4" x14ac:dyDescent="0.25">
      <c r="A621" s="52" t="s">
        <v>276</v>
      </c>
      <c r="B621" s="52" t="s">
        <v>30</v>
      </c>
      <c r="C621" s="52" t="s">
        <v>65</v>
      </c>
      <c r="D621" t="s">
        <v>299</v>
      </c>
    </row>
    <row r="622" spans="1:4" x14ac:dyDescent="0.25">
      <c r="A622" s="52" t="s">
        <v>276</v>
      </c>
      <c r="B622" s="52" t="s">
        <v>31</v>
      </c>
      <c r="C622" s="52" t="s">
        <v>54</v>
      </c>
      <c r="D622" t="s">
        <v>299</v>
      </c>
    </row>
    <row r="623" spans="1:4" x14ac:dyDescent="0.25">
      <c r="A623" s="52" t="s">
        <v>276</v>
      </c>
      <c r="B623" s="52" t="s">
        <v>32</v>
      </c>
      <c r="C623" s="52" t="s">
        <v>49</v>
      </c>
      <c r="D623" t="s">
        <v>299</v>
      </c>
    </row>
    <row r="624" spans="1:4" x14ac:dyDescent="0.25">
      <c r="A624" s="52" t="s">
        <v>276</v>
      </c>
      <c r="B624" s="52" t="s">
        <v>33</v>
      </c>
      <c r="C624" s="52" t="s">
        <v>71</v>
      </c>
      <c r="D624" t="s">
        <v>299</v>
      </c>
    </row>
    <row r="625" spans="1:4" x14ac:dyDescent="0.25">
      <c r="A625" s="52" t="s">
        <v>276</v>
      </c>
      <c r="B625" s="52" t="s">
        <v>34</v>
      </c>
      <c r="C625" s="52" t="s">
        <v>53</v>
      </c>
      <c r="D625" t="s">
        <v>299</v>
      </c>
    </row>
    <row r="626" spans="1:4" x14ac:dyDescent="0.25">
      <c r="A626" s="52" t="s">
        <v>276</v>
      </c>
      <c r="B626" s="52" t="s">
        <v>36</v>
      </c>
      <c r="C626" s="52" t="s">
        <v>91</v>
      </c>
      <c r="D626" t="s">
        <v>300</v>
      </c>
    </row>
    <row r="627" spans="1:4" x14ac:dyDescent="0.25">
      <c r="A627" s="52" t="s">
        <v>278</v>
      </c>
      <c r="B627" s="52" t="s">
        <v>27</v>
      </c>
      <c r="C627" s="52" t="s">
        <v>45</v>
      </c>
      <c r="D627" t="s">
        <v>299</v>
      </c>
    </row>
    <row r="628" spans="1:4" x14ac:dyDescent="0.25">
      <c r="A628" s="52" t="s">
        <v>278</v>
      </c>
      <c r="B628" s="52" t="s">
        <v>28</v>
      </c>
      <c r="C628" s="52" t="s">
        <v>44</v>
      </c>
      <c r="D628" t="s">
        <v>299</v>
      </c>
    </row>
    <row r="629" spans="1:4" x14ac:dyDescent="0.25">
      <c r="A629" s="52" t="s">
        <v>278</v>
      </c>
      <c r="B629" s="52" t="s">
        <v>29</v>
      </c>
      <c r="C629" s="52" t="s">
        <v>41</v>
      </c>
      <c r="D629" t="s">
        <v>299</v>
      </c>
    </row>
    <row r="630" spans="1:4" x14ac:dyDescent="0.25">
      <c r="A630" s="52" t="s">
        <v>278</v>
      </c>
      <c r="B630" s="52" t="s">
        <v>36</v>
      </c>
      <c r="C630" s="52" t="s">
        <v>61</v>
      </c>
      <c r="D630" t="s">
        <v>300</v>
      </c>
    </row>
    <row r="631" spans="1:4" x14ac:dyDescent="0.25">
      <c r="A631" s="52" t="s">
        <v>279</v>
      </c>
      <c r="B631" s="52" t="s">
        <v>27</v>
      </c>
      <c r="C631" s="52" t="s">
        <v>51</v>
      </c>
      <c r="D631" t="s">
        <v>299</v>
      </c>
    </row>
    <row r="632" spans="1:4" x14ac:dyDescent="0.25">
      <c r="A632" s="52" t="s">
        <v>279</v>
      </c>
      <c r="B632" s="52" t="s">
        <v>28</v>
      </c>
      <c r="C632" s="52" t="s">
        <v>59</v>
      </c>
      <c r="D632" t="s">
        <v>299</v>
      </c>
    </row>
    <row r="633" spans="1:4" x14ac:dyDescent="0.25">
      <c r="A633" s="52" t="s">
        <v>279</v>
      </c>
      <c r="B633" s="52" t="s">
        <v>29</v>
      </c>
      <c r="C633" s="52" t="s">
        <v>50</v>
      </c>
      <c r="D633" t="s">
        <v>299</v>
      </c>
    </row>
    <row r="634" spans="1:4" x14ac:dyDescent="0.25">
      <c r="A634" s="52" t="s">
        <v>279</v>
      </c>
      <c r="B634" s="52" t="s">
        <v>30</v>
      </c>
      <c r="C634" s="52" t="s">
        <v>64</v>
      </c>
      <c r="D634" t="s">
        <v>299</v>
      </c>
    </row>
    <row r="635" spans="1:4" x14ac:dyDescent="0.25">
      <c r="A635" s="52" t="s">
        <v>279</v>
      </c>
      <c r="B635" s="52" t="s">
        <v>36</v>
      </c>
      <c r="C635" s="52" t="s">
        <v>61</v>
      </c>
      <c r="D635" t="s">
        <v>300</v>
      </c>
    </row>
    <row r="636" spans="1:4" x14ac:dyDescent="0.25">
      <c r="A636" s="52" t="s">
        <v>280</v>
      </c>
      <c r="B636" s="52" t="s">
        <v>27</v>
      </c>
      <c r="C636" s="52" t="s">
        <v>59</v>
      </c>
      <c r="D636" t="s">
        <v>299</v>
      </c>
    </row>
    <row r="637" spans="1:4" x14ac:dyDescent="0.25">
      <c r="A637" s="52" t="s">
        <v>280</v>
      </c>
      <c r="B637" s="52" t="s">
        <v>28</v>
      </c>
      <c r="C637" s="52" t="s">
        <v>44</v>
      </c>
      <c r="D637" t="s">
        <v>299</v>
      </c>
    </row>
    <row r="638" spans="1:4" x14ac:dyDescent="0.25">
      <c r="A638" s="52" t="s">
        <v>280</v>
      </c>
      <c r="B638" s="52" t="s">
        <v>29</v>
      </c>
      <c r="C638" s="52" t="s">
        <v>62</v>
      </c>
      <c r="D638" t="s">
        <v>299</v>
      </c>
    </row>
    <row r="639" spans="1:4" x14ac:dyDescent="0.25">
      <c r="A639" s="52" t="s">
        <v>280</v>
      </c>
      <c r="B639" s="52" t="s">
        <v>36</v>
      </c>
      <c r="C639" s="52" t="s">
        <v>61</v>
      </c>
      <c r="D639" t="s">
        <v>300</v>
      </c>
    </row>
    <row r="640" spans="1:4" x14ac:dyDescent="0.25">
      <c r="A640" s="52" t="s">
        <v>281</v>
      </c>
      <c r="B640" s="52" t="s">
        <v>27</v>
      </c>
      <c r="C640" s="52" t="s">
        <v>41</v>
      </c>
      <c r="D640" t="s">
        <v>299</v>
      </c>
    </row>
    <row r="641" spans="1:4" x14ac:dyDescent="0.25">
      <c r="A641" s="52" t="s">
        <v>281</v>
      </c>
      <c r="B641" s="52" t="s">
        <v>28</v>
      </c>
      <c r="C641" s="52" t="s">
        <v>72</v>
      </c>
      <c r="D641" t="s">
        <v>299</v>
      </c>
    </row>
    <row r="642" spans="1:4" x14ac:dyDescent="0.25">
      <c r="A642" s="52" t="s">
        <v>281</v>
      </c>
      <c r="B642" s="52" t="s">
        <v>29</v>
      </c>
      <c r="C642" s="52" t="s">
        <v>50</v>
      </c>
      <c r="D642" t="s">
        <v>299</v>
      </c>
    </row>
    <row r="643" spans="1:4" x14ac:dyDescent="0.25">
      <c r="A643" s="52" t="s">
        <v>281</v>
      </c>
      <c r="B643" s="52" t="s">
        <v>30</v>
      </c>
      <c r="C643" s="52" t="s">
        <v>55</v>
      </c>
      <c r="D643" t="s">
        <v>299</v>
      </c>
    </row>
    <row r="644" spans="1:4" x14ac:dyDescent="0.25">
      <c r="A644" s="52" t="s">
        <v>281</v>
      </c>
      <c r="B644" s="52" t="s">
        <v>31</v>
      </c>
      <c r="C644" s="52" t="s">
        <v>67</v>
      </c>
      <c r="D644" t="s">
        <v>299</v>
      </c>
    </row>
    <row r="645" spans="1:4" x14ac:dyDescent="0.25">
      <c r="A645" s="52" t="s">
        <v>281</v>
      </c>
      <c r="B645" s="52" t="s">
        <v>32</v>
      </c>
      <c r="C645" s="52" t="s">
        <v>62</v>
      </c>
      <c r="D645" t="s">
        <v>299</v>
      </c>
    </row>
    <row r="646" spans="1:4" x14ac:dyDescent="0.25">
      <c r="A646" s="52" t="s">
        <v>281</v>
      </c>
      <c r="B646" s="52" t="s">
        <v>33</v>
      </c>
      <c r="C646" s="52" t="s">
        <v>75</v>
      </c>
      <c r="D646" t="s">
        <v>299</v>
      </c>
    </row>
    <row r="647" spans="1:4" x14ac:dyDescent="0.25">
      <c r="A647" s="52" t="s">
        <v>281</v>
      </c>
      <c r="B647" s="52" t="s">
        <v>34</v>
      </c>
      <c r="C647" s="52" t="s">
        <v>65</v>
      </c>
      <c r="D647" t="s">
        <v>299</v>
      </c>
    </row>
    <row r="648" spans="1:4" x14ac:dyDescent="0.25">
      <c r="A648" s="52" t="s">
        <v>281</v>
      </c>
      <c r="B648" s="52" t="s">
        <v>35</v>
      </c>
      <c r="C648" s="52" t="s">
        <v>46</v>
      </c>
      <c r="D648" t="s">
        <v>299</v>
      </c>
    </row>
    <row r="649" spans="1:4" x14ac:dyDescent="0.25">
      <c r="A649" s="52" t="s">
        <v>281</v>
      </c>
      <c r="B649" s="52" t="s">
        <v>36</v>
      </c>
      <c r="C649" s="52" t="s">
        <v>61</v>
      </c>
      <c r="D649" t="s">
        <v>300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X102"/>
  <sheetViews>
    <sheetView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1" sqref="B1:L101"/>
    </sheetView>
  </sheetViews>
  <sheetFormatPr defaultRowHeight="15" x14ac:dyDescent="0.25"/>
  <cols>
    <col min="2" max="2" width="27" bestFit="1" customWidth="1"/>
    <col min="3" max="12" width="14.5703125" style="5" customWidth="1"/>
    <col min="14" max="24" width="9.140625" style="5" customWidth="1"/>
  </cols>
  <sheetData>
    <row r="1" spans="2:24" x14ac:dyDescent="0.25">
      <c r="B1" s="1" t="s">
        <v>26</v>
      </c>
      <c r="C1" s="10" t="s">
        <v>27</v>
      </c>
      <c r="D1" s="10" t="s">
        <v>28</v>
      </c>
      <c r="E1" s="10" t="s">
        <v>29</v>
      </c>
      <c r="F1" s="10" t="s">
        <v>30</v>
      </c>
      <c r="G1" s="10" t="s">
        <v>31</v>
      </c>
      <c r="H1" s="10" t="s">
        <v>32</v>
      </c>
      <c r="I1" s="10" t="s">
        <v>33</v>
      </c>
      <c r="J1" s="10" t="s">
        <v>34</v>
      </c>
      <c r="K1" s="10" t="s">
        <v>35</v>
      </c>
      <c r="L1" s="10" t="s">
        <v>36</v>
      </c>
      <c r="N1" s="5">
        <v>1</v>
      </c>
      <c r="O1" s="5">
        <v>2</v>
      </c>
      <c r="P1" s="5">
        <v>3</v>
      </c>
      <c r="Q1" s="5">
        <v>4</v>
      </c>
      <c r="R1" s="5">
        <v>5</v>
      </c>
      <c r="S1" s="5">
        <v>6</v>
      </c>
      <c r="T1" s="5">
        <v>7</v>
      </c>
      <c r="U1" s="5">
        <v>8</v>
      </c>
      <c r="V1" s="5">
        <v>9</v>
      </c>
      <c r="W1" s="5" t="s">
        <v>37</v>
      </c>
    </row>
    <row r="2" spans="2:24" x14ac:dyDescent="0.25">
      <c r="B2" s="48" t="s">
        <v>1</v>
      </c>
      <c r="C2" s="5" t="s">
        <v>38</v>
      </c>
      <c r="D2" s="5" t="s">
        <v>39</v>
      </c>
      <c r="E2" s="5" t="s">
        <v>40</v>
      </c>
      <c r="F2" s="5" t="s">
        <v>41</v>
      </c>
      <c r="G2" s="5" t="s">
        <v>42</v>
      </c>
      <c r="H2" s="5" t="s">
        <v>43</v>
      </c>
      <c r="L2" s="5" t="s">
        <v>44</v>
      </c>
      <c r="N2" s="5">
        <f>IFERROR(HLOOKUP(C2,Standings!$F$3:$BA$5,3,FALSE),0)</f>
        <v>45</v>
      </c>
      <c r="O2" s="5">
        <f>IFERROR(HLOOKUP(D2,Standings!$F$3:$BA$5,3,FALSE),0)</f>
        <v>30</v>
      </c>
      <c r="P2" s="5">
        <f>IFERROR(HLOOKUP(E2,Standings!$F$3:$BA$5,3,FALSE),0)</f>
        <v>35</v>
      </c>
      <c r="Q2" s="5">
        <f>IFERROR(HLOOKUP(F2,Standings!$F$3:$BA$5,3,FALSE),0)</f>
        <v>20</v>
      </c>
      <c r="R2" s="5">
        <f>IFERROR(HLOOKUP(G2,Standings!$F$3:$BA$5,3,FALSE),0)</f>
        <v>27</v>
      </c>
      <c r="S2" s="5">
        <f>IFERROR(HLOOKUP(H2,Standings!$F$3:$BA$5,3,FALSE),0)</f>
        <v>3</v>
      </c>
      <c r="T2" s="5">
        <f>IFERROR(HLOOKUP(I2,Standings!$F$3:$BA$5,3,FALSE),0)</f>
        <v>0</v>
      </c>
      <c r="U2" s="5">
        <f>IFERROR(HLOOKUP(J2,Standings!$F$3:$BA$5,3,FALSE),0)</f>
        <v>0</v>
      </c>
      <c r="V2" s="5">
        <f>IFERROR(HLOOKUP(K2,Standings!$F$3:$BA$5,3,FALSE),0)</f>
        <v>0</v>
      </c>
      <c r="W2" s="5">
        <f>-IFERROR(HLOOKUP(L2,Standings!$F$3:$BA$5,3,FALSE),0)</f>
        <v>-60</v>
      </c>
      <c r="X2" s="5">
        <f t="shared" ref="X2:X33" si="0">SUM(N2:W2)</f>
        <v>100</v>
      </c>
    </row>
    <row r="3" spans="2:24" x14ac:dyDescent="0.25">
      <c r="B3" s="48" t="s">
        <v>3</v>
      </c>
      <c r="C3" s="5" t="s">
        <v>44</v>
      </c>
      <c r="D3" s="5" t="s">
        <v>45</v>
      </c>
      <c r="E3" s="5" t="s">
        <v>46</v>
      </c>
      <c r="L3" s="5" t="s">
        <v>47</v>
      </c>
      <c r="N3" s="5">
        <f>IFERROR(HLOOKUP(C3,Standings!$F$3:$BA$5,3,FALSE),0)</f>
        <v>60</v>
      </c>
      <c r="O3" s="5">
        <f>IFERROR(HLOOKUP(D3,Standings!$F$3:$BA$5,3,FALSE),0)</f>
        <v>70</v>
      </c>
      <c r="P3" s="5">
        <f>IFERROR(HLOOKUP(E3,Standings!$F$3:$BA$5,3,FALSE),0)</f>
        <v>8</v>
      </c>
      <c r="Q3" s="5">
        <f>IFERROR(HLOOKUP(F3,Standings!$F$3:$BA$5,3,FALSE),0)</f>
        <v>0</v>
      </c>
      <c r="R3" s="5">
        <f>IFERROR(HLOOKUP(G3,Standings!$F$3:$BA$5,3,FALSE),0)</f>
        <v>0</v>
      </c>
      <c r="S3" s="5">
        <f>IFERROR(HLOOKUP(H3,Standings!$F$3:$BA$5,3,FALSE),0)</f>
        <v>0</v>
      </c>
      <c r="T3" s="5">
        <f>IFERROR(HLOOKUP(I3,Standings!$F$3:$BA$5,3,FALSE),0)</f>
        <v>0</v>
      </c>
      <c r="U3" s="5">
        <f>IFERROR(HLOOKUP(J3,Standings!$F$3:$BA$5,3,FALSE),0)</f>
        <v>0</v>
      </c>
      <c r="V3" s="5">
        <f>IFERROR(HLOOKUP(K3,Standings!$F$3:$BA$5,3,FALSE),0)</f>
        <v>0</v>
      </c>
      <c r="W3" s="5">
        <f>-IFERROR(HLOOKUP(L3,Standings!$F$3:$BA$5,3,FALSE),0)</f>
        <v>-38</v>
      </c>
      <c r="X3" s="5">
        <f t="shared" si="0"/>
        <v>100</v>
      </c>
    </row>
    <row r="4" spans="2:24" x14ac:dyDescent="0.25">
      <c r="B4" s="48" t="s">
        <v>4</v>
      </c>
      <c r="C4" s="5" t="s">
        <v>45</v>
      </c>
      <c r="D4" s="5" t="s">
        <v>48</v>
      </c>
      <c r="E4" s="5" t="s">
        <v>49</v>
      </c>
      <c r="F4" s="5" t="s">
        <v>47</v>
      </c>
      <c r="G4" s="5" t="s">
        <v>50</v>
      </c>
      <c r="L4" s="5" t="s">
        <v>44</v>
      </c>
      <c r="N4" s="5">
        <f>IFERROR(HLOOKUP(C4,Standings!$F$3:$BA$5,3,FALSE),0)</f>
        <v>70</v>
      </c>
      <c r="O4" s="5">
        <f>IFERROR(HLOOKUP(D4,Standings!$F$3:$BA$5,3,FALSE),0)</f>
        <v>12</v>
      </c>
      <c r="P4" s="5">
        <f>IFERROR(HLOOKUP(E4,Standings!$F$3:$BA$5,3,FALSE),0)</f>
        <v>16</v>
      </c>
      <c r="Q4" s="5">
        <f>IFERROR(HLOOKUP(F4,Standings!$F$3:$BA$5,3,FALSE),0)</f>
        <v>38</v>
      </c>
      <c r="R4" s="5">
        <f>IFERROR(HLOOKUP(G4,Standings!$F$3:$BA$5,3,FALSE),0)</f>
        <v>23</v>
      </c>
      <c r="S4" s="5">
        <f>IFERROR(HLOOKUP(H4,Standings!$F$3:$BA$5,3,FALSE),0)</f>
        <v>0</v>
      </c>
      <c r="T4" s="5">
        <f>IFERROR(HLOOKUP(I4,Standings!$F$3:$BA$5,3,FALSE),0)</f>
        <v>0</v>
      </c>
      <c r="U4" s="5">
        <f>IFERROR(HLOOKUP(J4,Standings!$F$3:$BA$5,3,FALSE),0)</f>
        <v>0</v>
      </c>
      <c r="V4" s="5">
        <f>IFERROR(HLOOKUP(K4,Standings!$F$3:$BA$5,3,FALSE),0)</f>
        <v>0</v>
      </c>
      <c r="W4" s="5">
        <f>-IFERROR(HLOOKUP(L4,Standings!$F$3:$BA$5,3,FALSE),0)</f>
        <v>-60</v>
      </c>
      <c r="X4" s="5">
        <f t="shared" si="0"/>
        <v>99</v>
      </c>
    </row>
    <row r="5" spans="2:24" x14ac:dyDescent="0.25">
      <c r="B5" s="48" t="s">
        <v>6</v>
      </c>
      <c r="C5" s="5" t="s">
        <v>51</v>
      </c>
      <c r="D5" s="5" t="s">
        <v>45</v>
      </c>
      <c r="E5" s="5" t="s">
        <v>39</v>
      </c>
      <c r="L5" s="5" t="s">
        <v>52</v>
      </c>
      <c r="N5" s="5">
        <f>IFERROR(HLOOKUP(C5,Standings!$F$3:$BA$5,3,FALSE),0)</f>
        <v>52</v>
      </c>
      <c r="O5" s="5">
        <f>IFERROR(HLOOKUP(D5,Standings!$F$3:$BA$5,3,FALSE),0)</f>
        <v>70</v>
      </c>
      <c r="P5" s="5">
        <f>IFERROR(HLOOKUP(E5,Standings!$F$3:$BA$5,3,FALSE),0)</f>
        <v>30</v>
      </c>
      <c r="Q5" s="5">
        <f>IFERROR(HLOOKUP(F5,Standings!$F$3:$BA$5,3,FALSE),0)</f>
        <v>0</v>
      </c>
      <c r="R5" s="5">
        <f>IFERROR(HLOOKUP(G5,Standings!$F$3:$BA$5,3,FALSE),0)</f>
        <v>0</v>
      </c>
      <c r="S5" s="5">
        <f>IFERROR(HLOOKUP(H5,Standings!$F$3:$BA$5,3,FALSE),0)</f>
        <v>0</v>
      </c>
      <c r="T5" s="5">
        <f>IFERROR(HLOOKUP(I5,Standings!$F$3:$BA$5,3,FALSE),0)</f>
        <v>0</v>
      </c>
      <c r="U5" s="5">
        <f>IFERROR(HLOOKUP(J5,Standings!$F$3:$BA$5,3,FALSE),0)</f>
        <v>0</v>
      </c>
      <c r="V5" s="5">
        <f>IFERROR(HLOOKUP(K5,Standings!$F$3:$BA$5,3,FALSE),0)</f>
        <v>0</v>
      </c>
      <c r="W5" s="5">
        <f>-IFERROR(HLOOKUP(L5,Standings!$F$3:$BA$5,3,FALSE),0)</f>
        <v>-54</v>
      </c>
      <c r="X5" s="5">
        <f t="shared" si="0"/>
        <v>98</v>
      </c>
    </row>
    <row r="6" spans="2:24" x14ac:dyDescent="0.25">
      <c r="B6" s="48" t="s">
        <v>148</v>
      </c>
      <c r="C6" s="5" t="s">
        <v>40</v>
      </c>
      <c r="D6" s="5" t="s">
        <v>53</v>
      </c>
      <c r="E6" s="5" t="s">
        <v>49</v>
      </c>
      <c r="F6" s="5" t="s">
        <v>54</v>
      </c>
      <c r="G6" s="5" t="s">
        <v>55</v>
      </c>
      <c r="N6" s="5">
        <f>IFERROR(HLOOKUP(C6,Standings!$F$3:$BA$5,3,FALSE),0)</f>
        <v>35</v>
      </c>
      <c r="O6" s="5">
        <f>IFERROR(HLOOKUP(D6,Standings!$F$3:$BA$5,3,FALSE),0)</f>
        <v>20</v>
      </c>
      <c r="P6" s="5">
        <f>IFERROR(HLOOKUP(E6,Standings!$F$3:$BA$5,3,FALSE),0)</f>
        <v>16</v>
      </c>
      <c r="Q6" s="5">
        <f>IFERROR(HLOOKUP(F6,Standings!$F$3:$BA$5,3,FALSE),0)</f>
        <v>17</v>
      </c>
      <c r="R6" s="5">
        <f>IFERROR(HLOOKUP(G6,Standings!$F$3:$BA$5,3,FALSE),0)</f>
        <v>12</v>
      </c>
      <c r="S6" s="5">
        <f>IFERROR(HLOOKUP(H6,Standings!$F$3:$BA$5,3,FALSE),0)</f>
        <v>0</v>
      </c>
      <c r="T6" s="5">
        <f>IFERROR(HLOOKUP(I6,Standings!$F$3:$BA$5,3,FALSE),0)</f>
        <v>0</v>
      </c>
      <c r="U6" s="5">
        <f>IFERROR(HLOOKUP(J6,Standings!$F$3:$BA$5,3,FALSE),0)</f>
        <v>0</v>
      </c>
      <c r="V6" s="5">
        <f>IFERROR(HLOOKUP(K6,Standings!$F$3:$BA$5,3,FALSE),0)</f>
        <v>0</v>
      </c>
      <c r="W6" s="5">
        <f>-IFERROR(HLOOKUP(L6,Standings!$F$3:$BA$5,3,FALSE),0)</f>
        <v>0</v>
      </c>
      <c r="X6" s="5">
        <f t="shared" si="0"/>
        <v>100</v>
      </c>
    </row>
    <row r="7" spans="2:24" x14ac:dyDescent="0.25">
      <c r="B7" s="48" t="s">
        <v>8</v>
      </c>
      <c r="C7" s="5" t="s">
        <v>56</v>
      </c>
      <c r="D7" s="5" t="s">
        <v>44</v>
      </c>
      <c r="E7" s="5" t="s">
        <v>43</v>
      </c>
      <c r="F7" s="5" t="s">
        <v>57</v>
      </c>
      <c r="G7" s="5" t="s">
        <v>58</v>
      </c>
      <c r="H7" s="5" t="s">
        <v>59</v>
      </c>
      <c r="L7" s="5" t="s">
        <v>51</v>
      </c>
      <c r="N7" s="5">
        <f>IFERROR(HLOOKUP(C7,Standings!$F$3:$BA$5,3,FALSE),0)</f>
        <v>3</v>
      </c>
      <c r="O7" s="5">
        <f>IFERROR(HLOOKUP(D7,Standings!$F$3:$BA$5,3,FALSE),0)</f>
        <v>60</v>
      </c>
      <c r="P7" s="5">
        <f>IFERROR(HLOOKUP(E7,Standings!$F$3:$BA$5,3,FALSE),0)</f>
        <v>3</v>
      </c>
      <c r="Q7" s="5">
        <f>IFERROR(HLOOKUP(F7,Standings!$F$3:$BA$5,3,FALSE),0)</f>
        <v>14</v>
      </c>
      <c r="R7" s="5">
        <f>IFERROR(HLOOKUP(G7,Standings!$F$3:$BA$5,3,FALSE),0)</f>
        <v>4</v>
      </c>
      <c r="S7" s="5">
        <f>IFERROR(HLOOKUP(H7,Standings!$F$3:$BA$5,3,FALSE),0)</f>
        <v>68</v>
      </c>
      <c r="T7" s="5">
        <f>IFERROR(HLOOKUP(I7,Standings!$F$3:$BA$5,3,FALSE),0)</f>
        <v>0</v>
      </c>
      <c r="U7" s="5">
        <f>IFERROR(HLOOKUP(J7,Standings!$F$3:$BA$5,3,FALSE),0)</f>
        <v>0</v>
      </c>
      <c r="V7" s="5">
        <f>IFERROR(HLOOKUP(K7,Standings!$F$3:$BA$5,3,FALSE),0)</f>
        <v>0</v>
      </c>
      <c r="W7" s="5">
        <f>-IFERROR(HLOOKUP(L7,Standings!$F$3:$BA$5,3,FALSE),0)</f>
        <v>-52</v>
      </c>
      <c r="X7" s="5">
        <f t="shared" si="0"/>
        <v>100</v>
      </c>
    </row>
    <row r="8" spans="2:24" x14ac:dyDescent="0.25">
      <c r="B8" s="48" t="s">
        <v>150</v>
      </c>
      <c r="C8" s="5" t="s">
        <v>59</v>
      </c>
      <c r="D8" s="5" t="s">
        <v>38</v>
      </c>
      <c r="E8" s="5" t="s">
        <v>42</v>
      </c>
      <c r="F8" s="5" t="s">
        <v>60</v>
      </c>
      <c r="L8" s="5" t="s">
        <v>45</v>
      </c>
      <c r="N8" s="5">
        <f>IFERROR(HLOOKUP(C8,Standings!$F$3:$BA$5,3,FALSE),0)</f>
        <v>68</v>
      </c>
      <c r="O8" s="5">
        <f>IFERROR(HLOOKUP(D8,Standings!$F$3:$BA$5,3,FALSE),0)</f>
        <v>45</v>
      </c>
      <c r="P8" s="5">
        <f>IFERROR(HLOOKUP(E8,Standings!$F$3:$BA$5,3,FALSE),0)</f>
        <v>27</v>
      </c>
      <c r="Q8" s="5">
        <f>IFERROR(HLOOKUP(F8,Standings!$F$3:$BA$5,3,FALSE),0)</f>
        <v>26</v>
      </c>
      <c r="R8" s="5">
        <f>IFERROR(HLOOKUP(G8,Standings!$F$3:$BA$5,3,FALSE),0)</f>
        <v>0</v>
      </c>
      <c r="S8" s="5">
        <f>IFERROR(HLOOKUP(H8,Standings!$F$3:$BA$5,3,FALSE),0)</f>
        <v>0</v>
      </c>
      <c r="T8" s="5">
        <f>IFERROR(HLOOKUP(I8,Standings!$F$3:$BA$5,3,FALSE),0)</f>
        <v>0</v>
      </c>
      <c r="U8" s="5">
        <f>IFERROR(HLOOKUP(J8,Standings!$F$3:$BA$5,3,FALSE),0)</f>
        <v>0</v>
      </c>
      <c r="V8" s="5">
        <f>IFERROR(HLOOKUP(K8,Standings!$F$3:$BA$5,3,FALSE),0)</f>
        <v>0</v>
      </c>
      <c r="W8" s="5">
        <f>-IFERROR(HLOOKUP(L8,Standings!$F$3:$BA$5,3,FALSE),0)</f>
        <v>-70</v>
      </c>
      <c r="X8" s="5">
        <f t="shared" si="0"/>
        <v>96</v>
      </c>
    </row>
    <row r="9" spans="2:24" x14ac:dyDescent="0.25">
      <c r="B9" s="48" t="s">
        <v>11</v>
      </c>
      <c r="C9" s="5" t="s">
        <v>51</v>
      </c>
      <c r="D9" s="5" t="s">
        <v>61</v>
      </c>
      <c r="E9" s="5" t="s">
        <v>41</v>
      </c>
      <c r="F9" s="5" t="s">
        <v>62</v>
      </c>
      <c r="G9" s="5" t="s">
        <v>63</v>
      </c>
      <c r="H9" s="5" t="s">
        <v>64</v>
      </c>
      <c r="L9" s="5" t="s">
        <v>52</v>
      </c>
      <c r="N9" s="5">
        <f>IFERROR(HLOOKUP(C9,Standings!$F$3:$BA$5,3,FALSE),0)</f>
        <v>52</v>
      </c>
      <c r="O9" s="5">
        <f>IFERROR(HLOOKUP(D9,Standings!$F$3:$BA$5,3,FALSE),0)</f>
        <v>50</v>
      </c>
      <c r="P9" s="5">
        <f>IFERROR(HLOOKUP(E9,Standings!$F$3:$BA$5,3,FALSE),0)</f>
        <v>20</v>
      </c>
      <c r="Q9" s="5">
        <f>IFERROR(HLOOKUP(F9,Standings!$F$3:$BA$5,3,FALSE),0)</f>
        <v>21</v>
      </c>
      <c r="R9" s="5">
        <f>IFERROR(HLOOKUP(G9,Standings!$F$3:$BA$5,3,FALSE),0)</f>
        <v>5</v>
      </c>
      <c r="S9" s="5">
        <f>IFERROR(HLOOKUP(H9,Standings!$F$3:$BA$5,3,FALSE),0)</f>
        <v>5</v>
      </c>
      <c r="T9" s="5">
        <f>IFERROR(HLOOKUP(I9,Standings!$F$3:$BA$5,3,FALSE),0)</f>
        <v>0</v>
      </c>
      <c r="U9" s="5">
        <f>IFERROR(HLOOKUP(J9,Standings!$F$3:$BA$5,3,FALSE),0)</f>
        <v>0</v>
      </c>
      <c r="V9" s="5">
        <f>IFERROR(HLOOKUP(K9,Standings!$F$3:$BA$5,3,FALSE),0)</f>
        <v>0</v>
      </c>
      <c r="W9" s="5">
        <f>-IFERROR(HLOOKUP(L9,Standings!$F$3:$BA$5,3,FALSE),0)</f>
        <v>-54</v>
      </c>
      <c r="X9" s="5">
        <f t="shared" si="0"/>
        <v>99</v>
      </c>
    </row>
    <row r="10" spans="2:24" x14ac:dyDescent="0.25">
      <c r="B10" s="48" t="s">
        <v>12</v>
      </c>
      <c r="C10" s="5" t="s">
        <v>59</v>
      </c>
      <c r="D10" s="5" t="s">
        <v>50</v>
      </c>
      <c r="E10" s="5" t="s">
        <v>41</v>
      </c>
      <c r="F10" s="5" t="s">
        <v>49</v>
      </c>
      <c r="G10" s="5" t="s">
        <v>55</v>
      </c>
      <c r="H10" s="5" t="s">
        <v>65</v>
      </c>
      <c r="I10" s="5" t="s">
        <v>66</v>
      </c>
      <c r="L10" s="5" t="s">
        <v>44</v>
      </c>
      <c r="N10" s="5">
        <f>IFERROR(HLOOKUP(C10,Standings!$F$3:$BA$5,3,FALSE),0)</f>
        <v>68</v>
      </c>
      <c r="O10" s="5">
        <f>IFERROR(HLOOKUP(D10,Standings!$F$3:$BA$5,3,FALSE),0)</f>
        <v>23</v>
      </c>
      <c r="P10" s="5">
        <f>IFERROR(HLOOKUP(E10,Standings!$F$3:$BA$5,3,FALSE),0)</f>
        <v>20</v>
      </c>
      <c r="Q10" s="5">
        <f>IFERROR(HLOOKUP(F10,Standings!$F$3:$BA$5,3,FALSE),0)</f>
        <v>16</v>
      </c>
      <c r="R10" s="5">
        <f>IFERROR(HLOOKUP(G10,Standings!$F$3:$BA$5,3,FALSE),0)</f>
        <v>12</v>
      </c>
      <c r="S10" s="5">
        <f>IFERROR(HLOOKUP(H10,Standings!$F$3:$BA$5,3,FALSE),0)</f>
        <v>13</v>
      </c>
      <c r="T10" s="5">
        <f>IFERROR(HLOOKUP(I10,Standings!$F$3:$BA$5,3,FALSE),0)</f>
        <v>7</v>
      </c>
      <c r="U10" s="5">
        <f>IFERROR(HLOOKUP(J10,Standings!$F$3:$BA$5,3,FALSE),0)</f>
        <v>0</v>
      </c>
      <c r="V10" s="5">
        <f>IFERROR(HLOOKUP(K10,Standings!$F$3:$BA$5,3,FALSE),0)</f>
        <v>0</v>
      </c>
      <c r="W10" s="5">
        <f>-IFERROR(HLOOKUP(L10,Standings!$F$3:$BA$5,3,FALSE),0)</f>
        <v>-60</v>
      </c>
      <c r="X10" s="5">
        <f t="shared" si="0"/>
        <v>99</v>
      </c>
    </row>
    <row r="11" spans="2:24" x14ac:dyDescent="0.25">
      <c r="B11" s="48" t="s">
        <v>13</v>
      </c>
      <c r="C11" s="5" t="s">
        <v>51</v>
      </c>
      <c r="D11" s="5" t="s">
        <v>42</v>
      </c>
      <c r="E11" s="5" t="s">
        <v>53</v>
      </c>
      <c r="F11" s="5" t="s">
        <v>67</v>
      </c>
      <c r="G11" s="5" t="s">
        <v>68</v>
      </c>
      <c r="H11" s="5" t="s">
        <v>54</v>
      </c>
      <c r="I11" s="5" t="s">
        <v>69</v>
      </c>
      <c r="J11" s="5" t="s">
        <v>64</v>
      </c>
      <c r="K11" s="5" t="s">
        <v>56</v>
      </c>
      <c r="L11" s="5" t="s">
        <v>45</v>
      </c>
      <c r="N11" s="5">
        <f>IFERROR(HLOOKUP(C11,Standings!$F$3:$BA$5,3,FALSE),0)</f>
        <v>52</v>
      </c>
      <c r="O11" s="5">
        <f>IFERROR(HLOOKUP(D11,Standings!$F$3:$BA$5,3,FALSE),0)</f>
        <v>27</v>
      </c>
      <c r="P11" s="5">
        <f>IFERROR(HLOOKUP(E11,Standings!$F$3:$BA$5,3,FALSE),0)</f>
        <v>20</v>
      </c>
      <c r="Q11" s="5">
        <f>IFERROR(HLOOKUP(F11,Standings!$F$3:$BA$5,3,FALSE),0)</f>
        <v>19</v>
      </c>
      <c r="R11" s="5">
        <f>IFERROR(HLOOKUP(G11,Standings!$F$3:$BA$5,3,FALSE),0)</f>
        <v>18</v>
      </c>
      <c r="S11" s="5">
        <f>IFERROR(HLOOKUP(H11,Standings!$F$3:$BA$5,3,FALSE),0)</f>
        <v>17</v>
      </c>
      <c r="T11" s="5">
        <f>IFERROR(HLOOKUP(I11,Standings!$F$3:$BA$5,3,FALSE),0)</f>
        <v>9</v>
      </c>
      <c r="U11" s="5">
        <f>IFERROR(HLOOKUP(J11,Standings!$F$3:$BA$5,3,FALSE),0)</f>
        <v>5</v>
      </c>
      <c r="V11" s="5">
        <f>IFERROR(HLOOKUP(K11,Standings!$F$3:$BA$5,3,FALSE),0)</f>
        <v>3</v>
      </c>
      <c r="W11" s="5">
        <f>-IFERROR(HLOOKUP(L11,Standings!$F$3:$BA$5,3,FALSE),0)</f>
        <v>-70</v>
      </c>
      <c r="X11" s="5">
        <f t="shared" si="0"/>
        <v>100</v>
      </c>
    </row>
    <row r="12" spans="2:24" x14ac:dyDescent="0.25">
      <c r="B12" s="48" t="s">
        <v>14</v>
      </c>
      <c r="C12" s="5" t="s">
        <v>52</v>
      </c>
      <c r="D12" s="5" t="s">
        <v>38</v>
      </c>
      <c r="E12" s="5" t="s">
        <v>42</v>
      </c>
      <c r="F12" s="5" t="s">
        <v>54</v>
      </c>
      <c r="G12" s="5" t="s">
        <v>46</v>
      </c>
      <c r="H12" s="5" t="s">
        <v>70</v>
      </c>
      <c r="I12" s="5" t="s">
        <v>71</v>
      </c>
      <c r="L12" s="5" t="s">
        <v>59</v>
      </c>
      <c r="N12" s="5">
        <f>IFERROR(HLOOKUP(C12,Standings!$F$3:$BA$5,3,FALSE),0)</f>
        <v>54</v>
      </c>
      <c r="O12" s="5">
        <f>IFERROR(HLOOKUP(D12,Standings!$F$3:$BA$5,3,FALSE),0)</f>
        <v>45</v>
      </c>
      <c r="P12" s="5">
        <f>IFERROR(HLOOKUP(E12,Standings!$F$3:$BA$5,3,FALSE),0)</f>
        <v>27</v>
      </c>
      <c r="Q12" s="5">
        <f>IFERROR(HLOOKUP(F12,Standings!$F$3:$BA$5,3,FALSE),0)</f>
        <v>17</v>
      </c>
      <c r="R12" s="5">
        <f>IFERROR(HLOOKUP(G12,Standings!$F$3:$BA$5,3,FALSE),0)</f>
        <v>8</v>
      </c>
      <c r="S12" s="5">
        <f>IFERROR(HLOOKUP(H12,Standings!$F$3:$BA$5,3,FALSE),0)</f>
        <v>7</v>
      </c>
      <c r="T12" s="5">
        <f>IFERROR(HLOOKUP(I12,Standings!$F$3:$BA$5,3,FALSE),0)</f>
        <v>10</v>
      </c>
      <c r="U12" s="5">
        <f>IFERROR(HLOOKUP(J12,Standings!$F$3:$BA$5,3,FALSE),0)</f>
        <v>0</v>
      </c>
      <c r="V12" s="5">
        <f>IFERROR(HLOOKUP(K12,Standings!$F$3:$BA$5,3,FALSE),0)</f>
        <v>0</v>
      </c>
      <c r="W12" s="5">
        <f>-IFERROR(HLOOKUP(L12,Standings!$F$3:$BA$5,3,FALSE),0)</f>
        <v>-68</v>
      </c>
      <c r="X12" s="5">
        <f t="shared" si="0"/>
        <v>100</v>
      </c>
    </row>
    <row r="13" spans="2:24" x14ac:dyDescent="0.25">
      <c r="B13" s="48" t="s">
        <v>15</v>
      </c>
      <c r="C13" s="5" t="s">
        <v>50</v>
      </c>
      <c r="D13" s="5" t="s">
        <v>67</v>
      </c>
      <c r="E13" s="5" t="s">
        <v>72</v>
      </c>
      <c r="F13" s="5" t="s">
        <v>57</v>
      </c>
      <c r="G13" s="5" t="s">
        <v>62</v>
      </c>
      <c r="H13" s="5" t="s">
        <v>54</v>
      </c>
      <c r="I13" s="5" t="s">
        <v>49</v>
      </c>
      <c r="L13" s="5" t="s">
        <v>40</v>
      </c>
      <c r="N13" s="5">
        <f>IFERROR(HLOOKUP(C13,Standings!$F$3:$BA$5,3,FALSE),0)</f>
        <v>23</v>
      </c>
      <c r="O13" s="5">
        <f>IFERROR(HLOOKUP(D13,Standings!$F$3:$BA$5,3,FALSE),0)</f>
        <v>19</v>
      </c>
      <c r="P13" s="5">
        <f>IFERROR(HLOOKUP(E13,Standings!$F$3:$BA$5,3,FALSE),0)</f>
        <v>25</v>
      </c>
      <c r="Q13" s="5">
        <f>IFERROR(HLOOKUP(F13,Standings!$F$3:$BA$5,3,FALSE),0)</f>
        <v>14</v>
      </c>
      <c r="R13" s="5">
        <f>IFERROR(HLOOKUP(G13,Standings!$F$3:$BA$5,3,FALSE),0)</f>
        <v>21</v>
      </c>
      <c r="S13" s="5">
        <f>IFERROR(HLOOKUP(H13,Standings!$F$3:$BA$5,3,FALSE),0)</f>
        <v>17</v>
      </c>
      <c r="T13" s="5">
        <f>IFERROR(HLOOKUP(I13,Standings!$F$3:$BA$5,3,FALSE),0)</f>
        <v>16</v>
      </c>
      <c r="U13" s="5">
        <f>IFERROR(HLOOKUP(J13,Standings!$F$3:$BA$5,3,FALSE),0)</f>
        <v>0</v>
      </c>
      <c r="V13" s="5">
        <f>IFERROR(HLOOKUP(K13,Standings!$F$3:$BA$5,3,FALSE),0)</f>
        <v>0</v>
      </c>
      <c r="W13" s="5">
        <f>-IFERROR(HLOOKUP(L13,Standings!$F$3:$BA$5,3,FALSE),0)</f>
        <v>-35</v>
      </c>
      <c r="X13" s="5">
        <f t="shared" si="0"/>
        <v>100</v>
      </c>
    </row>
    <row r="14" spans="2:24" x14ac:dyDescent="0.25">
      <c r="B14" s="48" t="s">
        <v>17</v>
      </c>
      <c r="C14" s="5" t="s">
        <v>38</v>
      </c>
      <c r="D14" s="5" t="s">
        <v>53</v>
      </c>
      <c r="E14" s="5" t="s">
        <v>60</v>
      </c>
      <c r="F14" s="5" t="s">
        <v>47</v>
      </c>
      <c r="L14" s="5" t="s">
        <v>39</v>
      </c>
      <c r="N14" s="5">
        <f>IFERROR(HLOOKUP(C14,Standings!$F$3:$BA$5,3,FALSE),0)</f>
        <v>45</v>
      </c>
      <c r="O14" s="5">
        <f>IFERROR(HLOOKUP(D14,Standings!$F$3:$BA$5,3,FALSE),0)</f>
        <v>20</v>
      </c>
      <c r="P14" s="5">
        <f>IFERROR(HLOOKUP(E14,Standings!$F$3:$BA$5,3,FALSE),0)</f>
        <v>26</v>
      </c>
      <c r="Q14" s="5">
        <f>IFERROR(HLOOKUP(F14,Standings!$F$3:$BA$5,3,FALSE),0)</f>
        <v>38</v>
      </c>
      <c r="R14" s="5">
        <f>IFERROR(HLOOKUP(G14,Standings!$F$3:$BA$5,3,FALSE),0)</f>
        <v>0</v>
      </c>
      <c r="S14" s="5">
        <f>IFERROR(HLOOKUP(H14,Standings!$F$3:$BA$5,3,FALSE),0)</f>
        <v>0</v>
      </c>
      <c r="T14" s="5">
        <f>IFERROR(HLOOKUP(I14,Standings!$F$3:$BA$5,3,FALSE),0)</f>
        <v>0</v>
      </c>
      <c r="U14" s="5">
        <f>IFERROR(HLOOKUP(J14,Standings!$F$3:$BA$5,3,FALSE),0)</f>
        <v>0</v>
      </c>
      <c r="V14" s="5">
        <f>IFERROR(HLOOKUP(K14,Standings!$F$3:$BA$5,3,FALSE),0)</f>
        <v>0</v>
      </c>
      <c r="W14" s="5">
        <f>-IFERROR(HLOOKUP(L14,Standings!$F$3:$BA$5,3,FALSE),0)</f>
        <v>-30</v>
      </c>
      <c r="X14" s="5">
        <f t="shared" si="0"/>
        <v>99</v>
      </c>
    </row>
    <row r="15" spans="2:24" x14ac:dyDescent="0.25">
      <c r="B15" s="48" t="s">
        <v>18</v>
      </c>
      <c r="C15" s="5" t="s">
        <v>59</v>
      </c>
      <c r="D15" s="5" t="s">
        <v>38</v>
      </c>
      <c r="E15" s="5" t="s">
        <v>47</v>
      </c>
      <c r="L15" s="5" t="s">
        <v>51</v>
      </c>
      <c r="N15" s="5">
        <f>IFERROR(HLOOKUP(C15,Standings!$F$3:$BA$5,3,FALSE),0)</f>
        <v>68</v>
      </c>
      <c r="O15" s="5">
        <f>IFERROR(HLOOKUP(D15,Standings!$F$3:$BA$5,3,FALSE),0)</f>
        <v>45</v>
      </c>
      <c r="P15" s="5">
        <f>IFERROR(HLOOKUP(E15,Standings!$F$3:$BA$5,3,FALSE),0)</f>
        <v>38</v>
      </c>
      <c r="Q15" s="5">
        <f>IFERROR(HLOOKUP(F15,Standings!$F$3:$BA$5,3,FALSE),0)</f>
        <v>0</v>
      </c>
      <c r="R15" s="5">
        <f>IFERROR(HLOOKUP(G15,Standings!$F$3:$BA$5,3,FALSE),0)</f>
        <v>0</v>
      </c>
      <c r="S15" s="5">
        <f>IFERROR(HLOOKUP(H15,Standings!$F$3:$BA$5,3,FALSE),0)</f>
        <v>0</v>
      </c>
      <c r="T15" s="5">
        <f>IFERROR(HLOOKUP(I15,Standings!$F$3:$BA$5,3,FALSE),0)</f>
        <v>0</v>
      </c>
      <c r="U15" s="5">
        <f>IFERROR(HLOOKUP(J15,Standings!$F$3:$BA$5,3,FALSE),0)</f>
        <v>0</v>
      </c>
      <c r="V15" s="5">
        <f>IFERROR(HLOOKUP(K15,Standings!$F$3:$BA$5,3,FALSE),0)</f>
        <v>0</v>
      </c>
      <c r="W15" s="5">
        <f>-IFERROR(HLOOKUP(L15,Standings!$F$3:$BA$5,3,FALSE),0)</f>
        <v>-52</v>
      </c>
      <c r="X15" s="5">
        <f t="shared" si="0"/>
        <v>99</v>
      </c>
    </row>
    <row r="16" spans="2:24" x14ac:dyDescent="0.25">
      <c r="B16" s="48" t="s">
        <v>19</v>
      </c>
      <c r="C16" s="5" t="s">
        <v>61</v>
      </c>
      <c r="D16" s="5" t="s">
        <v>42</v>
      </c>
      <c r="E16" s="5" t="s">
        <v>60</v>
      </c>
      <c r="F16" s="5" t="s">
        <v>71</v>
      </c>
      <c r="G16" s="5" t="s">
        <v>65</v>
      </c>
      <c r="H16" s="5" t="s">
        <v>70</v>
      </c>
      <c r="I16" s="5" t="s">
        <v>73</v>
      </c>
      <c r="J16" s="5" t="s">
        <v>64</v>
      </c>
      <c r="L16" s="5" t="s">
        <v>38</v>
      </c>
      <c r="N16" s="5">
        <f>IFERROR(HLOOKUP(C16,Standings!$F$3:$BA$5,3,FALSE),0)</f>
        <v>50</v>
      </c>
      <c r="O16" s="5">
        <f>IFERROR(HLOOKUP(D16,Standings!$F$3:$BA$5,3,FALSE),0)</f>
        <v>27</v>
      </c>
      <c r="P16" s="5">
        <f>IFERROR(HLOOKUP(E16,Standings!$F$3:$BA$5,3,FALSE),0)</f>
        <v>26</v>
      </c>
      <c r="Q16" s="5">
        <f>IFERROR(HLOOKUP(F16,Standings!$F$3:$BA$5,3,FALSE),0)</f>
        <v>10</v>
      </c>
      <c r="R16" s="5">
        <f>IFERROR(HLOOKUP(G16,Standings!$F$3:$BA$5,3,FALSE),0)</f>
        <v>13</v>
      </c>
      <c r="S16" s="5">
        <f>IFERROR(HLOOKUP(H16,Standings!$F$3:$BA$5,3,FALSE),0)</f>
        <v>7</v>
      </c>
      <c r="T16" s="5">
        <f>IFERROR(HLOOKUP(I16,Standings!$F$3:$BA$5,3,FALSE),0)</f>
        <v>7</v>
      </c>
      <c r="U16" s="5">
        <f>IFERROR(HLOOKUP(J16,Standings!$F$3:$BA$5,3,FALSE),0)</f>
        <v>5</v>
      </c>
      <c r="V16" s="5">
        <f>IFERROR(HLOOKUP(K16,Standings!$F$3:$BA$5,3,FALSE),0)</f>
        <v>0</v>
      </c>
      <c r="W16" s="5">
        <f>-IFERROR(HLOOKUP(L16,Standings!$F$3:$BA$5,3,FALSE),0)</f>
        <v>-45</v>
      </c>
      <c r="X16" s="5">
        <f t="shared" si="0"/>
        <v>100</v>
      </c>
    </row>
    <row r="17" spans="2:24" x14ac:dyDescent="0.25">
      <c r="B17" s="48" t="s">
        <v>21</v>
      </c>
      <c r="C17" s="5" t="s">
        <v>40</v>
      </c>
      <c r="D17" s="5" t="s">
        <v>60</v>
      </c>
      <c r="E17" s="5" t="s">
        <v>42</v>
      </c>
      <c r="F17" s="5" t="s">
        <v>41</v>
      </c>
      <c r="G17" s="5" t="s">
        <v>67</v>
      </c>
      <c r="H17" s="5" t="s">
        <v>49</v>
      </c>
      <c r="I17" s="5" t="s">
        <v>48</v>
      </c>
      <c r="J17" s="5" t="s">
        <v>71</v>
      </c>
      <c r="K17" s="5" t="s">
        <v>74</v>
      </c>
      <c r="L17" s="5" t="s">
        <v>59</v>
      </c>
      <c r="N17" s="5">
        <f>IFERROR(HLOOKUP(C17,Standings!$F$3:$BA$5,3,FALSE),0)</f>
        <v>35</v>
      </c>
      <c r="O17" s="5">
        <f>IFERROR(HLOOKUP(D17,Standings!$F$3:$BA$5,3,FALSE),0)</f>
        <v>26</v>
      </c>
      <c r="P17" s="5">
        <f>IFERROR(HLOOKUP(E17,Standings!$F$3:$BA$5,3,FALSE),0)</f>
        <v>27</v>
      </c>
      <c r="Q17" s="5">
        <f>IFERROR(HLOOKUP(F17,Standings!$F$3:$BA$5,3,FALSE),0)</f>
        <v>20</v>
      </c>
      <c r="R17" s="5">
        <f>IFERROR(HLOOKUP(G17,Standings!$F$3:$BA$5,3,FALSE),0)</f>
        <v>19</v>
      </c>
      <c r="S17" s="5">
        <f>IFERROR(HLOOKUP(H17,Standings!$F$3:$BA$5,3,FALSE),0)</f>
        <v>16</v>
      </c>
      <c r="T17" s="5">
        <f>IFERROR(HLOOKUP(I17,Standings!$F$3:$BA$5,3,FALSE),0)</f>
        <v>12</v>
      </c>
      <c r="U17" s="5">
        <f>IFERROR(HLOOKUP(J17,Standings!$F$3:$BA$5,3,FALSE),0)</f>
        <v>10</v>
      </c>
      <c r="V17" s="5">
        <f>IFERROR(HLOOKUP(K17,Standings!$F$3:$BA$5,3,FALSE),0)</f>
        <v>3</v>
      </c>
      <c r="W17" s="5">
        <f>-IFERROR(HLOOKUP(L17,Standings!$F$3:$BA$5,3,FALSE),0)</f>
        <v>-68</v>
      </c>
      <c r="X17" s="5">
        <f t="shared" si="0"/>
        <v>100</v>
      </c>
    </row>
    <row r="18" spans="2:24" x14ac:dyDescent="0.25">
      <c r="B18" s="48" t="s">
        <v>22</v>
      </c>
      <c r="C18" s="5" t="s">
        <v>40</v>
      </c>
      <c r="D18" s="5" t="s">
        <v>60</v>
      </c>
      <c r="E18" s="5" t="s">
        <v>42</v>
      </c>
      <c r="F18" s="5" t="s">
        <v>41</v>
      </c>
      <c r="G18" s="5" t="s">
        <v>67</v>
      </c>
      <c r="H18" s="5" t="s">
        <v>49</v>
      </c>
      <c r="I18" s="5" t="s">
        <v>65</v>
      </c>
      <c r="J18" s="5" t="s">
        <v>71</v>
      </c>
      <c r="K18" s="5" t="s">
        <v>74</v>
      </c>
      <c r="L18" s="5" t="s">
        <v>45</v>
      </c>
      <c r="N18" s="5">
        <f>IFERROR(HLOOKUP(C18,Standings!$F$3:$BA$5,3,FALSE),0)</f>
        <v>35</v>
      </c>
      <c r="O18" s="5">
        <f>IFERROR(HLOOKUP(D18,Standings!$F$3:$BA$5,3,FALSE),0)</f>
        <v>26</v>
      </c>
      <c r="P18" s="5">
        <f>IFERROR(HLOOKUP(E18,Standings!$F$3:$BA$5,3,FALSE),0)</f>
        <v>27</v>
      </c>
      <c r="Q18" s="5">
        <f>IFERROR(HLOOKUP(F18,Standings!$F$3:$BA$5,3,FALSE),0)</f>
        <v>20</v>
      </c>
      <c r="R18" s="5">
        <f>IFERROR(HLOOKUP(G18,Standings!$F$3:$BA$5,3,FALSE),0)</f>
        <v>19</v>
      </c>
      <c r="S18" s="5">
        <f>IFERROR(HLOOKUP(H18,Standings!$F$3:$BA$5,3,FALSE),0)</f>
        <v>16</v>
      </c>
      <c r="T18" s="5">
        <f>IFERROR(HLOOKUP(I18,Standings!$F$3:$BA$5,3,FALSE),0)</f>
        <v>13</v>
      </c>
      <c r="U18" s="5">
        <f>IFERROR(HLOOKUP(J18,Standings!$F$3:$BA$5,3,FALSE),0)</f>
        <v>10</v>
      </c>
      <c r="V18" s="5">
        <f>IFERROR(HLOOKUP(K18,Standings!$F$3:$BA$5,3,FALSE),0)</f>
        <v>3</v>
      </c>
      <c r="W18" s="5">
        <f>-IFERROR(HLOOKUP(L18,Standings!$F$3:$BA$5,3,FALSE),0)</f>
        <v>-70</v>
      </c>
      <c r="X18" s="5">
        <f t="shared" si="0"/>
        <v>99</v>
      </c>
    </row>
    <row r="19" spans="2:24" x14ac:dyDescent="0.25">
      <c r="B19" s="48" t="s">
        <v>23</v>
      </c>
      <c r="C19" s="5" t="s">
        <v>59</v>
      </c>
      <c r="D19" s="5" t="s">
        <v>50</v>
      </c>
      <c r="E19" s="5" t="s">
        <v>69</v>
      </c>
      <c r="F19" s="5" t="s">
        <v>71</v>
      </c>
      <c r="G19" s="5" t="s">
        <v>75</v>
      </c>
      <c r="L19" s="5" t="s">
        <v>41</v>
      </c>
      <c r="N19" s="5">
        <f>IFERROR(HLOOKUP(C19,Standings!$F$3:$BA$5,3,FALSE),0)</f>
        <v>68</v>
      </c>
      <c r="O19" s="5">
        <f>IFERROR(HLOOKUP(D19,Standings!$F$3:$BA$5,3,FALSE),0)</f>
        <v>23</v>
      </c>
      <c r="P19" s="5">
        <f>IFERROR(HLOOKUP(E19,Standings!$F$3:$BA$5,3,FALSE),0)</f>
        <v>9</v>
      </c>
      <c r="Q19" s="5">
        <f>IFERROR(HLOOKUP(F19,Standings!$F$3:$BA$5,3,FALSE),0)</f>
        <v>10</v>
      </c>
      <c r="R19" s="5">
        <f>IFERROR(HLOOKUP(G19,Standings!$F$3:$BA$5,3,FALSE),0)</f>
        <v>9</v>
      </c>
      <c r="S19" s="5">
        <f>IFERROR(HLOOKUP(H19,Standings!$F$3:$BA$5,3,FALSE),0)</f>
        <v>0</v>
      </c>
      <c r="T19" s="5">
        <f>IFERROR(HLOOKUP(I19,Standings!$F$3:$BA$5,3,FALSE),0)</f>
        <v>0</v>
      </c>
      <c r="U19" s="5">
        <f>IFERROR(HLOOKUP(J19,Standings!$F$3:$BA$5,3,FALSE),0)</f>
        <v>0</v>
      </c>
      <c r="V19" s="5">
        <f>IFERROR(HLOOKUP(K19,Standings!$F$3:$BA$5,3,FALSE),0)</f>
        <v>0</v>
      </c>
      <c r="W19" s="5">
        <f>-IFERROR(HLOOKUP(L19,Standings!$F$3:$BA$5,3,FALSE),0)</f>
        <v>-20</v>
      </c>
      <c r="X19" s="5">
        <f t="shared" si="0"/>
        <v>99</v>
      </c>
    </row>
    <row r="20" spans="2:24" x14ac:dyDescent="0.25">
      <c r="B20" s="48" t="s">
        <v>25</v>
      </c>
      <c r="C20" s="5" t="s">
        <v>67</v>
      </c>
      <c r="D20" s="5" t="s">
        <v>55</v>
      </c>
      <c r="E20" s="5" t="s">
        <v>65</v>
      </c>
      <c r="F20" s="5" t="s">
        <v>41</v>
      </c>
      <c r="G20" s="5" t="s">
        <v>70</v>
      </c>
      <c r="H20" s="5" t="s">
        <v>76</v>
      </c>
      <c r="I20" s="5" t="s">
        <v>71</v>
      </c>
      <c r="J20" s="5" t="s">
        <v>54</v>
      </c>
      <c r="K20" s="5" t="s">
        <v>49</v>
      </c>
      <c r="L20" s="5" t="s">
        <v>50</v>
      </c>
      <c r="N20" s="5">
        <f>IFERROR(HLOOKUP(C20,Standings!$F$3:$BA$5,3,FALSE),0)</f>
        <v>19</v>
      </c>
      <c r="O20" s="5">
        <f>IFERROR(HLOOKUP(D20,Standings!$F$3:$BA$5,3,FALSE),0)</f>
        <v>12</v>
      </c>
      <c r="P20" s="5">
        <f>IFERROR(HLOOKUP(E20,Standings!$F$3:$BA$5,3,FALSE),0)</f>
        <v>13</v>
      </c>
      <c r="Q20" s="5">
        <f>IFERROR(HLOOKUP(F20,Standings!$F$3:$BA$5,3,FALSE),0)</f>
        <v>20</v>
      </c>
      <c r="R20" s="5">
        <f>IFERROR(HLOOKUP(G20,Standings!$F$3:$BA$5,3,FALSE),0)</f>
        <v>7</v>
      </c>
      <c r="S20" s="5">
        <f>IFERROR(HLOOKUP(H20,Standings!$F$3:$BA$5,3,FALSE),0)</f>
        <v>8</v>
      </c>
      <c r="T20" s="5">
        <f>IFERROR(HLOOKUP(I20,Standings!$F$3:$BA$5,3,FALSE),0)</f>
        <v>10</v>
      </c>
      <c r="U20" s="5">
        <f>IFERROR(HLOOKUP(J20,Standings!$F$3:$BA$5,3,FALSE),0)</f>
        <v>17</v>
      </c>
      <c r="V20" s="5">
        <f>IFERROR(HLOOKUP(K20,Standings!$F$3:$BA$5,3,FALSE),0)</f>
        <v>16</v>
      </c>
      <c r="W20" s="5">
        <f>-IFERROR(HLOOKUP(L20,Standings!$F$3:$BA$5,3,FALSE),0)</f>
        <v>-23</v>
      </c>
      <c r="X20" s="5">
        <f t="shared" si="0"/>
        <v>99</v>
      </c>
    </row>
    <row r="21" spans="2:24" x14ac:dyDescent="0.25">
      <c r="B21" s="48" t="s">
        <v>154</v>
      </c>
      <c r="C21" s="5" t="s">
        <v>41</v>
      </c>
      <c r="D21" s="5" t="s">
        <v>59</v>
      </c>
      <c r="E21" s="5" t="s">
        <v>50</v>
      </c>
      <c r="F21" s="5" t="s">
        <v>62</v>
      </c>
      <c r="G21" s="5" t="s">
        <v>43</v>
      </c>
      <c r="L21" s="5" t="s">
        <v>40</v>
      </c>
      <c r="N21" s="5">
        <f>IFERROR(HLOOKUP(C21,Standings!$F$3:$BA$5,3,FALSE),0)</f>
        <v>20</v>
      </c>
      <c r="O21" s="5">
        <f>IFERROR(HLOOKUP(D21,Standings!$F$3:$BA$5,3,FALSE),0)</f>
        <v>68</v>
      </c>
      <c r="P21" s="5">
        <f>IFERROR(HLOOKUP(E21,Standings!$F$3:$BA$5,3,FALSE),0)</f>
        <v>23</v>
      </c>
      <c r="Q21" s="5">
        <f>IFERROR(HLOOKUP(F21,Standings!$F$3:$BA$5,3,FALSE),0)</f>
        <v>21</v>
      </c>
      <c r="R21" s="5">
        <f>IFERROR(HLOOKUP(G21,Standings!$F$3:$BA$5,3,FALSE),0)</f>
        <v>3</v>
      </c>
      <c r="S21" s="5">
        <f>IFERROR(HLOOKUP(H21,Standings!$F$3:$BA$5,3,FALSE),0)</f>
        <v>0</v>
      </c>
      <c r="T21" s="5">
        <f>IFERROR(HLOOKUP(I21,Standings!$F$3:$BA$5,3,FALSE),0)</f>
        <v>0</v>
      </c>
      <c r="U21" s="5">
        <f>IFERROR(HLOOKUP(J21,Standings!$F$3:$BA$5,3,FALSE),0)</f>
        <v>0</v>
      </c>
      <c r="V21" s="5">
        <f>IFERROR(HLOOKUP(K21,Standings!$F$3:$BA$5,3,FALSE),0)</f>
        <v>0</v>
      </c>
      <c r="W21" s="5">
        <f>-IFERROR(HLOOKUP(L21,Standings!$F$3:$BA$5,3,FALSE),0)</f>
        <v>-35</v>
      </c>
      <c r="X21" s="5">
        <f t="shared" si="0"/>
        <v>100</v>
      </c>
    </row>
    <row r="22" spans="2:24" x14ac:dyDescent="0.25">
      <c r="B22" s="48" t="s">
        <v>155</v>
      </c>
      <c r="C22" s="5" t="s">
        <v>44</v>
      </c>
      <c r="D22" s="5" t="s">
        <v>72</v>
      </c>
      <c r="E22" s="5" t="s">
        <v>95</v>
      </c>
      <c r="F22" s="5" t="s">
        <v>38</v>
      </c>
      <c r="G22" s="5" t="s">
        <v>69</v>
      </c>
      <c r="H22" s="5" t="s">
        <v>88</v>
      </c>
      <c r="L22" s="5" t="s">
        <v>61</v>
      </c>
      <c r="N22" s="5">
        <f>IFERROR(HLOOKUP(C22,Standings!$F$3:$BA$5,3,FALSE),0)</f>
        <v>60</v>
      </c>
      <c r="O22" s="5">
        <f>IFERROR(HLOOKUP(D22,Standings!$F$3:$BA$5,3,FALSE),0)</f>
        <v>25</v>
      </c>
      <c r="P22" s="5">
        <f>IFERROR(HLOOKUP(E22,Standings!$F$3:$BA$5,3,FALSE),0)</f>
        <v>5</v>
      </c>
      <c r="Q22" s="5">
        <f>IFERROR(HLOOKUP(F22,Standings!$F$3:$BA$5,3,FALSE),0)</f>
        <v>45</v>
      </c>
      <c r="R22" s="5">
        <f>IFERROR(HLOOKUP(G22,Standings!$F$3:$BA$5,3,FALSE),0)</f>
        <v>9</v>
      </c>
      <c r="S22" s="5">
        <f>IFERROR(HLOOKUP(H22,Standings!$F$3:$BA$5,3,FALSE),0)</f>
        <v>6</v>
      </c>
      <c r="T22" s="5">
        <f>IFERROR(HLOOKUP(I22,Standings!$F$3:$BA$5,3,FALSE),0)</f>
        <v>0</v>
      </c>
      <c r="U22" s="5">
        <f>IFERROR(HLOOKUP(J22,Standings!$F$3:$BA$5,3,FALSE),0)</f>
        <v>0</v>
      </c>
      <c r="V22" s="5">
        <f>IFERROR(HLOOKUP(K22,Standings!$F$3:$BA$5,3,FALSE),0)</f>
        <v>0</v>
      </c>
      <c r="W22" s="5">
        <f>-IFERROR(HLOOKUP(L22,Standings!$F$3:$BA$5,3,FALSE),0)</f>
        <v>-50</v>
      </c>
      <c r="X22" s="5">
        <f t="shared" si="0"/>
        <v>100</v>
      </c>
    </row>
    <row r="23" spans="2:24" x14ac:dyDescent="0.25">
      <c r="B23" s="48" t="s">
        <v>153</v>
      </c>
      <c r="C23" s="5" t="s">
        <v>50</v>
      </c>
      <c r="D23" s="5" t="s">
        <v>42</v>
      </c>
      <c r="E23" s="5" t="s">
        <v>67</v>
      </c>
      <c r="F23" s="5" t="s">
        <v>66</v>
      </c>
      <c r="G23" s="5" t="s">
        <v>46</v>
      </c>
      <c r="H23" s="5" t="s">
        <v>41</v>
      </c>
      <c r="I23" s="5" t="s">
        <v>54</v>
      </c>
      <c r="J23" s="5" t="s">
        <v>93</v>
      </c>
      <c r="L23" s="5" t="s">
        <v>60</v>
      </c>
      <c r="N23" s="5">
        <f>IFERROR(HLOOKUP(C23,Standings!$F$3:$BA$5,3,FALSE),0)</f>
        <v>23</v>
      </c>
      <c r="O23" s="5">
        <f>IFERROR(HLOOKUP(D23,Standings!$F$3:$BA$5,3,FALSE),0)</f>
        <v>27</v>
      </c>
      <c r="P23" s="5">
        <f>IFERROR(HLOOKUP(E23,Standings!$F$3:$BA$5,3,FALSE),0)</f>
        <v>19</v>
      </c>
      <c r="Q23" s="5">
        <f>IFERROR(HLOOKUP(F23,Standings!$F$3:$BA$5,3,FALSE),0)</f>
        <v>7</v>
      </c>
      <c r="R23" s="5">
        <f>IFERROR(HLOOKUP(G23,Standings!$F$3:$BA$5,3,FALSE),0)</f>
        <v>8</v>
      </c>
      <c r="S23" s="5">
        <f>IFERROR(HLOOKUP(H23,Standings!$F$3:$BA$5,3,FALSE),0)</f>
        <v>20</v>
      </c>
      <c r="T23" s="5">
        <f>IFERROR(HLOOKUP(I23,Standings!$F$3:$BA$5,3,FALSE),0)</f>
        <v>17</v>
      </c>
      <c r="U23" s="5">
        <f>IFERROR(HLOOKUP(J23,Standings!$F$3:$BA$5,3,FALSE),0)</f>
        <v>5</v>
      </c>
      <c r="V23" s="5">
        <f>IFERROR(HLOOKUP(K23,Standings!$F$3:$BA$5,3,FALSE),0)</f>
        <v>0</v>
      </c>
      <c r="W23" s="5">
        <f>-IFERROR(HLOOKUP(L23,Standings!$F$3:$BA$5,3,FALSE),0)</f>
        <v>-26</v>
      </c>
      <c r="X23" s="5">
        <f t="shared" si="0"/>
        <v>100</v>
      </c>
    </row>
    <row r="24" spans="2:24" x14ac:dyDescent="0.25">
      <c r="B24" s="48" t="s">
        <v>156</v>
      </c>
      <c r="C24" s="5" t="s">
        <v>67</v>
      </c>
      <c r="D24" s="5" t="s">
        <v>39</v>
      </c>
      <c r="E24" s="5" t="s">
        <v>42</v>
      </c>
      <c r="F24" s="5" t="s">
        <v>44</v>
      </c>
      <c r="G24" s="5" t="s">
        <v>41</v>
      </c>
      <c r="H24" s="5" t="s">
        <v>48</v>
      </c>
      <c r="L24" s="5" t="s">
        <v>59</v>
      </c>
      <c r="N24" s="5">
        <f>IFERROR(HLOOKUP(C24,Standings!$F$3:$BA$5,3,FALSE),0)</f>
        <v>19</v>
      </c>
      <c r="O24" s="5">
        <f>IFERROR(HLOOKUP(D24,Standings!$F$3:$BA$5,3,FALSE),0)</f>
        <v>30</v>
      </c>
      <c r="P24" s="5">
        <f>IFERROR(HLOOKUP(E24,Standings!$F$3:$BA$5,3,FALSE),0)</f>
        <v>27</v>
      </c>
      <c r="Q24" s="5">
        <f>IFERROR(HLOOKUP(F24,Standings!$F$3:$BA$5,3,FALSE),0)</f>
        <v>60</v>
      </c>
      <c r="R24" s="5">
        <f>IFERROR(HLOOKUP(G24,Standings!$F$3:$BA$5,3,FALSE),0)</f>
        <v>20</v>
      </c>
      <c r="S24" s="5">
        <f>IFERROR(HLOOKUP(H24,Standings!$F$3:$BA$5,3,FALSE),0)</f>
        <v>12</v>
      </c>
      <c r="T24" s="5">
        <f>IFERROR(HLOOKUP(I24,Standings!$F$3:$BA$5,3,FALSE),0)</f>
        <v>0</v>
      </c>
      <c r="U24" s="5">
        <f>IFERROR(HLOOKUP(J24,Standings!$F$3:$BA$5,3,FALSE),0)</f>
        <v>0</v>
      </c>
      <c r="V24" s="5">
        <f>IFERROR(HLOOKUP(K24,Standings!$F$3:$BA$5,3,FALSE),0)</f>
        <v>0</v>
      </c>
      <c r="W24" s="5">
        <f>-IFERROR(HLOOKUP(L24,Standings!$F$3:$BA$5,3,FALSE),0)</f>
        <v>-68</v>
      </c>
      <c r="X24" s="5">
        <f t="shared" si="0"/>
        <v>100</v>
      </c>
    </row>
    <row r="25" spans="2:24" x14ac:dyDescent="0.25">
      <c r="B25" s="48" t="s">
        <v>158</v>
      </c>
      <c r="C25" s="5" t="s">
        <v>60</v>
      </c>
      <c r="D25" s="5" t="s">
        <v>54</v>
      </c>
      <c r="E25" s="5" t="s">
        <v>62</v>
      </c>
      <c r="F25" s="5" t="s">
        <v>71</v>
      </c>
      <c r="G25" s="5" t="s">
        <v>68</v>
      </c>
      <c r="H25" s="5" t="s">
        <v>59</v>
      </c>
      <c r="L25" s="5" t="s">
        <v>44</v>
      </c>
      <c r="N25" s="5">
        <f>IFERROR(HLOOKUP(C25,Standings!$F$3:$BA$5,3,FALSE),0)</f>
        <v>26</v>
      </c>
      <c r="O25" s="5">
        <f>IFERROR(HLOOKUP(D25,Standings!$F$3:$BA$5,3,FALSE),0)</f>
        <v>17</v>
      </c>
      <c r="P25" s="5">
        <f>IFERROR(HLOOKUP(E25,Standings!$F$3:$BA$5,3,FALSE),0)</f>
        <v>21</v>
      </c>
      <c r="Q25" s="5">
        <f>IFERROR(HLOOKUP(F25,Standings!$F$3:$BA$5,3,FALSE),0)</f>
        <v>10</v>
      </c>
      <c r="R25" s="5">
        <f>IFERROR(HLOOKUP(G25,Standings!$F$3:$BA$5,3,FALSE),0)</f>
        <v>18</v>
      </c>
      <c r="S25" s="5">
        <f>IFERROR(HLOOKUP(H25,Standings!$F$3:$BA$5,3,FALSE),0)</f>
        <v>68</v>
      </c>
      <c r="T25" s="5">
        <f>IFERROR(HLOOKUP(I25,Standings!$F$3:$BA$5,3,FALSE),0)</f>
        <v>0</v>
      </c>
      <c r="U25" s="5">
        <f>IFERROR(HLOOKUP(J25,Standings!$F$3:$BA$5,3,FALSE),0)</f>
        <v>0</v>
      </c>
      <c r="V25" s="5">
        <f>IFERROR(HLOOKUP(K25,Standings!$F$3:$BA$5,3,FALSE),0)</f>
        <v>0</v>
      </c>
      <c r="W25" s="5">
        <f>-IFERROR(HLOOKUP(L25,Standings!$F$3:$BA$5,3,FALSE),0)</f>
        <v>-60</v>
      </c>
      <c r="X25" s="5">
        <f t="shared" si="0"/>
        <v>100</v>
      </c>
    </row>
    <row r="26" spans="2:24" x14ac:dyDescent="0.25">
      <c r="B26" s="48" t="s">
        <v>159</v>
      </c>
      <c r="C26" s="5" t="s">
        <v>42</v>
      </c>
      <c r="D26" s="5" t="s">
        <v>65</v>
      </c>
      <c r="E26" s="5" t="s">
        <v>43</v>
      </c>
      <c r="F26" s="5" t="s">
        <v>44</v>
      </c>
      <c r="G26" s="5" t="s">
        <v>41</v>
      </c>
      <c r="L26" s="5" t="s">
        <v>50</v>
      </c>
      <c r="N26" s="5">
        <f>IFERROR(HLOOKUP(C26,Standings!$F$3:$BA$5,3,FALSE),0)</f>
        <v>27</v>
      </c>
      <c r="O26" s="5">
        <f>IFERROR(HLOOKUP(D26,Standings!$F$3:$BA$5,3,FALSE),0)</f>
        <v>13</v>
      </c>
      <c r="P26" s="5">
        <f>IFERROR(HLOOKUP(E26,Standings!$F$3:$BA$5,3,FALSE),0)</f>
        <v>3</v>
      </c>
      <c r="Q26" s="5">
        <f>IFERROR(HLOOKUP(F26,Standings!$F$3:$BA$5,3,FALSE),0)</f>
        <v>60</v>
      </c>
      <c r="R26" s="5">
        <f>IFERROR(HLOOKUP(G26,Standings!$F$3:$BA$5,3,FALSE),0)</f>
        <v>20</v>
      </c>
      <c r="S26" s="5">
        <f>IFERROR(HLOOKUP(H26,Standings!$F$3:$BA$5,3,FALSE),0)</f>
        <v>0</v>
      </c>
      <c r="T26" s="5">
        <f>IFERROR(HLOOKUP(I26,Standings!$F$3:$BA$5,3,FALSE),0)</f>
        <v>0</v>
      </c>
      <c r="U26" s="5">
        <f>IFERROR(HLOOKUP(J26,Standings!$F$3:$BA$5,3,FALSE),0)</f>
        <v>0</v>
      </c>
      <c r="V26" s="5">
        <f>IFERROR(HLOOKUP(K26,Standings!$F$3:$BA$5,3,FALSE),0)</f>
        <v>0</v>
      </c>
      <c r="W26" s="5">
        <f>-IFERROR(HLOOKUP(L26,Standings!$F$3:$BA$5,3,FALSE),0)</f>
        <v>-23</v>
      </c>
      <c r="X26" s="5">
        <f t="shared" si="0"/>
        <v>100</v>
      </c>
    </row>
    <row r="27" spans="2:24" x14ac:dyDescent="0.25">
      <c r="B27" s="48" t="s">
        <v>160</v>
      </c>
      <c r="C27" s="5" t="s">
        <v>59</v>
      </c>
      <c r="D27" s="5" t="s">
        <v>49</v>
      </c>
      <c r="E27" s="5" t="s">
        <v>68</v>
      </c>
      <c r="F27" s="5" t="s">
        <v>48</v>
      </c>
      <c r="G27" s="5" t="s">
        <v>65</v>
      </c>
      <c r="H27" s="5" t="s">
        <v>56</v>
      </c>
      <c r="I27" s="5" t="s">
        <v>76</v>
      </c>
      <c r="L27" s="5" t="s">
        <v>47</v>
      </c>
      <c r="N27" s="5">
        <f>IFERROR(HLOOKUP(C27,Standings!$F$3:$BA$5,3,FALSE),0)</f>
        <v>68</v>
      </c>
      <c r="O27" s="5">
        <f>IFERROR(HLOOKUP(D27,Standings!$F$3:$BA$5,3,FALSE),0)</f>
        <v>16</v>
      </c>
      <c r="P27" s="5">
        <f>IFERROR(HLOOKUP(E27,Standings!$F$3:$BA$5,3,FALSE),0)</f>
        <v>18</v>
      </c>
      <c r="Q27" s="5">
        <f>IFERROR(HLOOKUP(F27,Standings!$F$3:$BA$5,3,FALSE),0)</f>
        <v>12</v>
      </c>
      <c r="R27" s="5">
        <f>IFERROR(HLOOKUP(G27,Standings!$F$3:$BA$5,3,FALSE),0)</f>
        <v>13</v>
      </c>
      <c r="S27" s="5">
        <f>IFERROR(HLOOKUP(H27,Standings!$F$3:$BA$5,3,FALSE),0)</f>
        <v>3</v>
      </c>
      <c r="T27" s="5">
        <f>IFERROR(HLOOKUP(I27,Standings!$F$3:$BA$5,3,FALSE),0)</f>
        <v>8</v>
      </c>
      <c r="U27" s="5">
        <f>IFERROR(HLOOKUP(J27,Standings!$F$3:$BA$5,3,FALSE),0)</f>
        <v>0</v>
      </c>
      <c r="V27" s="5">
        <f>IFERROR(HLOOKUP(K27,Standings!$F$3:$BA$5,3,FALSE),0)</f>
        <v>0</v>
      </c>
      <c r="W27" s="5">
        <f>-IFERROR(HLOOKUP(L27,Standings!$F$3:$BA$5,3,FALSE),0)</f>
        <v>-38</v>
      </c>
      <c r="X27" s="5">
        <f t="shared" si="0"/>
        <v>100</v>
      </c>
    </row>
    <row r="28" spans="2:24" x14ac:dyDescent="0.25">
      <c r="B28" s="48" t="s">
        <v>162</v>
      </c>
      <c r="C28" s="5" t="s">
        <v>59</v>
      </c>
      <c r="D28" s="5" t="s">
        <v>51</v>
      </c>
      <c r="E28" s="5" t="s">
        <v>48</v>
      </c>
      <c r="F28" s="5" t="s">
        <v>74</v>
      </c>
      <c r="G28" s="5" t="s">
        <v>56</v>
      </c>
      <c r="L28" s="5" t="s">
        <v>47</v>
      </c>
      <c r="N28" s="5">
        <f>IFERROR(HLOOKUP(C28,Standings!$F$3:$BA$5,3,FALSE),0)</f>
        <v>68</v>
      </c>
      <c r="O28" s="5">
        <f>IFERROR(HLOOKUP(D28,Standings!$F$3:$BA$5,3,FALSE),0)</f>
        <v>52</v>
      </c>
      <c r="P28" s="5">
        <f>IFERROR(HLOOKUP(E28,Standings!$F$3:$BA$5,3,FALSE),0)</f>
        <v>12</v>
      </c>
      <c r="Q28" s="5">
        <f>IFERROR(HLOOKUP(F28,Standings!$F$3:$BA$5,3,FALSE),0)</f>
        <v>3</v>
      </c>
      <c r="R28" s="5">
        <f>IFERROR(HLOOKUP(G28,Standings!$F$3:$BA$5,3,FALSE),0)</f>
        <v>3</v>
      </c>
      <c r="S28" s="5">
        <f>IFERROR(HLOOKUP(H28,Standings!$F$3:$BA$5,3,FALSE),0)</f>
        <v>0</v>
      </c>
      <c r="T28" s="5">
        <f>IFERROR(HLOOKUP(I28,Standings!$F$3:$BA$5,3,FALSE),0)</f>
        <v>0</v>
      </c>
      <c r="U28" s="5">
        <f>IFERROR(HLOOKUP(J28,Standings!$F$3:$BA$5,3,FALSE),0)</f>
        <v>0</v>
      </c>
      <c r="V28" s="5">
        <f>IFERROR(HLOOKUP(K28,Standings!$F$3:$BA$5,3,FALSE),0)</f>
        <v>0</v>
      </c>
      <c r="W28" s="5">
        <f>-IFERROR(HLOOKUP(L28,Standings!$F$3:$BA$5,3,FALSE),0)</f>
        <v>-38</v>
      </c>
      <c r="X28" s="5">
        <f t="shared" si="0"/>
        <v>100</v>
      </c>
    </row>
    <row r="29" spans="2:24" x14ac:dyDescent="0.25">
      <c r="B29" s="48" t="s">
        <v>164</v>
      </c>
      <c r="C29" s="5" t="s">
        <v>51</v>
      </c>
      <c r="D29" s="5" t="s">
        <v>68</v>
      </c>
      <c r="E29" s="5" t="s">
        <v>49</v>
      </c>
      <c r="F29" s="5" t="s">
        <v>48</v>
      </c>
      <c r="G29" s="5" t="s">
        <v>65</v>
      </c>
      <c r="H29" s="5" t="s">
        <v>56</v>
      </c>
      <c r="I29" s="5" t="s">
        <v>74</v>
      </c>
      <c r="J29" s="5" t="s">
        <v>43</v>
      </c>
      <c r="L29" s="5" t="s">
        <v>53</v>
      </c>
      <c r="N29" s="5">
        <f>IFERROR(HLOOKUP(C29,Standings!$F$3:$BA$5,3,FALSE),0)</f>
        <v>52</v>
      </c>
      <c r="O29" s="5">
        <f>IFERROR(HLOOKUP(D29,Standings!$F$3:$BA$5,3,FALSE),0)</f>
        <v>18</v>
      </c>
      <c r="P29" s="5">
        <f>IFERROR(HLOOKUP(E29,Standings!$F$3:$BA$5,3,FALSE),0)</f>
        <v>16</v>
      </c>
      <c r="Q29" s="5">
        <f>IFERROR(HLOOKUP(F29,Standings!$F$3:$BA$5,3,FALSE),0)</f>
        <v>12</v>
      </c>
      <c r="R29" s="5">
        <f>IFERROR(HLOOKUP(G29,Standings!$F$3:$BA$5,3,FALSE),0)</f>
        <v>13</v>
      </c>
      <c r="S29" s="5">
        <f>IFERROR(HLOOKUP(H29,Standings!$F$3:$BA$5,3,FALSE),0)</f>
        <v>3</v>
      </c>
      <c r="T29" s="5">
        <f>IFERROR(HLOOKUP(I29,Standings!$F$3:$BA$5,3,FALSE),0)</f>
        <v>3</v>
      </c>
      <c r="U29" s="5">
        <f>IFERROR(HLOOKUP(J29,Standings!$F$3:$BA$5,3,FALSE),0)</f>
        <v>3</v>
      </c>
      <c r="V29" s="5">
        <f>IFERROR(HLOOKUP(K29,Standings!$F$3:$BA$5,3,FALSE),0)</f>
        <v>0</v>
      </c>
      <c r="W29" s="5">
        <f>-IFERROR(HLOOKUP(L29,Standings!$F$3:$BA$5,3,FALSE),0)</f>
        <v>-20</v>
      </c>
      <c r="X29" s="5">
        <f t="shared" si="0"/>
        <v>100</v>
      </c>
    </row>
    <row r="30" spans="2:24" x14ac:dyDescent="0.25">
      <c r="B30" s="48" t="s">
        <v>166</v>
      </c>
      <c r="C30" s="5" t="s">
        <v>61</v>
      </c>
      <c r="D30" s="5" t="s">
        <v>68</v>
      </c>
      <c r="E30" s="5" t="s">
        <v>49</v>
      </c>
      <c r="F30" s="5" t="s">
        <v>48</v>
      </c>
      <c r="G30" s="5" t="s">
        <v>65</v>
      </c>
      <c r="H30" s="5" t="s">
        <v>76</v>
      </c>
      <c r="I30" s="5" t="s">
        <v>56</v>
      </c>
      <c r="L30" s="5" t="s">
        <v>53</v>
      </c>
      <c r="N30" s="5">
        <f>IFERROR(HLOOKUP(C30,Standings!$F$3:$BA$5,3,FALSE),0)</f>
        <v>50</v>
      </c>
      <c r="O30" s="5">
        <f>IFERROR(HLOOKUP(D30,Standings!$F$3:$BA$5,3,FALSE),0)</f>
        <v>18</v>
      </c>
      <c r="P30" s="5">
        <f>IFERROR(HLOOKUP(E30,Standings!$F$3:$BA$5,3,FALSE),0)</f>
        <v>16</v>
      </c>
      <c r="Q30" s="5">
        <f>IFERROR(HLOOKUP(F30,Standings!$F$3:$BA$5,3,FALSE),0)</f>
        <v>12</v>
      </c>
      <c r="R30" s="5">
        <f>IFERROR(HLOOKUP(G30,Standings!$F$3:$BA$5,3,FALSE),0)</f>
        <v>13</v>
      </c>
      <c r="S30" s="5">
        <f>IFERROR(HLOOKUP(H30,Standings!$F$3:$BA$5,3,FALSE),0)</f>
        <v>8</v>
      </c>
      <c r="T30" s="5">
        <f>IFERROR(HLOOKUP(I30,Standings!$F$3:$BA$5,3,FALSE),0)</f>
        <v>3</v>
      </c>
      <c r="U30" s="5">
        <f>IFERROR(HLOOKUP(J30,Standings!$F$3:$BA$5,3,FALSE),0)</f>
        <v>0</v>
      </c>
      <c r="V30" s="5">
        <f>IFERROR(HLOOKUP(K30,Standings!$F$3:$BA$5,3,FALSE),0)</f>
        <v>0</v>
      </c>
      <c r="W30" s="5">
        <f>-IFERROR(HLOOKUP(L30,Standings!$F$3:$BA$5,3,FALSE),0)</f>
        <v>-20</v>
      </c>
      <c r="X30" s="5">
        <f t="shared" si="0"/>
        <v>100</v>
      </c>
    </row>
    <row r="31" spans="2:24" x14ac:dyDescent="0.25">
      <c r="B31" s="48" t="s">
        <v>168</v>
      </c>
      <c r="C31" s="5" t="s">
        <v>50</v>
      </c>
      <c r="D31" s="5" t="s">
        <v>60</v>
      </c>
      <c r="E31" s="5" t="s">
        <v>89</v>
      </c>
      <c r="F31" s="5" t="s">
        <v>47</v>
      </c>
      <c r="G31" s="5" t="s">
        <v>93</v>
      </c>
      <c r="H31" s="5" t="s">
        <v>54</v>
      </c>
      <c r="I31" s="5" t="s">
        <v>69</v>
      </c>
      <c r="J31" s="5" t="s">
        <v>75</v>
      </c>
      <c r="K31" s="5" t="s">
        <v>73</v>
      </c>
      <c r="L31" s="5" t="s">
        <v>38</v>
      </c>
      <c r="N31" s="5">
        <f>IFERROR(HLOOKUP(C31,Standings!$F$3:$BA$5,3,FALSE),0)</f>
        <v>23</v>
      </c>
      <c r="O31" s="5">
        <f>IFERROR(HLOOKUP(D31,Standings!$F$3:$BA$5,3,FALSE),0)</f>
        <v>26</v>
      </c>
      <c r="P31" s="5">
        <f>IFERROR(HLOOKUP(E31,Standings!$F$3:$BA$5,3,FALSE),0)</f>
        <v>11</v>
      </c>
      <c r="Q31" s="5">
        <f>IFERROR(HLOOKUP(F31,Standings!$F$3:$BA$5,3,FALSE),0)</f>
        <v>38</v>
      </c>
      <c r="R31" s="5">
        <f>IFERROR(HLOOKUP(G31,Standings!$F$3:$BA$5,3,FALSE),0)</f>
        <v>5</v>
      </c>
      <c r="S31" s="5">
        <f>IFERROR(HLOOKUP(H31,Standings!$F$3:$BA$5,3,FALSE),0)</f>
        <v>17</v>
      </c>
      <c r="T31" s="5">
        <f>IFERROR(HLOOKUP(I31,Standings!$F$3:$BA$5,3,FALSE),0)</f>
        <v>9</v>
      </c>
      <c r="U31" s="5">
        <f>IFERROR(HLOOKUP(J31,Standings!$F$3:$BA$5,3,FALSE),0)</f>
        <v>9</v>
      </c>
      <c r="V31" s="5">
        <f>IFERROR(HLOOKUP(K31,Standings!$F$3:$BA$5,3,FALSE),0)</f>
        <v>7</v>
      </c>
      <c r="W31" s="5">
        <f>-IFERROR(HLOOKUP(L31,Standings!$F$3:$BA$5,3,FALSE),0)</f>
        <v>-45</v>
      </c>
      <c r="X31" s="5">
        <f t="shared" si="0"/>
        <v>100</v>
      </c>
    </row>
    <row r="32" spans="2:24" x14ac:dyDescent="0.25">
      <c r="B32" s="48" t="s">
        <v>170</v>
      </c>
      <c r="C32" s="5" t="s">
        <v>40</v>
      </c>
      <c r="D32" s="5" t="s">
        <v>62</v>
      </c>
      <c r="E32" s="5" t="s">
        <v>50</v>
      </c>
      <c r="F32" s="5" t="s">
        <v>47</v>
      </c>
      <c r="G32" s="5" t="s">
        <v>72</v>
      </c>
      <c r="H32" s="5" t="s">
        <v>69</v>
      </c>
      <c r="I32" s="5" t="s">
        <v>76</v>
      </c>
      <c r="J32" s="5" t="s">
        <v>73</v>
      </c>
      <c r="K32" s="5" t="s">
        <v>92</v>
      </c>
      <c r="L32" s="5" t="s">
        <v>45</v>
      </c>
      <c r="N32" s="5">
        <f>IFERROR(HLOOKUP(C32,Standings!$F$3:$BA$5,3,FALSE),0)</f>
        <v>35</v>
      </c>
      <c r="O32" s="5">
        <f>IFERROR(HLOOKUP(D32,Standings!$F$3:$BA$5,3,FALSE),0)</f>
        <v>21</v>
      </c>
      <c r="P32" s="5">
        <f>IFERROR(HLOOKUP(E32,Standings!$F$3:$BA$5,3,FALSE),0)</f>
        <v>23</v>
      </c>
      <c r="Q32" s="5">
        <f>IFERROR(HLOOKUP(F32,Standings!$F$3:$BA$5,3,FALSE),0)</f>
        <v>38</v>
      </c>
      <c r="R32" s="5">
        <f>IFERROR(HLOOKUP(G32,Standings!$F$3:$BA$5,3,FALSE),0)</f>
        <v>25</v>
      </c>
      <c r="S32" s="5">
        <f>IFERROR(HLOOKUP(H32,Standings!$F$3:$BA$5,3,FALSE),0)</f>
        <v>9</v>
      </c>
      <c r="T32" s="5">
        <f>IFERROR(HLOOKUP(I32,Standings!$F$3:$BA$5,3,FALSE),0)</f>
        <v>8</v>
      </c>
      <c r="U32" s="5">
        <f>IFERROR(HLOOKUP(J32,Standings!$F$3:$BA$5,3,FALSE),0)</f>
        <v>7</v>
      </c>
      <c r="V32" s="5">
        <f>IFERROR(HLOOKUP(K32,Standings!$F$3:$BA$5,3,FALSE),0)</f>
        <v>4</v>
      </c>
      <c r="W32" s="5">
        <f>-IFERROR(HLOOKUP(L32,Standings!$F$3:$BA$5,3,FALSE),0)</f>
        <v>-70</v>
      </c>
      <c r="X32" s="5">
        <f t="shared" si="0"/>
        <v>100</v>
      </c>
    </row>
    <row r="33" spans="2:24" x14ac:dyDescent="0.25">
      <c r="B33" s="48" t="s">
        <v>171</v>
      </c>
      <c r="C33" s="5" t="s">
        <v>72</v>
      </c>
      <c r="D33" s="5" t="s">
        <v>49</v>
      </c>
      <c r="E33" s="5" t="s">
        <v>58</v>
      </c>
      <c r="F33" s="5" t="s">
        <v>41</v>
      </c>
      <c r="G33" s="5" t="s">
        <v>40</v>
      </c>
      <c r="N33" s="5">
        <f>IFERROR(HLOOKUP(C33,Standings!$F$3:$BA$5,3,FALSE),0)</f>
        <v>25</v>
      </c>
      <c r="O33" s="5">
        <f>IFERROR(HLOOKUP(D33,Standings!$F$3:$BA$5,3,FALSE),0)</f>
        <v>16</v>
      </c>
      <c r="P33" s="5">
        <f>IFERROR(HLOOKUP(E33,Standings!$F$3:$BA$5,3,FALSE),0)</f>
        <v>4</v>
      </c>
      <c r="Q33" s="5">
        <f>IFERROR(HLOOKUP(F33,Standings!$F$3:$BA$5,3,FALSE),0)</f>
        <v>20</v>
      </c>
      <c r="R33" s="5">
        <f>IFERROR(HLOOKUP(G33,Standings!$F$3:$BA$5,3,FALSE),0)</f>
        <v>35</v>
      </c>
      <c r="S33" s="5">
        <f>IFERROR(HLOOKUP(H33,Standings!$F$3:$BA$5,3,FALSE),0)</f>
        <v>0</v>
      </c>
      <c r="T33" s="5">
        <f>IFERROR(HLOOKUP(I33,Standings!$F$3:$BA$5,3,FALSE),0)</f>
        <v>0</v>
      </c>
      <c r="U33" s="5">
        <f>IFERROR(HLOOKUP(J33,Standings!$F$3:$BA$5,3,FALSE),0)</f>
        <v>0</v>
      </c>
      <c r="V33" s="5">
        <f>IFERROR(HLOOKUP(K33,Standings!$F$3:$BA$5,3,FALSE),0)</f>
        <v>0</v>
      </c>
      <c r="W33" s="5">
        <f>-IFERROR(HLOOKUP(L33,Standings!$F$3:$BA$5,3,FALSE),0)</f>
        <v>0</v>
      </c>
      <c r="X33" s="5">
        <f t="shared" si="0"/>
        <v>100</v>
      </c>
    </row>
    <row r="34" spans="2:24" x14ac:dyDescent="0.25">
      <c r="B34" s="48" t="s">
        <v>173</v>
      </c>
      <c r="C34" s="5" t="s">
        <v>51</v>
      </c>
      <c r="D34" s="5" t="s">
        <v>50</v>
      </c>
      <c r="E34" s="5" t="s">
        <v>47</v>
      </c>
      <c r="L34" s="5" t="s">
        <v>91</v>
      </c>
      <c r="N34" s="5">
        <f>IFERROR(HLOOKUP(C34,Standings!$F$3:$BA$5,3,FALSE),0)</f>
        <v>52</v>
      </c>
      <c r="O34" s="5">
        <f>IFERROR(HLOOKUP(D34,Standings!$F$3:$BA$5,3,FALSE),0)</f>
        <v>23</v>
      </c>
      <c r="P34" s="5">
        <f>IFERROR(HLOOKUP(E34,Standings!$F$3:$BA$5,3,FALSE),0)</f>
        <v>38</v>
      </c>
      <c r="Q34" s="5">
        <f>IFERROR(HLOOKUP(F34,Standings!$F$3:$BA$5,3,FALSE),0)</f>
        <v>0</v>
      </c>
      <c r="R34" s="5">
        <f>IFERROR(HLOOKUP(G34,Standings!$F$3:$BA$5,3,FALSE),0)</f>
        <v>0</v>
      </c>
      <c r="S34" s="5">
        <f>IFERROR(HLOOKUP(H34,Standings!$F$3:$BA$5,3,FALSE),0)</f>
        <v>0</v>
      </c>
      <c r="T34" s="5">
        <f>IFERROR(HLOOKUP(I34,Standings!$F$3:$BA$5,3,FALSE),0)</f>
        <v>0</v>
      </c>
      <c r="U34" s="5">
        <f>IFERROR(HLOOKUP(J34,Standings!$F$3:$BA$5,3,FALSE),0)</f>
        <v>0</v>
      </c>
      <c r="V34" s="5">
        <f>IFERROR(HLOOKUP(K34,Standings!$F$3:$BA$5,3,FALSE),0)</f>
        <v>0</v>
      </c>
      <c r="W34" s="5">
        <f>-IFERROR(HLOOKUP(L34,Standings!$F$3:$BA$5,3,FALSE),0)</f>
        <v>-13</v>
      </c>
      <c r="X34" s="5">
        <f t="shared" ref="X34:X65" si="1">SUM(N34:W34)</f>
        <v>100</v>
      </c>
    </row>
    <row r="35" spans="2:24" x14ac:dyDescent="0.25">
      <c r="B35" s="48" t="s">
        <v>175</v>
      </c>
      <c r="C35" s="5" t="s">
        <v>44</v>
      </c>
      <c r="D35" s="5" t="s">
        <v>52</v>
      </c>
      <c r="L35" s="5" t="s">
        <v>57</v>
      </c>
      <c r="N35" s="5">
        <f>IFERROR(HLOOKUP(C35,Standings!$F$3:$BA$5,3,FALSE),0)</f>
        <v>60</v>
      </c>
      <c r="O35" s="5">
        <f>IFERROR(HLOOKUP(D35,Standings!$F$3:$BA$5,3,FALSE),0)</f>
        <v>54</v>
      </c>
      <c r="P35" s="5">
        <f>IFERROR(HLOOKUP(E35,Standings!$F$3:$BA$5,3,FALSE),0)</f>
        <v>0</v>
      </c>
      <c r="Q35" s="5">
        <f>IFERROR(HLOOKUP(F35,Standings!$F$3:$BA$5,3,FALSE),0)</f>
        <v>0</v>
      </c>
      <c r="R35" s="5">
        <f>IFERROR(HLOOKUP(G35,Standings!$F$3:$BA$5,3,FALSE),0)</f>
        <v>0</v>
      </c>
      <c r="S35" s="5">
        <f>IFERROR(HLOOKUP(H35,Standings!$F$3:$BA$5,3,FALSE),0)</f>
        <v>0</v>
      </c>
      <c r="T35" s="5">
        <f>IFERROR(HLOOKUP(I35,Standings!$F$3:$BA$5,3,FALSE),0)</f>
        <v>0</v>
      </c>
      <c r="U35" s="5">
        <f>IFERROR(HLOOKUP(J35,Standings!$F$3:$BA$5,3,FALSE),0)</f>
        <v>0</v>
      </c>
      <c r="V35" s="5">
        <f>IFERROR(HLOOKUP(K35,Standings!$F$3:$BA$5,3,FALSE),0)</f>
        <v>0</v>
      </c>
      <c r="W35" s="5">
        <f>-IFERROR(HLOOKUP(L35,Standings!$F$3:$BA$5,3,FALSE),0)</f>
        <v>-14</v>
      </c>
      <c r="X35" s="5">
        <f t="shared" si="1"/>
        <v>100</v>
      </c>
    </row>
    <row r="36" spans="2:24" x14ac:dyDescent="0.25">
      <c r="B36" s="48" t="s">
        <v>176</v>
      </c>
      <c r="C36" s="5" t="s">
        <v>40</v>
      </c>
      <c r="D36" s="5" t="s">
        <v>42</v>
      </c>
      <c r="E36" s="5" t="s">
        <v>60</v>
      </c>
      <c r="F36" s="5" t="s">
        <v>41</v>
      </c>
      <c r="G36" s="5" t="s">
        <v>67</v>
      </c>
      <c r="H36" s="5" t="s">
        <v>49</v>
      </c>
      <c r="I36" s="5" t="s">
        <v>48</v>
      </c>
      <c r="J36" s="5" t="s">
        <v>71</v>
      </c>
      <c r="K36" s="5" t="s">
        <v>74</v>
      </c>
      <c r="L36" s="5" t="s">
        <v>59</v>
      </c>
      <c r="N36" s="5">
        <f>IFERROR(HLOOKUP(C36,Standings!$F$3:$BA$5,3,FALSE),0)</f>
        <v>35</v>
      </c>
      <c r="O36" s="5">
        <f>IFERROR(HLOOKUP(D36,Standings!$F$3:$BA$5,3,FALSE),0)</f>
        <v>27</v>
      </c>
      <c r="P36" s="5">
        <f>IFERROR(HLOOKUP(E36,Standings!$F$3:$BA$5,3,FALSE),0)</f>
        <v>26</v>
      </c>
      <c r="Q36" s="5">
        <f>IFERROR(HLOOKUP(F36,Standings!$F$3:$BA$5,3,FALSE),0)</f>
        <v>20</v>
      </c>
      <c r="R36" s="5">
        <f>IFERROR(HLOOKUP(G36,Standings!$F$3:$BA$5,3,FALSE),0)</f>
        <v>19</v>
      </c>
      <c r="S36" s="5">
        <f>IFERROR(HLOOKUP(H36,Standings!$F$3:$BA$5,3,FALSE),0)</f>
        <v>16</v>
      </c>
      <c r="T36" s="5">
        <f>IFERROR(HLOOKUP(I36,Standings!$F$3:$BA$5,3,FALSE),0)</f>
        <v>12</v>
      </c>
      <c r="U36" s="5">
        <f>IFERROR(HLOOKUP(J36,Standings!$F$3:$BA$5,3,FALSE),0)</f>
        <v>10</v>
      </c>
      <c r="V36" s="5">
        <f>IFERROR(HLOOKUP(K36,Standings!$F$3:$BA$5,3,FALSE),0)</f>
        <v>3</v>
      </c>
      <c r="W36" s="5">
        <f>-IFERROR(HLOOKUP(L36,Standings!$F$3:$BA$5,3,FALSE),0)</f>
        <v>-68</v>
      </c>
      <c r="X36" s="5">
        <f t="shared" si="1"/>
        <v>100</v>
      </c>
    </row>
    <row r="37" spans="2:24" x14ac:dyDescent="0.25">
      <c r="B37" s="48" t="s">
        <v>178</v>
      </c>
      <c r="C37" s="5" t="s">
        <v>59</v>
      </c>
      <c r="D37" s="5" t="s">
        <v>45</v>
      </c>
      <c r="L37" s="5" t="s">
        <v>47</v>
      </c>
      <c r="N37" s="5">
        <f>IFERROR(HLOOKUP(C37,Standings!$F$3:$BA$5,3,FALSE),0)</f>
        <v>68</v>
      </c>
      <c r="O37" s="5">
        <f>IFERROR(HLOOKUP(D37,Standings!$F$3:$BA$5,3,FALSE),0)</f>
        <v>70</v>
      </c>
      <c r="P37" s="5">
        <f>IFERROR(HLOOKUP(E37,Standings!$F$3:$BA$5,3,FALSE),0)</f>
        <v>0</v>
      </c>
      <c r="Q37" s="5">
        <f>IFERROR(HLOOKUP(F37,Standings!$F$3:$BA$5,3,FALSE),0)</f>
        <v>0</v>
      </c>
      <c r="R37" s="5">
        <f>IFERROR(HLOOKUP(G37,Standings!$F$3:$BA$5,3,FALSE),0)</f>
        <v>0</v>
      </c>
      <c r="S37" s="5">
        <f>IFERROR(HLOOKUP(H37,Standings!$F$3:$BA$5,3,FALSE),0)</f>
        <v>0</v>
      </c>
      <c r="T37" s="5">
        <f>IFERROR(HLOOKUP(I37,Standings!$F$3:$BA$5,3,FALSE),0)</f>
        <v>0</v>
      </c>
      <c r="U37" s="5">
        <f>IFERROR(HLOOKUP(J37,Standings!$F$3:$BA$5,3,FALSE),0)</f>
        <v>0</v>
      </c>
      <c r="V37" s="5">
        <f>IFERROR(HLOOKUP(K37,Standings!$F$3:$BA$5,3,FALSE),0)</f>
        <v>0</v>
      </c>
      <c r="W37" s="5">
        <f>-IFERROR(HLOOKUP(L37,Standings!$F$3:$BA$5,3,FALSE),0)</f>
        <v>-38</v>
      </c>
      <c r="X37" s="5">
        <f t="shared" si="1"/>
        <v>100</v>
      </c>
    </row>
    <row r="38" spans="2:24" x14ac:dyDescent="0.25">
      <c r="B38" s="48" t="s">
        <v>179</v>
      </c>
      <c r="C38" s="5" t="s">
        <v>47</v>
      </c>
      <c r="D38" s="5" t="s">
        <v>40</v>
      </c>
      <c r="E38" s="5" t="s">
        <v>59</v>
      </c>
      <c r="F38" s="5" t="s">
        <v>58</v>
      </c>
      <c r="L38" s="5" t="s">
        <v>38</v>
      </c>
      <c r="N38" s="5">
        <f>IFERROR(HLOOKUP(C38,Standings!$F$3:$BA$5,3,FALSE),0)</f>
        <v>38</v>
      </c>
      <c r="O38" s="5">
        <f>IFERROR(HLOOKUP(D38,Standings!$F$3:$BA$5,3,FALSE),0)</f>
        <v>35</v>
      </c>
      <c r="P38" s="5">
        <f>IFERROR(HLOOKUP(E38,Standings!$F$3:$BA$5,3,FALSE),0)</f>
        <v>68</v>
      </c>
      <c r="Q38" s="5">
        <f>IFERROR(HLOOKUP(F38,Standings!$F$3:$BA$5,3,FALSE),0)</f>
        <v>4</v>
      </c>
      <c r="R38" s="5">
        <f>IFERROR(HLOOKUP(G38,Standings!$F$3:$BA$5,3,FALSE),0)</f>
        <v>0</v>
      </c>
      <c r="S38" s="5">
        <f>IFERROR(HLOOKUP(H38,Standings!$F$3:$BA$5,3,FALSE),0)</f>
        <v>0</v>
      </c>
      <c r="T38" s="5">
        <f>IFERROR(HLOOKUP(I38,Standings!$F$3:$BA$5,3,FALSE),0)</f>
        <v>0</v>
      </c>
      <c r="U38" s="5">
        <f>IFERROR(HLOOKUP(J38,Standings!$F$3:$BA$5,3,FALSE),0)</f>
        <v>0</v>
      </c>
      <c r="V38" s="5">
        <f>IFERROR(HLOOKUP(K38,Standings!$F$3:$BA$5,3,FALSE),0)</f>
        <v>0</v>
      </c>
      <c r="W38" s="5">
        <f>-IFERROR(HLOOKUP(L38,Standings!$F$3:$BA$5,3,FALSE),0)</f>
        <v>-45</v>
      </c>
      <c r="X38" s="5">
        <f t="shared" si="1"/>
        <v>100</v>
      </c>
    </row>
    <row r="39" spans="2:24" x14ac:dyDescent="0.25">
      <c r="B39" s="48" t="s">
        <v>181</v>
      </c>
      <c r="C39" s="5" t="s">
        <v>45</v>
      </c>
      <c r="D39" s="5" t="s">
        <v>42</v>
      </c>
      <c r="E39" s="5" t="s">
        <v>68</v>
      </c>
      <c r="F39" s="5" t="s">
        <v>92</v>
      </c>
      <c r="L39" s="5" t="s">
        <v>67</v>
      </c>
      <c r="N39" s="5">
        <f>IFERROR(HLOOKUP(C39,Standings!$F$3:$BA$5,3,FALSE),0)</f>
        <v>70</v>
      </c>
      <c r="O39" s="5">
        <f>IFERROR(HLOOKUP(D39,Standings!$F$3:$BA$5,3,FALSE),0)</f>
        <v>27</v>
      </c>
      <c r="P39" s="5">
        <f>IFERROR(HLOOKUP(E39,Standings!$F$3:$BA$5,3,FALSE),0)</f>
        <v>18</v>
      </c>
      <c r="Q39" s="5">
        <f>IFERROR(HLOOKUP(F39,Standings!$F$3:$BA$5,3,FALSE),0)</f>
        <v>4</v>
      </c>
      <c r="R39" s="5">
        <f>IFERROR(HLOOKUP(G39,Standings!$F$3:$BA$5,3,FALSE),0)</f>
        <v>0</v>
      </c>
      <c r="S39" s="5">
        <f>IFERROR(HLOOKUP(H39,Standings!$F$3:$BA$5,3,FALSE),0)</f>
        <v>0</v>
      </c>
      <c r="T39" s="5">
        <f>IFERROR(HLOOKUP(I39,Standings!$F$3:$BA$5,3,FALSE),0)</f>
        <v>0</v>
      </c>
      <c r="U39" s="5">
        <f>IFERROR(HLOOKUP(J39,Standings!$F$3:$BA$5,3,FALSE),0)</f>
        <v>0</v>
      </c>
      <c r="V39" s="5">
        <f>IFERROR(HLOOKUP(K39,Standings!$F$3:$BA$5,3,FALSE),0)</f>
        <v>0</v>
      </c>
      <c r="W39" s="5">
        <f>-IFERROR(HLOOKUP(L39,Standings!$F$3:$BA$5,3,FALSE),0)</f>
        <v>-19</v>
      </c>
      <c r="X39" s="5">
        <f t="shared" si="1"/>
        <v>100</v>
      </c>
    </row>
    <row r="40" spans="2:24" x14ac:dyDescent="0.25">
      <c r="B40" s="48" t="s">
        <v>182</v>
      </c>
      <c r="C40" s="5" t="s">
        <v>59</v>
      </c>
      <c r="D40" s="5" t="s">
        <v>45</v>
      </c>
      <c r="E40" s="5" t="s">
        <v>49</v>
      </c>
      <c r="L40" s="5" t="s">
        <v>52</v>
      </c>
      <c r="N40" s="5">
        <f>IFERROR(HLOOKUP(C40,Standings!$F$3:$BA$5,3,FALSE),0)</f>
        <v>68</v>
      </c>
      <c r="O40" s="5">
        <f>IFERROR(HLOOKUP(D40,Standings!$F$3:$BA$5,3,FALSE),0)</f>
        <v>70</v>
      </c>
      <c r="P40" s="5">
        <f>IFERROR(HLOOKUP(E40,Standings!$F$3:$BA$5,3,FALSE),0)</f>
        <v>16</v>
      </c>
      <c r="Q40" s="5">
        <f>IFERROR(HLOOKUP(F40,Standings!$F$3:$BA$5,3,FALSE),0)</f>
        <v>0</v>
      </c>
      <c r="R40" s="5">
        <f>IFERROR(HLOOKUP(G40,Standings!$F$3:$BA$5,3,FALSE),0)</f>
        <v>0</v>
      </c>
      <c r="S40" s="5">
        <f>IFERROR(HLOOKUP(H40,Standings!$F$3:$BA$5,3,FALSE),0)</f>
        <v>0</v>
      </c>
      <c r="T40" s="5">
        <f>IFERROR(HLOOKUP(I40,Standings!$F$3:$BA$5,3,FALSE),0)</f>
        <v>0</v>
      </c>
      <c r="U40" s="5">
        <f>IFERROR(HLOOKUP(J40,Standings!$F$3:$BA$5,3,FALSE),0)</f>
        <v>0</v>
      </c>
      <c r="V40" s="5">
        <f>IFERROR(HLOOKUP(K40,Standings!$F$3:$BA$5,3,FALSE),0)</f>
        <v>0</v>
      </c>
      <c r="W40" s="5">
        <f>-IFERROR(HLOOKUP(L40,Standings!$F$3:$BA$5,3,FALSE),0)</f>
        <v>-54</v>
      </c>
      <c r="X40" s="5">
        <f t="shared" si="1"/>
        <v>100</v>
      </c>
    </row>
    <row r="41" spans="2:24" x14ac:dyDescent="0.25">
      <c r="B41" s="48" t="s">
        <v>184</v>
      </c>
      <c r="C41" s="5" t="s">
        <v>38</v>
      </c>
      <c r="D41" s="5" t="s">
        <v>40</v>
      </c>
      <c r="E41" s="5" t="s">
        <v>41</v>
      </c>
      <c r="F41" s="5" t="s">
        <v>62</v>
      </c>
      <c r="G41" s="5" t="s">
        <v>50</v>
      </c>
      <c r="H41" s="5" t="s">
        <v>77</v>
      </c>
      <c r="L41" s="5" t="s">
        <v>61</v>
      </c>
      <c r="N41" s="5">
        <f>IFERROR(HLOOKUP(C41,Standings!$F$3:$BA$5,3,FALSE),0)</f>
        <v>45</v>
      </c>
      <c r="O41" s="5">
        <f>IFERROR(HLOOKUP(D41,Standings!$F$3:$BA$5,3,FALSE),0)</f>
        <v>35</v>
      </c>
      <c r="P41" s="5">
        <f>IFERROR(HLOOKUP(E41,Standings!$F$3:$BA$5,3,FALSE),0)</f>
        <v>20</v>
      </c>
      <c r="Q41" s="5">
        <f>IFERROR(HLOOKUP(F41,Standings!$F$3:$BA$5,3,FALSE),0)</f>
        <v>21</v>
      </c>
      <c r="R41" s="5">
        <f>IFERROR(HLOOKUP(G41,Standings!$F$3:$BA$5,3,FALSE),0)</f>
        <v>23</v>
      </c>
      <c r="S41" s="5">
        <f>IFERROR(HLOOKUP(H41,Standings!$F$3:$BA$5,3,FALSE),0)</f>
        <v>6</v>
      </c>
      <c r="T41" s="5">
        <f>IFERROR(HLOOKUP(I41,Standings!$F$3:$BA$5,3,FALSE),0)</f>
        <v>0</v>
      </c>
      <c r="U41" s="5">
        <f>IFERROR(HLOOKUP(J41,Standings!$F$3:$BA$5,3,FALSE),0)</f>
        <v>0</v>
      </c>
      <c r="V41" s="5">
        <f>IFERROR(HLOOKUP(K41,Standings!$F$3:$BA$5,3,FALSE),0)</f>
        <v>0</v>
      </c>
      <c r="W41" s="5">
        <f>-IFERROR(HLOOKUP(L41,Standings!$F$3:$BA$5,3,FALSE),0)</f>
        <v>-50</v>
      </c>
      <c r="X41" s="5">
        <f t="shared" si="1"/>
        <v>100</v>
      </c>
    </row>
    <row r="42" spans="2:24" x14ac:dyDescent="0.25">
      <c r="B42" s="48" t="s">
        <v>185</v>
      </c>
      <c r="C42" s="5" t="s">
        <v>75</v>
      </c>
      <c r="D42" s="5" t="s">
        <v>65</v>
      </c>
      <c r="E42" s="5" t="s">
        <v>54</v>
      </c>
      <c r="F42" s="5" t="s">
        <v>39</v>
      </c>
      <c r="G42" s="5" t="s">
        <v>42</v>
      </c>
      <c r="H42" s="5" t="s">
        <v>92</v>
      </c>
      <c r="I42" s="5" t="s">
        <v>60</v>
      </c>
      <c r="J42" s="5" t="s">
        <v>72</v>
      </c>
      <c r="L42" s="5" t="s">
        <v>51</v>
      </c>
      <c r="N42" s="5">
        <f>IFERROR(HLOOKUP(C42,Standings!$F$3:$BA$5,3,FALSE),0)</f>
        <v>9</v>
      </c>
      <c r="O42" s="5">
        <f>IFERROR(HLOOKUP(D42,Standings!$F$3:$BA$5,3,FALSE),0)</f>
        <v>13</v>
      </c>
      <c r="P42" s="5">
        <f>IFERROR(HLOOKUP(E42,Standings!$F$3:$BA$5,3,FALSE),0)</f>
        <v>17</v>
      </c>
      <c r="Q42" s="5">
        <f>IFERROR(HLOOKUP(F42,Standings!$F$3:$BA$5,3,FALSE),0)</f>
        <v>30</v>
      </c>
      <c r="R42" s="5">
        <f>IFERROR(HLOOKUP(G42,Standings!$F$3:$BA$5,3,FALSE),0)</f>
        <v>27</v>
      </c>
      <c r="S42" s="5">
        <f>IFERROR(HLOOKUP(H42,Standings!$F$3:$BA$5,3,FALSE),0)</f>
        <v>4</v>
      </c>
      <c r="T42" s="5">
        <f>IFERROR(HLOOKUP(I42,Standings!$F$3:$BA$5,3,FALSE),0)</f>
        <v>26</v>
      </c>
      <c r="U42" s="5">
        <f>IFERROR(HLOOKUP(J42,Standings!$F$3:$BA$5,3,FALSE),0)</f>
        <v>25</v>
      </c>
      <c r="V42" s="5">
        <f>IFERROR(HLOOKUP(K42,Standings!$F$3:$BA$5,3,FALSE),0)</f>
        <v>0</v>
      </c>
      <c r="W42" s="5">
        <f>-IFERROR(HLOOKUP(L42,Standings!$F$3:$BA$5,3,FALSE),0)</f>
        <v>-52</v>
      </c>
      <c r="X42" s="5">
        <f t="shared" si="1"/>
        <v>99</v>
      </c>
    </row>
    <row r="43" spans="2:24" x14ac:dyDescent="0.25">
      <c r="B43" s="48" t="s">
        <v>187</v>
      </c>
      <c r="C43" s="5" t="s">
        <v>75</v>
      </c>
      <c r="D43" s="5" t="s">
        <v>65</v>
      </c>
      <c r="E43" s="5" t="s">
        <v>54</v>
      </c>
      <c r="F43" s="5" t="s">
        <v>59</v>
      </c>
      <c r="G43" s="5" t="s">
        <v>42</v>
      </c>
      <c r="H43" s="5" t="s">
        <v>92</v>
      </c>
      <c r="I43" s="5" t="s">
        <v>48</v>
      </c>
      <c r="L43" s="5" t="s">
        <v>51</v>
      </c>
      <c r="N43" s="5">
        <f>IFERROR(HLOOKUP(C43,Standings!$F$3:$BA$5,3,FALSE),0)</f>
        <v>9</v>
      </c>
      <c r="O43" s="5">
        <f>IFERROR(HLOOKUP(D43,Standings!$F$3:$BA$5,3,FALSE),0)</f>
        <v>13</v>
      </c>
      <c r="P43" s="5">
        <f>IFERROR(HLOOKUP(E43,Standings!$F$3:$BA$5,3,FALSE),0)</f>
        <v>17</v>
      </c>
      <c r="Q43" s="5">
        <f>IFERROR(HLOOKUP(F43,Standings!$F$3:$BA$5,3,FALSE),0)</f>
        <v>68</v>
      </c>
      <c r="R43" s="5">
        <f>IFERROR(HLOOKUP(G43,Standings!$F$3:$BA$5,3,FALSE),0)</f>
        <v>27</v>
      </c>
      <c r="S43" s="5">
        <f>IFERROR(HLOOKUP(H43,Standings!$F$3:$BA$5,3,FALSE),0)</f>
        <v>4</v>
      </c>
      <c r="T43" s="5">
        <f>IFERROR(HLOOKUP(I43,Standings!$F$3:$BA$5,3,FALSE),0)</f>
        <v>12</v>
      </c>
      <c r="U43" s="5">
        <f>IFERROR(HLOOKUP(J43,Standings!$F$3:$BA$5,3,FALSE),0)</f>
        <v>0</v>
      </c>
      <c r="V43" s="5">
        <f>IFERROR(HLOOKUP(K43,Standings!$F$3:$BA$5,3,FALSE),0)</f>
        <v>0</v>
      </c>
      <c r="W43" s="5">
        <f>-IFERROR(HLOOKUP(L43,Standings!$F$3:$BA$5,3,FALSE),0)</f>
        <v>-52</v>
      </c>
      <c r="X43" s="5">
        <f t="shared" si="1"/>
        <v>98</v>
      </c>
    </row>
    <row r="44" spans="2:24" x14ac:dyDescent="0.25">
      <c r="B44" s="48" t="s">
        <v>188</v>
      </c>
      <c r="C44" s="5" t="s">
        <v>90</v>
      </c>
      <c r="D44" s="5" t="s">
        <v>66</v>
      </c>
      <c r="E44" s="5" t="s">
        <v>65</v>
      </c>
      <c r="F44" s="5" t="s">
        <v>55</v>
      </c>
      <c r="G44" s="5" t="s">
        <v>89</v>
      </c>
      <c r="H44" s="5" t="s">
        <v>77</v>
      </c>
      <c r="I44" s="5" t="s">
        <v>49</v>
      </c>
      <c r="J44" s="5" t="s">
        <v>76</v>
      </c>
      <c r="K44" s="5" t="s">
        <v>40</v>
      </c>
      <c r="L44" s="5" t="s">
        <v>62</v>
      </c>
      <c r="N44" s="5">
        <f>IFERROR(HLOOKUP(C44,Standings!$F$3:$BA$5,3,FALSE),0)</f>
        <v>10</v>
      </c>
      <c r="O44" s="5">
        <f>IFERROR(HLOOKUP(D44,Standings!$F$3:$BA$5,3,FALSE),0)</f>
        <v>7</v>
      </c>
      <c r="P44" s="5">
        <f>IFERROR(HLOOKUP(E44,Standings!$F$3:$BA$5,3,FALSE),0)</f>
        <v>13</v>
      </c>
      <c r="Q44" s="5">
        <f>IFERROR(HLOOKUP(F44,Standings!$F$3:$BA$5,3,FALSE),0)</f>
        <v>12</v>
      </c>
      <c r="R44" s="5">
        <f>IFERROR(HLOOKUP(G44,Standings!$F$3:$BA$5,3,FALSE),0)</f>
        <v>11</v>
      </c>
      <c r="S44" s="5">
        <f>IFERROR(HLOOKUP(H44,Standings!$F$3:$BA$5,3,FALSE),0)</f>
        <v>6</v>
      </c>
      <c r="T44" s="5">
        <f>IFERROR(HLOOKUP(I44,Standings!$F$3:$BA$5,3,FALSE),0)</f>
        <v>16</v>
      </c>
      <c r="U44" s="5">
        <f>IFERROR(HLOOKUP(J44,Standings!$F$3:$BA$5,3,FALSE),0)</f>
        <v>8</v>
      </c>
      <c r="V44" s="5">
        <f>IFERROR(HLOOKUP(K44,Standings!$F$3:$BA$5,3,FALSE),0)</f>
        <v>35</v>
      </c>
      <c r="W44" s="5">
        <f>-IFERROR(HLOOKUP(L44,Standings!$F$3:$BA$5,3,FALSE),0)</f>
        <v>-21</v>
      </c>
      <c r="X44" s="5">
        <f t="shared" si="1"/>
        <v>97</v>
      </c>
    </row>
    <row r="45" spans="2:24" x14ac:dyDescent="0.25">
      <c r="B45" s="48" t="s">
        <v>190</v>
      </c>
      <c r="C45" s="5" t="s">
        <v>40</v>
      </c>
      <c r="D45" s="5" t="s">
        <v>49</v>
      </c>
      <c r="E45" s="5" t="s">
        <v>62</v>
      </c>
      <c r="F45" s="5" t="s">
        <v>71</v>
      </c>
      <c r="G45" s="5" t="s">
        <v>68</v>
      </c>
      <c r="N45" s="5">
        <f>IFERROR(HLOOKUP(C45,Standings!$F$3:$BA$5,3,FALSE),0)</f>
        <v>35</v>
      </c>
      <c r="O45" s="5">
        <f>IFERROR(HLOOKUP(D45,Standings!$F$3:$BA$5,3,FALSE),0)</f>
        <v>16</v>
      </c>
      <c r="P45" s="5">
        <f>IFERROR(HLOOKUP(E45,Standings!$F$3:$BA$5,3,FALSE),0)</f>
        <v>21</v>
      </c>
      <c r="Q45" s="5">
        <f>IFERROR(HLOOKUP(F45,Standings!$F$3:$BA$5,3,FALSE),0)</f>
        <v>10</v>
      </c>
      <c r="R45" s="5">
        <f>IFERROR(HLOOKUP(G45,Standings!$F$3:$BA$5,3,FALSE),0)</f>
        <v>18</v>
      </c>
      <c r="S45" s="5">
        <f>IFERROR(HLOOKUP(H45,Standings!$F$3:$BA$5,3,FALSE),0)</f>
        <v>0</v>
      </c>
      <c r="T45" s="5">
        <f>IFERROR(HLOOKUP(I45,Standings!$F$3:$BA$5,3,FALSE),0)</f>
        <v>0</v>
      </c>
      <c r="U45" s="5">
        <f>IFERROR(HLOOKUP(J45,Standings!$F$3:$BA$5,3,FALSE),0)</f>
        <v>0</v>
      </c>
      <c r="V45" s="5">
        <f>IFERROR(HLOOKUP(K45,Standings!$F$3:$BA$5,3,FALSE),0)</f>
        <v>0</v>
      </c>
      <c r="W45" s="5">
        <f>-IFERROR(HLOOKUP(L45,Standings!$F$3:$BA$5,3,FALSE),0)</f>
        <v>0</v>
      </c>
      <c r="X45" s="5">
        <f t="shared" si="1"/>
        <v>100</v>
      </c>
    </row>
    <row r="46" spans="2:24" x14ac:dyDescent="0.25">
      <c r="B46" s="48" t="s">
        <v>192</v>
      </c>
      <c r="C46" s="5" t="s">
        <v>54</v>
      </c>
      <c r="D46" s="5" t="s">
        <v>41</v>
      </c>
      <c r="E46" s="5" t="s">
        <v>50</v>
      </c>
      <c r="F46" s="5" t="s">
        <v>89</v>
      </c>
      <c r="G46" s="5" t="s">
        <v>49</v>
      </c>
      <c r="H46" s="5" t="s">
        <v>65</v>
      </c>
      <c r="N46" s="5">
        <f>IFERROR(HLOOKUP(C46,Standings!$F$3:$BA$5,3,FALSE),0)</f>
        <v>17</v>
      </c>
      <c r="O46" s="5">
        <f>IFERROR(HLOOKUP(D46,Standings!$F$3:$BA$5,3,FALSE),0)</f>
        <v>20</v>
      </c>
      <c r="P46" s="5">
        <f>IFERROR(HLOOKUP(E46,Standings!$F$3:$BA$5,3,FALSE),0)</f>
        <v>23</v>
      </c>
      <c r="Q46" s="5">
        <f>IFERROR(HLOOKUP(F46,Standings!$F$3:$BA$5,3,FALSE),0)</f>
        <v>11</v>
      </c>
      <c r="R46" s="5">
        <f>IFERROR(HLOOKUP(G46,Standings!$F$3:$BA$5,3,FALSE),0)</f>
        <v>16</v>
      </c>
      <c r="S46" s="5">
        <f>IFERROR(HLOOKUP(H46,Standings!$F$3:$BA$5,3,FALSE),0)</f>
        <v>13</v>
      </c>
      <c r="T46" s="5">
        <f>IFERROR(HLOOKUP(I46,Standings!$F$3:$BA$5,3,FALSE),0)</f>
        <v>0</v>
      </c>
      <c r="U46" s="5">
        <f>IFERROR(HLOOKUP(J46,Standings!$F$3:$BA$5,3,FALSE),0)</f>
        <v>0</v>
      </c>
      <c r="V46" s="5">
        <f>IFERROR(HLOOKUP(K46,Standings!$F$3:$BA$5,3,FALSE),0)</f>
        <v>0</v>
      </c>
      <c r="W46" s="5">
        <f>-IFERROR(HLOOKUP(L46,Standings!$F$3:$BA$5,3,FALSE),0)</f>
        <v>0</v>
      </c>
      <c r="X46" s="5">
        <f t="shared" si="1"/>
        <v>100</v>
      </c>
    </row>
    <row r="47" spans="2:24" x14ac:dyDescent="0.25">
      <c r="B47" s="48" t="s">
        <v>194</v>
      </c>
      <c r="C47" s="5" t="s">
        <v>59</v>
      </c>
      <c r="D47" s="5" t="s">
        <v>71</v>
      </c>
      <c r="E47" s="5" t="s">
        <v>67</v>
      </c>
      <c r="F47" s="5" t="s">
        <v>54</v>
      </c>
      <c r="L47" s="5" t="s">
        <v>57</v>
      </c>
      <c r="N47" s="5">
        <f>IFERROR(HLOOKUP(C47,Standings!$F$3:$BA$5,3,FALSE),0)</f>
        <v>68</v>
      </c>
      <c r="O47" s="5">
        <f>IFERROR(HLOOKUP(D47,Standings!$F$3:$BA$5,3,FALSE),0)</f>
        <v>10</v>
      </c>
      <c r="P47" s="5">
        <f>IFERROR(HLOOKUP(E47,Standings!$F$3:$BA$5,3,FALSE),0)</f>
        <v>19</v>
      </c>
      <c r="Q47" s="5">
        <f>IFERROR(HLOOKUP(F47,Standings!$F$3:$BA$5,3,FALSE),0)</f>
        <v>17</v>
      </c>
      <c r="R47" s="5">
        <f>IFERROR(HLOOKUP(G47,Standings!$F$3:$BA$5,3,FALSE),0)</f>
        <v>0</v>
      </c>
      <c r="S47" s="5">
        <f>IFERROR(HLOOKUP(H47,Standings!$F$3:$BA$5,3,FALSE),0)</f>
        <v>0</v>
      </c>
      <c r="T47" s="5">
        <f>IFERROR(HLOOKUP(I47,Standings!$F$3:$BA$5,3,FALSE),0)</f>
        <v>0</v>
      </c>
      <c r="U47" s="5">
        <f>IFERROR(HLOOKUP(J47,Standings!$F$3:$BA$5,3,FALSE),0)</f>
        <v>0</v>
      </c>
      <c r="V47" s="5">
        <f>IFERROR(HLOOKUP(K47,Standings!$F$3:$BA$5,3,FALSE),0)</f>
        <v>0</v>
      </c>
      <c r="W47" s="5">
        <f>-IFERROR(HLOOKUP(L47,Standings!$F$3:$BA$5,3,FALSE),0)</f>
        <v>-14</v>
      </c>
      <c r="X47" s="5">
        <f t="shared" si="1"/>
        <v>100</v>
      </c>
    </row>
    <row r="48" spans="2:24" x14ac:dyDescent="0.25">
      <c r="B48" s="48" t="s">
        <v>195</v>
      </c>
      <c r="C48" s="5" t="s">
        <v>61</v>
      </c>
      <c r="D48" s="5" t="s">
        <v>53</v>
      </c>
      <c r="E48" s="5" t="s">
        <v>62</v>
      </c>
      <c r="F48" s="5" t="s">
        <v>69</v>
      </c>
      <c r="N48" s="5">
        <f>IFERROR(HLOOKUP(C48,Standings!$F$3:$BA$5,3,FALSE),0)</f>
        <v>50</v>
      </c>
      <c r="O48" s="5">
        <f>IFERROR(HLOOKUP(D48,Standings!$F$3:$BA$5,3,FALSE),0)</f>
        <v>20</v>
      </c>
      <c r="P48" s="5">
        <f>IFERROR(HLOOKUP(E48,Standings!$F$3:$BA$5,3,FALSE),0)</f>
        <v>21</v>
      </c>
      <c r="Q48" s="5">
        <f>IFERROR(HLOOKUP(F48,Standings!$F$3:$BA$5,3,FALSE),0)</f>
        <v>9</v>
      </c>
      <c r="R48" s="5">
        <f>IFERROR(HLOOKUP(G48,Standings!$F$3:$BA$5,3,FALSE),0)</f>
        <v>0</v>
      </c>
      <c r="S48" s="5">
        <f>IFERROR(HLOOKUP(H48,Standings!$F$3:$BA$5,3,FALSE),0)</f>
        <v>0</v>
      </c>
      <c r="T48" s="5">
        <f>IFERROR(HLOOKUP(I48,Standings!$F$3:$BA$5,3,FALSE),0)</f>
        <v>0</v>
      </c>
      <c r="U48" s="5">
        <f>IFERROR(HLOOKUP(J48,Standings!$F$3:$BA$5,3,FALSE),0)</f>
        <v>0</v>
      </c>
      <c r="V48" s="5">
        <f>IFERROR(HLOOKUP(K48,Standings!$F$3:$BA$5,3,FALSE),0)</f>
        <v>0</v>
      </c>
      <c r="W48" s="5">
        <f>-IFERROR(HLOOKUP(L48,Standings!$F$3:$BA$5,3,FALSE),0)</f>
        <v>0</v>
      </c>
      <c r="X48" s="5">
        <f t="shared" si="1"/>
        <v>100</v>
      </c>
    </row>
    <row r="49" spans="2:24" x14ac:dyDescent="0.25">
      <c r="B49" s="48" t="s">
        <v>196</v>
      </c>
      <c r="C49" s="5" t="s">
        <v>44</v>
      </c>
      <c r="D49" s="5" t="s">
        <v>72</v>
      </c>
      <c r="E49" s="5" t="s">
        <v>62</v>
      </c>
      <c r="F49" s="5" t="s">
        <v>41</v>
      </c>
      <c r="G49" s="5" t="s">
        <v>68</v>
      </c>
      <c r="L49" s="5" t="s">
        <v>38</v>
      </c>
      <c r="N49" s="5">
        <f>IFERROR(HLOOKUP(C49,Standings!$F$3:$BA$5,3,FALSE),0)</f>
        <v>60</v>
      </c>
      <c r="O49" s="5">
        <f>IFERROR(HLOOKUP(D49,Standings!$F$3:$BA$5,3,FALSE),0)</f>
        <v>25</v>
      </c>
      <c r="P49" s="5">
        <f>IFERROR(HLOOKUP(E49,Standings!$F$3:$BA$5,3,FALSE),0)</f>
        <v>21</v>
      </c>
      <c r="Q49" s="5">
        <f>IFERROR(HLOOKUP(F49,Standings!$F$3:$BA$5,3,FALSE),0)</f>
        <v>20</v>
      </c>
      <c r="R49" s="5">
        <f>IFERROR(HLOOKUP(G49,Standings!$F$3:$BA$5,3,FALSE),0)</f>
        <v>18</v>
      </c>
      <c r="S49" s="5">
        <f>IFERROR(HLOOKUP(H49,Standings!$F$3:$BA$5,3,FALSE),0)</f>
        <v>0</v>
      </c>
      <c r="T49" s="5">
        <f>IFERROR(HLOOKUP(I49,Standings!$F$3:$BA$5,3,FALSE),0)</f>
        <v>0</v>
      </c>
      <c r="U49" s="5">
        <f>IFERROR(HLOOKUP(J49,Standings!$F$3:$BA$5,3,FALSE),0)</f>
        <v>0</v>
      </c>
      <c r="V49" s="5">
        <f>IFERROR(HLOOKUP(K49,Standings!$F$3:$BA$5,3,FALSE),0)</f>
        <v>0</v>
      </c>
      <c r="W49" s="5">
        <f>-IFERROR(HLOOKUP(L49,Standings!$F$3:$BA$5,3,FALSE),0)</f>
        <v>-45</v>
      </c>
      <c r="X49" s="5">
        <f t="shared" si="1"/>
        <v>99</v>
      </c>
    </row>
    <row r="50" spans="2:24" x14ac:dyDescent="0.25">
      <c r="B50" s="48" t="s">
        <v>198</v>
      </c>
      <c r="C50" s="5" t="s">
        <v>68</v>
      </c>
      <c r="D50" s="5" t="s">
        <v>60</v>
      </c>
      <c r="E50" s="5" t="s">
        <v>72</v>
      </c>
      <c r="F50" s="5" t="s">
        <v>67</v>
      </c>
      <c r="G50" s="5" t="s">
        <v>49</v>
      </c>
      <c r="H50" s="5" t="s">
        <v>71</v>
      </c>
      <c r="I50" s="5" t="s">
        <v>55</v>
      </c>
      <c r="J50" s="5" t="s">
        <v>39</v>
      </c>
      <c r="K50" s="5" t="s">
        <v>48</v>
      </c>
      <c r="L50" s="5" t="s">
        <v>59</v>
      </c>
      <c r="N50" s="5">
        <f>IFERROR(HLOOKUP(C50,Standings!$F$3:$BA$5,3,FALSE),0)</f>
        <v>18</v>
      </c>
      <c r="O50" s="5">
        <f>IFERROR(HLOOKUP(D50,Standings!$F$3:$BA$5,3,FALSE),0)</f>
        <v>26</v>
      </c>
      <c r="P50" s="5">
        <f>IFERROR(HLOOKUP(E50,Standings!$F$3:$BA$5,3,FALSE),0)</f>
        <v>25</v>
      </c>
      <c r="Q50" s="5">
        <f>IFERROR(HLOOKUP(F50,Standings!$F$3:$BA$5,3,FALSE),0)</f>
        <v>19</v>
      </c>
      <c r="R50" s="5">
        <f>IFERROR(HLOOKUP(G50,Standings!$F$3:$BA$5,3,FALSE),0)</f>
        <v>16</v>
      </c>
      <c r="S50" s="5">
        <f>IFERROR(HLOOKUP(H50,Standings!$F$3:$BA$5,3,FALSE),0)</f>
        <v>10</v>
      </c>
      <c r="T50" s="5">
        <f>IFERROR(HLOOKUP(I50,Standings!$F$3:$BA$5,3,FALSE),0)</f>
        <v>12</v>
      </c>
      <c r="U50" s="5">
        <f>IFERROR(HLOOKUP(J50,Standings!$F$3:$BA$5,3,FALSE),0)</f>
        <v>30</v>
      </c>
      <c r="V50" s="5">
        <f>IFERROR(HLOOKUP(K50,Standings!$F$3:$BA$5,3,FALSE),0)</f>
        <v>12</v>
      </c>
      <c r="W50" s="5">
        <f>-IFERROR(HLOOKUP(L50,Standings!$F$3:$BA$5,3,FALSE),0)</f>
        <v>-68</v>
      </c>
      <c r="X50" s="5">
        <f t="shared" si="1"/>
        <v>100</v>
      </c>
    </row>
    <row r="51" spans="2:24" x14ac:dyDescent="0.25">
      <c r="B51" s="48" t="s">
        <v>199</v>
      </c>
      <c r="C51" s="5" t="s">
        <v>45</v>
      </c>
      <c r="D51" s="5" t="s">
        <v>47</v>
      </c>
      <c r="E51" s="5" t="s">
        <v>62</v>
      </c>
      <c r="F51" s="5" t="s">
        <v>48</v>
      </c>
      <c r="G51" s="5" t="s">
        <v>89</v>
      </c>
      <c r="L51" s="5" t="s">
        <v>51</v>
      </c>
      <c r="N51" s="5">
        <f>IFERROR(HLOOKUP(C51,Standings!$F$3:$BA$5,3,FALSE),0)</f>
        <v>70</v>
      </c>
      <c r="O51" s="5">
        <f>IFERROR(HLOOKUP(D51,Standings!$F$3:$BA$5,3,FALSE),0)</f>
        <v>38</v>
      </c>
      <c r="P51" s="5">
        <f>IFERROR(HLOOKUP(E51,Standings!$F$3:$BA$5,3,FALSE),0)</f>
        <v>21</v>
      </c>
      <c r="Q51" s="5">
        <f>IFERROR(HLOOKUP(F51,Standings!$F$3:$BA$5,3,FALSE),0)</f>
        <v>12</v>
      </c>
      <c r="R51" s="5">
        <f>IFERROR(HLOOKUP(G51,Standings!$F$3:$BA$5,3,FALSE),0)</f>
        <v>11</v>
      </c>
      <c r="S51" s="5">
        <f>IFERROR(HLOOKUP(H51,Standings!$F$3:$BA$5,3,FALSE),0)</f>
        <v>0</v>
      </c>
      <c r="T51" s="5">
        <f>IFERROR(HLOOKUP(I51,Standings!$F$3:$BA$5,3,FALSE),0)</f>
        <v>0</v>
      </c>
      <c r="U51" s="5">
        <f>IFERROR(HLOOKUP(J51,Standings!$F$3:$BA$5,3,FALSE),0)</f>
        <v>0</v>
      </c>
      <c r="V51" s="5">
        <f>IFERROR(HLOOKUP(K51,Standings!$F$3:$BA$5,3,FALSE),0)</f>
        <v>0</v>
      </c>
      <c r="W51" s="5">
        <f>-IFERROR(HLOOKUP(L51,Standings!$F$3:$BA$5,3,FALSE),0)</f>
        <v>-52</v>
      </c>
      <c r="X51" s="5">
        <f t="shared" si="1"/>
        <v>100</v>
      </c>
    </row>
    <row r="52" spans="2:24" x14ac:dyDescent="0.25">
      <c r="B52" s="48" t="s">
        <v>201</v>
      </c>
      <c r="C52" s="5" t="s">
        <v>76</v>
      </c>
      <c r="D52" s="5" t="s">
        <v>77</v>
      </c>
      <c r="E52" s="5" t="s">
        <v>89</v>
      </c>
      <c r="F52" s="5" t="s">
        <v>65</v>
      </c>
      <c r="G52" s="5" t="s">
        <v>41</v>
      </c>
      <c r="H52" s="5" t="s">
        <v>62</v>
      </c>
      <c r="I52" s="5" t="s">
        <v>70</v>
      </c>
      <c r="J52" s="5" t="s">
        <v>54</v>
      </c>
      <c r="K52" s="5" t="s">
        <v>49</v>
      </c>
      <c r="L52" s="5" t="s">
        <v>53</v>
      </c>
      <c r="N52" s="5">
        <f>IFERROR(HLOOKUP(C52,Standings!$F$3:$BA$5,3,FALSE),0)</f>
        <v>8</v>
      </c>
      <c r="O52" s="5">
        <f>IFERROR(HLOOKUP(D52,Standings!$F$3:$BA$5,3,FALSE),0)</f>
        <v>6</v>
      </c>
      <c r="P52" s="5">
        <f>IFERROR(HLOOKUP(E52,Standings!$F$3:$BA$5,3,FALSE),0)</f>
        <v>11</v>
      </c>
      <c r="Q52" s="5">
        <f>IFERROR(HLOOKUP(F52,Standings!$F$3:$BA$5,3,FALSE),0)</f>
        <v>13</v>
      </c>
      <c r="R52" s="5">
        <f>IFERROR(HLOOKUP(G52,Standings!$F$3:$BA$5,3,FALSE),0)</f>
        <v>20</v>
      </c>
      <c r="S52" s="5">
        <f>IFERROR(HLOOKUP(H52,Standings!$F$3:$BA$5,3,FALSE),0)</f>
        <v>21</v>
      </c>
      <c r="T52" s="5">
        <f>IFERROR(HLOOKUP(I52,Standings!$F$3:$BA$5,3,FALSE),0)</f>
        <v>7</v>
      </c>
      <c r="U52" s="5">
        <f>IFERROR(HLOOKUP(J52,Standings!$F$3:$BA$5,3,FALSE),0)</f>
        <v>17</v>
      </c>
      <c r="V52" s="5">
        <f>IFERROR(HLOOKUP(K52,Standings!$F$3:$BA$5,3,FALSE),0)</f>
        <v>16</v>
      </c>
      <c r="W52" s="5">
        <f>-IFERROR(HLOOKUP(L52,Standings!$F$3:$BA$5,3,FALSE),0)</f>
        <v>-20</v>
      </c>
      <c r="X52" s="5">
        <f t="shared" si="1"/>
        <v>99</v>
      </c>
    </row>
    <row r="53" spans="2:24" x14ac:dyDescent="0.25">
      <c r="B53" s="48" t="s">
        <v>203</v>
      </c>
      <c r="C53" s="5" t="s">
        <v>51</v>
      </c>
      <c r="D53" s="5" t="s">
        <v>62</v>
      </c>
      <c r="E53" s="5" t="s">
        <v>44</v>
      </c>
      <c r="F53" s="5" t="s">
        <v>48</v>
      </c>
      <c r="L53" s="5" t="s">
        <v>38</v>
      </c>
      <c r="N53" s="5">
        <f>IFERROR(HLOOKUP(C53,Standings!$F$3:$BA$5,3,FALSE),0)</f>
        <v>52</v>
      </c>
      <c r="O53" s="5">
        <f>IFERROR(HLOOKUP(D53,Standings!$F$3:$BA$5,3,FALSE),0)</f>
        <v>21</v>
      </c>
      <c r="P53" s="5">
        <f>IFERROR(HLOOKUP(E53,Standings!$F$3:$BA$5,3,FALSE),0)</f>
        <v>60</v>
      </c>
      <c r="Q53" s="5">
        <f>IFERROR(HLOOKUP(F53,Standings!$F$3:$BA$5,3,FALSE),0)</f>
        <v>12</v>
      </c>
      <c r="R53" s="5">
        <f>IFERROR(HLOOKUP(G53,Standings!$F$3:$BA$5,3,FALSE),0)</f>
        <v>0</v>
      </c>
      <c r="S53" s="5">
        <f>IFERROR(HLOOKUP(H53,Standings!$F$3:$BA$5,3,FALSE),0)</f>
        <v>0</v>
      </c>
      <c r="T53" s="5">
        <f>IFERROR(HLOOKUP(I53,Standings!$F$3:$BA$5,3,FALSE),0)</f>
        <v>0</v>
      </c>
      <c r="U53" s="5">
        <f>IFERROR(HLOOKUP(J53,Standings!$F$3:$BA$5,3,FALSE),0)</f>
        <v>0</v>
      </c>
      <c r="V53" s="5">
        <f>IFERROR(HLOOKUP(K53,Standings!$F$3:$BA$5,3,FALSE),0)</f>
        <v>0</v>
      </c>
      <c r="W53" s="5">
        <f>-IFERROR(HLOOKUP(L53,Standings!$F$3:$BA$5,3,FALSE),0)</f>
        <v>-45</v>
      </c>
      <c r="X53" s="5">
        <f t="shared" si="1"/>
        <v>100</v>
      </c>
    </row>
    <row r="54" spans="2:24" x14ac:dyDescent="0.25">
      <c r="B54" s="48" t="s">
        <v>204</v>
      </c>
      <c r="C54" s="5" t="s">
        <v>42</v>
      </c>
      <c r="D54" s="5" t="s">
        <v>48</v>
      </c>
      <c r="E54" s="5" t="s">
        <v>65</v>
      </c>
      <c r="F54" s="5" t="s">
        <v>67</v>
      </c>
      <c r="G54" s="5" t="s">
        <v>72</v>
      </c>
      <c r="H54" s="5" t="s">
        <v>49</v>
      </c>
      <c r="I54" s="5" t="s">
        <v>50</v>
      </c>
      <c r="L54" s="5" t="s">
        <v>40</v>
      </c>
      <c r="N54" s="5">
        <f>IFERROR(HLOOKUP(C54,Standings!$F$3:$BA$5,3,FALSE),0)</f>
        <v>27</v>
      </c>
      <c r="O54" s="5">
        <f>IFERROR(HLOOKUP(D54,Standings!$F$3:$BA$5,3,FALSE),0)</f>
        <v>12</v>
      </c>
      <c r="P54" s="5">
        <f>IFERROR(HLOOKUP(E54,Standings!$F$3:$BA$5,3,FALSE),0)</f>
        <v>13</v>
      </c>
      <c r="Q54" s="5">
        <f>IFERROR(HLOOKUP(F54,Standings!$F$3:$BA$5,3,FALSE),0)</f>
        <v>19</v>
      </c>
      <c r="R54" s="5">
        <f>IFERROR(HLOOKUP(G54,Standings!$F$3:$BA$5,3,FALSE),0)</f>
        <v>25</v>
      </c>
      <c r="S54" s="5">
        <f>IFERROR(HLOOKUP(H54,Standings!$F$3:$BA$5,3,FALSE),0)</f>
        <v>16</v>
      </c>
      <c r="T54" s="5">
        <f>IFERROR(HLOOKUP(I54,Standings!$F$3:$BA$5,3,FALSE),0)</f>
        <v>23</v>
      </c>
      <c r="U54" s="5">
        <f>IFERROR(HLOOKUP(J54,Standings!$F$3:$BA$5,3,FALSE),0)</f>
        <v>0</v>
      </c>
      <c r="V54" s="5">
        <f>IFERROR(HLOOKUP(K54,Standings!$F$3:$BA$5,3,FALSE),0)</f>
        <v>0</v>
      </c>
      <c r="W54" s="5">
        <f>-IFERROR(HLOOKUP(L54,Standings!$F$3:$BA$5,3,FALSE),0)</f>
        <v>-35</v>
      </c>
      <c r="X54" s="5">
        <f t="shared" si="1"/>
        <v>100</v>
      </c>
    </row>
    <row r="55" spans="2:24" x14ac:dyDescent="0.25">
      <c r="B55" s="48" t="s">
        <v>206</v>
      </c>
      <c r="C55" s="5" t="s">
        <v>62</v>
      </c>
      <c r="D55" s="5" t="s">
        <v>69</v>
      </c>
      <c r="E55" s="5" t="s">
        <v>40</v>
      </c>
      <c r="F55" s="5" t="s">
        <v>54</v>
      </c>
      <c r="G55" s="5" t="s">
        <v>44</v>
      </c>
      <c r="H55" s="5" t="s">
        <v>48</v>
      </c>
      <c r="L55" s="5" t="s">
        <v>52</v>
      </c>
      <c r="N55" s="5">
        <f>IFERROR(HLOOKUP(C55,Standings!$F$3:$BA$5,3,FALSE),0)</f>
        <v>21</v>
      </c>
      <c r="O55" s="5">
        <f>IFERROR(HLOOKUP(D55,Standings!$F$3:$BA$5,3,FALSE),0)</f>
        <v>9</v>
      </c>
      <c r="P55" s="5">
        <f>IFERROR(HLOOKUP(E55,Standings!$F$3:$BA$5,3,FALSE),0)</f>
        <v>35</v>
      </c>
      <c r="Q55" s="5">
        <f>IFERROR(HLOOKUP(F55,Standings!$F$3:$BA$5,3,FALSE),0)</f>
        <v>17</v>
      </c>
      <c r="R55" s="5">
        <f>IFERROR(HLOOKUP(G55,Standings!$F$3:$BA$5,3,FALSE),0)</f>
        <v>60</v>
      </c>
      <c r="S55" s="5">
        <f>IFERROR(HLOOKUP(H55,Standings!$F$3:$BA$5,3,FALSE),0)</f>
        <v>12</v>
      </c>
      <c r="T55" s="5">
        <f>IFERROR(HLOOKUP(I55,Standings!$F$3:$BA$5,3,FALSE),0)</f>
        <v>0</v>
      </c>
      <c r="U55" s="5">
        <f>IFERROR(HLOOKUP(J55,Standings!$F$3:$BA$5,3,FALSE),0)</f>
        <v>0</v>
      </c>
      <c r="V55" s="5">
        <f>IFERROR(HLOOKUP(K55,Standings!$F$3:$BA$5,3,FALSE),0)</f>
        <v>0</v>
      </c>
      <c r="W55" s="5">
        <f>-IFERROR(HLOOKUP(L55,Standings!$F$3:$BA$5,3,FALSE),0)</f>
        <v>-54</v>
      </c>
      <c r="X55" s="5">
        <f t="shared" si="1"/>
        <v>100</v>
      </c>
    </row>
    <row r="56" spans="2:24" x14ac:dyDescent="0.25">
      <c r="B56" s="48" t="s">
        <v>208</v>
      </c>
      <c r="C56" s="5" t="s">
        <v>57</v>
      </c>
      <c r="D56" s="5" t="s">
        <v>39</v>
      </c>
      <c r="E56" s="5" t="s">
        <v>42</v>
      </c>
      <c r="F56" s="5" t="s">
        <v>54</v>
      </c>
      <c r="G56" s="5" t="s">
        <v>47</v>
      </c>
      <c r="H56" s="5" t="s">
        <v>69</v>
      </c>
      <c r="L56" s="5" t="s">
        <v>40</v>
      </c>
      <c r="N56" s="5">
        <f>IFERROR(HLOOKUP(C56,Standings!$F$3:$BA$5,3,FALSE),0)</f>
        <v>14</v>
      </c>
      <c r="O56" s="5">
        <f>IFERROR(HLOOKUP(D56,Standings!$F$3:$BA$5,3,FALSE),0)</f>
        <v>30</v>
      </c>
      <c r="P56" s="5">
        <f>IFERROR(HLOOKUP(E56,Standings!$F$3:$BA$5,3,FALSE),0)</f>
        <v>27</v>
      </c>
      <c r="Q56" s="5">
        <f>IFERROR(HLOOKUP(F56,Standings!$F$3:$BA$5,3,FALSE),0)</f>
        <v>17</v>
      </c>
      <c r="R56" s="5">
        <f>IFERROR(HLOOKUP(G56,Standings!$F$3:$BA$5,3,FALSE),0)</f>
        <v>38</v>
      </c>
      <c r="S56" s="5">
        <f>IFERROR(HLOOKUP(H56,Standings!$F$3:$BA$5,3,FALSE),0)</f>
        <v>9</v>
      </c>
      <c r="T56" s="5">
        <f>IFERROR(HLOOKUP(I56,Standings!$F$3:$BA$5,3,FALSE),0)</f>
        <v>0</v>
      </c>
      <c r="U56" s="5">
        <f>IFERROR(HLOOKUP(J56,Standings!$F$3:$BA$5,3,FALSE),0)</f>
        <v>0</v>
      </c>
      <c r="V56" s="5">
        <f>IFERROR(HLOOKUP(K56,Standings!$F$3:$BA$5,3,FALSE),0)</f>
        <v>0</v>
      </c>
      <c r="W56" s="5">
        <f>-IFERROR(HLOOKUP(L56,Standings!$F$3:$BA$5,3,FALSE),0)</f>
        <v>-35</v>
      </c>
      <c r="X56" s="5">
        <f t="shared" si="1"/>
        <v>100</v>
      </c>
    </row>
    <row r="57" spans="2:24" x14ac:dyDescent="0.25">
      <c r="B57" s="48" t="s">
        <v>209</v>
      </c>
      <c r="C57" s="5" t="s">
        <v>51</v>
      </c>
      <c r="D57" s="5" t="s">
        <v>52</v>
      </c>
      <c r="E57" s="5" t="s">
        <v>65</v>
      </c>
      <c r="L57" s="5" t="s">
        <v>41</v>
      </c>
      <c r="N57" s="5">
        <f>IFERROR(HLOOKUP(C57,Standings!$F$3:$BA$5,3,FALSE),0)</f>
        <v>52</v>
      </c>
      <c r="O57" s="5">
        <f>IFERROR(HLOOKUP(D57,Standings!$F$3:$BA$5,3,FALSE),0)</f>
        <v>54</v>
      </c>
      <c r="P57" s="5">
        <f>IFERROR(HLOOKUP(E57,Standings!$F$3:$BA$5,3,FALSE),0)</f>
        <v>13</v>
      </c>
      <c r="Q57" s="5">
        <f>IFERROR(HLOOKUP(F57,Standings!$F$3:$BA$5,3,FALSE),0)</f>
        <v>0</v>
      </c>
      <c r="R57" s="5">
        <f>IFERROR(HLOOKUP(G57,Standings!$F$3:$BA$5,3,FALSE),0)</f>
        <v>0</v>
      </c>
      <c r="S57" s="5">
        <f>IFERROR(HLOOKUP(H57,Standings!$F$3:$BA$5,3,FALSE),0)</f>
        <v>0</v>
      </c>
      <c r="T57" s="5">
        <f>IFERROR(HLOOKUP(I57,Standings!$F$3:$BA$5,3,FALSE),0)</f>
        <v>0</v>
      </c>
      <c r="U57" s="5">
        <f>IFERROR(HLOOKUP(J57,Standings!$F$3:$BA$5,3,FALSE),0)</f>
        <v>0</v>
      </c>
      <c r="V57" s="5">
        <f>IFERROR(HLOOKUP(K57,Standings!$F$3:$BA$5,3,FALSE),0)</f>
        <v>0</v>
      </c>
      <c r="W57" s="5">
        <f>-IFERROR(HLOOKUP(L57,Standings!$F$3:$BA$5,3,FALSE),0)</f>
        <v>-20</v>
      </c>
      <c r="X57" s="5">
        <f t="shared" si="1"/>
        <v>99</v>
      </c>
    </row>
    <row r="58" spans="2:24" x14ac:dyDescent="0.25">
      <c r="B58" s="48" t="s">
        <v>211</v>
      </c>
      <c r="C58" s="5" t="s">
        <v>61</v>
      </c>
      <c r="D58" s="5" t="s">
        <v>40</v>
      </c>
      <c r="E58" s="5" t="s">
        <v>72</v>
      </c>
      <c r="L58" s="5" t="s">
        <v>90</v>
      </c>
      <c r="N58" s="5">
        <f>IFERROR(HLOOKUP(C58,Standings!$F$3:$BA$5,3,FALSE),0)</f>
        <v>50</v>
      </c>
      <c r="O58" s="5">
        <f>IFERROR(HLOOKUP(D58,Standings!$F$3:$BA$5,3,FALSE),0)</f>
        <v>35</v>
      </c>
      <c r="P58" s="5">
        <f>IFERROR(HLOOKUP(E58,Standings!$F$3:$BA$5,3,FALSE),0)</f>
        <v>25</v>
      </c>
      <c r="Q58" s="5">
        <f>IFERROR(HLOOKUP(F58,Standings!$F$3:$BA$5,3,FALSE),0)</f>
        <v>0</v>
      </c>
      <c r="R58" s="5">
        <f>IFERROR(HLOOKUP(G58,Standings!$F$3:$BA$5,3,FALSE),0)</f>
        <v>0</v>
      </c>
      <c r="S58" s="5">
        <f>IFERROR(HLOOKUP(H58,Standings!$F$3:$BA$5,3,FALSE),0)</f>
        <v>0</v>
      </c>
      <c r="T58" s="5">
        <f>IFERROR(HLOOKUP(I58,Standings!$F$3:$BA$5,3,FALSE),0)</f>
        <v>0</v>
      </c>
      <c r="U58" s="5">
        <f>IFERROR(HLOOKUP(J58,Standings!$F$3:$BA$5,3,FALSE),0)</f>
        <v>0</v>
      </c>
      <c r="V58" s="5">
        <f>IFERROR(HLOOKUP(K58,Standings!$F$3:$BA$5,3,FALSE),0)</f>
        <v>0</v>
      </c>
      <c r="W58" s="5">
        <f>-IFERROR(HLOOKUP(L58,Standings!$F$3:$BA$5,3,FALSE),0)</f>
        <v>-10</v>
      </c>
      <c r="X58" s="5">
        <f t="shared" si="1"/>
        <v>100</v>
      </c>
    </row>
    <row r="59" spans="2:24" x14ac:dyDescent="0.25">
      <c r="B59" s="48" t="s">
        <v>212</v>
      </c>
      <c r="C59" s="5" t="s">
        <v>50</v>
      </c>
      <c r="D59" s="5" t="s">
        <v>47</v>
      </c>
      <c r="E59" s="5" t="s">
        <v>39</v>
      </c>
      <c r="F59" s="5" t="s">
        <v>62</v>
      </c>
      <c r="L59" s="5" t="s">
        <v>55</v>
      </c>
      <c r="N59" s="5">
        <f>IFERROR(HLOOKUP(C59,Standings!$F$3:$BA$5,3,FALSE),0)</f>
        <v>23</v>
      </c>
      <c r="O59" s="5">
        <f>IFERROR(HLOOKUP(D59,Standings!$F$3:$BA$5,3,FALSE),0)</f>
        <v>38</v>
      </c>
      <c r="P59" s="5">
        <f>IFERROR(HLOOKUP(E59,Standings!$F$3:$BA$5,3,FALSE),0)</f>
        <v>30</v>
      </c>
      <c r="Q59" s="5">
        <f>IFERROR(HLOOKUP(F59,Standings!$F$3:$BA$5,3,FALSE),0)</f>
        <v>21</v>
      </c>
      <c r="R59" s="5">
        <f>IFERROR(HLOOKUP(G59,Standings!$F$3:$BA$5,3,FALSE),0)</f>
        <v>0</v>
      </c>
      <c r="S59" s="5">
        <f>IFERROR(HLOOKUP(H59,Standings!$F$3:$BA$5,3,FALSE),0)</f>
        <v>0</v>
      </c>
      <c r="T59" s="5">
        <f>IFERROR(HLOOKUP(I59,Standings!$F$3:$BA$5,3,FALSE),0)</f>
        <v>0</v>
      </c>
      <c r="U59" s="5">
        <f>IFERROR(HLOOKUP(J59,Standings!$F$3:$BA$5,3,FALSE),0)</f>
        <v>0</v>
      </c>
      <c r="V59" s="5">
        <f>IFERROR(HLOOKUP(K59,Standings!$F$3:$BA$5,3,FALSE),0)</f>
        <v>0</v>
      </c>
      <c r="W59" s="5">
        <f>-IFERROR(HLOOKUP(L59,Standings!$F$3:$BA$5,3,FALSE),0)</f>
        <v>-12</v>
      </c>
      <c r="X59" s="5">
        <f t="shared" si="1"/>
        <v>100</v>
      </c>
    </row>
    <row r="60" spans="2:24" x14ac:dyDescent="0.25">
      <c r="B60" s="48" t="s">
        <v>213</v>
      </c>
      <c r="C60" s="5" t="s">
        <v>61</v>
      </c>
      <c r="D60" s="5" t="s">
        <v>50</v>
      </c>
      <c r="E60" s="5" t="s">
        <v>67</v>
      </c>
      <c r="F60" s="5" t="s">
        <v>42</v>
      </c>
      <c r="L60" s="5" t="s">
        <v>53</v>
      </c>
      <c r="N60" s="5">
        <f>IFERROR(HLOOKUP(C60,Standings!$F$3:$BA$5,3,FALSE),0)</f>
        <v>50</v>
      </c>
      <c r="O60" s="5">
        <f>IFERROR(HLOOKUP(D60,Standings!$F$3:$BA$5,3,FALSE),0)</f>
        <v>23</v>
      </c>
      <c r="P60" s="5">
        <f>IFERROR(HLOOKUP(E60,Standings!$F$3:$BA$5,3,FALSE),0)</f>
        <v>19</v>
      </c>
      <c r="Q60" s="5">
        <f>IFERROR(HLOOKUP(F60,Standings!$F$3:$BA$5,3,FALSE),0)</f>
        <v>27</v>
      </c>
      <c r="R60" s="5">
        <f>IFERROR(HLOOKUP(G60,Standings!$F$3:$BA$5,3,FALSE),0)</f>
        <v>0</v>
      </c>
      <c r="S60" s="5">
        <f>IFERROR(HLOOKUP(H60,Standings!$F$3:$BA$5,3,FALSE),0)</f>
        <v>0</v>
      </c>
      <c r="T60" s="5">
        <f>IFERROR(HLOOKUP(I60,Standings!$F$3:$BA$5,3,FALSE),0)</f>
        <v>0</v>
      </c>
      <c r="U60" s="5">
        <f>IFERROR(HLOOKUP(J60,Standings!$F$3:$BA$5,3,FALSE),0)</f>
        <v>0</v>
      </c>
      <c r="V60" s="5">
        <f>IFERROR(HLOOKUP(K60,Standings!$F$3:$BA$5,3,FALSE),0)</f>
        <v>0</v>
      </c>
      <c r="W60" s="5">
        <f>-IFERROR(HLOOKUP(L60,Standings!$F$3:$BA$5,3,FALSE),0)</f>
        <v>-20</v>
      </c>
      <c r="X60" s="5">
        <f t="shared" si="1"/>
        <v>99</v>
      </c>
    </row>
    <row r="61" spans="2:24" x14ac:dyDescent="0.25">
      <c r="B61" s="48" t="s">
        <v>215</v>
      </c>
      <c r="C61" s="5" t="s">
        <v>44</v>
      </c>
      <c r="D61" s="5" t="s">
        <v>55</v>
      </c>
      <c r="E61" s="5" t="s">
        <v>39</v>
      </c>
      <c r="F61" s="5" t="s">
        <v>57</v>
      </c>
      <c r="G61" s="5" t="s">
        <v>58</v>
      </c>
      <c r="L61" s="5" t="s">
        <v>41</v>
      </c>
      <c r="N61" s="5">
        <f>IFERROR(HLOOKUP(C61,Standings!$F$3:$BA$5,3,FALSE),0)</f>
        <v>60</v>
      </c>
      <c r="O61" s="5">
        <f>IFERROR(HLOOKUP(D61,Standings!$F$3:$BA$5,3,FALSE),0)</f>
        <v>12</v>
      </c>
      <c r="P61" s="5">
        <f>IFERROR(HLOOKUP(E61,Standings!$F$3:$BA$5,3,FALSE),0)</f>
        <v>30</v>
      </c>
      <c r="Q61" s="5">
        <f>IFERROR(HLOOKUP(F61,Standings!$F$3:$BA$5,3,FALSE),0)</f>
        <v>14</v>
      </c>
      <c r="R61" s="5">
        <f>IFERROR(HLOOKUP(G61,Standings!$F$3:$BA$5,3,FALSE),0)</f>
        <v>4</v>
      </c>
      <c r="S61" s="5">
        <f>IFERROR(HLOOKUP(H61,Standings!$F$3:$BA$5,3,FALSE),0)</f>
        <v>0</v>
      </c>
      <c r="T61" s="5">
        <f>IFERROR(HLOOKUP(I61,Standings!$F$3:$BA$5,3,FALSE),0)</f>
        <v>0</v>
      </c>
      <c r="U61" s="5">
        <f>IFERROR(HLOOKUP(J61,Standings!$F$3:$BA$5,3,FALSE),0)</f>
        <v>0</v>
      </c>
      <c r="V61" s="5">
        <f>IFERROR(HLOOKUP(K61,Standings!$F$3:$BA$5,3,FALSE),0)</f>
        <v>0</v>
      </c>
      <c r="W61" s="5">
        <f>-IFERROR(HLOOKUP(L61,Standings!$F$3:$BA$5,3,FALSE),0)</f>
        <v>-20</v>
      </c>
      <c r="X61" s="5">
        <f t="shared" si="1"/>
        <v>100</v>
      </c>
    </row>
    <row r="62" spans="2:24" x14ac:dyDescent="0.25">
      <c r="B62" s="48" t="s">
        <v>216</v>
      </c>
      <c r="C62" s="5" t="s">
        <v>51</v>
      </c>
      <c r="D62" s="5" t="s">
        <v>47</v>
      </c>
      <c r="E62" s="5" t="s">
        <v>89</v>
      </c>
      <c r="F62" s="5" t="s">
        <v>65</v>
      </c>
      <c r="L62" s="5" t="s">
        <v>57</v>
      </c>
      <c r="N62" s="5">
        <f>IFERROR(HLOOKUP(C62,Standings!$F$3:$BA$5,3,FALSE),0)</f>
        <v>52</v>
      </c>
      <c r="O62" s="5">
        <f>IFERROR(HLOOKUP(D62,Standings!$F$3:$BA$5,3,FALSE),0)</f>
        <v>38</v>
      </c>
      <c r="P62" s="5">
        <f>IFERROR(HLOOKUP(E62,Standings!$F$3:$BA$5,3,FALSE),0)</f>
        <v>11</v>
      </c>
      <c r="Q62" s="5">
        <f>IFERROR(HLOOKUP(F62,Standings!$F$3:$BA$5,3,FALSE),0)</f>
        <v>13</v>
      </c>
      <c r="R62" s="5">
        <f>IFERROR(HLOOKUP(G62,Standings!$F$3:$BA$5,3,FALSE),0)</f>
        <v>0</v>
      </c>
      <c r="S62" s="5">
        <f>IFERROR(HLOOKUP(H62,Standings!$F$3:$BA$5,3,FALSE),0)</f>
        <v>0</v>
      </c>
      <c r="T62" s="5">
        <f>IFERROR(HLOOKUP(I62,Standings!$F$3:$BA$5,3,FALSE),0)</f>
        <v>0</v>
      </c>
      <c r="U62" s="5">
        <f>IFERROR(HLOOKUP(J62,Standings!$F$3:$BA$5,3,FALSE),0)</f>
        <v>0</v>
      </c>
      <c r="V62" s="5">
        <f>IFERROR(HLOOKUP(K62,Standings!$F$3:$BA$5,3,FALSE),0)</f>
        <v>0</v>
      </c>
      <c r="W62" s="5">
        <f>-IFERROR(HLOOKUP(L62,Standings!$F$3:$BA$5,3,FALSE),0)</f>
        <v>-14</v>
      </c>
      <c r="X62" s="5">
        <f t="shared" si="1"/>
        <v>100</v>
      </c>
    </row>
    <row r="63" spans="2:24" x14ac:dyDescent="0.25">
      <c r="B63" s="48" t="s">
        <v>218</v>
      </c>
      <c r="C63" s="5" t="s">
        <v>50</v>
      </c>
      <c r="D63" s="5" t="s">
        <v>40</v>
      </c>
      <c r="E63" s="5" t="s">
        <v>38</v>
      </c>
      <c r="L63" s="5" t="s">
        <v>56</v>
      </c>
      <c r="N63" s="5">
        <f>IFERROR(HLOOKUP(C63,Standings!$F$3:$BA$5,3,FALSE),0)</f>
        <v>23</v>
      </c>
      <c r="O63" s="5">
        <f>IFERROR(HLOOKUP(D63,Standings!$F$3:$BA$5,3,FALSE),0)</f>
        <v>35</v>
      </c>
      <c r="P63" s="5">
        <f>IFERROR(HLOOKUP(E63,Standings!$F$3:$BA$5,3,FALSE),0)</f>
        <v>45</v>
      </c>
      <c r="Q63" s="5">
        <f>IFERROR(HLOOKUP(F63,Standings!$F$3:$BA$5,3,FALSE),0)</f>
        <v>0</v>
      </c>
      <c r="R63" s="5">
        <f>IFERROR(HLOOKUP(G63,Standings!$F$3:$BA$5,3,FALSE),0)</f>
        <v>0</v>
      </c>
      <c r="S63" s="5">
        <f>IFERROR(HLOOKUP(H63,Standings!$F$3:$BA$5,3,FALSE),0)</f>
        <v>0</v>
      </c>
      <c r="T63" s="5">
        <f>IFERROR(HLOOKUP(I63,Standings!$F$3:$BA$5,3,FALSE),0)</f>
        <v>0</v>
      </c>
      <c r="U63" s="5">
        <f>IFERROR(HLOOKUP(J63,Standings!$F$3:$BA$5,3,FALSE),0)</f>
        <v>0</v>
      </c>
      <c r="V63" s="5">
        <f>IFERROR(HLOOKUP(K63,Standings!$F$3:$BA$5,3,FALSE),0)</f>
        <v>0</v>
      </c>
      <c r="W63" s="5">
        <f>-IFERROR(HLOOKUP(L63,Standings!$F$3:$BA$5,3,FALSE),0)</f>
        <v>-3</v>
      </c>
      <c r="X63" s="5">
        <f t="shared" si="1"/>
        <v>100</v>
      </c>
    </row>
    <row r="64" spans="2:24" x14ac:dyDescent="0.25">
      <c r="B64" s="48" t="s">
        <v>220</v>
      </c>
      <c r="C64" s="5" t="s">
        <v>41</v>
      </c>
      <c r="D64" s="5" t="s">
        <v>72</v>
      </c>
      <c r="E64" s="5" t="s">
        <v>68</v>
      </c>
      <c r="F64" s="5" t="s">
        <v>49</v>
      </c>
      <c r="G64" s="5" t="s">
        <v>48</v>
      </c>
      <c r="H64" s="5" t="s">
        <v>89</v>
      </c>
      <c r="L64" s="5" t="s">
        <v>43</v>
      </c>
      <c r="N64" s="5">
        <f>IFERROR(HLOOKUP(C64,Standings!$F$3:$BA$5,3,FALSE),0)</f>
        <v>20</v>
      </c>
      <c r="O64" s="5">
        <f>IFERROR(HLOOKUP(D64,Standings!$F$3:$BA$5,3,FALSE),0)</f>
        <v>25</v>
      </c>
      <c r="P64" s="5">
        <f>IFERROR(HLOOKUP(E64,Standings!$F$3:$BA$5,3,FALSE),0)</f>
        <v>18</v>
      </c>
      <c r="Q64" s="5">
        <f>IFERROR(HLOOKUP(F64,Standings!$F$3:$BA$5,3,FALSE),0)</f>
        <v>16</v>
      </c>
      <c r="R64" s="5">
        <f>IFERROR(HLOOKUP(G64,Standings!$F$3:$BA$5,3,FALSE),0)</f>
        <v>12</v>
      </c>
      <c r="S64" s="5">
        <f>IFERROR(HLOOKUP(H64,Standings!$F$3:$BA$5,3,FALSE),0)</f>
        <v>11</v>
      </c>
      <c r="T64" s="5">
        <f>IFERROR(HLOOKUP(I64,Standings!$F$3:$BA$5,3,FALSE),0)</f>
        <v>0</v>
      </c>
      <c r="U64" s="5">
        <f>IFERROR(HLOOKUP(J64,Standings!$F$3:$BA$5,3,FALSE),0)</f>
        <v>0</v>
      </c>
      <c r="V64" s="5">
        <f>IFERROR(HLOOKUP(K64,Standings!$F$3:$BA$5,3,FALSE),0)</f>
        <v>0</v>
      </c>
      <c r="W64" s="5">
        <f>-IFERROR(HLOOKUP(L64,Standings!$F$3:$BA$5,3,FALSE),0)</f>
        <v>-3</v>
      </c>
      <c r="X64" s="5">
        <f t="shared" si="1"/>
        <v>99</v>
      </c>
    </row>
    <row r="65" spans="2:24" x14ac:dyDescent="0.25">
      <c r="B65" s="48" t="s">
        <v>221</v>
      </c>
      <c r="C65" s="5" t="s">
        <v>62</v>
      </c>
      <c r="D65" s="5" t="s">
        <v>70</v>
      </c>
      <c r="E65" s="5" t="s">
        <v>48</v>
      </c>
      <c r="F65" s="5" t="s">
        <v>65</v>
      </c>
      <c r="G65" s="5" t="s">
        <v>77</v>
      </c>
      <c r="H65" s="5" t="s">
        <v>91</v>
      </c>
      <c r="I65" s="5" t="s">
        <v>38</v>
      </c>
      <c r="J65" s="5" t="s">
        <v>73</v>
      </c>
      <c r="K65" s="5" t="s">
        <v>89</v>
      </c>
      <c r="L65" s="5" t="s">
        <v>40</v>
      </c>
      <c r="N65" s="5">
        <f>IFERROR(HLOOKUP(C65,Standings!$F$3:$BA$5,3,FALSE),0)</f>
        <v>21</v>
      </c>
      <c r="O65" s="5">
        <f>IFERROR(HLOOKUP(D65,Standings!$F$3:$BA$5,3,FALSE),0)</f>
        <v>7</v>
      </c>
      <c r="P65" s="5">
        <f>IFERROR(HLOOKUP(E65,Standings!$F$3:$BA$5,3,FALSE),0)</f>
        <v>12</v>
      </c>
      <c r="Q65" s="5">
        <f>IFERROR(HLOOKUP(F65,Standings!$F$3:$BA$5,3,FALSE),0)</f>
        <v>13</v>
      </c>
      <c r="R65" s="5">
        <f>IFERROR(HLOOKUP(G65,Standings!$F$3:$BA$5,3,FALSE),0)</f>
        <v>6</v>
      </c>
      <c r="S65" s="5">
        <f>IFERROR(HLOOKUP(H65,Standings!$F$3:$BA$5,3,FALSE),0)</f>
        <v>13</v>
      </c>
      <c r="T65" s="5">
        <f>IFERROR(HLOOKUP(I65,Standings!$F$3:$BA$5,3,FALSE),0)</f>
        <v>45</v>
      </c>
      <c r="U65" s="5">
        <f>IFERROR(HLOOKUP(J65,Standings!$F$3:$BA$5,3,FALSE),0)</f>
        <v>7</v>
      </c>
      <c r="V65" s="5">
        <f>IFERROR(HLOOKUP(K65,Standings!$F$3:$BA$5,3,FALSE),0)</f>
        <v>11</v>
      </c>
      <c r="W65" s="5">
        <f>-IFERROR(HLOOKUP(L65,Standings!$F$3:$BA$5,3,FALSE),0)</f>
        <v>-35</v>
      </c>
      <c r="X65" s="5">
        <f t="shared" si="1"/>
        <v>100</v>
      </c>
    </row>
    <row r="66" spans="2:24" x14ac:dyDescent="0.25">
      <c r="B66" s="48" t="s">
        <v>223</v>
      </c>
      <c r="C66" s="5" t="s">
        <v>59</v>
      </c>
      <c r="D66" s="5" t="s">
        <v>47</v>
      </c>
      <c r="E66" s="5" t="s">
        <v>62</v>
      </c>
      <c r="F66" s="5" t="s">
        <v>39</v>
      </c>
      <c r="G66" s="5" t="s">
        <v>43</v>
      </c>
      <c r="L66" s="5" t="s">
        <v>44</v>
      </c>
      <c r="N66" s="5">
        <f>IFERROR(HLOOKUP(C66,Standings!$F$3:$BA$5,3,FALSE),0)</f>
        <v>68</v>
      </c>
      <c r="O66" s="5">
        <f>IFERROR(HLOOKUP(D66,Standings!$F$3:$BA$5,3,FALSE),0)</f>
        <v>38</v>
      </c>
      <c r="P66" s="5">
        <f>IFERROR(HLOOKUP(E66,Standings!$F$3:$BA$5,3,FALSE),0)</f>
        <v>21</v>
      </c>
      <c r="Q66" s="5">
        <f>IFERROR(HLOOKUP(F66,Standings!$F$3:$BA$5,3,FALSE),0)</f>
        <v>30</v>
      </c>
      <c r="R66" s="5">
        <f>IFERROR(HLOOKUP(G66,Standings!$F$3:$BA$5,3,FALSE),0)</f>
        <v>3</v>
      </c>
      <c r="S66" s="5">
        <f>IFERROR(HLOOKUP(H66,Standings!$F$3:$BA$5,3,FALSE),0)</f>
        <v>0</v>
      </c>
      <c r="T66" s="5">
        <f>IFERROR(HLOOKUP(I66,Standings!$F$3:$BA$5,3,FALSE),0)</f>
        <v>0</v>
      </c>
      <c r="U66" s="5">
        <f>IFERROR(HLOOKUP(J66,Standings!$F$3:$BA$5,3,FALSE),0)</f>
        <v>0</v>
      </c>
      <c r="V66" s="5">
        <f>IFERROR(HLOOKUP(K66,Standings!$F$3:$BA$5,3,FALSE),0)</f>
        <v>0</v>
      </c>
      <c r="W66" s="5">
        <f>-IFERROR(HLOOKUP(L66,Standings!$F$3:$BA$5,3,FALSE),0)</f>
        <v>-60</v>
      </c>
      <c r="X66" s="5">
        <f t="shared" ref="X66:X75" si="2">SUM(N66:W66)</f>
        <v>100</v>
      </c>
    </row>
    <row r="67" spans="2:24" x14ac:dyDescent="0.25">
      <c r="B67" s="48" t="s">
        <v>225</v>
      </c>
      <c r="C67" s="5" t="s">
        <v>71</v>
      </c>
      <c r="D67" s="5" t="s">
        <v>41</v>
      </c>
      <c r="E67" s="5" t="s">
        <v>52</v>
      </c>
      <c r="F67" s="5" t="s">
        <v>67</v>
      </c>
      <c r="G67" s="5" t="s">
        <v>38</v>
      </c>
      <c r="L67" s="5" t="s">
        <v>61</v>
      </c>
      <c r="N67" s="5">
        <f>IFERROR(HLOOKUP(C67,Standings!$F$3:$BA$5,3,FALSE),0)</f>
        <v>10</v>
      </c>
      <c r="O67" s="5">
        <f>IFERROR(HLOOKUP(D67,Standings!$F$3:$BA$5,3,FALSE),0)</f>
        <v>20</v>
      </c>
      <c r="P67" s="5">
        <f>IFERROR(HLOOKUP(E67,Standings!$F$3:$BA$5,3,FALSE),0)</f>
        <v>54</v>
      </c>
      <c r="Q67" s="5">
        <f>IFERROR(HLOOKUP(F67,Standings!$F$3:$BA$5,3,FALSE),0)</f>
        <v>19</v>
      </c>
      <c r="R67" s="5">
        <f>IFERROR(HLOOKUP(G67,Standings!$F$3:$BA$5,3,FALSE),0)</f>
        <v>45</v>
      </c>
      <c r="S67" s="5">
        <f>IFERROR(HLOOKUP(H67,Standings!$F$3:$BA$5,3,FALSE),0)</f>
        <v>0</v>
      </c>
      <c r="T67" s="5">
        <f>IFERROR(HLOOKUP(I67,Standings!$F$3:$BA$5,3,FALSE),0)</f>
        <v>0</v>
      </c>
      <c r="U67" s="5">
        <f>IFERROR(HLOOKUP(J67,Standings!$F$3:$BA$5,3,FALSE),0)</f>
        <v>0</v>
      </c>
      <c r="V67" s="5">
        <f>IFERROR(HLOOKUP(K67,Standings!$F$3:$BA$5,3,FALSE),0)</f>
        <v>0</v>
      </c>
      <c r="W67" s="5">
        <f>-IFERROR(HLOOKUP(L67,Standings!$F$3:$BA$5,3,FALSE),0)</f>
        <v>-50</v>
      </c>
      <c r="X67" s="5">
        <f t="shared" si="2"/>
        <v>98</v>
      </c>
    </row>
    <row r="68" spans="2:24" x14ac:dyDescent="0.25">
      <c r="B68" s="48" t="s">
        <v>228</v>
      </c>
      <c r="C68" s="5" t="s">
        <v>38</v>
      </c>
      <c r="D68" s="5" t="s">
        <v>51</v>
      </c>
      <c r="E68" s="5" t="s">
        <v>50</v>
      </c>
      <c r="F68" s="5" t="s">
        <v>71</v>
      </c>
      <c r="L68" s="5" t="s">
        <v>39</v>
      </c>
      <c r="N68" s="5">
        <f>IFERROR(HLOOKUP(C68,Standings!$F$3:$BA$5,3,FALSE),0)</f>
        <v>45</v>
      </c>
      <c r="O68" s="5">
        <f>IFERROR(HLOOKUP(D68,Standings!$F$3:$BA$5,3,FALSE),0)</f>
        <v>52</v>
      </c>
      <c r="P68" s="5">
        <f>IFERROR(HLOOKUP(E68,Standings!$F$3:$BA$5,3,FALSE),0)</f>
        <v>23</v>
      </c>
      <c r="Q68" s="5">
        <f>IFERROR(HLOOKUP(F68,Standings!$F$3:$BA$5,3,FALSE),0)</f>
        <v>10</v>
      </c>
      <c r="R68" s="5">
        <f>IFERROR(HLOOKUP(G68,Standings!$F$3:$BA$5,3,FALSE),0)</f>
        <v>0</v>
      </c>
      <c r="S68" s="5">
        <f>IFERROR(HLOOKUP(H68,Standings!$F$3:$BA$5,3,FALSE),0)</f>
        <v>0</v>
      </c>
      <c r="T68" s="5">
        <f>IFERROR(HLOOKUP(I68,Standings!$F$3:$BA$5,3,FALSE),0)</f>
        <v>0</v>
      </c>
      <c r="U68" s="5">
        <f>IFERROR(HLOOKUP(J68,Standings!$F$3:$BA$5,3,FALSE),0)</f>
        <v>0</v>
      </c>
      <c r="V68" s="5">
        <f>IFERROR(HLOOKUP(K68,Standings!$F$3:$BA$5,3,FALSE),0)</f>
        <v>0</v>
      </c>
      <c r="W68" s="5">
        <f>-IFERROR(HLOOKUP(L68,Standings!$F$3:$BA$5,3,FALSE),0)</f>
        <v>-30</v>
      </c>
      <c r="X68" s="5">
        <f t="shared" si="2"/>
        <v>100</v>
      </c>
    </row>
    <row r="69" spans="2:24" x14ac:dyDescent="0.25">
      <c r="B69" s="48" t="s">
        <v>230</v>
      </c>
      <c r="C69" s="5" t="s">
        <v>61</v>
      </c>
      <c r="D69" s="5" t="s">
        <v>47</v>
      </c>
      <c r="E69" s="5" t="s">
        <v>60</v>
      </c>
      <c r="F69" s="5" t="s">
        <v>54</v>
      </c>
      <c r="G69" s="5" t="s">
        <v>49</v>
      </c>
      <c r="H69" s="5" t="s">
        <v>89</v>
      </c>
      <c r="I69" s="5" t="s">
        <v>71</v>
      </c>
      <c r="L69" s="5" t="s">
        <v>59</v>
      </c>
      <c r="N69" s="5">
        <f>IFERROR(HLOOKUP(C69,Standings!$F$3:$BA$5,3,FALSE),0)</f>
        <v>50</v>
      </c>
      <c r="O69" s="5">
        <f>IFERROR(HLOOKUP(D69,Standings!$F$3:$BA$5,3,FALSE),0)</f>
        <v>38</v>
      </c>
      <c r="P69" s="5">
        <f>IFERROR(HLOOKUP(E69,Standings!$F$3:$BA$5,3,FALSE),0)</f>
        <v>26</v>
      </c>
      <c r="Q69" s="5">
        <f>IFERROR(HLOOKUP(F69,Standings!$F$3:$BA$5,3,FALSE),0)</f>
        <v>17</v>
      </c>
      <c r="R69" s="5">
        <f>IFERROR(HLOOKUP(G69,Standings!$F$3:$BA$5,3,FALSE),0)</f>
        <v>16</v>
      </c>
      <c r="S69" s="5">
        <f>IFERROR(HLOOKUP(H69,Standings!$F$3:$BA$5,3,FALSE),0)</f>
        <v>11</v>
      </c>
      <c r="T69" s="5">
        <f>IFERROR(HLOOKUP(I69,Standings!$F$3:$BA$5,3,FALSE),0)</f>
        <v>10</v>
      </c>
      <c r="U69" s="5">
        <f>IFERROR(HLOOKUP(J69,Standings!$F$3:$BA$5,3,FALSE),0)</f>
        <v>0</v>
      </c>
      <c r="V69" s="5">
        <f>IFERROR(HLOOKUP(K69,Standings!$F$3:$BA$5,3,FALSE),0)</f>
        <v>0</v>
      </c>
      <c r="W69" s="5">
        <f>-IFERROR(HLOOKUP(L69,Standings!$F$3:$BA$5,3,FALSE),0)</f>
        <v>-68</v>
      </c>
      <c r="X69" s="5">
        <f t="shared" si="2"/>
        <v>100</v>
      </c>
    </row>
    <row r="70" spans="2:24" x14ac:dyDescent="0.25">
      <c r="B70" s="48" t="s">
        <v>231</v>
      </c>
      <c r="C70" s="5" t="s">
        <v>61</v>
      </c>
      <c r="D70" s="5" t="s">
        <v>47</v>
      </c>
      <c r="E70" s="5" t="s">
        <v>40</v>
      </c>
      <c r="F70" s="5" t="s">
        <v>54</v>
      </c>
      <c r="G70" s="5" t="s">
        <v>49</v>
      </c>
      <c r="H70" s="5" t="s">
        <v>89</v>
      </c>
      <c r="L70" s="5" t="s">
        <v>59</v>
      </c>
      <c r="N70" s="5">
        <f>IFERROR(HLOOKUP(C70,Standings!$F$3:$BA$5,3,FALSE),0)</f>
        <v>50</v>
      </c>
      <c r="O70" s="5">
        <f>IFERROR(HLOOKUP(D70,Standings!$F$3:$BA$5,3,FALSE),0)</f>
        <v>38</v>
      </c>
      <c r="P70" s="5">
        <f>IFERROR(HLOOKUP(E70,Standings!$F$3:$BA$5,3,FALSE),0)</f>
        <v>35</v>
      </c>
      <c r="Q70" s="5">
        <f>IFERROR(HLOOKUP(F70,Standings!$F$3:$BA$5,3,FALSE),0)</f>
        <v>17</v>
      </c>
      <c r="R70" s="5">
        <f>IFERROR(HLOOKUP(G70,Standings!$F$3:$BA$5,3,FALSE),0)</f>
        <v>16</v>
      </c>
      <c r="S70" s="5">
        <f>IFERROR(HLOOKUP(H70,Standings!$F$3:$BA$5,3,FALSE),0)</f>
        <v>11</v>
      </c>
      <c r="T70" s="5">
        <f>IFERROR(HLOOKUP(I70,Standings!$F$3:$BA$5,3,FALSE),0)</f>
        <v>0</v>
      </c>
      <c r="U70" s="5">
        <f>IFERROR(HLOOKUP(J70,Standings!$F$3:$BA$5,3,FALSE),0)</f>
        <v>0</v>
      </c>
      <c r="V70" s="5">
        <f>IFERROR(HLOOKUP(K70,Standings!$F$3:$BA$5,3,FALSE),0)</f>
        <v>0</v>
      </c>
      <c r="W70" s="5">
        <f>-IFERROR(HLOOKUP(L70,Standings!$F$3:$BA$5,3,FALSE),0)</f>
        <v>-68</v>
      </c>
      <c r="X70" s="5">
        <f t="shared" si="2"/>
        <v>99</v>
      </c>
    </row>
    <row r="71" spans="2:24" x14ac:dyDescent="0.25">
      <c r="B71" s="48" t="s">
        <v>232</v>
      </c>
      <c r="C71" s="5" t="s">
        <v>45</v>
      </c>
      <c r="D71" s="5" t="s">
        <v>61</v>
      </c>
      <c r="E71" s="5" t="s">
        <v>53</v>
      </c>
      <c r="F71" s="5" t="s">
        <v>54</v>
      </c>
      <c r="G71" s="5" t="s">
        <v>89</v>
      </c>
      <c r="L71" s="5" t="s">
        <v>59</v>
      </c>
      <c r="N71" s="5">
        <f>IFERROR(HLOOKUP(C71,Standings!$F$3:$BA$5,3,FALSE),0)</f>
        <v>70</v>
      </c>
      <c r="O71" s="5">
        <f>IFERROR(HLOOKUP(D71,Standings!$F$3:$BA$5,3,FALSE),0)</f>
        <v>50</v>
      </c>
      <c r="P71" s="5">
        <f>IFERROR(HLOOKUP(E71,Standings!$F$3:$BA$5,3,FALSE),0)</f>
        <v>20</v>
      </c>
      <c r="Q71" s="5">
        <f>IFERROR(HLOOKUP(F71,Standings!$F$3:$BA$5,3,FALSE),0)</f>
        <v>17</v>
      </c>
      <c r="R71" s="5">
        <f>IFERROR(HLOOKUP(G71,Standings!$F$3:$BA$5,3,FALSE),0)</f>
        <v>11</v>
      </c>
      <c r="S71" s="5">
        <f>IFERROR(HLOOKUP(H71,Standings!$F$3:$BA$5,3,FALSE),0)</f>
        <v>0</v>
      </c>
      <c r="T71" s="5">
        <f>IFERROR(HLOOKUP(I71,Standings!$F$3:$BA$5,3,FALSE),0)</f>
        <v>0</v>
      </c>
      <c r="U71" s="5">
        <f>IFERROR(HLOOKUP(J71,Standings!$F$3:$BA$5,3,FALSE),0)</f>
        <v>0</v>
      </c>
      <c r="V71" s="5">
        <f>IFERROR(HLOOKUP(K71,Standings!$F$3:$BA$5,3,FALSE),0)</f>
        <v>0</v>
      </c>
      <c r="W71" s="5">
        <f>-IFERROR(HLOOKUP(L71,Standings!$F$3:$BA$5,3,FALSE),0)</f>
        <v>-68</v>
      </c>
      <c r="X71" s="5">
        <f t="shared" si="2"/>
        <v>100</v>
      </c>
    </row>
    <row r="72" spans="2:24" x14ac:dyDescent="0.25">
      <c r="B72" s="48" t="s">
        <v>233</v>
      </c>
      <c r="C72" s="5" t="s">
        <v>61</v>
      </c>
      <c r="D72" s="5" t="s">
        <v>89</v>
      </c>
      <c r="E72" s="5" t="s">
        <v>59</v>
      </c>
      <c r="F72" s="5" t="s">
        <v>49</v>
      </c>
      <c r="G72" s="5" t="s">
        <v>70</v>
      </c>
      <c r="L72" s="5" t="s">
        <v>51</v>
      </c>
      <c r="N72" s="5">
        <f>IFERROR(HLOOKUP(C72,Standings!$F$3:$BA$5,3,FALSE),0)</f>
        <v>50</v>
      </c>
      <c r="O72" s="5">
        <f>IFERROR(HLOOKUP(D72,Standings!$F$3:$BA$5,3,FALSE),0)</f>
        <v>11</v>
      </c>
      <c r="P72" s="5">
        <f>IFERROR(HLOOKUP(E72,Standings!$F$3:$BA$5,3,FALSE),0)</f>
        <v>68</v>
      </c>
      <c r="Q72" s="5">
        <f>IFERROR(HLOOKUP(F72,Standings!$F$3:$BA$5,3,FALSE),0)</f>
        <v>16</v>
      </c>
      <c r="R72" s="5">
        <f>IFERROR(HLOOKUP(G72,Standings!$F$3:$BA$5,3,FALSE),0)</f>
        <v>7</v>
      </c>
      <c r="S72" s="5">
        <f>IFERROR(HLOOKUP(H72,Standings!$F$3:$BA$5,3,FALSE),0)</f>
        <v>0</v>
      </c>
      <c r="T72" s="5">
        <f>IFERROR(HLOOKUP(I72,Standings!$F$3:$BA$5,3,FALSE),0)</f>
        <v>0</v>
      </c>
      <c r="U72" s="5">
        <f>IFERROR(HLOOKUP(J72,Standings!$F$3:$BA$5,3,FALSE),0)</f>
        <v>0</v>
      </c>
      <c r="V72" s="5">
        <f>IFERROR(HLOOKUP(K72,Standings!$F$3:$BA$5,3,FALSE),0)</f>
        <v>0</v>
      </c>
      <c r="W72" s="5">
        <f>-IFERROR(HLOOKUP(L72,Standings!$F$3:$BA$5,3,FALSE),0)</f>
        <v>-52</v>
      </c>
      <c r="X72" s="5">
        <f t="shared" si="2"/>
        <v>100</v>
      </c>
    </row>
    <row r="73" spans="2:24" x14ac:dyDescent="0.25">
      <c r="B73" s="48" t="s">
        <v>235</v>
      </c>
      <c r="C73" s="5" t="s">
        <v>52</v>
      </c>
      <c r="D73" s="5" t="s">
        <v>50</v>
      </c>
      <c r="E73" s="5" t="s">
        <v>49</v>
      </c>
      <c r="F73" s="5" t="s">
        <v>73</v>
      </c>
      <c r="N73" s="5">
        <f>IFERROR(HLOOKUP(C73,Standings!$F$3:$BA$5,3,FALSE),0)</f>
        <v>54</v>
      </c>
      <c r="O73" s="5">
        <f>IFERROR(HLOOKUP(D73,Standings!$F$3:$BA$5,3,FALSE),0)</f>
        <v>23</v>
      </c>
      <c r="P73" s="5">
        <f>IFERROR(HLOOKUP(E73,Standings!$F$3:$BA$5,3,FALSE),0)</f>
        <v>16</v>
      </c>
      <c r="Q73" s="5">
        <f>IFERROR(HLOOKUP(F73,Standings!$F$3:$BA$5,3,FALSE),0)</f>
        <v>7</v>
      </c>
      <c r="R73" s="5">
        <f>IFERROR(HLOOKUP(G73,Standings!$F$3:$BA$5,3,FALSE),0)</f>
        <v>0</v>
      </c>
      <c r="S73" s="5">
        <f>IFERROR(HLOOKUP(H73,Standings!$F$3:$BA$5,3,FALSE),0)</f>
        <v>0</v>
      </c>
      <c r="T73" s="5">
        <f>IFERROR(HLOOKUP(I73,Standings!$F$3:$BA$5,3,FALSE),0)</f>
        <v>0</v>
      </c>
      <c r="U73" s="5">
        <f>IFERROR(HLOOKUP(J73,Standings!$F$3:$BA$5,3,FALSE),0)</f>
        <v>0</v>
      </c>
      <c r="V73" s="5">
        <f>IFERROR(HLOOKUP(K73,Standings!$F$3:$BA$5,3,FALSE),0)</f>
        <v>0</v>
      </c>
      <c r="W73" s="5">
        <f>-IFERROR(HLOOKUP(L73,Standings!$F$3:$BA$5,3,FALSE),0)</f>
        <v>0</v>
      </c>
      <c r="X73" s="5">
        <f t="shared" si="2"/>
        <v>100</v>
      </c>
    </row>
    <row r="74" spans="2:24" x14ac:dyDescent="0.25">
      <c r="B74" s="48" t="s">
        <v>237</v>
      </c>
      <c r="C74" s="5" t="s">
        <v>70</v>
      </c>
      <c r="D74" s="5" t="s">
        <v>71</v>
      </c>
      <c r="E74" s="5" t="s">
        <v>45</v>
      </c>
      <c r="F74" s="5" t="s">
        <v>52</v>
      </c>
      <c r="G74" s="5" t="s">
        <v>58</v>
      </c>
      <c r="L74" s="5" t="s">
        <v>38</v>
      </c>
      <c r="N74" s="5">
        <f>IFERROR(HLOOKUP(C74,Standings!$F$3:$BA$5,3,FALSE),0)</f>
        <v>7</v>
      </c>
      <c r="O74" s="5">
        <f>IFERROR(HLOOKUP(D74,Standings!$F$3:$BA$5,3,FALSE),0)</f>
        <v>10</v>
      </c>
      <c r="P74" s="5">
        <f>IFERROR(HLOOKUP(E74,Standings!$F$3:$BA$5,3,FALSE),0)</f>
        <v>70</v>
      </c>
      <c r="Q74" s="5">
        <f>IFERROR(HLOOKUP(F74,Standings!$F$3:$BA$5,3,FALSE),0)</f>
        <v>54</v>
      </c>
      <c r="R74" s="5">
        <f>IFERROR(HLOOKUP(G74,Standings!$F$3:$BA$5,3,FALSE),0)</f>
        <v>4</v>
      </c>
      <c r="S74" s="5">
        <f>IFERROR(HLOOKUP(H74,Standings!$F$3:$BA$5,3,FALSE),0)</f>
        <v>0</v>
      </c>
      <c r="T74" s="5">
        <f>IFERROR(HLOOKUP(I74,Standings!$F$3:$BA$5,3,FALSE),0)</f>
        <v>0</v>
      </c>
      <c r="U74" s="5">
        <f>IFERROR(HLOOKUP(J74,Standings!$F$3:$BA$5,3,FALSE),0)</f>
        <v>0</v>
      </c>
      <c r="V74" s="5">
        <f>IFERROR(HLOOKUP(K74,Standings!$F$3:$BA$5,3,FALSE),0)</f>
        <v>0</v>
      </c>
      <c r="W74" s="5">
        <f>-IFERROR(HLOOKUP(L74,Standings!$F$3:$BA$5,3,FALSE),0)</f>
        <v>-45</v>
      </c>
      <c r="X74" s="5">
        <f t="shared" si="2"/>
        <v>100</v>
      </c>
    </row>
    <row r="75" spans="2:24" x14ac:dyDescent="0.25">
      <c r="B75" s="48" t="s">
        <v>239</v>
      </c>
      <c r="C75" s="5" t="s">
        <v>40</v>
      </c>
      <c r="D75" s="5" t="s">
        <v>47</v>
      </c>
      <c r="E75" s="5" t="s">
        <v>51</v>
      </c>
      <c r="L75" s="5" t="s">
        <v>72</v>
      </c>
      <c r="N75" s="5">
        <f>IFERROR(HLOOKUP(C75,Standings!$F$3:$BA$5,3,FALSE),0)</f>
        <v>35</v>
      </c>
      <c r="O75" s="5">
        <f>IFERROR(HLOOKUP(D75,Standings!$F$3:$BA$5,3,FALSE),0)</f>
        <v>38</v>
      </c>
      <c r="P75" s="5">
        <f>IFERROR(HLOOKUP(E75,Standings!$F$3:$BA$5,3,FALSE),0)</f>
        <v>52</v>
      </c>
      <c r="Q75" s="5">
        <f>IFERROR(HLOOKUP(F75,Standings!$F$3:$BA$5,3,FALSE),0)</f>
        <v>0</v>
      </c>
      <c r="R75" s="5">
        <f>IFERROR(HLOOKUP(G75,Standings!$F$3:$BA$5,3,FALSE),0)</f>
        <v>0</v>
      </c>
      <c r="S75" s="5">
        <f>IFERROR(HLOOKUP(H75,Standings!$F$3:$BA$5,3,FALSE),0)</f>
        <v>0</v>
      </c>
      <c r="T75" s="5">
        <f>IFERROR(HLOOKUP(I75,Standings!$F$3:$BA$5,3,FALSE),0)</f>
        <v>0</v>
      </c>
      <c r="U75" s="5">
        <f>IFERROR(HLOOKUP(J75,Standings!$F$3:$BA$5,3,FALSE),0)</f>
        <v>0</v>
      </c>
      <c r="V75" s="5">
        <f>IFERROR(HLOOKUP(K75,Standings!$F$3:$BA$5,3,FALSE),0)</f>
        <v>0</v>
      </c>
      <c r="W75" s="5">
        <f>-IFERROR(HLOOKUP(L75,Standings!$F$3:$BA$5,3,FALSE),0)</f>
        <v>-25</v>
      </c>
      <c r="X75" s="5">
        <f t="shared" si="2"/>
        <v>100</v>
      </c>
    </row>
    <row r="76" spans="2:24" x14ac:dyDescent="0.25">
      <c r="B76" s="48" t="s">
        <v>240</v>
      </c>
      <c r="C76" s="5" t="s">
        <v>59</v>
      </c>
      <c r="D76" s="5" t="s">
        <v>49</v>
      </c>
      <c r="E76" s="5" t="s">
        <v>57</v>
      </c>
      <c r="F76" s="5" t="s">
        <v>62</v>
      </c>
      <c r="G76" s="5" t="s">
        <v>71</v>
      </c>
      <c r="H76" s="5" t="s">
        <v>48</v>
      </c>
      <c r="I76" s="5" t="s">
        <v>75</v>
      </c>
      <c r="L76" s="5" t="s">
        <v>61</v>
      </c>
      <c r="N76" s="5">
        <f>IFERROR(HLOOKUP(C76,Standings!$F$3:$BA$5,3,FALSE),0)</f>
        <v>68</v>
      </c>
      <c r="O76" s="5">
        <f>IFERROR(HLOOKUP(D76,Standings!$F$3:$BA$5,3,FALSE),0)</f>
        <v>16</v>
      </c>
      <c r="P76" s="5">
        <f>IFERROR(HLOOKUP(E76,Standings!$F$3:$BA$5,3,FALSE),0)</f>
        <v>14</v>
      </c>
      <c r="Q76" s="5">
        <f>IFERROR(HLOOKUP(F76,Standings!$F$3:$BA$5,3,FALSE),0)</f>
        <v>21</v>
      </c>
      <c r="R76" s="5">
        <f>IFERROR(HLOOKUP(G76,Standings!$F$3:$BA$5,3,FALSE),0)</f>
        <v>10</v>
      </c>
      <c r="S76" s="5">
        <f>IFERROR(HLOOKUP(H76,Standings!$F$3:$BA$5,3,FALSE),0)</f>
        <v>12</v>
      </c>
      <c r="T76" s="5">
        <f>IFERROR(HLOOKUP(I76,Standings!$F$3:$BA$5,3,FALSE),0)</f>
        <v>9</v>
      </c>
      <c r="U76" s="5">
        <f>IFERROR(HLOOKUP(J76,Standings!$F$3:$BA$5,3,FALSE),0)</f>
        <v>0</v>
      </c>
      <c r="V76" s="5">
        <f>IFERROR(HLOOKUP(K76,Standings!$F$3:$BA$5,3,FALSE),0)</f>
        <v>0</v>
      </c>
      <c r="W76" s="5">
        <f>-IFERROR(HLOOKUP(L76,Standings!$F$3:$BA$5,3,FALSE),0)</f>
        <v>-50</v>
      </c>
      <c r="X76" s="5">
        <f t="shared" ref="X76:X101" si="3">SUM(N76:W76)</f>
        <v>100</v>
      </c>
    </row>
    <row r="77" spans="2:24" x14ac:dyDescent="0.25">
      <c r="B77" s="48" t="s">
        <v>242</v>
      </c>
      <c r="C77" s="5" t="s">
        <v>45</v>
      </c>
      <c r="D77" s="5" t="s">
        <v>41</v>
      </c>
      <c r="E77" s="5" t="s">
        <v>65</v>
      </c>
      <c r="L77" s="5" t="s">
        <v>56</v>
      </c>
      <c r="N77" s="5">
        <f>IFERROR(HLOOKUP(C77,Standings!$F$3:$BA$5,3,FALSE),0)</f>
        <v>70</v>
      </c>
      <c r="O77" s="5">
        <f>IFERROR(HLOOKUP(D77,Standings!$F$3:$BA$5,3,FALSE),0)</f>
        <v>20</v>
      </c>
      <c r="P77" s="5">
        <f>IFERROR(HLOOKUP(E77,Standings!$F$3:$BA$5,3,FALSE),0)</f>
        <v>13</v>
      </c>
      <c r="Q77" s="5">
        <f>IFERROR(HLOOKUP(F77,Standings!$F$3:$BA$5,3,FALSE),0)</f>
        <v>0</v>
      </c>
      <c r="R77" s="5">
        <f>IFERROR(HLOOKUP(G77,Standings!$F$3:$BA$5,3,FALSE),0)</f>
        <v>0</v>
      </c>
      <c r="S77" s="5">
        <f>IFERROR(HLOOKUP(H77,Standings!$F$3:$BA$5,3,FALSE),0)</f>
        <v>0</v>
      </c>
      <c r="T77" s="5">
        <f>IFERROR(HLOOKUP(I77,Standings!$F$3:$BA$5,3,FALSE),0)</f>
        <v>0</v>
      </c>
      <c r="U77" s="5">
        <f>IFERROR(HLOOKUP(J77,Standings!$F$3:$BA$5,3,FALSE),0)</f>
        <v>0</v>
      </c>
      <c r="V77" s="5">
        <f>IFERROR(HLOOKUP(K77,Standings!$F$3:$BA$5,3,FALSE),0)</f>
        <v>0</v>
      </c>
      <c r="W77" s="5">
        <f>-IFERROR(HLOOKUP(L77,Standings!$F$3:$BA$5,3,FALSE),0)</f>
        <v>-3</v>
      </c>
      <c r="X77" s="5">
        <f t="shared" si="3"/>
        <v>100</v>
      </c>
    </row>
    <row r="78" spans="2:24" x14ac:dyDescent="0.25">
      <c r="B78" s="48" t="s">
        <v>244</v>
      </c>
      <c r="C78" s="5" t="s">
        <v>47</v>
      </c>
      <c r="D78" s="5" t="s">
        <v>39</v>
      </c>
      <c r="E78" s="5" t="s">
        <v>50</v>
      </c>
      <c r="F78" s="5" t="s">
        <v>75</v>
      </c>
      <c r="N78" s="5">
        <f>IFERROR(HLOOKUP(C78,Standings!$F$3:$BA$5,3,FALSE),0)</f>
        <v>38</v>
      </c>
      <c r="O78" s="5">
        <f>IFERROR(HLOOKUP(D78,Standings!$F$3:$BA$5,3,FALSE),0)</f>
        <v>30</v>
      </c>
      <c r="P78" s="5">
        <f>IFERROR(HLOOKUP(E78,Standings!$F$3:$BA$5,3,FALSE),0)</f>
        <v>23</v>
      </c>
      <c r="Q78" s="5">
        <f>IFERROR(HLOOKUP(F78,Standings!$F$3:$BA$5,3,FALSE),0)</f>
        <v>9</v>
      </c>
      <c r="R78" s="5">
        <f>IFERROR(HLOOKUP(G78,Standings!$F$3:$BA$5,3,FALSE),0)</f>
        <v>0</v>
      </c>
      <c r="S78" s="5">
        <f>IFERROR(HLOOKUP(H78,Standings!$F$3:$BA$5,3,FALSE),0)</f>
        <v>0</v>
      </c>
      <c r="T78" s="5">
        <f>IFERROR(HLOOKUP(I78,Standings!$F$3:$BA$5,3,FALSE),0)</f>
        <v>0</v>
      </c>
      <c r="U78" s="5">
        <f>IFERROR(HLOOKUP(J78,Standings!$F$3:$BA$5,3,FALSE),0)</f>
        <v>0</v>
      </c>
      <c r="V78" s="5">
        <f>IFERROR(HLOOKUP(K78,Standings!$F$3:$BA$5,3,FALSE),0)</f>
        <v>0</v>
      </c>
      <c r="W78" s="5">
        <f>-IFERROR(HLOOKUP(L78,Standings!$F$3:$BA$5,3,FALSE),0)</f>
        <v>0</v>
      </c>
      <c r="X78" s="5">
        <f t="shared" si="3"/>
        <v>100</v>
      </c>
    </row>
    <row r="79" spans="2:24" x14ac:dyDescent="0.25">
      <c r="B79" s="48" t="s">
        <v>245</v>
      </c>
      <c r="C79" s="5" t="s">
        <v>40</v>
      </c>
      <c r="D79" s="5" t="s">
        <v>72</v>
      </c>
      <c r="E79" s="5" t="s">
        <v>46</v>
      </c>
      <c r="F79" s="5" t="s">
        <v>38</v>
      </c>
      <c r="L79" s="5" t="s">
        <v>65</v>
      </c>
      <c r="N79" s="5">
        <f>IFERROR(HLOOKUP(C79,Standings!$F$3:$BA$5,3,FALSE),0)</f>
        <v>35</v>
      </c>
      <c r="O79" s="5">
        <f>IFERROR(HLOOKUP(D79,Standings!$F$3:$BA$5,3,FALSE),0)</f>
        <v>25</v>
      </c>
      <c r="P79" s="5">
        <f>IFERROR(HLOOKUP(E79,Standings!$F$3:$BA$5,3,FALSE),0)</f>
        <v>8</v>
      </c>
      <c r="Q79" s="5">
        <f>IFERROR(HLOOKUP(F79,Standings!$F$3:$BA$5,3,FALSE),0)</f>
        <v>45</v>
      </c>
      <c r="R79" s="5">
        <f>IFERROR(HLOOKUP(G79,Standings!$F$3:$BA$5,3,FALSE),0)</f>
        <v>0</v>
      </c>
      <c r="S79" s="5">
        <f>IFERROR(HLOOKUP(H79,Standings!$F$3:$BA$5,3,FALSE),0)</f>
        <v>0</v>
      </c>
      <c r="T79" s="5">
        <f>IFERROR(HLOOKUP(I79,Standings!$F$3:$BA$5,3,FALSE),0)</f>
        <v>0</v>
      </c>
      <c r="U79" s="5">
        <f>IFERROR(HLOOKUP(J79,Standings!$F$3:$BA$5,3,FALSE),0)</f>
        <v>0</v>
      </c>
      <c r="V79" s="5">
        <f>IFERROR(HLOOKUP(K79,Standings!$F$3:$BA$5,3,FALSE),0)</f>
        <v>0</v>
      </c>
      <c r="W79" s="5">
        <f>-IFERROR(HLOOKUP(L79,Standings!$F$3:$BA$5,3,FALSE),0)</f>
        <v>-13</v>
      </c>
      <c r="X79" s="5">
        <f t="shared" si="3"/>
        <v>100</v>
      </c>
    </row>
    <row r="80" spans="2:24" x14ac:dyDescent="0.25">
      <c r="B80" s="48" t="s">
        <v>247</v>
      </c>
      <c r="C80" s="5" t="s">
        <v>41</v>
      </c>
      <c r="D80" s="5" t="s">
        <v>51</v>
      </c>
      <c r="E80" s="5" t="s">
        <v>39</v>
      </c>
      <c r="F80" s="5" t="s">
        <v>54</v>
      </c>
      <c r="G80" s="5" t="s">
        <v>77</v>
      </c>
      <c r="H80" s="5" t="s">
        <v>91</v>
      </c>
      <c r="I80" s="5" t="s">
        <v>68</v>
      </c>
      <c r="J80" s="5" t="s">
        <v>58</v>
      </c>
      <c r="L80" s="5" t="s">
        <v>44</v>
      </c>
      <c r="N80" s="5">
        <f>IFERROR(HLOOKUP(C80,Standings!$F$3:$BA$5,3,FALSE),0)</f>
        <v>20</v>
      </c>
      <c r="O80" s="5">
        <f>IFERROR(HLOOKUP(D80,Standings!$F$3:$BA$5,3,FALSE),0)</f>
        <v>52</v>
      </c>
      <c r="P80" s="5">
        <f>IFERROR(HLOOKUP(E80,Standings!$F$3:$BA$5,3,FALSE),0)</f>
        <v>30</v>
      </c>
      <c r="Q80" s="5">
        <f>IFERROR(HLOOKUP(F80,Standings!$F$3:$BA$5,3,FALSE),0)</f>
        <v>17</v>
      </c>
      <c r="R80" s="5">
        <f>IFERROR(HLOOKUP(G80,Standings!$F$3:$BA$5,3,FALSE),0)</f>
        <v>6</v>
      </c>
      <c r="S80" s="5">
        <f>IFERROR(HLOOKUP(H80,Standings!$F$3:$BA$5,3,FALSE),0)</f>
        <v>13</v>
      </c>
      <c r="T80" s="5">
        <f>IFERROR(HLOOKUP(I80,Standings!$F$3:$BA$5,3,FALSE),0)</f>
        <v>18</v>
      </c>
      <c r="U80" s="5">
        <f>IFERROR(HLOOKUP(J80,Standings!$F$3:$BA$5,3,FALSE),0)</f>
        <v>4</v>
      </c>
      <c r="V80" s="5">
        <f>IFERROR(HLOOKUP(K80,Standings!$F$3:$BA$5,3,FALSE),0)</f>
        <v>0</v>
      </c>
      <c r="W80" s="5">
        <f>-IFERROR(HLOOKUP(L80,Standings!$F$3:$BA$5,3,FALSE),0)</f>
        <v>-60</v>
      </c>
      <c r="X80" s="5">
        <f t="shared" si="3"/>
        <v>100</v>
      </c>
    </row>
    <row r="81" spans="2:24" x14ac:dyDescent="0.25">
      <c r="B81" s="48" t="s">
        <v>249</v>
      </c>
      <c r="C81" s="5" t="s">
        <v>59</v>
      </c>
      <c r="D81" s="5" t="s">
        <v>50</v>
      </c>
      <c r="E81" s="5" t="s">
        <v>38</v>
      </c>
      <c r="F81" s="5" t="s">
        <v>49</v>
      </c>
      <c r="G81" s="5" t="s">
        <v>46</v>
      </c>
      <c r="L81" s="5" t="s">
        <v>44</v>
      </c>
      <c r="N81" s="5">
        <f>IFERROR(HLOOKUP(C81,Standings!$F$3:$BA$5,3,FALSE),0)</f>
        <v>68</v>
      </c>
      <c r="O81" s="5">
        <f>IFERROR(HLOOKUP(D81,Standings!$F$3:$BA$5,3,FALSE),0)</f>
        <v>23</v>
      </c>
      <c r="P81" s="5">
        <f>IFERROR(HLOOKUP(E81,Standings!$F$3:$BA$5,3,FALSE),0)</f>
        <v>45</v>
      </c>
      <c r="Q81" s="5">
        <f>IFERROR(HLOOKUP(F81,Standings!$F$3:$BA$5,3,FALSE),0)</f>
        <v>16</v>
      </c>
      <c r="R81" s="5">
        <f>IFERROR(HLOOKUP(G81,Standings!$F$3:$BA$5,3,FALSE),0)</f>
        <v>8</v>
      </c>
      <c r="S81" s="5">
        <f>IFERROR(HLOOKUP(H81,Standings!$F$3:$BA$5,3,FALSE),0)</f>
        <v>0</v>
      </c>
      <c r="T81" s="5">
        <f>IFERROR(HLOOKUP(I81,Standings!$F$3:$BA$5,3,FALSE),0)</f>
        <v>0</v>
      </c>
      <c r="U81" s="5">
        <f>IFERROR(HLOOKUP(J81,Standings!$F$3:$BA$5,3,FALSE),0)</f>
        <v>0</v>
      </c>
      <c r="V81" s="5">
        <f>IFERROR(HLOOKUP(K81,Standings!$F$3:$BA$5,3,FALSE),0)</f>
        <v>0</v>
      </c>
      <c r="W81" s="5">
        <f>-IFERROR(HLOOKUP(L81,Standings!$F$3:$BA$5,3,FALSE),0)</f>
        <v>-60</v>
      </c>
      <c r="X81" s="5">
        <f t="shared" si="3"/>
        <v>100</v>
      </c>
    </row>
    <row r="82" spans="2:24" x14ac:dyDescent="0.25">
      <c r="B82" s="48" t="s">
        <v>251</v>
      </c>
      <c r="C82" s="5" t="s">
        <v>52</v>
      </c>
      <c r="D82" s="5" t="s">
        <v>40</v>
      </c>
      <c r="E82" s="5" t="s">
        <v>51</v>
      </c>
      <c r="F82" s="5" t="s">
        <v>62</v>
      </c>
      <c r="G82" s="5" t="s">
        <v>76</v>
      </c>
      <c r="L82" s="5" t="s">
        <v>45</v>
      </c>
      <c r="N82" s="5">
        <f>IFERROR(HLOOKUP(C82,Standings!$F$3:$BA$5,3,FALSE),0)</f>
        <v>54</v>
      </c>
      <c r="O82" s="5">
        <f>IFERROR(HLOOKUP(D82,Standings!$F$3:$BA$5,3,FALSE),0)</f>
        <v>35</v>
      </c>
      <c r="P82" s="5">
        <f>IFERROR(HLOOKUP(E82,Standings!$F$3:$BA$5,3,FALSE),0)</f>
        <v>52</v>
      </c>
      <c r="Q82" s="5">
        <f>IFERROR(HLOOKUP(F82,Standings!$F$3:$BA$5,3,FALSE),0)</f>
        <v>21</v>
      </c>
      <c r="R82" s="5">
        <f>IFERROR(HLOOKUP(G82,Standings!$F$3:$BA$5,3,FALSE),0)</f>
        <v>8</v>
      </c>
      <c r="S82" s="5">
        <f>IFERROR(HLOOKUP(H82,Standings!$F$3:$BA$5,3,FALSE),0)</f>
        <v>0</v>
      </c>
      <c r="T82" s="5">
        <f>IFERROR(HLOOKUP(I82,Standings!$F$3:$BA$5,3,FALSE),0)</f>
        <v>0</v>
      </c>
      <c r="U82" s="5">
        <f>IFERROR(HLOOKUP(J82,Standings!$F$3:$BA$5,3,FALSE),0)</f>
        <v>0</v>
      </c>
      <c r="V82" s="5">
        <f>IFERROR(HLOOKUP(K82,Standings!$F$3:$BA$5,3,FALSE),0)</f>
        <v>0</v>
      </c>
      <c r="W82" s="5">
        <f>-IFERROR(HLOOKUP(L82,Standings!$F$3:$BA$5,3,FALSE),0)</f>
        <v>-70</v>
      </c>
      <c r="X82" s="5">
        <f t="shared" si="3"/>
        <v>100</v>
      </c>
    </row>
    <row r="83" spans="2:24" x14ac:dyDescent="0.25">
      <c r="B83" s="48" t="s">
        <v>253</v>
      </c>
      <c r="C83" s="5" t="s">
        <v>38</v>
      </c>
      <c r="D83" s="5" t="s">
        <v>62</v>
      </c>
      <c r="E83" s="5" t="s">
        <v>47</v>
      </c>
      <c r="F83" s="5" t="s">
        <v>42</v>
      </c>
      <c r="G83" s="5" t="s">
        <v>72</v>
      </c>
      <c r="H83" s="5" t="s">
        <v>48</v>
      </c>
      <c r="L83" s="5" t="s">
        <v>59</v>
      </c>
      <c r="N83" s="5">
        <f>IFERROR(HLOOKUP(C83,Standings!$F$3:$BA$5,3,FALSE),0)</f>
        <v>45</v>
      </c>
      <c r="O83" s="5">
        <f>IFERROR(HLOOKUP(D83,Standings!$F$3:$BA$5,3,FALSE),0)</f>
        <v>21</v>
      </c>
      <c r="P83" s="5">
        <f>IFERROR(HLOOKUP(E83,Standings!$F$3:$BA$5,3,FALSE),0)</f>
        <v>38</v>
      </c>
      <c r="Q83" s="5">
        <f>IFERROR(HLOOKUP(F83,Standings!$F$3:$BA$5,3,FALSE),0)</f>
        <v>27</v>
      </c>
      <c r="R83" s="5">
        <f>IFERROR(HLOOKUP(G83,Standings!$F$3:$BA$5,3,FALSE),0)</f>
        <v>25</v>
      </c>
      <c r="S83" s="5">
        <f>IFERROR(HLOOKUP(H83,Standings!$F$3:$BA$5,3,FALSE),0)</f>
        <v>12</v>
      </c>
      <c r="T83" s="5">
        <f>IFERROR(HLOOKUP(I83,Standings!$F$3:$BA$5,3,FALSE),0)</f>
        <v>0</v>
      </c>
      <c r="U83" s="5">
        <f>IFERROR(HLOOKUP(J83,Standings!$F$3:$BA$5,3,FALSE),0)</f>
        <v>0</v>
      </c>
      <c r="V83" s="5">
        <f>IFERROR(HLOOKUP(K83,Standings!$F$3:$BA$5,3,FALSE),0)</f>
        <v>0</v>
      </c>
      <c r="W83" s="5">
        <f>-IFERROR(HLOOKUP(L83,Standings!$F$3:$BA$5,3,FALSE),0)</f>
        <v>-68</v>
      </c>
      <c r="X83" s="5">
        <f t="shared" si="3"/>
        <v>100</v>
      </c>
    </row>
    <row r="84" spans="2:24" x14ac:dyDescent="0.25">
      <c r="B84" s="48" t="s">
        <v>255</v>
      </c>
      <c r="C84" s="5" t="s">
        <v>39</v>
      </c>
      <c r="D84" s="5" t="s">
        <v>72</v>
      </c>
      <c r="E84" s="5" t="s">
        <v>41</v>
      </c>
      <c r="F84" s="5" t="s">
        <v>54</v>
      </c>
      <c r="G84" s="5" t="s">
        <v>47</v>
      </c>
      <c r="H84" s="5" t="s">
        <v>68</v>
      </c>
      <c r="I84" s="5" t="s">
        <v>48</v>
      </c>
      <c r="J84" s="5" t="s">
        <v>69</v>
      </c>
      <c r="L84" s="5" t="s">
        <v>45</v>
      </c>
      <c r="N84" s="5">
        <f>IFERROR(HLOOKUP(C84,Standings!$F$3:$BA$5,3,FALSE),0)</f>
        <v>30</v>
      </c>
      <c r="O84" s="5">
        <f>IFERROR(HLOOKUP(D84,Standings!$F$3:$BA$5,3,FALSE),0)</f>
        <v>25</v>
      </c>
      <c r="P84" s="5">
        <f>IFERROR(HLOOKUP(E84,Standings!$F$3:$BA$5,3,FALSE),0)</f>
        <v>20</v>
      </c>
      <c r="Q84" s="5">
        <f>IFERROR(HLOOKUP(F84,Standings!$F$3:$BA$5,3,FALSE),0)</f>
        <v>17</v>
      </c>
      <c r="R84" s="5">
        <f>IFERROR(HLOOKUP(G84,Standings!$F$3:$BA$5,3,FALSE),0)</f>
        <v>38</v>
      </c>
      <c r="S84" s="5">
        <f>IFERROR(HLOOKUP(H84,Standings!$F$3:$BA$5,3,FALSE),0)</f>
        <v>18</v>
      </c>
      <c r="T84" s="5">
        <f>IFERROR(HLOOKUP(I84,Standings!$F$3:$BA$5,3,FALSE),0)</f>
        <v>12</v>
      </c>
      <c r="U84" s="5">
        <f>IFERROR(HLOOKUP(J84,Standings!$F$3:$BA$5,3,FALSE),0)</f>
        <v>9</v>
      </c>
      <c r="V84" s="5">
        <f>IFERROR(HLOOKUP(K84,Standings!$F$3:$BA$5,3,FALSE),0)</f>
        <v>0</v>
      </c>
      <c r="W84" s="5">
        <f>-IFERROR(HLOOKUP(L84,Standings!$F$3:$BA$5,3,FALSE),0)</f>
        <v>-70</v>
      </c>
      <c r="X84" s="5">
        <f t="shared" si="3"/>
        <v>99</v>
      </c>
    </row>
    <row r="85" spans="2:24" x14ac:dyDescent="0.25">
      <c r="B85" s="48" t="s">
        <v>257</v>
      </c>
      <c r="C85" s="5" t="s">
        <v>61</v>
      </c>
      <c r="D85" s="5" t="s">
        <v>40</v>
      </c>
      <c r="E85" s="5" t="s">
        <v>62</v>
      </c>
      <c r="F85" s="5" t="s">
        <v>65</v>
      </c>
      <c r="G85" s="5" t="s">
        <v>89</v>
      </c>
      <c r="L85" s="5" t="s">
        <v>39</v>
      </c>
      <c r="N85" s="5">
        <f>IFERROR(HLOOKUP(C85,Standings!$F$3:$BA$5,3,FALSE),0)</f>
        <v>50</v>
      </c>
      <c r="O85" s="5">
        <f>IFERROR(HLOOKUP(D85,Standings!$F$3:$BA$5,3,FALSE),0)</f>
        <v>35</v>
      </c>
      <c r="P85" s="5">
        <f>IFERROR(HLOOKUP(E85,Standings!$F$3:$BA$5,3,FALSE),0)</f>
        <v>21</v>
      </c>
      <c r="Q85" s="5">
        <f>IFERROR(HLOOKUP(F85,Standings!$F$3:$BA$5,3,FALSE),0)</f>
        <v>13</v>
      </c>
      <c r="R85" s="5">
        <f>IFERROR(HLOOKUP(G85,Standings!$F$3:$BA$5,3,FALSE),0)</f>
        <v>11</v>
      </c>
      <c r="S85" s="5">
        <f>IFERROR(HLOOKUP(H85,Standings!$F$3:$BA$5,3,FALSE),0)</f>
        <v>0</v>
      </c>
      <c r="T85" s="5">
        <f>IFERROR(HLOOKUP(I85,Standings!$F$3:$BA$5,3,FALSE),0)</f>
        <v>0</v>
      </c>
      <c r="U85" s="5">
        <f>IFERROR(HLOOKUP(J85,Standings!$F$3:$BA$5,3,FALSE),0)</f>
        <v>0</v>
      </c>
      <c r="V85" s="5">
        <f>IFERROR(HLOOKUP(K85,Standings!$F$3:$BA$5,3,FALSE),0)</f>
        <v>0</v>
      </c>
      <c r="W85" s="5">
        <f>-IFERROR(HLOOKUP(L85,Standings!$F$3:$BA$5,3,FALSE),0)</f>
        <v>-30</v>
      </c>
      <c r="X85" s="5">
        <f t="shared" si="3"/>
        <v>100</v>
      </c>
    </row>
    <row r="86" spans="2:24" x14ac:dyDescent="0.25">
      <c r="B86" s="48" t="s">
        <v>259</v>
      </c>
      <c r="C86" s="5" t="s">
        <v>51</v>
      </c>
      <c r="D86" s="5" t="s">
        <v>61</v>
      </c>
      <c r="E86" s="5" t="s">
        <v>53</v>
      </c>
      <c r="F86" s="5" t="s">
        <v>65</v>
      </c>
      <c r="L86" s="5" t="s">
        <v>40</v>
      </c>
      <c r="N86" s="5">
        <f>IFERROR(HLOOKUP(C86,Standings!$F$3:$BA$5,3,FALSE),0)</f>
        <v>52</v>
      </c>
      <c r="O86" s="5">
        <f>IFERROR(HLOOKUP(D86,Standings!$F$3:$BA$5,3,FALSE),0)</f>
        <v>50</v>
      </c>
      <c r="P86" s="5">
        <f>IFERROR(HLOOKUP(E86,Standings!$F$3:$BA$5,3,FALSE),0)</f>
        <v>20</v>
      </c>
      <c r="Q86" s="5">
        <f>IFERROR(HLOOKUP(F86,Standings!$F$3:$BA$5,3,FALSE),0)</f>
        <v>13</v>
      </c>
      <c r="R86" s="5">
        <f>IFERROR(HLOOKUP(G86,Standings!$F$3:$BA$5,3,FALSE),0)</f>
        <v>0</v>
      </c>
      <c r="S86" s="5">
        <f>IFERROR(HLOOKUP(H86,Standings!$F$3:$BA$5,3,FALSE),0)</f>
        <v>0</v>
      </c>
      <c r="T86" s="5">
        <f>IFERROR(HLOOKUP(I86,Standings!$F$3:$BA$5,3,FALSE),0)</f>
        <v>0</v>
      </c>
      <c r="U86" s="5">
        <f>IFERROR(HLOOKUP(J86,Standings!$F$3:$BA$5,3,FALSE),0)</f>
        <v>0</v>
      </c>
      <c r="V86" s="5">
        <f>IFERROR(HLOOKUP(K86,Standings!$F$3:$BA$5,3,FALSE),0)</f>
        <v>0</v>
      </c>
      <c r="W86" s="5">
        <f>-IFERROR(HLOOKUP(L86,Standings!$F$3:$BA$5,3,FALSE),0)</f>
        <v>-35</v>
      </c>
      <c r="X86" s="5">
        <f t="shared" si="3"/>
        <v>100</v>
      </c>
    </row>
    <row r="87" spans="2:24" x14ac:dyDescent="0.25">
      <c r="B87" s="48" t="s">
        <v>260</v>
      </c>
      <c r="C87" s="5" t="s">
        <v>45</v>
      </c>
      <c r="D87" s="5" t="s">
        <v>59</v>
      </c>
      <c r="E87" s="5" t="s">
        <v>49</v>
      </c>
      <c r="L87" s="5" t="s">
        <v>52</v>
      </c>
      <c r="N87" s="5">
        <f>IFERROR(HLOOKUP(C87,Standings!$F$3:$BA$5,3,FALSE),0)</f>
        <v>70</v>
      </c>
      <c r="O87" s="5">
        <f>IFERROR(HLOOKUP(D87,Standings!$F$3:$BA$5,3,FALSE),0)</f>
        <v>68</v>
      </c>
      <c r="P87" s="5">
        <f>IFERROR(HLOOKUP(E87,Standings!$F$3:$BA$5,3,FALSE),0)</f>
        <v>16</v>
      </c>
      <c r="Q87" s="5">
        <f>IFERROR(HLOOKUP(F87,Standings!$F$3:$BA$5,3,FALSE),0)</f>
        <v>0</v>
      </c>
      <c r="R87" s="5">
        <f>IFERROR(HLOOKUP(G87,Standings!$F$3:$BA$5,3,FALSE),0)</f>
        <v>0</v>
      </c>
      <c r="S87" s="5">
        <f>IFERROR(HLOOKUP(H87,Standings!$F$3:$BA$5,3,FALSE),0)</f>
        <v>0</v>
      </c>
      <c r="T87" s="5">
        <f>IFERROR(HLOOKUP(I87,Standings!$F$3:$BA$5,3,FALSE),0)</f>
        <v>0</v>
      </c>
      <c r="U87" s="5">
        <f>IFERROR(HLOOKUP(J87,Standings!$F$3:$BA$5,3,FALSE),0)</f>
        <v>0</v>
      </c>
      <c r="V87" s="5">
        <f>IFERROR(HLOOKUP(K87,Standings!$F$3:$BA$5,3,FALSE),0)</f>
        <v>0</v>
      </c>
      <c r="W87" s="5">
        <f>-IFERROR(HLOOKUP(L87,Standings!$F$3:$BA$5,3,FALSE),0)</f>
        <v>-54</v>
      </c>
      <c r="X87" s="5">
        <f t="shared" si="3"/>
        <v>100</v>
      </c>
    </row>
    <row r="88" spans="2:24" x14ac:dyDescent="0.25">
      <c r="B88" s="48" t="s">
        <v>261</v>
      </c>
      <c r="C88" s="5" t="s">
        <v>67</v>
      </c>
      <c r="D88" s="5" t="s">
        <v>50</v>
      </c>
      <c r="E88" s="5" t="s">
        <v>58</v>
      </c>
      <c r="F88" s="5" t="s">
        <v>44</v>
      </c>
      <c r="L88" s="5" t="s">
        <v>88</v>
      </c>
      <c r="N88" s="5">
        <f>IFERROR(HLOOKUP(C88,Standings!$F$3:$BA$5,3,FALSE),0)</f>
        <v>19</v>
      </c>
      <c r="O88" s="5">
        <f>IFERROR(HLOOKUP(D88,Standings!$F$3:$BA$5,3,FALSE),0)</f>
        <v>23</v>
      </c>
      <c r="P88" s="5">
        <f>IFERROR(HLOOKUP(E88,Standings!$F$3:$BA$5,3,FALSE),0)</f>
        <v>4</v>
      </c>
      <c r="Q88" s="5">
        <f>IFERROR(HLOOKUP(F88,Standings!$F$3:$BA$5,3,FALSE),0)</f>
        <v>60</v>
      </c>
      <c r="R88" s="5">
        <f>IFERROR(HLOOKUP(G88,Standings!$F$3:$BA$5,3,FALSE),0)</f>
        <v>0</v>
      </c>
      <c r="S88" s="5">
        <f>IFERROR(HLOOKUP(H88,Standings!$F$3:$BA$5,3,FALSE),0)</f>
        <v>0</v>
      </c>
      <c r="T88" s="5">
        <f>IFERROR(HLOOKUP(I88,Standings!$F$3:$BA$5,3,FALSE),0)</f>
        <v>0</v>
      </c>
      <c r="U88" s="5">
        <f>IFERROR(HLOOKUP(J88,Standings!$F$3:$BA$5,3,FALSE),0)</f>
        <v>0</v>
      </c>
      <c r="V88" s="5">
        <f>IFERROR(HLOOKUP(K88,Standings!$F$3:$BA$5,3,FALSE),0)</f>
        <v>0</v>
      </c>
      <c r="W88" s="5">
        <f>-IFERROR(HLOOKUP(L88,Standings!$F$3:$BA$5,3,FALSE),0)</f>
        <v>-6</v>
      </c>
      <c r="X88" s="5">
        <f t="shared" si="3"/>
        <v>100</v>
      </c>
    </row>
    <row r="89" spans="2:24" x14ac:dyDescent="0.25">
      <c r="B89" s="48" t="s">
        <v>263</v>
      </c>
      <c r="C89" s="5" t="s">
        <v>61</v>
      </c>
      <c r="D89" s="5" t="s">
        <v>72</v>
      </c>
      <c r="E89" s="5" t="s">
        <v>54</v>
      </c>
      <c r="F89" s="5" t="s">
        <v>41</v>
      </c>
      <c r="G89" s="5" t="s">
        <v>60</v>
      </c>
      <c r="L89" s="5" t="s">
        <v>47</v>
      </c>
      <c r="N89" s="5">
        <f>IFERROR(HLOOKUP(C89,Standings!$F$3:$BA$5,3,FALSE),0)</f>
        <v>50</v>
      </c>
      <c r="O89" s="5">
        <f>IFERROR(HLOOKUP(D89,Standings!$F$3:$BA$5,3,FALSE),0)</f>
        <v>25</v>
      </c>
      <c r="P89" s="5">
        <f>IFERROR(HLOOKUP(E89,Standings!$F$3:$BA$5,3,FALSE),0)</f>
        <v>17</v>
      </c>
      <c r="Q89" s="5">
        <f>IFERROR(HLOOKUP(F89,Standings!$F$3:$BA$5,3,FALSE),0)</f>
        <v>20</v>
      </c>
      <c r="R89" s="5">
        <f>IFERROR(HLOOKUP(G89,Standings!$F$3:$BA$5,3,FALSE),0)</f>
        <v>26</v>
      </c>
      <c r="S89" s="5">
        <f>IFERROR(HLOOKUP(H89,Standings!$F$3:$BA$5,3,FALSE),0)</f>
        <v>0</v>
      </c>
      <c r="T89" s="5">
        <f>IFERROR(HLOOKUP(I89,Standings!$F$3:$BA$5,3,FALSE),0)</f>
        <v>0</v>
      </c>
      <c r="U89" s="5">
        <f>IFERROR(HLOOKUP(J89,Standings!$F$3:$BA$5,3,FALSE),0)</f>
        <v>0</v>
      </c>
      <c r="V89" s="5">
        <f>IFERROR(HLOOKUP(K89,Standings!$F$3:$BA$5,3,FALSE),0)</f>
        <v>0</v>
      </c>
      <c r="W89" s="5">
        <f>-IFERROR(HLOOKUP(L89,Standings!$F$3:$BA$5,3,FALSE),0)</f>
        <v>-38</v>
      </c>
      <c r="X89" s="5">
        <f t="shared" si="3"/>
        <v>100</v>
      </c>
    </row>
    <row r="90" spans="2:24" x14ac:dyDescent="0.25">
      <c r="B90" s="48" t="s">
        <v>265</v>
      </c>
      <c r="C90" s="5" t="s">
        <v>61</v>
      </c>
      <c r="D90" s="5" t="s">
        <v>52</v>
      </c>
      <c r="E90" s="5" t="s">
        <v>60</v>
      </c>
      <c r="L90" s="5" t="s">
        <v>39</v>
      </c>
      <c r="N90" s="5">
        <f>IFERROR(HLOOKUP(C90,Standings!$F$3:$BA$5,3,FALSE),0)</f>
        <v>50</v>
      </c>
      <c r="O90" s="5">
        <f>IFERROR(HLOOKUP(D90,Standings!$F$3:$BA$5,3,FALSE),0)</f>
        <v>54</v>
      </c>
      <c r="P90" s="5">
        <f>IFERROR(HLOOKUP(E90,Standings!$F$3:$BA$5,3,FALSE),0)</f>
        <v>26</v>
      </c>
      <c r="Q90" s="5">
        <f>IFERROR(HLOOKUP(F90,Standings!$F$3:$BA$5,3,FALSE),0)</f>
        <v>0</v>
      </c>
      <c r="R90" s="5">
        <f>IFERROR(HLOOKUP(G90,Standings!$F$3:$BA$5,3,FALSE),0)</f>
        <v>0</v>
      </c>
      <c r="S90" s="5">
        <f>IFERROR(HLOOKUP(H90,Standings!$F$3:$BA$5,3,FALSE),0)</f>
        <v>0</v>
      </c>
      <c r="T90" s="5">
        <f>IFERROR(HLOOKUP(I90,Standings!$F$3:$BA$5,3,FALSE),0)</f>
        <v>0</v>
      </c>
      <c r="U90" s="5">
        <f>IFERROR(HLOOKUP(J90,Standings!$F$3:$BA$5,3,FALSE),0)</f>
        <v>0</v>
      </c>
      <c r="V90" s="5">
        <f>IFERROR(HLOOKUP(K90,Standings!$F$3:$BA$5,3,FALSE),0)</f>
        <v>0</v>
      </c>
      <c r="W90" s="5">
        <f>-IFERROR(HLOOKUP(L90,Standings!$F$3:$BA$5,3,FALSE),0)</f>
        <v>-30</v>
      </c>
      <c r="X90" s="5">
        <f t="shared" si="3"/>
        <v>100</v>
      </c>
    </row>
    <row r="91" spans="2:24" x14ac:dyDescent="0.25">
      <c r="B91" s="48" t="s">
        <v>267</v>
      </c>
      <c r="C91" s="5" t="s">
        <v>67</v>
      </c>
      <c r="D91" s="5" t="s">
        <v>60</v>
      </c>
      <c r="E91" s="5" t="s">
        <v>90</v>
      </c>
      <c r="F91" s="5" t="s">
        <v>43</v>
      </c>
      <c r="G91" s="5" t="s">
        <v>42</v>
      </c>
      <c r="H91" s="5" t="s">
        <v>88</v>
      </c>
      <c r="I91" s="5" t="s">
        <v>89</v>
      </c>
      <c r="J91" s="5" t="s">
        <v>55</v>
      </c>
      <c r="K91" s="5" t="s">
        <v>52</v>
      </c>
      <c r="L91" s="5" t="s">
        <v>59</v>
      </c>
      <c r="N91" s="5">
        <f>IFERROR(HLOOKUP(C91,Standings!$F$3:$BA$5,3,FALSE),0)</f>
        <v>19</v>
      </c>
      <c r="O91" s="5">
        <f>IFERROR(HLOOKUP(D91,Standings!$F$3:$BA$5,3,FALSE),0)</f>
        <v>26</v>
      </c>
      <c r="P91" s="5">
        <f>IFERROR(HLOOKUP(E91,Standings!$F$3:$BA$5,3,FALSE),0)</f>
        <v>10</v>
      </c>
      <c r="Q91" s="5">
        <f>IFERROR(HLOOKUP(F91,Standings!$F$3:$BA$5,3,FALSE),0)</f>
        <v>3</v>
      </c>
      <c r="R91" s="5">
        <f>IFERROR(HLOOKUP(G91,Standings!$F$3:$BA$5,3,FALSE),0)</f>
        <v>27</v>
      </c>
      <c r="S91" s="5">
        <f>IFERROR(HLOOKUP(H91,Standings!$F$3:$BA$5,3,FALSE),0)</f>
        <v>6</v>
      </c>
      <c r="T91" s="5">
        <f>IFERROR(HLOOKUP(I91,Standings!$F$3:$BA$5,3,FALSE),0)</f>
        <v>11</v>
      </c>
      <c r="U91" s="5">
        <f>IFERROR(HLOOKUP(J91,Standings!$F$3:$BA$5,3,FALSE),0)</f>
        <v>12</v>
      </c>
      <c r="V91" s="5">
        <f>IFERROR(HLOOKUP(K91,Standings!$F$3:$BA$5,3,FALSE),0)</f>
        <v>54</v>
      </c>
      <c r="W91" s="5">
        <f>-IFERROR(HLOOKUP(L91,Standings!$F$3:$BA$5,3,FALSE),0)</f>
        <v>-68</v>
      </c>
      <c r="X91" s="5">
        <f t="shared" si="3"/>
        <v>100</v>
      </c>
    </row>
    <row r="92" spans="2:24" x14ac:dyDescent="0.25">
      <c r="B92" s="48" t="s">
        <v>269</v>
      </c>
      <c r="C92" s="5" t="s">
        <v>60</v>
      </c>
      <c r="D92" s="5" t="s">
        <v>41</v>
      </c>
      <c r="E92" s="5" t="s">
        <v>72</v>
      </c>
      <c r="F92" s="5" t="s">
        <v>62</v>
      </c>
      <c r="G92" s="5" t="s">
        <v>53</v>
      </c>
      <c r="L92" s="5" t="s">
        <v>65</v>
      </c>
      <c r="N92" s="5">
        <f>IFERROR(HLOOKUP(C92,Standings!$F$3:$BA$5,3,FALSE),0)</f>
        <v>26</v>
      </c>
      <c r="O92" s="5">
        <f>IFERROR(HLOOKUP(D92,Standings!$F$3:$BA$5,3,FALSE),0)</f>
        <v>20</v>
      </c>
      <c r="P92" s="5">
        <f>IFERROR(HLOOKUP(E92,Standings!$F$3:$BA$5,3,FALSE),0)</f>
        <v>25</v>
      </c>
      <c r="Q92" s="5">
        <f>IFERROR(HLOOKUP(F92,Standings!$F$3:$BA$5,3,FALSE),0)</f>
        <v>21</v>
      </c>
      <c r="R92" s="5">
        <f>IFERROR(HLOOKUP(G92,Standings!$F$3:$BA$5,3,FALSE),0)</f>
        <v>20</v>
      </c>
      <c r="S92" s="5">
        <f>IFERROR(HLOOKUP(H92,Standings!$F$3:$BA$5,3,FALSE),0)</f>
        <v>0</v>
      </c>
      <c r="T92" s="5">
        <f>IFERROR(HLOOKUP(I92,Standings!$F$3:$BA$5,3,FALSE),0)</f>
        <v>0</v>
      </c>
      <c r="U92" s="5">
        <f>IFERROR(HLOOKUP(J92,Standings!$F$3:$BA$5,3,FALSE),0)</f>
        <v>0</v>
      </c>
      <c r="V92" s="5">
        <f>IFERROR(HLOOKUP(K92,Standings!$F$3:$BA$5,3,FALSE),0)</f>
        <v>0</v>
      </c>
      <c r="W92" s="5">
        <f>-IFERROR(HLOOKUP(L92,Standings!$F$3:$BA$5,3,FALSE),0)</f>
        <v>-13</v>
      </c>
      <c r="X92" s="5">
        <f t="shared" si="3"/>
        <v>99</v>
      </c>
    </row>
    <row r="93" spans="2:24" x14ac:dyDescent="0.25">
      <c r="B93" s="48" t="s">
        <v>271</v>
      </c>
      <c r="C93" s="5" t="s">
        <v>44</v>
      </c>
      <c r="D93" s="5" t="s">
        <v>50</v>
      </c>
      <c r="E93" s="5" t="s">
        <v>68</v>
      </c>
      <c r="F93" s="5" t="s">
        <v>39</v>
      </c>
      <c r="G93" s="5" t="s">
        <v>57</v>
      </c>
      <c r="L93" s="5" t="s">
        <v>38</v>
      </c>
      <c r="N93" s="5">
        <f>IFERROR(HLOOKUP(C93,Standings!$F$3:$BA$5,3,FALSE),0)</f>
        <v>60</v>
      </c>
      <c r="O93" s="5">
        <f>IFERROR(HLOOKUP(D93,Standings!$F$3:$BA$5,3,FALSE),0)</f>
        <v>23</v>
      </c>
      <c r="P93" s="5">
        <f>IFERROR(HLOOKUP(E93,Standings!$F$3:$BA$5,3,FALSE),0)</f>
        <v>18</v>
      </c>
      <c r="Q93" s="5">
        <f>IFERROR(HLOOKUP(F93,Standings!$F$3:$BA$5,3,FALSE),0)</f>
        <v>30</v>
      </c>
      <c r="R93" s="5">
        <f>IFERROR(HLOOKUP(G93,Standings!$F$3:$BA$5,3,FALSE),0)</f>
        <v>14</v>
      </c>
      <c r="S93" s="5">
        <f>IFERROR(HLOOKUP(H93,Standings!$F$3:$BA$5,3,FALSE),0)</f>
        <v>0</v>
      </c>
      <c r="T93" s="5">
        <f>IFERROR(HLOOKUP(I93,Standings!$F$3:$BA$5,3,FALSE),0)</f>
        <v>0</v>
      </c>
      <c r="U93" s="5">
        <f>IFERROR(HLOOKUP(J93,Standings!$F$3:$BA$5,3,FALSE),0)</f>
        <v>0</v>
      </c>
      <c r="V93" s="5">
        <f>IFERROR(HLOOKUP(K93,Standings!$F$3:$BA$5,3,FALSE),0)</f>
        <v>0</v>
      </c>
      <c r="W93" s="5">
        <f>-IFERROR(HLOOKUP(L93,Standings!$F$3:$BA$5,3,FALSE),0)</f>
        <v>-45</v>
      </c>
      <c r="X93" s="5">
        <f t="shared" si="3"/>
        <v>100</v>
      </c>
    </row>
    <row r="94" spans="2:24" x14ac:dyDescent="0.25">
      <c r="B94" s="48" t="s">
        <v>272</v>
      </c>
      <c r="C94" s="5" t="s">
        <v>47</v>
      </c>
      <c r="D94" s="5" t="s">
        <v>42</v>
      </c>
      <c r="E94" s="5" t="s">
        <v>41</v>
      </c>
      <c r="F94" s="5" t="s">
        <v>50</v>
      </c>
      <c r="L94" s="5" t="s">
        <v>76</v>
      </c>
      <c r="N94" s="5">
        <f>IFERROR(HLOOKUP(C94,Standings!$F$3:$BA$5,3,FALSE),0)</f>
        <v>38</v>
      </c>
      <c r="O94" s="5">
        <f>IFERROR(HLOOKUP(D94,Standings!$F$3:$BA$5,3,FALSE),0)</f>
        <v>27</v>
      </c>
      <c r="P94" s="5">
        <f>IFERROR(HLOOKUP(E94,Standings!$F$3:$BA$5,3,FALSE),0)</f>
        <v>20</v>
      </c>
      <c r="Q94" s="5">
        <f>IFERROR(HLOOKUP(F94,Standings!$F$3:$BA$5,3,FALSE),0)</f>
        <v>23</v>
      </c>
      <c r="R94" s="5">
        <f>IFERROR(HLOOKUP(G94,Standings!$F$3:$BA$5,3,FALSE),0)</f>
        <v>0</v>
      </c>
      <c r="S94" s="5">
        <f>IFERROR(HLOOKUP(H94,Standings!$F$3:$BA$5,3,FALSE),0)</f>
        <v>0</v>
      </c>
      <c r="T94" s="5">
        <f>IFERROR(HLOOKUP(I94,Standings!$F$3:$BA$5,3,FALSE),0)</f>
        <v>0</v>
      </c>
      <c r="U94" s="5">
        <f>IFERROR(HLOOKUP(J94,Standings!$F$3:$BA$5,3,FALSE),0)</f>
        <v>0</v>
      </c>
      <c r="V94" s="5">
        <f>IFERROR(HLOOKUP(K94,Standings!$F$3:$BA$5,3,FALSE),0)</f>
        <v>0</v>
      </c>
      <c r="W94" s="5">
        <f>-IFERROR(HLOOKUP(L94,Standings!$F$3:$BA$5,3,FALSE),0)</f>
        <v>-8</v>
      </c>
      <c r="X94" s="5">
        <f t="shared" si="3"/>
        <v>100</v>
      </c>
    </row>
    <row r="95" spans="2:24" x14ac:dyDescent="0.25">
      <c r="B95" s="48" t="s">
        <v>274</v>
      </c>
      <c r="C95" s="5" t="s">
        <v>61</v>
      </c>
      <c r="D95" s="5" t="s">
        <v>60</v>
      </c>
      <c r="E95" s="5" t="s">
        <v>72</v>
      </c>
      <c r="F95" s="5" t="s">
        <v>62</v>
      </c>
      <c r="G95" s="5" t="s">
        <v>41</v>
      </c>
      <c r="H95" s="5" t="s">
        <v>54</v>
      </c>
      <c r="L95" s="5" t="s">
        <v>44</v>
      </c>
      <c r="N95" s="5">
        <f>IFERROR(HLOOKUP(C95,Standings!$F$3:$BA$5,3,FALSE),0)</f>
        <v>50</v>
      </c>
      <c r="O95" s="5">
        <f>IFERROR(HLOOKUP(D95,Standings!$F$3:$BA$5,3,FALSE),0)</f>
        <v>26</v>
      </c>
      <c r="P95" s="5">
        <f>IFERROR(HLOOKUP(E95,Standings!$F$3:$BA$5,3,FALSE),0)</f>
        <v>25</v>
      </c>
      <c r="Q95" s="5">
        <f>IFERROR(HLOOKUP(F95,Standings!$F$3:$BA$5,3,FALSE),0)</f>
        <v>21</v>
      </c>
      <c r="R95" s="5">
        <f>IFERROR(HLOOKUP(G95,Standings!$F$3:$BA$5,3,FALSE),0)</f>
        <v>20</v>
      </c>
      <c r="S95" s="5">
        <f>IFERROR(HLOOKUP(H95,Standings!$F$3:$BA$5,3,FALSE),0)</f>
        <v>17</v>
      </c>
      <c r="T95" s="5">
        <f>IFERROR(HLOOKUP(I95,Standings!$F$3:$BA$5,3,FALSE),0)</f>
        <v>0</v>
      </c>
      <c r="U95" s="5">
        <f>IFERROR(HLOOKUP(J95,Standings!$F$3:$BA$5,3,FALSE),0)</f>
        <v>0</v>
      </c>
      <c r="V95" s="5">
        <f>IFERROR(HLOOKUP(K95,Standings!$F$3:$BA$5,3,FALSE),0)</f>
        <v>0</v>
      </c>
      <c r="W95" s="5">
        <f>-IFERROR(HLOOKUP(L95,Standings!$F$3:$BA$5,3,FALSE),0)</f>
        <v>-60</v>
      </c>
      <c r="X95" s="5">
        <f t="shared" si="3"/>
        <v>99</v>
      </c>
    </row>
    <row r="96" spans="2:24" x14ac:dyDescent="0.25">
      <c r="B96" s="48" t="s">
        <v>277</v>
      </c>
      <c r="C96" s="5" t="s">
        <v>42</v>
      </c>
      <c r="D96" s="5" t="s">
        <v>60</v>
      </c>
      <c r="E96" s="5" t="s">
        <v>41</v>
      </c>
      <c r="F96" s="5" t="s">
        <v>67</v>
      </c>
      <c r="G96" s="5" t="s">
        <v>48</v>
      </c>
      <c r="H96" s="5" t="s">
        <v>49</v>
      </c>
      <c r="I96" s="5" t="s">
        <v>71</v>
      </c>
      <c r="L96" s="5" t="s">
        <v>39</v>
      </c>
      <c r="N96" s="5">
        <f>IFERROR(HLOOKUP(C96,Standings!$F$3:$BA$5,3,FALSE),0)</f>
        <v>27</v>
      </c>
      <c r="O96" s="5">
        <f>IFERROR(HLOOKUP(D96,Standings!$F$3:$BA$5,3,FALSE),0)</f>
        <v>26</v>
      </c>
      <c r="P96" s="5">
        <f>IFERROR(HLOOKUP(E96,Standings!$F$3:$BA$5,3,FALSE),0)</f>
        <v>20</v>
      </c>
      <c r="Q96" s="5">
        <f>IFERROR(HLOOKUP(F96,Standings!$F$3:$BA$5,3,FALSE),0)</f>
        <v>19</v>
      </c>
      <c r="R96" s="5">
        <f>IFERROR(HLOOKUP(G96,Standings!$F$3:$BA$5,3,FALSE),0)</f>
        <v>12</v>
      </c>
      <c r="S96" s="5">
        <f>IFERROR(HLOOKUP(H96,Standings!$F$3:$BA$5,3,FALSE),0)</f>
        <v>16</v>
      </c>
      <c r="T96" s="5">
        <f>IFERROR(HLOOKUP(I96,Standings!$F$3:$BA$5,3,FALSE),0)</f>
        <v>10</v>
      </c>
      <c r="U96" s="5">
        <f>IFERROR(HLOOKUP(J96,Standings!$F$3:$BA$5,3,FALSE),0)</f>
        <v>0</v>
      </c>
      <c r="V96" s="5">
        <f>IFERROR(HLOOKUP(K96,Standings!$F$3:$BA$5,3,FALSE),0)</f>
        <v>0</v>
      </c>
      <c r="W96" s="5">
        <f>-IFERROR(HLOOKUP(L96,Standings!$F$3:$BA$5,3,FALSE),0)</f>
        <v>-30</v>
      </c>
      <c r="X96" s="5">
        <f t="shared" si="3"/>
        <v>100</v>
      </c>
    </row>
    <row r="97" spans="2:24" x14ac:dyDescent="0.25">
      <c r="B97" s="48" t="s">
        <v>276</v>
      </c>
      <c r="C97" s="5" t="s">
        <v>64</v>
      </c>
      <c r="D97" s="5" t="s">
        <v>48</v>
      </c>
      <c r="E97" s="5" t="s">
        <v>41</v>
      </c>
      <c r="F97" s="5" t="s">
        <v>65</v>
      </c>
      <c r="G97" s="5" t="s">
        <v>54</v>
      </c>
      <c r="H97" s="5" t="s">
        <v>49</v>
      </c>
      <c r="I97" s="5" t="s">
        <v>71</v>
      </c>
      <c r="J97" s="5" t="s">
        <v>53</v>
      </c>
      <c r="L97" s="5" t="s">
        <v>91</v>
      </c>
      <c r="N97" s="5">
        <f>IFERROR(HLOOKUP(C97,Standings!$F$3:$BA$5,3,FALSE),0)</f>
        <v>5</v>
      </c>
      <c r="O97" s="5">
        <f>IFERROR(HLOOKUP(D97,Standings!$F$3:$BA$5,3,FALSE),0)</f>
        <v>12</v>
      </c>
      <c r="P97" s="5">
        <f>IFERROR(HLOOKUP(E97,Standings!$F$3:$BA$5,3,FALSE),0)</f>
        <v>20</v>
      </c>
      <c r="Q97" s="5">
        <f>IFERROR(HLOOKUP(F97,Standings!$F$3:$BA$5,3,FALSE),0)</f>
        <v>13</v>
      </c>
      <c r="R97" s="5">
        <f>IFERROR(HLOOKUP(G97,Standings!$F$3:$BA$5,3,FALSE),0)</f>
        <v>17</v>
      </c>
      <c r="S97" s="5">
        <f>IFERROR(HLOOKUP(H97,Standings!$F$3:$BA$5,3,FALSE),0)</f>
        <v>16</v>
      </c>
      <c r="T97" s="5">
        <f>IFERROR(HLOOKUP(I97,Standings!$F$3:$BA$5,3,FALSE),0)</f>
        <v>10</v>
      </c>
      <c r="U97" s="5">
        <f>IFERROR(HLOOKUP(J97,Standings!$F$3:$BA$5,3,FALSE),0)</f>
        <v>20</v>
      </c>
      <c r="V97" s="5">
        <f>IFERROR(HLOOKUP(K97,Standings!$F$3:$BA$5,3,FALSE),0)</f>
        <v>0</v>
      </c>
      <c r="W97" s="5">
        <f>-IFERROR(HLOOKUP(L97,Standings!$F$3:$BA$5,3,FALSE),0)</f>
        <v>-13</v>
      </c>
      <c r="X97" s="5">
        <f t="shared" si="3"/>
        <v>100</v>
      </c>
    </row>
    <row r="98" spans="2:24" x14ac:dyDescent="0.25">
      <c r="B98" s="48" t="s">
        <v>278</v>
      </c>
      <c r="C98" s="5" t="s">
        <v>45</v>
      </c>
      <c r="D98" s="5" t="s">
        <v>44</v>
      </c>
      <c r="E98" s="5" t="s">
        <v>41</v>
      </c>
      <c r="L98" s="5" t="s">
        <v>61</v>
      </c>
      <c r="N98" s="5">
        <f>IFERROR(HLOOKUP(C98,Standings!$F$3:$BA$5,3,FALSE),0)</f>
        <v>70</v>
      </c>
      <c r="O98" s="5">
        <f>IFERROR(HLOOKUP(D98,Standings!$F$3:$BA$5,3,FALSE),0)</f>
        <v>60</v>
      </c>
      <c r="P98" s="5">
        <f>IFERROR(HLOOKUP(E98,Standings!$F$3:$BA$5,3,FALSE),0)</f>
        <v>20</v>
      </c>
      <c r="Q98" s="5">
        <f>IFERROR(HLOOKUP(F98,Standings!$F$3:$BA$5,3,FALSE),0)</f>
        <v>0</v>
      </c>
      <c r="R98" s="5">
        <f>IFERROR(HLOOKUP(G98,Standings!$F$3:$BA$5,3,FALSE),0)</f>
        <v>0</v>
      </c>
      <c r="S98" s="5">
        <f>IFERROR(HLOOKUP(H98,Standings!$F$3:$BA$5,3,FALSE),0)</f>
        <v>0</v>
      </c>
      <c r="T98" s="5">
        <f>IFERROR(HLOOKUP(I98,Standings!$F$3:$BA$5,3,FALSE),0)</f>
        <v>0</v>
      </c>
      <c r="U98" s="5">
        <f>IFERROR(HLOOKUP(J98,Standings!$F$3:$BA$5,3,FALSE),0)</f>
        <v>0</v>
      </c>
      <c r="V98" s="5">
        <f>IFERROR(HLOOKUP(K98,Standings!$F$3:$BA$5,3,FALSE),0)</f>
        <v>0</v>
      </c>
      <c r="W98" s="5">
        <f>-IFERROR(HLOOKUP(L98,Standings!$F$3:$BA$5,3,FALSE),0)</f>
        <v>-50</v>
      </c>
      <c r="X98" s="5">
        <f t="shared" si="3"/>
        <v>100</v>
      </c>
    </row>
    <row r="99" spans="2:24" x14ac:dyDescent="0.25">
      <c r="B99" s="48" t="s">
        <v>279</v>
      </c>
      <c r="C99" s="5" t="s">
        <v>51</v>
      </c>
      <c r="D99" s="5" t="s">
        <v>59</v>
      </c>
      <c r="E99" s="5" t="s">
        <v>50</v>
      </c>
      <c r="F99" s="5" t="s">
        <v>64</v>
      </c>
      <c r="L99" s="5" t="s">
        <v>61</v>
      </c>
      <c r="N99" s="5">
        <f>IFERROR(HLOOKUP(C99,Standings!$F$3:$BA$5,3,FALSE),0)</f>
        <v>52</v>
      </c>
      <c r="O99" s="5">
        <f>IFERROR(HLOOKUP(D99,Standings!$F$3:$BA$5,3,FALSE),0)</f>
        <v>68</v>
      </c>
      <c r="P99" s="5">
        <f>IFERROR(HLOOKUP(E99,Standings!$F$3:$BA$5,3,FALSE),0)</f>
        <v>23</v>
      </c>
      <c r="Q99" s="5">
        <f>IFERROR(HLOOKUP(F99,Standings!$F$3:$BA$5,3,FALSE),0)</f>
        <v>5</v>
      </c>
      <c r="R99" s="5">
        <f>IFERROR(HLOOKUP(G99,Standings!$F$3:$BA$5,3,FALSE),0)</f>
        <v>0</v>
      </c>
      <c r="S99" s="5">
        <f>IFERROR(HLOOKUP(H99,Standings!$F$3:$BA$5,3,FALSE),0)</f>
        <v>0</v>
      </c>
      <c r="T99" s="5">
        <f>IFERROR(HLOOKUP(I99,Standings!$F$3:$BA$5,3,FALSE),0)</f>
        <v>0</v>
      </c>
      <c r="U99" s="5">
        <f>IFERROR(HLOOKUP(J99,Standings!$F$3:$BA$5,3,FALSE),0)</f>
        <v>0</v>
      </c>
      <c r="V99" s="5">
        <f>IFERROR(HLOOKUP(K99,Standings!$F$3:$BA$5,3,FALSE),0)</f>
        <v>0</v>
      </c>
      <c r="W99" s="5">
        <f>-IFERROR(HLOOKUP(L99,Standings!$F$3:$BA$5,3,FALSE),0)</f>
        <v>-50</v>
      </c>
      <c r="X99" s="5">
        <f t="shared" si="3"/>
        <v>98</v>
      </c>
    </row>
    <row r="100" spans="2:24" x14ac:dyDescent="0.25">
      <c r="B100" s="48" t="s">
        <v>280</v>
      </c>
      <c r="C100" s="5" t="s">
        <v>59</v>
      </c>
      <c r="D100" s="5" t="s">
        <v>44</v>
      </c>
      <c r="E100" s="5" t="s">
        <v>62</v>
      </c>
      <c r="L100" s="5" t="s">
        <v>61</v>
      </c>
      <c r="N100" s="5">
        <f>IFERROR(HLOOKUP(C100,Standings!$F$3:$BA$5,3,FALSE),0)</f>
        <v>68</v>
      </c>
      <c r="O100" s="5">
        <f>IFERROR(HLOOKUP(D100,Standings!$F$3:$BA$5,3,FALSE),0)</f>
        <v>60</v>
      </c>
      <c r="P100" s="5">
        <f>IFERROR(HLOOKUP(E100,Standings!$F$3:$BA$5,3,FALSE),0)</f>
        <v>21</v>
      </c>
      <c r="Q100" s="5">
        <f>IFERROR(HLOOKUP(F100,Standings!$F$3:$BA$5,3,FALSE),0)</f>
        <v>0</v>
      </c>
      <c r="R100" s="5">
        <f>IFERROR(HLOOKUP(G100,Standings!$F$3:$BA$5,3,FALSE),0)</f>
        <v>0</v>
      </c>
      <c r="S100" s="5">
        <f>IFERROR(HLOOKUP(H100,Standings!$F$3:$BA$5,3,FALSE),0)</f>
        <v>0</v>
      </c>
      <c r="T100" s="5">
        <f>IFERROR(HLOOKUP(I100,Standings!$F$3:$BA$5,3,FALSE),0)</f>
        <v>0</v>
      </c>
      <c r="U100" s="5">
        <f>IFERROR(HLOOKUP(J100,Standings!$F$3:$BA$5,3,FALSE),0)</f>
        <v>0</v>
      </c>
      <c r="V100" s="5">
        <f>IFERROR(HLOOKUP(K100,Standings!$F$3:$BA$5,3,FALSE),0)</f>
        <v>0</v>
      </c>
      <c r="W100" s="5">
        <f>-IFERROR(HLOOKUP(L100,Standings!$F$3:$BA$5,3,FALSE),0)</f>
        <v>-50</v>
      </c>
      <c r="X100" s="5">
        <f t="shared" si="3"/>
        <v>99</v>
      </c>
    </row>
    <row r="101" spans="2:24" x14ac:dyDescent="0.25">
      <c r="B101" s="48" t="s">
        <v>281</v>
      </c>
      <c r="C101" s="5" t="s">
        <v>41</v>
      </c>
      <c r="D101" s="5" t="s">
        <v>72</v>
      </c>
      <c r="E101" s="5" t="s">
        <v>50</v>
      </c>
      <c r="F101" s="5" t="s">
        <v>55</v>
      </c>
      <c r="G101" s="5" t="s">
        <v>67</v>
      </c>
      <c r="H101" s="5" t="s">
        <v>62</v>
      </c>
      <c r="I101" s="5" t="s">
        <v>75</v>
      </c>
      <c r="J101" s="5" t="s">
        <v>65</v>
      </c>
      <c r="K101" s="5" t="s">
        <v>46</v>
      </c>
      <c r="L101" s="5" t="s">
        <v>61</v>
      </c>
      <c r="N101" s="5">
        <f>IFERROR(HLOOKUP(C101,Standings!$F$3:$BA$5,3,FALSE),0)</f>
        <v>20</v>
      </c>
      <c r="O101" s="5">
        <f>IFERROR(HLOOKUP(D101,Standings!$F$3:$BA$5,3,FALSE),0)</f>
        <v>25</v>
      </c>
      <c r="P101" s="5">
        <f>IFERROR(HLOOKUP(E101,Standings!$F$3:$BA$5,3,FALSE),0)</f>
        <v>23</v>
      </c>
      <c r="Q101" s="5">
        <f>IFERROR(HLOOKUP(F101,Standings!$F$3:$BA$5,3,FALSE),0)</f>
        <v>12</v>
      </c>
      <c r="R101" s="5">
        <f>IFERROR(HLOOKUP(G101,Standings!$F$3:$BA$5,3,FALSE),0)</f>
        <v>19</v>
      </c>
      <c r="S101" s="5">
        <f>IFERROR(HLOOKUP(H101,Standings!$F$3:$BA$5,3,FALSE),0)</f>
        <v>21</v>
      </c>
      <c r="T101" s="5">
        <f>IFERROR(HLOOKUP(I101,Standings!$F$3:$BA$5,3,FALSE),0)</f>
        <v>9</v>
      </c>
      <c r="U101" s="5">
        <f>IFERROR(HLOOKUP(J101,Standings!$F$3:$BA$5,3,FALSE),0)</f>
        <v>13</v>
      </c>
      <c r="V101" s="5">
        <f>IFERROR(HLOOKUP(K101,Standings!$F$3:$BA$5,3,FALSE),0)</f>
        <v>8</v>
      </c>
      <c r="W101" s="5">
        <f>-IFERROR(HLOOKUP(L101,Standings!$F$3:$BA$5,3,FALSE),0)</f>
        <v>-50</v>
      </c>
      <c r="X101" s="5">
        <f t="shared" si="3"/>
        <v>100</v>
      </c>
    </row>
    <row r="102" spans="2:24" x14ac:dyDescent="0.25">
      <c r="B102" t="s">
        <v>283</v>
      </c>
    </row>
  </sheetData>
  <conditionalFormatting sqref="X2:X108">
    <cfRule type="expression" dxfId="372" priority="1">
      <formula>(X2&gt;100)</formula>
    </cfRule>
  </conditionalFormatting>
  <pageMargins left="0.7" right="0.7" top="0.75" bottom="0.75" header="0.3" footer="0.3"/>
  <pageSetup orientation="portrait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DB130"/>
  <sheetViews>
    <sheetView zoomScale="85" zoomScaleNormal="85" workbookViewId="0">
      <pane xSplit="5" ySplit="9" topLeftCell="F10" activePane="bottomRight" state="frozen"/>
      <selection pane="topRight" activeCell="F1" sqref="F1"/>
      <selection pane="bottomLeft" activeCell="A7" sqref="A7"/>
      <selection pane="bottomRight" activeCell="F2" sqref="F2:BA5"/>
    </sheetView>
  </sheetViews>
  <sheetFormatPr defaultRowHeight="15" x14ac:dyDescent="0.25"/>
  <cols>
    <col min="1" max="1" width="3" customWidth="1"/>
    <col min="2" max="2" width="3.42578125" hidden="1" customWidth="1"/>
    <col min="3" max="3" width="26.42578125" customWidth="1"/>
    <col min="4" max="5" width="3.7109375" bestFit="1" customWidth="1"/>
    <col min="6" max="53" width="4.7109375" customWidth="1"/>
    <col min="54" max="54" width="5.42578125" hidden="1" customWidth="1"/>
    <col min="55" max="55" width="6.7109375" hidden="1" customWidth="1"/>
    <col min="56" max="56" width="6" hidden="1" customWidth="1"/>
    <col min="57" max="57" width="5.42578125" hidden="1" customWidth="1"/>
    <col min="58" max="58" width="2.7109375" hidden="1" customWidth="1"/>
    <col min="59" max="106" width="4.28515625" hidden="1" customWidth="1"/>
  </cols>
  <sheetData>
    <row r="1" spans="1:106" s="29" customFormat="1" ht="5.25" customHeight="1" thickBot="1" x14ac:dyDescent="0.3"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  <c r="AQ1" s="30"/>
      <c r="AR1" s="30"/>
      <c r="AS1" s="30"/>
      <c r="AT1" s="30"/>
      <c r="AU1" s="30"/>
      <c r="AV1" s="30"/>
      <c r="AW1" s="30"/>
      <c r="AX1" s="30"/>
      <c r="AY1" s="30"/>
      <c r="AZ1" s="30"/>
      <c r="BA1" s="30"/>
      <c r="BB1" s="30"/>
    </row>
    <row r="2" spans="1:106" s="27" customFormat="1" ht="21" customHeight="1" x14ac:dyDescent="0.35">
      <c r="D2" s="28"/>
      <c r="E2" s="28"/>
      <c r="F2" s="49" t="s">
        <v>78</v>
      </c>
      <c r="G2" s="50"/>
      <c r="H2" s="50"/>
      <c r="I2" s="51"/>
      <c r="J2" s="49" t="s">
        <v>79</v>
      </c>
      <c r="K2" s="50"/>
      <c r="L2" s="50"/>
      <c r="M2" s="51"/>
      <c r="N2" s="49" t="s">
        <v>80</v>
      </c>
      <c r="O2" s="50"/>
      <c r="P2" s="50"/>
      <c r="Q2" s="51"/>
      <c r="R2" s="49" t="s">
        <v>81</v>
      </c>
      <c r="S2" s="50"/>
      <c r="T2" s="50"/>
      <c r="U2" s="51"/>
      <c r="V2" s="49" t="s">
        <v>82</v>
      </c>
      <c r="W2" s="50"/>
      <c r="X2" s="50"/>
      <c r="Y2" s="51"/>
      <c r="Z2" s="49" t="s">
        <v>83</v>
      </c>
      <c r="AA2" s="50"/>
      <c r="AB2" s="50"/>
      <c r="AC2" s="51"/>
      <c r="AD2" s="49" t="s">
        <v>84</v>
      </c>
      <c r="AE2" s="50"/>
      <c r="AF2" s="50"/>
      <c r="AG2" s="51"/>
      <c r="AH2" s="49" t="s">
        <v>85</v>
      </c>
      <c r="AI2" s="50"/>
      <c r="AJ2" s="50"/>
      <c r="AK2" s="51"/>
      <c r="AL2" s="49" t="s">
        <v>284</v>
      </c>
      <c r="AM2" s="50"/>
      <c r="AN2" s="50"/>
      <c r="AO2" s="51"/>
      <c r="AP2" s="49" t="s">
        <v>285</v>
      </c>
      <c r="AQ2" s="50"/>
      <c r="AR2" s="50"/>
      <c r="AS2" s="51"/>
      <c r="AT2" s="49" t="s">
        <v>286</v>
      </c>
      <c r="AU2" s="50"/>
      <c r="AV2" s="50"/>
      <c r="AW2" s="51"/>
      <c r="AX2" s="49" t="s">
        <v>287</v>
      </c>
      <c r="AY2" s="50"/>
      <c r="AZ2" s="50"/>
      <c r="BA2" s="51"/>
      <c r="BB2" s="28"/>
    </row>
    <row r="3" spans="1:106" ht="73.5" customHeight="1" thickBot="1" x14ac:dyDescent="0.3">
      <c r="D3" s="2" t="s">
        <v>86</v>
      </c>
      <c r="E3" s="2" t="s">
        <v>87</v>
      </c>
      <c r="F3" s="33" t="s">
        <v>42</v>
      </c>
      <c r="G3" s="19" t="s">
        <v>88</v>
      </c>
      <c r="H3" s="19" t="s">
        <v>89</v>
      </c>
      <c r="I3" s="34" t="s">
        <v>55</v>
      </c>
      <c r="J3" s="33" t="s">
        <v>67</v>
      </c>
      <c r="K3" s="19" t="s">
        <v>60</v>
      </c>
      <c r="L3" s="19" t="s">
        <v>43</v>
      </c>
      <c r="M3" s="34" t="s">
        <v>90</v>
      </c>
      <c r="N3" s="33" t="s">
        <v>52</v>
      </c>
      <c r="O3" s="19" t="s">
        <v>62</v>
      </c>
      <c r="P3" s="19" t="s">
        <v>63</v>
      </c>
      <c r="Q3" s="34" t="s">
        <v>69</v>
      </c>
      <c r="R3" s="33" t="s">
        <v>50</v>
      </c>
      <c r="S3" s="19" t="s">
        <v>91</v>
      </c>
      <c r="T3" s="19" t="s">
        <v>70</v>
      </c>
      <c r="U3" s="34" t="s">
        <v>53</v>
      </c>
      <c r="V3" s="33" t="s">
        <v>38</v>
      </c>
      <c r="W3" s="19" t="s">
        <v>74</v>
      </c>
      <c r="X3" s="19" t="s">
        <v>75</v>
      </c>
      <c r="Y3" s="34" t="s">
        <v>54</v>
      </c>
      <c r="Z3" s="33" t="s">
        <v>40</v>
      </c>
      <c r="AA3" s="19" t="s">
        <v>41</v>
      </c>
      <c r="AB3" s="19" t="s">
        <v>73</v>
      </c>
      <c r="AC3" s="34" t="s">
        <v>57</v>
      </c>
      <c r="AD3" s="33" t="s">
        <v>47</v>
      </c>
      <c r="AE3" s="19" t="s">
        <v>71</v>
      </c>
      <c r="AF3" s="19" t="s">
        <v>76</v>
      </c>
      <c r="AG3" s="34" t="s">
        <v>58</v>
      </c>
      <c r="AH3" s="33" t="s">
        <v>45</v>
      </c>
      <c r="AI3" s="19" t="s">
        <v>92</v>
      </c>
      <c r="AJ3" s="19" t="s">
        <v>93</v>
      </c>
      <c r="AK3" s="34" t="s">
        <v>68</v>
      </c>
      <c r="AL3" s="33" t="s">
        <v>59</v>
      </c>
      <c r="AM3" s="19" t="s">
        <v>65</v>
      </c>
      <c r="AN3" s="19" t="s">
        <v>39</v>
      </c>
      <c r="AO3" s="34" t="s">
        <v>94</v>
      </c>
      <c r="AP3" s="33" t="s">
        <v>51</v>
      </c>
      <c r="AQ3" s="19" t="s">
        <v>46</v>
      </c>
      <c r="AR3" s="19" t="s">
        <v>48</v>
      </c>
      <c r="AS3" s="34" t="s">
        <v>56</v>
      </c>
      <c r="AT3" s="33" t="s">
        <v>61</v>
      </c>
      <c r="AU3" s="19" t="s">
        <v>95</v>
      </c>
      <c r="AV3" s="19" t="s">
        <v>72</v>
      </c>
      <c r="AW3" s="34" t="s">
        <v>77</v>
      </c>
      <c r="AX3" s="33" t="s">
        <v>44</v>
      </c>
      <c r="AY3" s="19" t="s">
        <v>49</v>
      </c>
      <c r="AZ3" s="19" t="s">
        <v>66</v>
      </c>
      <c r="BA3" s="34" t="s">
        <v>64</v>
      </c>
      <c r="BB3" s="20" t="s">
        <v>96</v>
      </c>
      <c r="BC3" s="20" t="s">
        <v>97</v>
      </c>
      <c r="BD3" s="20" t="s">
        <v>98</v>
      </c>
      <c r="BE3" s="20" t="s">
        <v>99</v>
      </c>
      <c r="BG3" s="19" t="s">
        <v>42</v>
      </c>
      <c r="BH3" s="19" t="s">
        <v>88</v>
      </c>
      <c r="BI3" s="19" t="s">
        <v>89</v>
      </c>
      <c r="BJ3" s="19" t="s">
        <v>55</v>
      </c>
      <c r="BK3" s="19" t="s">
        <v>67</v>
      </c>
      <c r="BL3" s="19" t="s">
        <v>60</v>
      </c>
      <c r="BM3" s="19" t="s">
        <v>43</v>
      </c>
      <c r="BN3" s="19" t="s">
        <v>90</v>
      </c>
      <c r="BO3" s="19" t="s">
        <v>52</v>
      </c>
      <c r="BP3" s="19" t="s">
        <v>62</v>
      </c>
      <c r="BQ3" s="19" t="s">
        <v>63</v>
      </c>
      <c r="BR3" s="19" t="s">
        <v>69</v>
      </c>
      <c r="BS3" s="19" t="s">
        <v>50</v>
      </c>
      <c r="BT3" s="19" t="s">
        <v>91</v>
      </c>
      <c r="BU3" s="19" t="s">
        <v>70</v>
      </c>
      <c r="BV3" s="19" t="s">
        <v>53</v>
      </c>
      <c r="BW3" s="19" t="s">
        <v>38</v>
      </c>
      <c r="BX3" s="19" t="s">
        <v>74</v>
      </c>
      <c r="BY3" s="19" t="s">
        <v>75</v>
      </c>
      <c r="BZ3" s="19" t="s">
        <v>54</v>
      </c>
      <c r="CA3" s="19" t="s">
        <v>40</v>
      </c>
      <c r="CB3" s="19" t="s">
        <v>41</v>
      </c>
      <c r="CC3" s="19" t="s">
        <v>73</v>
      </c>
      <c r="CD3" s="19" t="s">
        <v>57</v>
      </c>
      <c r="CE3" s="19" t="s">
        <v>47</v>
      </c>
      <c r="CF3" s="19" t="s">
        <v>71</v>
      </c>
      <c r="CG3" s="19" t="s">
        <v>76</v>
      </c>
      <c r="CH3" s="19" t="s">
        <v>58</v>
      </c>
      <c r="CI3" s="19" t="s">
        <v>45</v>
      </c>
      <c r="CJ3" s="19" t="s">
        <v>92</v>
      </c>
      <c r="CK3" s="19" t="s">
        <v>93</v>
      </c>
      <c r="CL3" s="19" t="s">
        <v>68</v>
      </c>
      <c r="CM3" s="19" t="s">
        <v>59</v>
      </c>
      <c r="CN3" s="19" t="s">
        <v>65</v>
      </c>
      <c r="CO3" s="19" t="s">
        <v>39</v>
      </c>
      <c r="CP3" s="19" t="s">
        <v>94</v>
      </c>
      <c r="CQ3" s="19" t="s">
        <v>51</v>
      </c>
      <c r="CR3" s="19" t="s">
        <v>46</v>
      </c>
      <c r="CS3" s="19" t="s">
        <v>48</v>
      </c>
      <c r="CT3" s="19" t="s">
        <v>56</v>
      </c>
      <c r="CU3" s="19" t="s">
        <v>61</v>
      </c>
      <c r="CV3" s="19" t="s">
        <v>95</v>
      </c>
      <c r="CW3" s="19" t="s">
        <v>72</v>
      </c>
      <c r="CX3" s="19" t="s">
        <v>77</v>
      </c>
      <c r="CY3" s="19" t="s">
        <v>44</v>
      </c>
      <c r="CZ3" s="19" t="s">
        <v>49</v>
      </c>
      <c r="DA3" s="19" t="s">
        <v>66</v>
      </c>
      <c r="DB3" s="19" t="s">
        <v>64</v>
      </c>
    </row>
    <row r="4" spans="1:106" ht="15.75" hidden="1" customHeight="1" thickBot="1" x14ac:dyDescent="0.3">
      <c r="C4" s="14" t="s">
        <v>100</v>
      </c>
      <c r="D4" s="3"/>
      <c r="E4" s="6"/>
      <c r="F4" s="7" t="e">
        <f>COUNTIF(#REF!,"x")</f>
        <v>#REF!</v>
      </c>
      <c r="G4" s="7" t="e">
        <f>COUNTIF(#REF!,"x")</f>
        <v>#REF!</v>
      </c>
      <c r="H4" s="7" t="e">
        <f>COUNTIF(#REF!,"x")</f>
        <v>#REF!</v>
      </c>
      <c r="I4" s="35" t="e">
        <f>COUNTIF(#REF!,"x")</f>
        <v>#REF!</v>
      </c>
      <c r="J4" s="7" t="e">
        <f>COUNTIF(#REF!,"x")</f>
        <v>#REF!</v>
      </c>
      <c r="K4" s="7" t="e">
        <f>COUNTIF(#REF!,"x")</f>
        <v>#REF!</v>
      </c>
      <c r="L4" s="7" t="e">
        <f>COUNTIF(#REF!,"x")</f>
        <v>#REF!</v>
      </c>
      <c r="M4" s="35" t="e">
        <f>COUNTIF(#REF!,"x")</f>
        <v>#REF!</v>
      </c>
      <c r="N4" s="7" t="e">
        <f>COUNTIF(#REF!,"x")</f>
        <v>#REF!</v>
      </c>
      <c r="O4" s="7" t="e">
        <f>COUNTIF(#REF!,"x")</f>
        <v>#REF!</v>
      </c>
      <c r="P4" s="7" t="e">
        <f>COUNTIF(#REF!,"x")</f>
        <v>#REF!</v>
      </c>
      <c r="Q4" s="35" t="e">
        <f>COUNTIF(#REF!,"x")</f>
        <v>#REF!</v>
      </c>
      <c r="R4" s="7" t="e">
        <f>COUNTIF(#REF!,"x")</f>
        <v>#REF!</v>
      </c>
      <c r="S4" s="7" t="e">
        <f>COUNTIF(#REF!,"x")</f>
        <v>#REF!</v>
      </c>
      <c r="T4" s="7" t="e">
        <f>COUNTIF(#REF!,"x")</f>
        <v>#REF!</v>
      </c>
      <c r="U4" s="35" t="e">
        <f>COUNTIF(#REF!,"x")</f>
        <v>#REF!</v>
      </c>
      <c r="V4" s="7" t="e">
        <f>COUNTIF(#REF!,"x")</f>
        <v>#REF!</v>
      </c>
      <c r="W4" s="7" t="e">
        <f>COUNTIF(#REF!,"x")</f>
        <v>#REF!</v>
      </c>
      <c r="X4" s="7" t="e">
        <f>COUNTIF(#REF!,"x")</f>
        <v>#REF!</v>
      </c>
      <c r="Y4" s="35" t="e">
        <f>COUNTIF(#REF!,"x")</f>
        <v>#REF!</v>
      </c>
      <c r="Z4" s="7" t="e">
        <f>COUNTIF(#REF!,"x")</f>
        <v>#REF!</v>
      </c>
      <c r="AA4" s="7" t="e">
        <f>COUNTIF(#REF!,"x")</f>
        <v>#REF!</v>
      </c>
      <c r="AB4" s="7" t="e">
        <f>COUNTIF(#REF!,"x")</f>
        <v>#REF!</v>
      </c>
      <c r="AC4" s="35" t="e">
        <f>COUNTIF(#REF!,"x")</f>
        <v>#REF!</v>
      </c>
      <c r="AD4" s="7" t="e">
        <f>COUNTIF(#REF!,"x")</f>
        <v>#REF!</v>
      </c>
      <c r="AE4" s="7" t="e">
        <f>COUNTIF(#REF!,"x")</f>
        <v>#REF!</v>
      </c>
      <c r="AF4" s="7" t="e">
        <f>COUNTIF(#REF!,"x")</f>
        <v>#REF!</v>
      </c>
      <c r="AG4" s="35" t="e">
        <f>COUNTIF(#REF!,"x")</f>
        <v>#REF!</v>
      </c>
      <c r="AH4" s="7" t="e">
        <f>COUNTIF(#REF!,"x")</f>
        <v>#REF!</v>
      </c>
      <c r="AI4" s="7" t="e">
        <f>COUNTIF(#REF!,"x")</f>
        <v>#REF!</v>
      </c>
      <c r="AJ4" s="7" t="e">
        <f>COUNTIF(#REF!,"x")</f>
        <v>#REF!</v>
      </c>
      <c r="AK4" s="35" t="e">
        <f>COUNTIF(#REF!,"x")</f>
        <v>#REF!</v>
      </c>
      <c r="AL4" s="7" t="e">
        <f>COUNTIF(#REF!,"x")</f>
        <v>#REF!</v>
      </c>
      <c r="AM4" s="7" t="e">
        <f>COUNTIF(#REF!,"x")</f>
        <v>#REF!</v>
      </c>
      <c r="AN4" s="7" t="e">
        <f>COUNTIF(#REF!,"x")</f>
        <v>#REF!</v>
      </c>
      <c r="AO4" s="35" t="e">
        <f>COUNTIF(#REF!,"x")</f>
        <v>#REF!</v>
      </c>
      <c r="AP4" s="7" t="e">
        <f>COUNTIF(#REF!,"x")</f>
        <v>#REF!</v>
      </c>
      <c r="AQ4" s="7" t="e">
        <f>COUNTIF(#REF!,"x")</f>
        <v>#REF!</v>
      </c>
      <c r="AR4" s="7" t="e">
        <f>COUNTIF(#REF!,"x")</f>
        <v>#REF!</v>
      </c>
      <c r="AS4" s="35" t="e">
        <f>COUNTIF(#REF!,"x")</f>
        <v>#REF!</v>
      </c>
      <c r="AT4" s="7" t="e">
        <f>COUNTIF(#REF!,"x")</f>
        <v>#REF!</v>
      </c>
      <c r="AU4" s="7" t="e">
        <f>COUNTIF(#REF!,"x")</f>
        <v>#REF!</v>
      </c>
      <c r="AV4" s="7" t="e">
        <f>COUNTIF(#REF!,"x")</f>
        <v>#REF!</v>
      </c>
      <c r="AW4" s="35" t="e">
        <f>COUNTIF(#REF!,"x")</f>
        <v>#REF!</v>
      </c>
      <c r="AX4" s="7" t="e">
        <f>COUNTIF(#REF!,"x")</f>
        <v>#REF!</v>
      </c>
      <c r="AY4" s="7" t="e">
        <f>COUNTIF(#REF!,"x")</f>
        <v>#REF!</v>
      </c>
      <c r="AZ4" s="7" t="e">
        <f>COUNTIF(#REF!,"x")</f>
        <v>#REF!</v>
      </c>
      <c r="BA4" s="35" t="e">
        <f>COUNTIF(#REF!,"x")</f>
        <v>#REF!</v>
      </c>
    </row>
    <row r="5" spans="1:106" ht="15.75" customHeight="1" thickBot="1" x14ac:dyDescent="0.3">
      <c r="C5" s="13" t="s">
        <v>101</v>
      </c>
      <c r="D5" s="3"/>
      <c r="E5" s="6"/>
      <c r="F5" s="8">
        <v>27</v>
      </c>
      <c r="G5" s="8">
        <v>6</v>
      </c>
      <c r="H5" s="8">
        <v>11</v>
      </c>
      <c r="I5" s="25">
        <v>12</v>
      </c>
      <c r="J5" s="8">
        <v>19</v>
      </c>
      <c r="K5" s="8">
        <v>26</v>
      </c>
      <c r="L5" s="8">
        <v>3</v>
      </c>
      <c r="M5" s="25">
        <v>10</v>
      </c>
      <c r="N5" s="8">
        <v>54</v>
      </c>
      <c r="O5" s="8">
        <v>21</v>
      </c>
      <c r="P5" s="8">
        <v>5</v>
      </c>
      <c r="Q5" s="25">
        <v>9</v>
      </c>
      <c r="R5" s="8">
        <v>23</v>
      </c>
      <c r="S5" s="8">
        <v>13</v>
      </c>
      <c r="T5" s="8">
        <v>7</v>
      </c>
      <c r="U5" s="25">
        <v>20</v>
      </c>
      <c r="V5" s="8">
        <v>45</v>
      </c>
      <c r="W5" s="8">
        <v>3</v>
      </c>
      <c r="X5" s="8">
        <v>9</v>
      </c>
      <c r="Y5" s="25">
        <v>17</v>
      </c>
      <c r="Z5" s="8">
        <v>35</v>
      </c>
      <c r="AA5" s="8">
        <v>20</v>
      </c>
      <c r="AB5" s="8">
        <v>7</v>
      </c>
      <c r="AC5" s="25">
        <v>14</v>
      </c>
      <c r="AD5" s="8">
        <v>38</v>
      </c>
      <c r="AE5" s="8">
        <v>10</v>
      </c>
      <c r="AF5" s="8">
        <v>8</v>
      </c>
      <c r="AG5" s="25">
        <v>4</v>
      </c>
      <c r="AH5" s="8">
        <v>70</v>
      </c>
      <c r="AI5" s="8">
        <v>4</v>
      </c>
      <c r="AJ5" s="8">
        <v>5</v>
      </c>
      <c r="AK5" s="25">
        <v>18</v>
      </c>
      <c r="AL5" s="8">
        <v>68</v>
      </c>
      <c r="AM5" s="8">
        <v>13</v>
      </c>
      <c r="AN5" s="8">
        <v>30</v>
      </c>
      <c r="AO5" s="25">
        <v>5</v>
      </c>
      <c r="AP5" s="8">
        <v>52</v>
      </c>
      <c r="AQ5" s="8">
        <v>8</v>
      </c>
      <c r="AR5" s="8">
        <v>12</v>
      </c>
      <c r="AS5" s="25">
        <v>3</v>
      </c>
      <c r="AT5" s="8">
        <v>50</v>
      </c>
      <c r="AU5" s="8">
        <v>5</v>
      </c>
      <c r="AV5" s="8">
        <v>25</v>
      </c>
      <c r="AW5" s="25">
        <v>6</v>
      </c>
      <c r="AX5" s="8">
        <v>60</v>
      </c>
      <c r="AY5" s="8">
        <v>16</v>
      </c>
      <c r="AZ5" s="8">
        <v>7</v>
      </c>
      <c r="BA5" s="25">
        <v>5</v>
      </c>
    </row>
    <row r="6" spans="1:106" ht="15.75" customHeight="1" thickBot="1" x14ac:dyDescent="0.3">
      <c r="C6" s="13" t="s">
        <v>102</v>
      </c>
      <c r="D6" s="3"/>
      <c r="E6" s="6"/>
      <c r="F6" s="8">
        <f>HLOOKUP(F3,'Match Results'!$B$1:$AW$10,10,FALSE)</f>
        <v>2</v>
      </c>
      <c r="G6" s="8">
        <f>HLOOKUP(G3,'Match Results'!$B$1:$AW$10,10,FALSE)</f>
        <v>0</v>
      </c>
      <c r="H6" s="8">
        <f>HLOOKUP(H3,'Match Results'!$B$1:$AW$10,10,FALSE)</f>
        <v>2</v>
      </c>
      <c r="I6" s="25">
        <f>HLOOKUP(I3,'Match Results'!$B$1:$AW$10,10,FALSE)</f>
        <v>0</v>
      </c>
      <c r="J6" s="8">
        <f>HLOOKUP(J3,'Match Results'!$B$1:$AW$10,10,FALSE)</f>
        <v>1</v>
      </c>
      <c r="K6" s="8">
        <f>HLOOKUP(K3,'Match Results'!$B$1:$AW$10,10,FALSE)</f>
        <v>0</v>
      </c>
      <c r="L6" s="8">
        <f>HLOOKUP(L3,'Match Results'!$B$1:$AW$10,10,FALSE)</f>
        <v>0</v>
      </c>
      <c r="M6" s="25">
        <f>HLOOKUP(M3,'Match Results'!$B$1:$AW$10,10,FALSE)</f>
        <v>1</v>
      </c>
      <c r="N6" s="8">
        <f>HLOOKUP(N3,'Match Results'!$B$1:$AW$10,10,FALSE)</f>
        <v>0</v>
      </c>
      <c r="O6" s="8">
        <f>HLOOKUP(O3,'Match Results'!$B$1:$AW$10,10,FALSE)</f>
        <v>0</v>
      </c>
      <c r="P6" s="8">
        <f>HLOOKUP(P3,'Match Results'!$B$1:$AW$10,10,FALSE)</f>
        <v>0</v>
      </c>
      <c r="Q6" s="25">
        <f>HLOOKUP(Q3,'Match Results'!$B$1:$AW$10,10,FALSE)</f>
        <v>0</v>
      </c>
      <c r="R6" s="8">
        <f>HLOOKUP(R3,'Match Results'!$B$1:$AW$10,10,FALSE)</f>
        <v>2</v>
      </c>
      <c r="S6" s="8">
        <f>HLOOKUP(S3,'Match Results'!$B$1:$AW$10,10,FALSE)</f>
        <v>0</v>
      </c>
      <c r="T6" s="8">
        <f>HLOOKUP(T3,'Match Results'!$B$1:$AW$10,10,FALSE)</f>
        <v>0</v>
      </c>
      <c r="U6" s="25">
        <f>HLOOKUP(U3,'Match Results'!$B$1:$AW$10,10,FALSE)</f>
        <v>0</v>
      </c>
      <c r="V6" s="8">
        <f>HLOOKUP(V3,'Match Results'!$B$1:$AW$10,10,FALSE)</f>
        <v>0</v>
      </c>
      <c r="W6" s="8">
        <f>HLOOKUP(W3,'Match Results'!$B$1:$AW$10,10,FALSE)</f>
        <v>0</v>
      </c>
      <c r="X6" s="8">
        <f>HLOOKUP(X3,'Match Results'!$B$1:$AW$10,10,FALSE)</f>
        <v>0</v>
      </c>
      <c r="Y6" s="25">
        <f>HLOOKUP(Y3,'Match Results'!$B$1:$AW$10,10,FALSE)</f>
        <v>0</v>
      </c>
      <c r="Z6" s="8">
        <f>HLOOKUP(Z3,'Match Results'!$B$1:$AW$10,10,FALSE)</f>
        <v>0</v>
      </c>
      <c r="AA6" s="8">
        <f>HLOOKUP(AA3,'Match Results'!$B$1:$AW$10,10,FALSE)</f>
        <v>0</v>
      </c>
      <c r="AB6" s="8">
        <f>HLOOKUP(AB3,'Match Results'!$B$1:$AW$10,10,FALSE)</f>
        <v>0</v>
      </c>
      <c r="AC6" s="25">
        <f>HLOOKUP(AC3,'Match Results'!$B$1:$AW$10,10,FALSE)</f>
        <v>0</v>
      </c>
      <c r="AD6" s="8">
        <f>HLOOKUP(AD3,'Match Results'!$B$1:$AW$10,10,FALSE)</f>
        <v>0</v>
      </c>
      <c r="AE6" s="8">
        <f>HLOOKUP(AE3,'Match Results'!$B$1:$AW$10,10,FALSE)</f>
        <v>0</v>
      </c>
      <c r="AF6" s="8">
        <f>HLOOKUP(AF3,'Match Results'!$B$1:$AW$10,10,FALSE)</f>
        <v>0</v>
      </c>
      <c r="AG6" s="25">
        <f>HLOOKUP(AG3,'Match Results'!$B$1:$AW$10,10,FALSE)</f>
        <v>0</v>
      </c>
      <c r="AH6" s="8">
        <f>HLOOKUP(AH3,'Match Results'!$B$1:$AW$10,10,FALSE)</f>
        <v>0</v>
      </c>
      <c r="AI6" s="8">
        <f>HLOOKUP(AI3,'Match Results'!$B$1:$AW$10,10,FALSE)</f>
        <v>0</v>
      </c>
      <c r="AJ6" s="8">
        <f>HLOOKUP(AJ3,'Match Results'!$B$1:$AW$10,10,FALSE)</f>
        <v>0</v>
      </c>
      <c r="AK6" s="25">
        <f>HLOOKUP(AK3,'Match Results'!$B$1:$AW$10,10,FALSE)</f>
        <v>0</v>
      </c>
      <c r="AL6" s="8">
        <f>HLOOKUP(AL3,'Match Results'!$B$1:$AW$10,10,FALSE)</f>
        <v>0</v>
      </c>
      <c r="AM6" s="8">
        <f>HLOOKUP(AM3,'Match Results'!$B$1:$AW$10,10,FALSE)</f>
        <v>0</v>
      </c>
      <c r="AN6" s="8">
        <f>HLOOKUP(AN3,'Match Results'!$B$1:$AW$10,10,FALSE)</f>
        <v>0</v>
      </c>
      <c r="AO6" s="25">
        <f>HLOOKUP(AO3,'Match Results'!$B$1:$AW$10,10,FALSE)</f>
        <v>0</v>
      </c>
      <c r="AP6" s="8">
        <f>HLOOKUP(AP3,'Match Results'!$B$1:$AW$10,10,FALSE)</f>
        <v>0</v>
      </c>
      <c r="AQ6" s="8">
        <f>HLOOKUP(AQ3,'Match Results'!$B$1:$AW$10,10,FALSE)</f>
        <v>0</v>
      </c>
      <c r="AR6" s="8">
        <f>HLOOKUP(AR3,'Match Results'!$B$1:$AW$10,10,FALSE)</f>
        <v>0</v>
      </c>
      <c r="AS6" s="25">
        <f>HLOOKUP(AS3,'Match Results'!$B$1:$AW$10,10,FALSE)</f>
        <v>0</v>
      </c>
      <c r="AT6" s="8">
        <f>HLOOKUP(AT3,'Match Results'!$B$1:$AW$10,10,FALSE)</f>
        <v>0</v>
      </c>
      <c r="AU6" s="8">
        <f>HLOOKUP(AU3,'Match Results'!$B$1:$AW$10,10,FALSE)</f>
        <v>0</v>
      </c>
      <c r="AV6" s="8">
        <f>HLOOKUP(AV3,'Match Results'!$B$1:$AW$10,10,FALSE)</f>
        <v>0</v>
      </c>
      <c r="AW6" s="25">
        <f>HLOOKUP(AW3,'Match Results'!$B$1:$AW$10,10,FALSE)</f>
        <v>0</v>
      </c>
      <c r="AX6" s="8">
        <f>HLOOKUP(AX3,'Match Results'!$B$1:$AW$10,10,FALSE)</f>
        <v>0</v>
      </c>
      <c r="AY6" s="8">
        <f>HLOOKUP(AY3,'Match Results'!$B$1:$AW$10,10,FALSE)</f>
        <v>0</v>
      </c>
      <c r="AZ6" s="8">
        <f>HLOOKUP(AZ3,'Match Results'!$B$1:$AW$10,10,FALSE)</f>
        <v>0</v>
      </c>
      <c r="BA6" s="25">
        <f>HLOOKUP(BA3,'Match Results'!$B$1:$AW$10,10,FALSE)</f>
        <v>0</v>
      </c>
    </row>
    <row r="7" spans="1:106" ht="15.75" customHeight="1" thickBot="1" x14ac:dyDescent="0.3">
      <c r="C7" s="13" t="s">
        <v>103</v>
      </c>
      <c r="D7" s="3"/>
      <c r="E7" s="6"/>
      <c r="F7" s="8">
        <f t="shared" ref="F7:BA7" si="0">COUNTIF(BG:BG,"x")</f>
        <v>21</v>
      </c>
      <c r="G7" s="8">
        <f t="shared" si="0"/>
        <v>2</v>
      </c>
      <c r="H7" s="8">
        <f t="shared" si="0"/>
        <v>14</v>
      </c>
      <c r="I7" s="25">
        <f t="shared" si="0"/>
        <v>8</v>
      </c>
      <c r="J7" s="8">
        <f t="shared" si="0"/>
        <v>17</v>
      </c>
      <c r="K7" s="8">
        <f t="shared" si="0"/>
        <v>17</v>
      </c>
      <c r="L7" s="8">
        <f t="shared" si="0"/>
        <v>7</v>
      </c>
      <c r="M7" s="25">
        <f t="shared" si="0"/>
        <v>2</v>
      </c>
      <c r="N7" s="8">
        <f t="shared" si="0"/>
        <v>9</v>
      </c>
      <c r="O7" s="8">
        <f t="shared" si="0"/>
        <v>24</v>
      </c>
      <c r="P7" s="8">
        <f t="shared" si="0"/>
        <v>1</v>
      </c>
      <c r="Q7" s="25">
        <f t="shared" si="0"/>
        <v>9</v>
      </c>
      <c r="R7" s="8">
        <f t="shared" si="0"/>
        <v>24</v>
      </c>
      <c r="S7" s="8">
        <f t="shared" si="0"/>
        <v>2</v>
      </c>
      <c r="T7" s="8">
        <f t="shared" si="0"/>
        <v>7</v>
      </c>
      <c r="U7" s="25">
        <f t="shared" si="0"/>
        <v>8</v>
      </c>
      <c r="V7" s="8">
        <f t="shared" si="0"/>
        <v>14</v>
      </c>
      <c r="W7" s="8">
        <f t="shared" si="0"/>
        <v>5</v>
      </c>
      <c r="X7" s="8">
        <f t="shared" si="0"/>
        <v>7</v>
      </c>
      <c r="Y7" s="25">
        <f t="shared" si="0"/>
        <v>23</v>
      </c>
      <c r="Z7" s="8">
        <f t="shared" si="0"/>
        <v>19</v>
      </c>
      <c r="AA7" s="8">
        <f t="shared" si="0"/>
        <v>29</v>
      </c>
      <c r="AB7" s="8">
        <f t="shared" si="0"/>
        <v>5</v>
      </c>
      <c r="AC7" s="25">
        <f t="shared" si="0"/>
        <v>6</v>
      </c>
      <c r="AD7" s="8">
        <f t="shared" si="0"/>
        <v>19</v>
      </c>
      <c r="AE7" s="8">
        <f t="shared" si="0"/>
        <v>18</v>
      </c>
      <c r="AF7" s="8">
        <f t="shared" si="0"/>
        <v>7</v>
      </c>
      <c r="AG7" s="25">
        <f t="shared" si="0"/>
        <v>7</v>
      </c>
      <c r="AH7" s="8">
        <f t="shared" si="0"/>
        <v>12</v>
      </c>
      <c r="AI7" s="8">
        <f t="shared" si="0"/>
        <v>4</v>
      </c>
      <c r="AJ7" s="8">
        <f t="shared" si="0"/>
        <v>2</v>
      </c>
      <c r="AK7" s="25">
        <f t="shared" si="0"/>
        <v>13</v>
      </c>
      <c r="AL7" s="8">
        <f t="shared" si="0"/>
        <v>21</v>
      </c>
      <c r="AM7" s="8">
        <f t="shared" si="0"/>
        <v>22</v>
      </c>
      <c r="AN7" s="8">
        <f t="shared" si="0"/>
        <v>13</v>
      </c>
      <c r="AO7" s="25">
        <f t="shared" si="0"/>
        <v>0</v>
      </c>
      <c r="AP7" s="8">
        <f t="shared" si="0"/>
        <v>15</v>
      </c>
      <c r="AQ7" s="8">
        <f t="shared" si="0"/>
        <v>6</v>
      </c>
      <c r="AR7" s="8">
        <f t="shared" si="0"/>
        <v>21</v>
      </c>
      <c r="AS7" s="25">
        <f t="shared" si="0"/>
        <v>6</v>
      </c>
      <c r="AT7" s="8">
        <f t="shared" si="0"/>
        <v>15</v>
      </c>
      <c r="AU7" s="8">
        <f t="shared" si="0"/>
        <v>1</v>
      </c>
      <c r="AV7" s="8">
        <f t="shared" si="0"/>
        <v>17</v>
      </c>
      <c r="AW7" s="25">
        <f t="shared" si="0"/>
        <v>5</v>
      </c>
      <c r="AX7" s="8">
        <f t="shared" si="0"/>
        <v>14</v>
      </c>
      <c r="AY7" s="8">
        <f t="shared" si="0"/>
        <v>29</v>
      </c>
      <c r="AZ7" s="8">
        <f t="shared" si="0"/>
        <v>3</v>
      </c>
      <c r="BA7" s="25">
        <f t="shared" si="0"/>
        <v>5</v>
      </c>
    </row>
    <row r="8" spans="1:106" ht="15.75" customHeight="1" thickBot="1" x14ac:dyDescent="0.3">
      <c r="C8" s="13" t="s">
        <v>104</v>
      </c>
      <c r="D8" s="3"/>
      <c r="E8" s="6"/>
      <c r="F8" s="8">
        <f t="shared" ref="F8:BA8" si="1">COUNTIF(BG:BG,"S")</f>
        <v>0</v>
      </c>
      <c r="G8" s="8">
        <f t="shared" si="1"/>
        <v>1</v>
      </c>
      <c r="H8" s="8">
        <f t="shared" si="1"/>
        <v>0</v>
      </c>
      <c r="I8" s="25">
        <f t="shared" si="1"/>
        <v>1</v>
      </c>
      <c r="J8" s="8">
        <f t="shared" si="1"/>
        <v>1</v>
      </c>
      <c r="K8" s="8">
        <f t="shared" si="1"/>
        <v>1</v>
      </c>
      <c r="L8" s="8">
        <f t="shared" si="1"/>
        <v>1</v>
      </c>
      <c r="M8" s="25">
        <f t="shared" si="1"/>
        <v>1</v>
      </c>
      <c r="N8" s="8">
        <f t="shared" si="1"/>
        <v>5</v>
      </c>
      <c r="O8" s="8">
        <f t="shared" si="1"/>
        <v>1</v>
      </c>
      <c r="P8" s="8">
        <f t="shared" si="1"/>
        <v>0</v>
      </c>
      <c r="Q8" s="25">
        <f t="shared" si="1"/>
        <v>0</v>
      </c>
      <c r="R8" s="8">
        <f t="shared" si="1"/>
        <v>2</v>
      </c>
      <c r="S8" s="8">
        <f t="shared" si="1"/>
        <v>2</v>
      </c>
      <c r="T8" s="8">
        <f t="shared" si="1"/>
        <v>0</v>
      </c>
      <c r="U8" s="25">
        <f t="shared" si="1"/>
        <v>4</v>
      </c>
      <c r="V8" s="8">
        <f t="shared" si="1"/>
        <v>7</v>
      </c>
      <c r="W8" s="8">
        <f t="shared" si="1"/>
        <v>0</v>
      </c>
      <c r="X8" s="8">
        <f t="shared" si="1"/>
        <v>0</v>
      </c>
      <c r="Y8" s="25">
        <f t="shared" si="1"/>
        <v>0</v>
      </c>
      <c r="Z8" s="8">
        <f t="shared" si="1"/>
        <v>6</v>
      </c>
      <c r="AA8" s="8">
        <f t="shared" si="1"/>
        <v>3</v>
      </c>
      <c r="AB8" s="8">
        <f t="shared" si="1"/>
        <v>0</v>
      </c>
      <c r="AC8" s="25">
        <f t="shared" si="1"/>
        <v>3</v>
      </c>
      <c r="AD8" s="8">
        <f t="shared" si="1"/>
        <v>5</v>
      </c>
      <c r="AE8" s="8">
        <f t="shared" si="1"/>
        <v>0</v>
      </c>
      <c r="AF8" s="8">
        <f t="shared" si="1"/>
        <v>1</v>
      </c>
      <c r="AG8" s="25">
        <f t="shared" si="1"/>
        <v>0</v>
      </c>
      <c r="AH8" s="8">
        <f t="shared" si="1"/>
        <v>6</v>
      </c>
      <c r="AI8" s="8">
        <f t="shared" si="1"/>
        <v>0</v>
      </c>
      <c r="AJ8" s="8">
        <f t="shared" si="1"/>
        <v>0</v>
      </c>
      <c r="AK8" s="25">
        <f t="shared" si="1"/>
        <v>0</v>
      </c>
      <c r="AL8" s="8">
        <f t="shared" si="1"/>
        <v>10</v>
      </c>
      <c r="AM8" s="8">
        <f t="shared" si="1"/>
        <v>2</v>
      </c>
      <c r="AN8" s="8">
        <f t="shared" si="1"/>
        <v>5</v>
      </c>
      <c r="AO8" s="25">
        <f t="shared" si="1"/>
        <v>0</v>
      </c>
      <c r="AP8" s="8">
        <f t="shared" si="1"/>
        <v>6</v>
      </c>
      <c r="AQ8" s="8">
        <f t="shared" si="1"/>
        <v>0</v>
      </c>
      <c r="AR8" s="8">
        <f t="shared" si="1"/>
        <v>0</v>
      </c>
      <c r="AS8" s="25">
        <f t="shared" si="1"/>
        <v>2</v>
      </c>
      <c r="AT8" s="8">
        <f t="shared" si="1"/>
        <v>8</v>
      </c>
      <c r="AU8" s="8">
        <f t="shared" si="1"/>
        <v>0</v>
      </c>
      <c r="AV8" s="8">
        <f t="shared" si="1"/>
        <v>1</v>
      </c>
      <c r="AW8" s="25">
        <f t="shared" si="1"/>
        <v>0</v>
      </c>
      <c r="AX8" s="8">
        <f t="shared" si="1"/>
        <v>8</v>
      </c>
      <c r="AY8" s="8">
        <f t="shared" si="1"/>
        <v>0</v>
      </c>
      <c r="AZ8" s="8">
        <f t="shared" si="1"/>
        <v>0</v>
      </c>
      <c r="BA8" s="25">
        <f t="shared" si="1"/>
        <v>0</v>
      </c>
    </row>
    <row r="9" spans="1:106" ht="15.75" customHeight="1" thickBot="1" x14ac:dyDescent="0.3">
      <c r="C9" s="13" t="s">
        <v>105</v>
      </c>
      <c r="D9" s="3"/>
      <c r="E9" s="6"/>
      <c r="F9" s="24">
        <f t="shared" ref="F9:BA9" si="2">F6/F5</f>
        <v>7.407407407407407E-2</v>
      </c>
      <c r="G9" s="24">
        <f t="shared" si="2"/>
        <v>0</v>
      </c>
      <c r="H9" s="24">
        <f t="shared" si="2"/>
        <v>0.18181818181818182</v>
      </c>
      <c r="I9" s="26">
        <f t="shared" si="2"/>
        <v>0</v>
      </c>
      <c r="J9" s="24">
        <f t="shared" si="2"/>
        <v>5.2631578947368418E-2</v>
      </c>
      <c r="K9" s="24">
        <f t="shared" si="2"/>
        <v>0</v>
      </c>
      <c r="L9" s="24">
        <f t="shared" si="2"/>
        <v>0</v>
      </c>
      <c r="M9" s="26">
        <f t="shared" si="2"/>
        <v>0.1</v>
      </c>
      <c r="N9" s="24">
        <f t="shared" si="2"/>
        <v>0</v>
      </c>
      <c r="O9" s="24">
        <f t="shared" si="2"/>
        <v>0</v>
      </c>
      <c r="P9" s="24">
        <f t="shared" si="2"/>
        <v>0</v>
      </c>
      <c r="Q9" s="26">
        <f t="shared" si="2"/>
        <v>0</v>
      </c>
      <c r="R9" s="24">
        <f t="shared" si="2"/>
        <v>8.6956521739130432E-2</v>
      </c>
      <c r="S9" s="24">
        <f t="shared" si="2"/>
        <v>0</v>
      </c>
      <c r="T9" s="24">
        <f t="shared" si="2"/>
        <v>0</v>
      </c>
      <c r="U9" s="26">
        <f t="shared" si="2"/>
        <v>0</v>
      </c>
      <c r="V9" s="24">
        <f t="shared" si="2"/>
        <v>0</v>
      </c>
      <c r="W9" s="24">
        <f t="shared" si="2"/>
        <v>0</v>
      </c>
      <c r="X9" s="24">
        <f t="shared" si="2"/>
        <v>0</v>
      </c>
      <c r="Y9" s="26">
        <f t="shared" si="2"/>
        <v>0</v>
      </c>
      <c r="Z9" s="24">
        <f t="shared" si="2"/>
        <v>0</v>
      </c>
      <c r="AA9" s="24">
        <f t="shared" si="2"/>
        <v>0</v>
      </c>
      <c r="AB9" s="24">
        <f t="shared" si="2"/>
        <v>0</v>
      </c>
      <c r="AC9" s="26">
        <f t="shared" si="2"/>
        <v>0</v>
      </c>
      <c r="AD9" s="24">
        <f t="shared" si="2"/>
        <v>0</v>
      </c>
      <c r="AE9" s="24">
        <f t="shared" si="2"/>
        <v>0</v>
      </c>
      <c r="AF9" s="24">
        <f t="shared" si="2"/>
        <v>0</v>
      </c>
      <c r="AG9" s="26">
        <f t="shared" si="2"/>
        <v>0</v>
      </c>
      <c r="AH9" s="24">
        <f t="shared" si="2"/>
        <v>0</v>
      </c>
      <c r="AI9" s="24">
        <f t="shared" si="2"/>
        <v>0</v>
      </c>
      <c r="AJ9" s="24">
        <f t="shared" si="2"/>
        <v>0</v>
      </c>
      <c r="AK9" s="26">
        <f t="shared" si="2"/>
        <v>0</v>
      </c>
      <c r="AL9" s="24">
        <f t="shared" si="2"/>
        <v>0</v>
      </c>
      <c r="AM9" s="24">
        <f t="shared" si="2"/>
        <v>0</v>
      </c>
      <c r="AN9" s="24">
        <f t="shared" si="2"/>
        <v>0</v>
      </c>
      <c r="AO9" s="26">
        <f t="shared" si="2"/>
        <v>0</v>
      </c>
      <c r="AP9" s="24">
        <f t="shared" si="2"/>
        <v>0</v>
      </c>
      <c r="AQ9" s="24">
        <f t="shared" si="2"/>
        <v>0</v>
      </c>
      <c r="AR9" s="24">
        <f t="shared" si="2"/>
        <v>0</v>
      </c>
      <c r="AS9" s="26">
        <f t="shared" si="2"/>
        <v>0</v>
      </c>
      <c r="AT9" s="24">
        <f t="shared" si="2"/>
        <v>0</v>
      </c>
      <c r="AU9" s="24">
        <f t="shared" si="2"/>
        <v>0</v>
      </c>
      <c r="AV9" s="24">
        <f t="shared" si="2"/>
        <v>0</v>
      </c>
      <c r="AW9" s="26">
        <f t="shared" si="2"/>
        <v>0</v>
      </c>
      <c r="AX9" s="24">
        <f t="shared" si="2"/>
        <v>0</v>
      </c>
      <c r="AY9" s="24">
        <f t="shared" si="2"/>
        <v>0</v>
      </c>
      <c r="AZ9" s="24">
        <f t="shared" si="2"/>
        <v>0</v>
      </c>
      <c r="BA9" s="26">
        <f t="shared" si="2"/>
        <v>0</v>
      </c>
    </row>
    <row r="10" spans="1:106" x14ac:dyDescent="0.25">
      <c r="B10">
        <v>63</v>
      </c>
      <c r="C10" t="str">
        <f>Entries!B2</f>
        <v>Corey Strand</v>
      </c>
      <c r="D10" s="4">
        <f t="shared" ref="D10:D41" si="3">IF(C10="","",RANK(E10,$E$10:$E$111))</f>
        <v>18</v>
      </c>
      <c r="E10" s="31">
        <f t="shared" ref="E10:E41" si="4">IF(C10="","",ROUND(SUM(F10:AK10),0))</f>
        <v>2</v>
      </c>
      <c r="F10" s="40">
        <f>IF(BG10="","",IF(BG10="x",F$6,0)+IF(BG10="S",-F$6-0.00001,0))</f>
        <v>2</v>
      </c>
      <c r="G10" s="41" t="str">
        <f t="shared" ref="G10:G73" si="5">IF(BH10="","",IF(BH10="x",G$6,0)+IF(BH10="S",-G$6-0.00001,0))</f>
        <v/>
      </c>
      <c r="H10" s="41" t="str">
        <f t="shared" ref="H10:H73" si="6">IF(BI10="","",IF(BI10="x",H$6,0)+IF(BI10="S",-H$6-0.00001,0))</f>
        <v/>
      </c>
      <c r="I10" s="42" t="str">
        <f t="shared" ref="I10:I73" si="7">IF(BJ10="","",IF(BJ10="x",I$6,0)+IF(BJ10="S",-I$6-0.00001,0))</f>
        <v/>
      </c>
      <c r="J10" s="40" t="str">
        <f t="shared" ref="J10:J73" si="8">IF(BK10="","",IF(BK10="x",J$6,0)+IF(BK10="S",-J$6-0.00001,0))</f>
        <v/>
      </c>
      <c r="K10" s="41" t="str">
        <f t="shared" ref="K10:K73" si="9">IF(BL10="","",IF(BL10="x",K$6,0)+IF(BL10="S",-K$6-0.00001,0))</f>
        <v/>
      </c>
      <c r="L10" s="41">
        <f t="shared" ref="L10:L73" si="10">IF(BM10="","",IF(BM10="x",L$6,0)+IF(BM10="S",-L$6-0.00001,0))</f>
        <v>0</v>
      </c>
      <c r="M10" s="42" t="str">
        <f t="shared" ref="M10:M73" si="11">IF(BN10="","",IF(BN10="x",M$6,0)+IF(BN10="S",-M$6-0.00001,0))</f>
        <v/>
      </c>
      <c r="N10" s="43" t="str">
        <f t="shared" ref="N10:N73" si="12">IF(BO10="","",IF(BO10="x",N$6,0)+IF(BO10="S",-N$6-0.00001,0))</f>
        <v/>
      </c>
      <c r="O10" s="41" t="str">
        <f t="shared" ref="O10:O73" si="13">IF(BP10="","",IF(BP10="x",O$6,0)+IF(BP10="S",-O$6-0.00001,0))</f>
        <v/>
      </c>
      <c r="P10" s="41" t="str">
        <f t="shared" ref="P10:P73" si="14">IF(BQ10="","",IF(BQ10="x",P$6,0)+IF(BQ10="S",-P$6-0.00001,0))</f>
        <v/>
      </c>
      <c r="Q10" s="42" t="str">
        <f t="shared" ref="Q10:Q73" si="15">IF(BR10="","",IF(BR10="x",Q$6,0)+IF(BR10="S",-Q$6-0.00001,0))</f>
        <v/>
      </c>
      <c r="R10" s="40" t="str">
        <f t="shared" ref="R10:R73" si="16">IF(BS10="","",IF(BS10="x",R$6,0)+IF(BS10="S",-R$6-0.00001,0))</f>
        <v/>
      </c>
      <c r="S10" s="41" t="str">
        <f t="shared" ref="S10:S73" si="17">IF(BT10="","",IF(BT10="x",S$6,0)+IF(BT10="S",-S$6-0.00001,0))</f>
        <v/>
      </c>
      <c r="T10" s="43" t="str">
        <f t="shared" ref="T10:T73" si="18">IF(BU10="","",IF(BU10="x",T$6,0)+IF(BU10="S",-T$6-0.00001,0))</f>
        <v/>
      </c>
      <c r="U10" s="42" t="str">
        <f t="shared" ref="U10:U73" si="19">IF(BV10="","",IF(BV10="x",U$6,0)+IF(BV10="S",-U$6-0.00001,0))</f>
        <v/>
      </c>
      <c r="V10" s="40">
        <f t="shared" ref="V10:V73" si="20">IF(BW10="","",IF(BW10="x",V$6,0)+IF(BW10="S",-V$6-0.00001,0))</f>
        <v>0</v>
      </c>
      <c r="W10" s="41" t="str">
        <f t="shared" ref="W10:W73" si="21">IF(BX10="","",IF(BX10="x",W$6,0)+IF(BX10="S",-W$6-0.00001,0))</f>
        <v/>
      </c>
      <c r="X10" s="41" t="str">
        <f t="shared" ref="X10:X73" si="22">IF(BY10="","",IF(BY10="x",X$6,0)+IF(BY10="S",-X$6-0.00001,0))</f>
        <v/>
      </c>
      <c r="Y10" s="42" t="str">
        <f t="shared" ref="Y10:Y73" si="23">IF(BZ10="","",IF(BZ10="x",Y$6,0)+IF(BZ10="S",-Y$6-0.00001,0))</f>
        <v/>
      </c>
      <c r="Z10" s="40">
        <f t="shared" ref="Z10:Z73" si="24">IF(CA10="","",IF(CA10="x",Z$6,0)+IF(CA10="S",-Z$6-0.00001,0))</f>
        <v>0</v>
      </c>
      <c r="AA10" s="41">
        <f t="shared" ref="AA10:AA73" si="25">IF(CB10="","",IF(CB10="x",AA$6,0)+IF(CB10="S",-AA$6-0.00001,0))</f>
        <v>0</v>
      </c>
      <c r="AB10" s="41" t="str">
        <f t="shared" ref="AB10:AB73" si="26">IF(CC10="","",IF(CC10="x",AB$6,0)+IF(CC10="S",-AB$6-0.00001,0))</f>
        <v/>
      </c>
      <c r="AC10" s="42" t="str">
        <f t="shared" ref="AC10:AC73" si="27">IF(CD10="","",IF(CD10="x",AC$6,0)+IF(CD10="S",-AC$6-0.00001,0))</f>
        <v/>
      </c>
      <c r="AD10" s="40" t="str">
        <f t="shared" ref="AD10:AD73" si="28">IF(CE10="","",IF(CE10="x",AD$6,0)+IF(CE10="S",-AD$6-0.00001,0))</f>
        <v/>
      </c>
      <c r="AE10" s="41" t="str">
        <f t="shared" ref="AE10:AE73" si="29">IF(CF10="","",IF(CF10="x",AE$6,0)+IF(CF10="S",-AE$6-0.00001,0))</f>
        <v/>
      </c>
      <c r="AF10" s="41" t="str">
        <f t="shared" ref="AF10:AF73" si="30">IF(CG10="","",IF(CG10="x",AF$6,0)+IF(CG10="S",-AF$6-0.00001,0))</f>
        <v/>
      </c>
      <c r="AG10" s="42" t="str">
        <f t="shared" ref="AG10:AG73" si="31">IF(CH10="","",IF(CH10="x",AG$6,0)+IF(CH10="S",-AG$6-0.00001,0))</f>
        <v/>
      </c>
      <c r="AH10" s="40" t="str">
        <f t="shared" ref="AH10:AH73" si="32">IF(CI10="","",IF(CI10="x",AH$6,0)+IF(CI10="S",-AH$6-0.00001,0))</f>
        <v/>
      </c>
      <c r="AI10" s="41" t="str">
        <f t="shared" ref="AI10:AI73" si="33">IF(CJ10="","",IF(CJ10="x",AI$6,0)+IF(CJ10="S",-AI$6-0.00001,0))</f>
        <v/>
      </c>
      <c r="AJ10" s="41" t="str">
        <f t="shared" ref="AJ10:AJ73" si="34">IF(CK10="","",IF(CK10="x",AJ$6,0)+IF(CK10="S",-AJ$6-0.00001,0))</f>
        <v/>
      </c>
      <c r="AK10" s="42" t="str">
        <f t="shared" ref="AK10:AK73" si="35">IF(CL10="","",IF(CL10="x",AK$6,0)+IF(CL10="S",-AK$6-0.00001,0))</f>
        <v/>
      </c>
      <c r="AL10" s="40" t="str">
        <f t="shared" ref="AL10:AL73" si="36">IF(CM10="","",IF(CM10="x",AL$6,0)+IF(CM10="S",-AL$6-0.00001,0))</f>
        <v/>
      </c>
      <c r="AM10" s="41" t="str">
        <f t="shared" ref="AM10:AM73" si="37">IF(CN10="","",IF(CN10="x",AM$6,0)+IF(CN10="S",-AM$6-0.00001,0))</f>
        <v/>
      </c>
      <c r="AN10" s="41">
        <f t="shared" ref="AN10:AN73" si="38">IF(CO10="","",IF(CO10="x",AN$6,0)+IF(CO10="S",-AN$6-0.00001,0))</f>
        <v>0</v>
      </c>
      <c r="AO10" s="42" t="str">
        <f t="shared" ref="AO10:AO73" si="39">IF(CP10="","",IF(CP10="x",AO$6,0)+IF(CP10="S",-AO$6-0.00001,0))</f>
        <v/>
      </c>
      <c r="AP10" s="40" t="str">
        <f t="shared" ref="AP10:AP73" si="40">IF(CQ10="","",IF(CQ10="x",AP$6,0)+IF(CQ10="S",-AP$6-0.00001,0))</f>
        <v/>
      </c>
      <c r="AQ10" s="41" t="str">
        <f t="shared" ref="AQ10:AQ73" si="41">IF(CR10="","",IF(CR10="x",AQ$6,0)+IF(CR10="S",-AQ$6-0.00001,0))</f>
        <v/>
      </c>
      <c r="AR10" s="41" t="str">
        <f t="shared" ref="AR10:AR73" si="42">IF(CS10="","",IF(CS10="x",AR$6,0)+IF(CS10="S",-AR$6-0.00001,0))</f>
        <v/>
      </c>
      <c r="AS10" s="42" t="str">
        <f t="shared" ref="AS10:AS73" si="43">IF(CT10="","",IF(CT10="x",AS$6,0)+IF(CT10="S",-AS$6-0.00001,0))</f>
        <v/>
      </c>
      <c r="AT10" s="40" t="str">
        <f t="shared" ref="AT10:AT73" si="44">IF(CU10="","",IF(CU10="x",AT$6,0)+IF(CU10="S",-AT$6-0.00001,0))</f>
        <v/>
      </c>
      <c r="AU10" s="41" t="str">
        <f t="shared" ref="AU10:AU73" si="45">IF(CV10="","",IF(CV10="x",AU$6,0)+IF(CV10="S",-AU$6-0.00001,0))</f>
        <v/>
      </c>
      <c r="AV10" s="41" t="str">
        <f t="shared" ref="AV10:AV73" si="46">IF(CW10="","",IF(CW10="x",AV$6,0)+IF(CW10="S",-AV$6-0.00001,0))</f>
        <v/>
      </c>
      <c r="AW10" s="42" t="str">
        <f t="shared" ref="AW10:AW73" si="47">IF(CX10="","",IF(CX10="x",AW$6,0)+IF(CX10="S",-AW$6-0.00001,0))</f>
        <v/>
      </c>
      <c r="AX10" s="40">
        <f t="shared" ref="AX10:AX73" si="48">IF(CY10="","",IF(CY10="x",AX$6,0)+IF(CY10="S",-AX$6-0.00001,0))</f>
        <v>-1.0000000000000001E-5</v>
      </c>
      <c r="AY10" s="41" t="str">
        <f t="shared" ref="AY10:AY73" si="49">IF(CZ10="","",IF(CZ10="x",AY$6,0)+IF(CZ10="S",-AY$6-0.00001,0))</f>
        <v/>
      </c>
      <c r="AZ10" s="41" t="str">
        <f t="shared" ref="AZ10:AZ73" si="50">IF(DA10="","",IF(DA10="x",AZ$6,0)+IF(DA10="S",-AZ$6-0.00001,0))</f>
        <v/>
      </c>
      <c r="BA10" s="42" t="str">
        <f t="shared" ref="BA10:BA73" si="51">IF(DB10="","",IF(DB10="x",BA$6,0)+IF(DB10="S",-BA$6-0.00001,0))</f>
        <v/>
      </c>
      <c r="BB10" s="37" t="s">
        <v>106</v>
      </c>
      <c r="BC10" s="21"/>
      <c r="BD10" s="21"/>
      <c r="BE10" s="5"/>
      <c r="BG10" t="str">
        <f>IF(NOT(ISERROR(HLOOKUP(Standings!BG$3,Entries!$C2:$K2,1,FALSE))),"x",IF(NOT(ISERROR(HLOOKUP(Standings!BG$3,Entries!$L2:$L2,1,FALSE))),"S",""))</f>
        <v>x</v>
      </c>
      <c r="BH10" t="str">
        <f>IF(NOT(ISERROR(HLOOKUP(Standings!BH$3,Entries!$C2:$K2,1,FALSE))),"x",IF(NOT(ISERROR(HLOOKUP(Standings!BH$3,Entries!$L2:$L2,1,FALSE))),"S",""))</f>
        <v/>
      </c>
      <c r="BI10" t="str">
        <f>IF(NOT(ISERROR(HLOOKUP(Standings!BI$3,Entries!$C2:$K2,1,FALSE))),"x",IF(NOT(ISERROR(HLOOKUP(Standings!BI$3,Entries!$L2:$L2,1,FALSE))),"S",""))</f>
        <v/>
      </c>
      <c r="BJ10" t="str">
        <f>IF(NOT(ISERROR(HLOOKUP(Standings!BJ$3,Entries!$C2:$K2,1,FALSE))),"x",IF(NOT(ISERROR(HLOOKUP(Standings!BJ$3,Entries!$L2:$L2,1,FALSE))),"S",""))</f>
        <v/>
      </c>
      <c r="BK10" t="str">
        <f>IF(NOT(ISERROR(HLOOKUP(Standings!BK$3,Entries!$C2:$K2,1,FALSE))),"x",IF(NOT(ISERROR(HLOOKUP(Standings!BK$3,Entries!$L2:$L2,1,FALSE))),"S",""))</f>
        <v/>
      </c>
      <c r="BL10" t="str">
        <f>IF(NOT(ISERROR(HLOOKUP(Standings!BL$3,Entries!$C2:$K2,1,FALSE))),"x",IF(NOT(ISERROR(HLOOKUP(Standings!BL$3,Entries!$L2:$L2,1,FALSE))),"S",""))</f>
        <v/>
      </c>
      <c r="BM10" t="str">
        <f>IF(NOT(ISERROR(HLOOKUP(Standings!BM$3,Entries!$C2:$K2,1,FALSE))),"x",IF(NOT(ISERROR(HLOOKUP(Standings!BM$3,Entries!$L2:$L2,1,FALSE))),"S",""))</f>
        <v>x</v>
      </c>
      <c r="BN10" t="str">
        <f>IF(NOT(ISERROR(HLOOKUP(Standings!BN$3,Entries!$C2:$K2,1,FALSE))),"x",IF(NOT(ISERROR(HLOOKUP(Standings!BN$3,Entries!$L2:$L2,1,FALSE))),"S",""))</f>
        <v/>
      </c>
      <c r="BO10" t="str">
        <f>IF(NOT(ISERROR(HLOOKUP(Standings!BO$3,Entries!$C2:$K2,1,FALSE))),"x",IF(NOT(ISERROR(HLOOKUP(Standings!BO$3,Entries!$L2:$L2,1,FALSE))),"S",""))</f>
        <v/>
      </c>
      <c r="BP10" t="str">
        <f>IF(NOT(ISERROR(HLOOKUP(Standings!BP$3,Entries!$C2:$K2,1,FALSE))),"x",IF(NOT(ISERROR(HLOOKUP(Standings!BP$3,Entries!$L2:$L2,1,FALSE))),"S",""))</f>
        <v/>
      </c>
      <c r="BQ10" t="str">
        <f>IF(NOT(ISERROR(HLOOKUP(Standings!BQ$3,Entries!$C2:$K2,1,FALSE))),"x",IF(NOT(ISERROR(HLOOKUP(Standings!BQ$3,Entries!$L2:$L2,1,FALSE))),"S",""))</f>
        <v/>
      </c>
      <c r="BR10" t="str">
        <f>IF(NOT(ISERROR(HLOOKUP(Standings!BR$3,Entries!$C2:$K2,1,FALSE))),"x",IF(NOT(ISERROR(HLOOKUP(Standings!BR$3,Entries!$L2:$L2,1,FALSE))),"S",""))</f>
        <v/>
      </c>
      <c r="BS10" t="str">
        <f>IF(NOT(ISERROR(HLOOKUP(Standings!BS$3,Entries!$C2:$K2,1,FALSE))),"x",IF(NOT(ISERROR(HLOOKUP(Standings!BS$3,Entries!$L2:$L2,1,FALSE))),"S",""))</f>
        <v/>
      </c>
      <c r="BT10" t="str">
        <f>IF(NOT(ISERROR(HLOOKUP(Standings!BT$3,Entries!$C2:$K2,1,FALSE))),"x",IF(NOT(ISERROR(HLOOKUP(Standings!BT$3,Entries!$L2:$L2,1,FALSE))),"S",""))</f>
        <v/>
      </c>
      <c r="BU10" t="str">
        <f>IF(NOT(ISERROR(HLOOKUP(Standings!BU$3,Entries!$C2:$K2,1,FALSE))),"x",IF(NOT(ISERROR(HLOOKUP(Standings!BU$3,Entries!$L2:$L2,1,FALSE))),"S",""))</f>
        <v/>
      </c>
      <c r="BV10" t="str">
        <f>IF(NOT(ISERROR(HLOOKUP(Standings!BV$3,Entries!$C2:$K2,1,FALSE))),"x",IF(NOT(ISERROR(HLOOKUP(Standings!BV$3,Entries!$L2:$L2,1,FALSE))),"S",""))</f>
        <v/>
      </c>
      <c r="BW10" t="str">
        <f>IF(NOT(ISERROR(HLOOKUP(Standings!BW$3,Entries!$C2:$K2,1,FALSE))),"x",IF(NOT(ISERROR(HLOOKUP(Standings!BW$3,Entries!$L2:$L2,1,FALSE))),"S",""))</f>
        <v>x</v>
      </c>
      <c r="BX10" t="str">
        <f>IF(NOT(ISERROR(HLOOKUP(Standings!BX$3,Entries!$C2:$K2,1,FALSE))),"x",IF(NOT(ISERROR(HLOOKUP(Standings!BX$3,Entries!$L2:$L2,1,FALSE))),"S",""))</f>
        <v/>
      </c>
      <c r="BY10" t="str">
        <f>IF(NOT(ISERROR(HLOOKUP(Standings!BY$3,Entries!$C2:$K2,1,FALSE))),"x",IF(NOT(ISERROR(HLOOKUP(Standings!BY$3,Entries!$L2:$L2,1,FALSE))),"S",""))</f>
        <v/>
      </c>
      <c r="BZ10" t="str">
        <f>IF(NOT(ISERROR(HLOOKUP(Standings!BZ$3,Entries!$C2:$K2,1,FALSE))),"x",IF(NOT(ISERROR(HLOOKUP(Standings!BZ$3,Entries!$L2:$L2,1,FALSE))),"S",""))</f>
        <v/>
      </c>
      <c r="CA10" t="str">
        <f>IF(NOT(ISERROR(HLOOKUP(Standings!CA$3,Entries!$C2:$K2,1,FALSE))),"x",IF(NOT(ISERROR(HLOOKUP(Standings!CA$3,Entries!$L2:$L2,1,FALSE))),"S",""))</f>
        <v>x</v>
      </c>
      <c r="CB10" t="str">
        <f>IF(NOT(ISERROR(HLOOKUP(Standings!CB$3,Entries!$C2:$K2,1,FALSE))),"x",IF(NOT(ISERROR(HLOOKUP(Standings!CB$3,Entries!$L2:$L2,1,FALSE))),"S",""))</f>
        <v>x</v>
      </c>
      <c r="CC10" t="str">
        <f>IF(NOT(ISERROR(HLOOKUP(Standings!CC$3,Entries!$C2:$K2,1,FALSE))),"x",IF(NOT(ISERROR(HLOOKUP(Standings!CC$3,Entries!$L2:$L2,1,FALSE))),"S",""))</f>
        <v/>
      </c>
      <c r="CD10" t="str">
        <f>IF(NOT(ISERROR(HLOOKUP(Standings!CD$3,Entries!$C2:$K2,1,FALSE))),"x",IF(NOT(ISERROR(HLOOKUP(Standings!CD$3,Entries!$L2:$L2,1,FALSE))),"S",""))</f>
        <v/>
      </c>
      <c r="CE10" t="str">
        <f>IF(NOT(ISERROR(HLOOKUP(Standings!CE$3,Entries!$C2:$K2,1,FALSE))),"x",IF(NOT(ISERROR(HLOOKUP(Standings!CE$3,Entries!$L2:$L2,1,FALSE))),"S",""))</f>
        <v/>
      </c>
      <c r="CF10" t="str">
        <f>IF(NOT(ISERROR(HLOOKUP(Standings!CF$3,Entries!$C2:$K2,1,FALSE))),"x",IF(NOT(ISERROR(HLOOKUP(Standings!CF$3,Entries!$L2:$L2,1,FALSE))),"S",""))</f>
        <v/>
      </c>
      <c r="CG10" t="str">
        <f>IF(NOT(ISERROR(HLOOKUP(Standings!CG$3,Entries!$C2:$K2,1,FALSE))),"x",IF(NOT(ISERROR(HLOOKUP(Standings!CG$3,Entries!$L2:$L2,1,FALSE))),"S",""))</f>
        <v/>
      </c>
      <c r="CH10" t="str">
        <f>IF(NOT(ISERROR(HLOOKUP(Standings!CH$3,Entries!$C2:$K2,1,FALSE))),"x",IF(NOT(ISERROR(HLOOKUP(Standings!CH$3,Entries!$L2:$L2,1,FALSE))),"S",""))</f>
        <v/>
      </c>
      <c r="CI10" t="str">
        <f>IF(NOT(ISERROR(HLOOKUP(Standings!CI$3,Entries!$C2:$K2,1,FALSE))),"x",IF(NOT(ISERROR(HLOOKUP(Standings!CI$3,Entries!$L2:$L2,1,FALSE))),"S",""))</f>
        <v/>
      </c>
      <c r="CJ10" t="str">
        <f>IF(NOT(ISERROR(HLOOKUP(Standings!CJ$3,Entries!$C2:$K2,1,FALSE))),"x",IF(NOT(ISERROR(HLOOKUP(Standings!CJ$3,Entries!$L2:$L2,1,FALSE))),"S",""))</f>
        <v/>
      </c>
      <c r="CK10" t="str">
        <f>IF(NOT(ISERROR(HLOOKUP(Standings!CK$3,Entries!$C2:$K2,1,FALSE))),"x",IF(NOT(ISERROR(HLOOKUP(Standings!CK$3,Entries!$L2:$L2,1,FALSE))),"S",""))</f>
        <v/>
      </c>
      <c r="CL10" t="str">
        <f>IF(NOT(ISERROR(HLOOKUP(Standings!CL$3,Entries!$C2:$K2,1,FALSE))),"x",IF(NOT(ISERROR(HLOOKUP(Standings!CL$3,Entries!$L2:$L2,1,FALSE))),"S",""))</f>
        <v/>
      </c>
      <c r="CM10" t="str">
        <f>IF(NOT(ISERROR(HLOOKUP(Standings!CM$3,Entries!$C2:$K2,1,FALSE))),"x",IF(NOT(ISERROR(HLOOKUP(Standings!CM$3,Entries!$L2:$L2,1,FALSE))),"S",""))</f>
        <v/>
      </c>
      <c r="CN10" t="str">
        <f>IF(NOT(ISERROR(HLOOKUP(Standings!CN$3,Entries!$C2:$K2,1,FALSE))),"x",IF(NOT(ISERROR(HLOOKUP(Standings!CN$3,Entries!$L2:$L2,1,FALSE))),"S",""))</f>
        <v/>
      </c>
      <c r="CO10" t="str">
        <f>IF(NOT(ISERROR(HLOOKUP(Standings!CO$3,Entries!$C2:$K2,1,FALSE))),"x",IF(NOT(ISERROR(HLOOKUP(Standings!CO$3,Entries!$L2:$L2,1,FALSE))),"S",""))</f>
        <v>x</v>
      </c>
      <c r="CP10" t="str">
        <f>IF(NOT(ISERROR(HLOOKUP(Standings!CP$3,Entries!$C2:$K2,1,FALSE))),"x",IF(NOT(ISERROR(HLOOKUP(Standings!CP$3,Entries!$L2:$L2,1,FALSE))),"S",""))</f>
        <v/>
      </c>
      <c r="CQ10" t="str">
        <f>IF(NOT(ISERROR(HLOOKUP(Standings!CQ$3,Entries!$C2:$K2,1,FALSE))),"x",IF(NOT(ISERROR(HLOOKUP(Standings!CQ$3,Entries!$L2:$L2,1,FALSE))),"S",""))</f>
        <v/>
      </c>
      <c r="CR10" t="str">
        <f>IF(NOT(ISERROR(HLOOKUP(Standings!CR$3,Entries!$C2:$K2,1,FALSE))),"x",IF(NOT(ISERROR(HLOOKUP(Standings!CR$3,Entries!$L2:$L2,1,FALSE))),"S",""))</f>
        <v/>
      </c>
      <c r="CS10" t="str">
        <f>IF(NOT(ISERROR(HLOOKUP(Standings!CS$3,Entries!$C2:$K2,1,FALSE))),"x",IF(NOT(ISERROR(HLOOKUP(Standings!CS$3,Entries!$L2:$L2,1,FALSE))),"S",""))</f>
        <v/>
      </c>
      <c r="CT10" t="str">
        <f>IF(NOT(ISERROR(HLOOKUP(Standings!CT$3,Entries!$C2:$K2,1,FALSE))),"x",IF(NOT(ISERROR(HLOOKUP(Standings!CT$3,Entries!$L2:$L2,1,FALSE))),"S",""))</f>
        <v/>
      </c>
      <c r="CU10" t="str">
        <f>IF(NOT(ISERROR(HLOOKUP(Standings!CU$3,Entries!$C2:$K2,1,FALSE))),"x",IF(NOT(ISERROR(HLOOKUP(Standings!CU$3,Entries!$L2:$L2,1,FALSE))),"S",""))</f>
        <v/>
      </c>
      <c r="CV10" t="str">
        <f>IF(NOT(ISERROR(HLOOKUP(Standings!CV$3,Entries!$C2:$K2,1,FALSE))),"x",IF(NOT(ISERROR(HLOOKUP(Standings!CV$3,Entries!$L2:$L2,1,FALSE))),"S",""))</f>
        <v/>
      </c>
      <c r="CW10" t="str">
        <f>IF(NOT(ISERROR(HLOOKUP(Standings!CW$3,Entries!$C2:$K2,1,FALSE))),"x",IF(NOT(ISERROR(HLOOKUP(Standings!CW$3,Entries!$L2:$L2,1,FALSE))),"S",""))</f>
        <v/>
      </c>
      <c r="CX10" t="str">
        <f>IF(NOT(ISERROR(HLOOKUP(Standings!CX$3,Entries!$C2:$K2,1,FALSE))),"x",IF(NOT(ISERROR(HLOOKUP(Standings!CX$3,Entries!$L2:$L2,1,FALSE))),"S",""))</f>
        <v/>
      </c>
      <c r="CY10" t="str">
        <f>IF(NOT(ISERROR(HLOOKUP(Standings!CY$3,Entries!$C2:$K2,1,FALSE))),"x",IF(NOT(ISERROR(HLOOKUP(Standings!CY$3,Entries!$L2:$L2,1,FALSE))),"S",""))</f>
        <v>S</v>
      </c>
      <c r="CZ10" t="str">
        <f>IF(NOT(ISERROR(HLOOKUP(Standings!CZ$3,Entries!$C2:$K2,1,FALSE))),"x",IF(NOT(ISERROR(HLOOKUP(Standings!CZ$3,Entries!$L2:$L2,1,FALSE))),"S",""))</f>
        <v/>
      </c>
      <c r="DA10" t="str">
        <f>IF(NOT(ISERROR(HLOOKUP(Standings!DA$3,Entries!$C2:$K2,1,FALSE))),"x",IF(NOT(ISERROR(HLOOKUP(Standings!DA$3,Entries!$L2:$L2,1,FALSE))),"S",""))</f>
        <v/>
      </c>
      <c r="DB10" t="str">
        <f>IF(NOT(ISERROR(HLOOKUP(Standings!DB$3,Entries!$C2:$K2,1,FALSE))),"x",IF(NOT(ISERROR(HLOOKUP(Standings!DB$3,Entries!$L2:$L2,1,FALSE))),"S",""))</f>
        <v/>
      </c>
    </row>
    <row r="11" spans="1:106" x14ac:dyDescent="0.25">
      <c r="A11" s="18"/>
      <c r="B11">
        <v>14</v>
      </c>
      <c r="C11" t="str">
        <f>Entries!B3</f>
        <v>Corey Strand  V2</v>
      </c>
      <c r="D11" s="4">
        <f t="shared" si="3"/>
        <v>55</v>
      </c>
      <c r="E11" s="31">
        <f t="shared" si="4"/>
        <v>0</v>
      </c>
      <c r="F11" s="40" t="str">
        <f t="shared" ref="F11:F74" si="52">IF(BG11="","",IF(BG11="x",F$6,0)+IF(BG11="S",-F$6-0.00001,0))</f>
        <v/>
      </c>
      <c r="G11" s="41" t="str">
        <f t="shared" si="5"/>
        <v/>
      </c>
      <c r="H11" s="41" t="str">
        <f t="shared" si="6"/>
        <v/>
      </c>
      <c r="I11" s="42" t="str">
        <f t="shared" si="7"/>
        <v/>
      </c>
      <c r="J11" s="40" t="str">
        <f t="shared" si="8"/>
        <v/>
      </c>
      <c r="K11" s="41" t="str">
        <f t="shared" si="9"/>
        <v/>
      </c>
      <c r="L11" s="41" t="str">
        <f t="shared" si="10"/>
        <v/>
      </c>
      <c r="M11" s="42" t="str">
        <f t="shared" si="11"/>
        <v/>
      </c>
      <c r="N11" s="43" t="str">
        <f t="shared" si="12"/>
        <v/>
      </c>
      <c r="O11" s="41" t="str">
        <f t="shared" si="13"/>
        <v/>
      </c>
      <c r="P11" s="41" t="str">
        <f t="shared" si="14"/>
        <v/>
      </c>
      <c r="Q11" s="42" t="str">
        <f t="shared" si="15"/>
        <v/>
      </c>
      <c r="R11" s="40" t="str">
        <f t="shared" si="16"/>
        <v/>
      </c>
      <c r="S11" s="41" t="str">
        <f t="shared" si="17"/>
        <v/>
      </c>
      <c r="T11" s="43" t="str">
        <f t="shared" si="18"/>
        <v/>
      </c>
      <c r="U11" s="42" t="str">
        <f t="shared" si="19"/>
        <v/>
      </c>
      <c r="V11" s="40" t="str">
        <f t="shared" si="20"/>
        <v/>
      </c>
      <c r="W11" s="41" t="str">
        <f t="shared" si="21"/>
        <v/>
      </c>
      <c r="X11" s="41" t="str">
        <f t="shared" si="22"/>
        <v/>
      </c>
      <c r="Y11" s="42" t="str">
        <f t="shared" si="23"/>
        <v/>
      </c>
      <c r="Z11" s="40" t="str">
        <f t="shared" si="24"/>
        <v/>
      </c>
      <c r="AA11" s="41" t="str">
        <f t="shared" si="25"/>
        <v/>
      </c>
      <c r="AB11" s="41" t="str">
        <f t="shared" si="26"/>
        <v/>
      </c>
      <c r="AC11" s="42" t="str">
        <f t="shared" si="27"/>
        <v/>
      </c>
      <c r="AD11" s="40">
        <f t="shared" si="28"/>
        <v>-1.0000000000000001E-5</v>
      </c>
      <c r="AE11" s="41" t="str">
        <f t="shared" si="29"/>
        <v/>
      </c>
      <c r="AF11" s="41" t="str">
        <f t="shared" si="30"/>
        <v/>
      </c>
      <c r="AG11" s="42" t="str">
        <f t="shared" si="31"/>
        <v/>
      </c>
      <c r="AH11" s="40">
        <f t="shared" si="32"/>
        <v>0</v>
      </c>
      <c r="AI11" s="41" t="str">
        <f t="shared" si="33"/>
        <v/>
      </c>
      <c r="AJ11" s="41" t="str">
        <f t="shared" si="34"/>
        <v/>
      </c>
      <c r="AK11" s="42" t="str">
        <f t="shared" si="35"/>
        <v/>
      </c>
      <c r="AL11" s="40" t="str">
        <f t="shared" si="36"/>
        <v/>
      </c>
      <c r="AM11" s="41" t="str">
        <f t="shared" si="37"/>
        <v/>
      </c>
      <c r="AN11" s="41" t="str">
        <f t="shared" si="38"/>
        <v/>
      </c>
      <c r="AO11" s="42" t="str">
        <f t="shared" si="39"/>
        <v/>
      </c>
      <c r="AP11" s="40" t="str">
        <f t="shared" si="40"/>
        <v/>
      </c>
      <c r="AQ11" s="41">
        <f t="shared" si="41"/>
        <v>0</v>
      </c>
      <c r="AR11" s="41" t="str">
        <f t="shared" si="42"/>
        <v/>
      </c>
      <c r="AS11" s="42" t="str">
        <f t="shared" si="43"/>
        <v/>
      </c>
      <c r="AT11" s="40" t="str">
        <f t="shared" si="44"/>
        <v/>
      </c>
      <c r="AU11" s="41" t="str">
        <f t="shared" si="45"/>
        <v/>
      </c>
      <c r="AV11" s="41" t="str">
        <f t="shared" si="46"/>
        <v/>
      </c>
      <c r="AW11" s="42" t="str">
        <f t="shared" si="47"/>
        <v/>
      </c>
      <c r="AX11" s="40">
        <f t="shared" si="48"/>
        <v>0</v>
      </c>
      <c r="AY11" s="41" t="str">
        <f t="shared" si="49"/>
        <v/>
      </c>
      <c r="AZ11" s="41" t="str">
        <f t="shared" si="50"/>
        <v/>
      </c>
      <c r="BA11" s="42" t="str">
        <f t="shared" si="51"/>
        <v/>
      </c>
      <c r="BB11" s="37" t="s">
        <v>106</v>
      </c>
      <c r="BC11" s="21"/>
      <c r="BD11" s="21"/>
      <c r="BE11" s="5"/>
      <c r="BG11" t="str">
        <f>IF(NOT(ISERROR(HLOOKUP(Standings!BG$3,Entries!$C3:$K3,1,FALSE))),"x",IF(NOT(ISERROR(HLOOKUP(Standings!BG$3,Entries!$L3:$L3,1,FALSE))),"S",""))</f>
        <v/>
      </c>
      <c r="BH11" t="str">
        <f>IF(NOT(ISERROR(HLOOKUP(Standings!BH$3,Entries!$C3:$K3,1,FALSE))),"x",IF(NOT(ISERROR(HLOOKUP(Standings!BH$3,Entries!$L3:$L3,1,FALSE))),"S",""))</f>
        <v/>
      </c>
      <c r="BI11" t="str">
        <f>IF(NOT(ISERROR(HLOOKUP(Standings!BI$3,Entries!$C3:$K3,1,FALSE))),"x",IF(NOT(ISERROR(HLOOKUP(Standings!BI$3,Entries!$L3:$L3,1,FALSE))),"S",""))</f>
        <v/>
      </c>
      <c r="BJ11" t="str">
        <f>IF(NOT(ISERROR(HLOOKUP(Standings!BJ$3,Entries!$C3:$K3,1,FALSE))),"x",IF(NOT(ISERROR(HLOOKUP(Standings!BJ$3,Entries!$L3:$L3,1,FALSE))),"S",""))</f>
        <v/>
      </c>
      <c r="BK11" t="str">
        <f>IF(NOT(ISERROR(HLOOKUP(Standings!BK$3,Entries!$C3:$K3,1,FALSE))),"x",IF(NOT(ISERROR(HLOOKUP(Standings!BK$3,Entries!$L3:$L3,1,FALSE))),"S",""))</f>
        <v/>
      </c>
      <c r="BL11" t="str">
        <f>IF(NOT(ISERROR(HLOOKUP(Standings!BL$3,Entries!$C3:$K3,1,FALSE))),"x",IF(NOT(ISERROR(HLOOKUP(Standings!BL$3,Entries!$L3:$L3,1,FALSE))),"S",""))</f>
        <v/>
      </c>
      <c r="BM11" t="str">
        <f>IF(NOT(ISERROR(HLOOKUP(Standings!BM$3,Entries!$C3:$K3,1,FALSE))),"x",IF(NOT(ISERROR(HLOOKUP(Standings!BM$3,Entries!$L3:$L3,1,FALSE))),"S",""))</f>
        <v/>
      </c>
      <c r="BN11" t="str">
        <f>IF(NOT(ISERROR(HLOOKUP(Standings!BN$3,Entries!$C3:$K3,1,FALSE))),"x",IF(NOT(ISERROR(HLOOKUP(Standings!BN$3,Entries!$L3:$L3,1,FALSE))),"S",""))</f>
        <v/>
      </c>
      <c r="BO11" t="str">
        <f>IF(NOT(ISERROR(HLOOKUP(Standings!BO$3,Entries!$C3:$K3,1,FALSE))),"x",IF(NOT(ISERROR(HLOOKUP(Standings!BO$3,Entries!$L3:$L3,1,FALSE))),"S",""))</f>
        <v/>
      </c>
      <c r="BP11" t="str">
        <f>IF(NOT(ISERROR(HLOOKUP(Standings!BP$3,Entries!$C3:$K3,1,FALSE))),"x",IF(NOT(ISERROR(HLOOKUP(Standings!BP$3,Entries!$L3:$L3,1,FALSE))),"S",""))</f>
        <v/>
      </c>
      <c r="BQ11" t="str">
        <f>IF(NOT(ISERROR(HLOOKUP(Standings!BQ$3,Entries!$C3:$K3,1,FALSE))),"x",IF(NOT(ISERROR(HLOOKUP(Standings!BQ$3,Entries!$L3:$L3,1,FALSE))),"S",""))</f>
        <v/>
      </c>
      <c r="BR11" t="str">
        <f>IF(NOT(ISERROR(HLOOKUP(Standings!BR$3,Entries!$C3:$K3,1,FALSE))),"x",IF(NOT(ISERROR(HLOOKUP(Standings!BR$3,Entries!$L3:$L3,1,FALSE))),"S",""))</f>
        <v/>
      </c>
      <c r="BS11" t="str">
        <f>IF(NOT(ISERROR(HLOOKUP(Standings!BS$3,Entries!$C3:$K3,1,FALSE))),"x",IF(NOT(ISERROR(HLOOKUP(Standings!BS$3,Entries!$L3:$L3,1,FALSE))),"S",""))</f>
        <v/>
      </c>
      <c r="BT11" t="str">
        <f>IF(NOT(ISERROR(HLOOKUP(Standings!BT$3,Entries!$C3:$K3,1,FALSE))),"x",IF(NOT(ISERROR(HLOOKUP(Standings!BT$3,Entries!$L3:$L3,1,FALSE))),"S",""))</f>
        <v/>
      </c>
      <c r="BU11" t="str">
        <f>IF(NOT(ISERROR(HLOOKUP(Standings!BU$3,Entries!$C3:$K3,1,FALSE))),"x",IF(NOT(ISERROR(HLOOKUP(Standings!BU$3,Entries!$L3:$L3,1,FALSE))),"S",""))</f>
        <v/>
      </c>
      <c r="BV11" t="str">
        <f>IF(NOT(ISERROR(HLOOKUP(Standings!BV$3,Entries!$C3:$K3,1,FALSE))),"x",IF(NOT(ISERROR(HLOOKUP(Standings!BV$3,Entries!$L3:$L3,1,FALSE))),"S",""))</f>
        <v/>
      </c>
      <c r="BW11" t="str">
        <f>IF(NOT(ISERROR(HLOOKUP(Standings!BW$3,Entries!$C3:$K3,1,FALSE))),"x",IF(NOT(ISERROR(HLOOKUP(Standings!BW$3,Entries!$L3:$L3,1,FALSE))),"S",""))</f>
        <v/>
      </c>
      <c r="BX11" t="str">
        <f>IF(NOT(ISERROR(HLOOKUP(Standings!BX$3,Entries!$C3:$K3,1,FALSE))),"x",IF(NOT(ISERROR(HLOOKUP(Standings!BX$3,Entries!$L3:$L3,1,FALSE))),"S",""))</f>
        <v/>
      </c>
      <c r="BY11" t="str">
        <f>IF(NOT(ISERROR(HLOOKUP(Standings!BY$3,Entries!$C3:$K3,1,FALSE))),"x",IF(NOT(ISERROR(HLOOKUP(Standings!BY$3,Entries!$L3:$L3,1,FALSE))),"S",""))</f>
        <v/>
      </c>
      <c r="BZ11" t="str">
        <f>IF(NOT(ISERROR(HLOOKUP(Standings!BZ$3,Entries!$C3:$K3,1,FALSE))),"x",IF(NOT(ISERROR(HLOOKUP(Standings!BZ$3,Entries!$L3:$L3,1,FALSE))),"S",""))</f>
        <v/>
      </c>
      <c r="CA11" t="str">
        <f>IF(NOT(ISERROR(HLOOKUP(Standings!CA$3,Entries!$C3:$K3,1,FALSE))),"x",IF(NOT(ISERROR(HLOOKUP(Standings!CA$3,Entries!$L3:$L3,1,FALSE))),"S",""))</f>
        <v/>
      </c>
      <c r="CB11" t="str">
        <f>IF(NOT(ISERROR(HLOOKUP(Standings!CB$3,Entries!$C3:$K3,1,FALSE))),"x",IF(NOT(ISERROR(HLOOKUP(Standings!CB$3,Entries!$L3:$L3,1,FALSE))),"S",""))</f>
        <v/>
      </c>
      <c r="CC11" t="str">
        <f>IF(NOT(ISERROR(HLOOKUP(Standings!CC$3,Entries!$C3:$K3,1,FALSE))),"x",IF(NOT(ISERROR(HLOOKUP(Standings!CC$3,Entries!$L3:$L3,1,FALSE))),"S",""))</f>
        <v/>
      </c>
      <c r="CD11" t="str">
        <f>IF(NOT(ISERROR(HLOOKUP(Standings!CD$3,Entries!$C3:$K3,1,FALSE))),"x",IF(NOT(ISERROR(HLOOKUP(Standings!CD$3,Entries!$L3:$L3,1,FALSE))),"S",""))</f>
        <v/>
      </c>
      <c r="CE11" t="str">
        <f>IF(NOT(ISERROR(HLOOKUP(Standings!CE$3,Entries!$C3:$K3,1,FALSE))),"x",IF(NOT(ISERROR(HLOOKUP(Standings!CE$3,Entries!$L3:$L3,1,FALSE))),"S",""))</f>
        <v>S</v>
      </c>
      <c r="CF11" t="str">
        <f>IF(NOT(ISERROR(HLOOKUP(Standings!CF$3,Entries!$C3:$K3,1,FALSE))),"x",IF(NOT(ISERROR(HLOOKUP(Standings!CF$3,Entries!$L3:$L3,1,FALSE))),"S",""))</f>
        <v/>
      </c>
      <c r="CG11" t="str">
        <f>IF(NOT(ISERROR(HLOOKUP(Standings!CG$3,Entries!$C3:$K3,1,FALSE))),"x",IF(NOT(ISERROR(HLOOKUP(Standings!CG$3,Entries!$L3:$L3,1,FALSE))),"S",""))</f>
        <v/>
      </c>
      <c r="CH11" t="str">
        <f>IF(NOT(ISERROR(HLOOKUP(Standings!CH$3,Entries!$C3:$K3,1,FALSE))),"x",IF(NOT(ISERROR(HLOOKUP(Standings!CH$3,Entries!$L3:$L3,1,FALSE))),"S",""))</f>
        <v/>
      </c>
      <c r="CI11" t="str">
        <f>IF(NOT(ISERROR(HLOOKUP(Standings!CI$3,Entries!$C3:$K3,1,FALSE))),"x",IF(NOT(ISERROR(HLOOKUP(Standings!CI$3,Entries!$L3:$L3,1,FALSE))),"S",""))</f>
        <v>x</v>
      </c>
      <c r="CJ11" t="str">
        <f>IF(NOT(ISERROR(HLOOKUP(Standings!CJ$3,Entries!$C3:$K3,1,FALSE))),"x",IF(NOT(ISERROR(HLOOKUP(Standings!CJ$3,Entries!$L3:$L3,1,FALSE))),"S",""))</f>
        <v/>
      </c>
      <c r="CK11" t="str">
        <f>IF(NOT(ISERROR(HLOOKUP(Standings!CK$3,Entries!$C3:$K3,1,FALSE))),"x",IF(NOT(ISERROR(HLOOKUP(Standings!CK$3,Entries!$L3:$L3,1,FALSE))),"S",""))</f>
        <v/>
      </c>
      <c r="CL11" t="str">
        <f>IF(NOT(ISERROR(HLOOKUP(Standings!CL$3,Entries!$C3:$K3,1,FALSE))),"x",IF(NOT(ISERROR(HLOOKUP(Standings!CL$3,Entries!$L3:$L3,1,FALSE))),"S",""))</f>
        <v/>
      </c>
      <c r="CM11" t="str">
        <f>IF(NOT(ISERROR(HLOOKUP(Standings!CM$3,Entries!$C3:$K3,1,FALSE))),"x",IF(NOT(ISERROR(HLOOKUP(Standings!CM$3,Entries!$L3:$L3,1,FALSE))),"S",""))</f>
        <v/>
      </c>
      <c r="CN11" t="str">
        <f>IF(NOT(ISERROR(HLOOKUP(Standings!CN$3,Entries!$C3:$K3,1,FALSE))),"x",IF(NOT(ISERROR(HLOOKUP(Standings!CN$3,Entries!$L3:$L3,1,FALSE))),"S",""))</f>
        <v/>
      </c>
      <c r="CO11" t="str">
        <f>IF(NOT(ISERROR(HLOOKUP(Standings!CO$3,Entries!$C3:$K3,1,FALSE))),"x",IF(NOT(ISERROR(HLOOKUP(Standings!CO$3,Entries!$L3:$L3,1,FALSE))),"S",""))</f>
        <v/>
      </c>
      <c r="CP11" t="str">
        <f>IF(NOT(ISERROR(HLOOKUP(Standings!CP$3,Entries!$C3:$K3,1,FALSE))),"x",IF(NOT(ISERROR(HLOOKUP(Standings!CP$3,Entries!$L3:$L3,1,FALSE))),"S",""))</f>
        <v/>
      </c>
      <c r="CQ11" t="str">
        <f>IF(NOT(ISERROR(HLOOKUP(Standings!CQ$3,Entries!$C3:$K3,1,FALSE))),"x",IF(NOT(ISERROR(HLOOKUP(Standings!CQ$3,Entries!$L3:$L3,1,FALSE))),"S",""))</f>
        <v/>
      </c>
      <c r="CR11" t="str">
        <f>IF(NOT(ISERROR(HLOOKUP(Standings!CR$3,Entries!$C3:$K3,1,FALSE))),"x",IF(NOT(ISERROR(HLOOKUP(Standings!CR$3,Entries!$L3:$L3,1,FALSE))),"S",""))</f>
        <v>x</v>
      </c>
      <c r="CS11" t="str">
        <f>IF(NOT(ISERROR(HLOOKUP(Standings!CS$3,Entries!$C3:$K3,1,FALSE))),"x",IF(NOT(ISERROR(HLOOKUP(Standings!CS$3,Entries!$L3:$L3,1,FALSE))),"S",""))</f>
        <v/>
      </c>
      <c r="CT11" t="str">
        <f>IF(NOT(ISERROR(HLOOKUP(Standings!CT$3,Entries!$C3:$K3,1,FALSE))),"x",IF(NOT(ISERROR(HLOOKUP(Standings!CT$3,Entries!$L3:$L3,1,FALSE))),"S",""))</f>
        <v/>
      </c>
      <c r="CU11" t="str">
        <f>IF(NOT(ISERROR(HLOOKUP(Standings!CU$3,Entries!$C3:$K3,1,FALSE))),"x",IF(NOT(ISERROR(HLOOKUP(Standings!CU$3,Entries!$L3:$L3,1,FALSE))),"S",""))</f>
        <v/>
      </c>
      <c r="CV11" t="str">
        <f>IF(NOT(ISERROR(HLOOKUP(Standings!CV$3,Entries!$C3:$K3,1,FALSE))),"x",IF(NOT(ISERROR(HLOOKUP(Standings!CV$3,Entries!$L3:$L3,1,FALSE))),"S",""))</f>
        <v/>
      </c>
      <c r="CW11" t="str">
        <f>IF(NOT(ISERROR(HLOOKUP(Standings!CW$3,Entries!$C3:$K3,1,FALSE))),"x",IF(NOT(ISERROR(HLOOKUP(Standings!CW$3,Entries!$L3:$L3,1,FALSE))),"S",""))</f>
        <v/>
      </c>
      <c r="CX11" t="str">
        <f>IF(NOT(ISERROR(HLOOKUP(Standings!CX$3,Entries!$C3:$K3,1,FALSE))),"x",IF(NOT(ISERROR(HLOOKUP(Standings!CX$3,Entries!$L3:$L3,1,FALSE))),"S",""))</f>
        <v/>
      </c>
      <c r="CY11" t="str">
        <f>IF(NOT(ISERROR(HLOOKUP(Standings!CY$3,Entries!$C3:$K3,1,FALSE))),"x",IF(NOT(ISERROR(HLOOKUP(Standings!CY$3,Entries!$L3:$L3,1,FALSE))),"S",""))</f>
        <v>x</v>
      </c>
      <c r="CZ11" t="str">
        <f>IF(NOT(ISERROR(HLOOKUP(Standings!CZ$3,Entries!$C3:$K3,1,FALSE))),"x",IF(NOT(ISERROR(HLOOKUP(Standings!CZ$3,Entries!$L3:$L3,1,FALSE))),"S",""))</f>
        <v/>
      </c>
      <c r="DA11" t="str">
        <f>IF(NOT(ISERROR(HLOOKUP(Standings!DA$3,Entries!$C3:$K3,1,FALSE))),"x",IF(NOT(ISERROR(HLOOKUP(Standings!DA$3,Entries!$L3:$L3,1,FALSE))),"S",""))</f>
        <v/>
      </c>
      <c r="DB11" t="str">
        <f>IF(NOT(ISERROR(HLOOKUP(Standings!DB$3,Entries!$C3:$K3,1,FALSE))),"x",IF(NOT(ISERROR(HLOOKUP(Standings!DB$3,Entries!$L3:$L3,1,FALSE))),"S",""))</f>
        <v/>
      </c>
    </row>
    <row r="12" spans="1:106" x14ac:dyDescent="0.25">
      <c r="A12" s="18"/>
      <c r="B12">
        <v>21</v>
      </c>
      <c r="C12" t="str">
        <f>Entries!B4</f>
        <v>petelochner1</v>
      </c>
      <c r="D12" s="4">
        <f t="shared" si="3"/>
        <v>18</v>
      </c>
      <c r="E12" s="31">
        <f t="shared" si="4"/>
        <v>2</v>
      </c>
      <c r="F12" s="40" t="str">
        <f t="shared" si="52"/>
        <v/>
      </c>
      <c r="G12" s="41" t="str">
        <f t="shared" si="5"/>
        <v/>
      </c>
      <c r="H12" s="41" t="str">
        <f t="shared" si="6"/>
        <v/>
      </c>
      <c r="I12" s="42" t="str">
        <f t="shared" si="7"/>
        <v/>
      </c>
      <c r="J12" s="40" t="str">
        <f t="shared" si="8"/>
        <v/>
      </c>
      <c r="K12" s="41" t="str">
        <f t="shared" si="9"/>
        <v/>
      </c>
      <c r="L12" s="41" t="str">
        <f t="shared" si="10"/>
        <v/>
      </c>
      <c r="M12" s="42" t="str">
        <f t="shared" si="11"/>
        <v/>
      </c>
      <c r="N12" s="43" t="str">
        <f t="shared" si="12"/>
        <v/>
      </c>
      <c r="O12" s="41" t="str">
        <f t="shared" si="13"/>
        <v/>
      </c>
      <c r="P12" s="41" t="str">
        <f t="shared" si="14"/>
        <v/>
      </c>
      <c r="Q12" s="42" t="str">
        <f t="shared" si="15"/>
        <v/>
      </c>
      <c r="R12" s="40">
        <f t="shared" si="16"/>
        <v>2</v>
      </c>
      <c r="S12" s="41" t="str">
        <f t="shared" si="17"/>
        <v/>
      </c>
      <c r="T12" s="43" t="str">
        <f t="shared" si="18"/>
        <v/>
      </c>
      <c r="U12" s="42" t="str">
        <f t="shared" si="19"/>
        <v/>
      </c>
      <c r="V12" s="40" t="str">
        <f t="shared" si="20"/>
        <v/>
      </c>
      <c r="W12" s="41" t="str">
        <f t="shared" si="21"/>
        <v/>
      </c>
      <c r="X12" s="41" t="str">
        <f t="shared" si="22"/>
        <v/>
      </c>
      <c r="Y12" s="42" t="str">
        <f t="shared" si="23"/>
        <v/>
      </c>
      <c r="Z12" s="40" t="str">
        <f t="shared" si="24"/>
        <v/>
      </c>
      <c r="AA12" s="41" t="str">
        <f t="shared" si="25"/>
        <v/>
      </c>
      <c r="AB12" s="41" t="str">
        <f t="shared" si="26"/>
        <v/>
      </c>
      <c r="AC12" s="42" t="str">
        <f t="shared" si="27"/>
        <v/>
      </c>
      <c r="AD12" s="40">
        <f t="shared" si="28"/>
        <v>0</v>
      </c>
      <c r="AE12" s="41" t="str">
        <f t="shared" si="29"/>
        <v/>
      </c>
      <c r="AF12" s="41" t="str">
        <f t="shared" si="30"/>
        <v/>
      </c>
      <c r="AG12" s="42" t="str">
        <f t="shared" si="31"/>
        <v/>
      </c>
      <c r="AH12" s="40">
        <f t="shared" si="32"/>
        <v>0</v>
      </c>
      <c r="AI12" s="41" t="str">
        <f t="shared" si="33"/>
        <v/>
      </c>
      <c r="AJ12" s="41" t="str">
        <f t="shared" si="34"/>
        <v/>
      </c>
      <c r="AK12" s="42" t="str">
        <f t="shared" si="35"/>
        <v/>
      </c>
      <c r="AL12" s="40" t="str">
        <f t="shared" si="36"/>
        <v/>
      </c>
      <c r="AM12" s="41" t="str">
        <f t="shared" si="37"/>
        <v/>
      </c>
      <c r="AN12" s="41" t="str">
        <f t="shared" si="38"/>
        <v/>
      </c>
      <c r="AO12" s="42" t="str">
        <f t="shared" si="39"/>
        <v/>
      </c>
      <c r="AP12" s="40" t="str">
        <f t="shared" si="40"/>
        <v/>
      </c>
      <c r="AQ12" s="41" t="str">
        <f t="shared" si="41"/>
        <v/>
      </c>
      <c r="AR12" s="41">
        <f t="shared" si="42"/>
        <v>0</v>
      </c>
      <c r="AS12" s="42" t="str">
        <f t="shared" si="43"/>
        <v/>
      </c>
      <c r="AT12" s="40" t="str">
        <f t="shared" si="44"/>
        <v/>
      </c>
      <c r="AU12" s="41" t="str">
        <f t="shared" si="45"/>
        <v/>
      </c>
      <c r="AV12" s="41" t="str">
        <f t="shared" si="46"/>
        <v/>
      </c>
      <c r="AW12" s="42" t="str">
        <f t="shared" si="47"/>
        <v/>
      </c>
      <c r="AX12" s="40">
        <f t="shared" si="48"/>
        <v>-1.0000000000000001E-5</v>
      </c>
      <c r="AY12" s="41">
        <f t="shared" si="49"/>
        <v>0</v>
      </c>
      <c r="AZ12" s="41" t="str">
        <f t="shared" si="50"/>
        <v/>
      </c>
      <c r="BA12" s="42" t="str">
        <f t="shared" si="51"/>
        <v/>
      </c>
      <c r="BB12" s="37" t="s">
        <v>106</v>
      </c>
      <c r="BC12" s="21"/>
      <c r="BD12" s="21"/>
      <c r="BG12" t="str">
        <f>IF(NOT(ISERROR(HLOOKUP(Standings!BG$3,Entries!$C4:$K4,1,FALSE))),"x",IF(NOT(ISERROR(HLOOKUP(Standings!BG$3,Entries!$L4:$L4,1,FALSE))),"S",""))</f>
        <v/>
      </c>
      <c r="BH12" t="str">
        <f>IF(NOT(ISERROR(HLOOKUP(Standings!BH$3,Entries!$C4:$K4,1,FALSE))),"x",IF(NOT(ISERROR(HLOOKUP(Standings!BH$3,Entries!$L4:$L4,1,FALSE))),"S",""))</f>
        <v/>
      </c>
      <c r="BI12" t="str">
        <f>IF(NOT(ISERROR(HLOOKUP(Standings!BI$3,Entries!$C4:$K4,1,FALSE))),"x",IF(NOT(ISERROR(HLOOKUP(Standings!BI$3,Entries!$L4:$L4,1,FALSE))),"S",""))</f>
        <v/>
      </c>
      <c r="BJ12" t="str">
        <f>IF(NOT(ISERROR(HLOOKUP(Standings!BJ$3,Entries!$C4:$K4,1,FALSE))),"x",IF(NOT(ISERROR(HLOOKUP(Standings!BJ$3,Entries!$L4:$L4,1,FALSE))),"S",""))</f>
        <v/>
      </c>
      <c r="BK12" t="str">
        <f>IF(NOT(ISERROR(HLOOKUP(Standings!BK$3,Entries!$C4:$K4,1,FALSE))),"x",IF(NOT(ISERROR(HLOOKUP(Standings!BK$3,Entries!$L4:$L4,1,FALSE))),"S",""))</f>
        <v/>
      </c>
      <c r="BL12" t="str">
        <f>IF(NOT(ISERROR(HLOOKUP(Standings!BL$3,Entries!$C4:$K4,1,FALSE))),"x",IF(NOT(ISERROR(HLOOKUP(Standings!BL$3,Entries!$L4:$L4,1,FALSE))),"S",""))</f>
        <v/>
      </c>
      <c r="BM12" t="str">
        <f>IF(NOT(ISERROR(HLOOKUP(Standings!BM$3,Entries!$C4:$K4,1,FALSE))),"x",IF(NOT(ISERROR(HLOOKUP(Standings!BM$3,Entries!$L4:$L4,1,FALSE))),"S",""))</f>
        <v/>
      </c>
      <c r="BN12" t="str">
        <f>IF(NOT(ISERROR(HLOOKUP(Standings!BN$3,Entries!$C4:$K4,1,FALSE))),"x",IF(NOT(ISERROR(HLOOKUP(Standings!BN$3,Entries!$L4:$L4,1,FALSE))),"S",""))</f>
        <v/>
      </c>
      <c r="BO12" t="str">
        <f>IF(NOT(ISERROR(HLOOKUP(Standings!BO$3,Entries!$C4:$K4,1,FALSE))),"x",IF(NOT(ISERROR(HLOOKUP(Standings!BO$3,Entries!$L4:$L4,1,FALSE))),"S",""))</f>
        <v/>
      </c>
      <c r="BP12" t="str">
        <f>IF(NOT(ISERROR(HLOOKUP(Standings!BP$3,Entries!$C4:$K4,1,FALSE))),"x",IF(NOT(ISERROR(HLOOKUP(Standings!BP$3,Entries!$L4:$L4,1,FALSE))),"S",""))</f>
        <v/>
      </c>
      <c r="BQ12" t="str">
        <f>IF(NOT(ISERROR(HLOOKUP(Standings!BQ$3,Entries!$C4:$K4,1,FALSE))),"x",IF(NOT(ISERROR(HLOOKUP(Standings!BQ$3,Entries!$L4:$L4,1,FALSE))),"S",""))</f>
        <v/>
      </c>
      <c r="BR12" t="str">
        <f>IF(NOT(ISERROR(HLOOKUP(Standings!BR$3,Entries!$C4:$K4,1,FALSE))),"x",IF(NOT(ISERROR(HLOOKUP(Standings!BR$3,Entries!$L4:$L4,1,FALSE))),"S",""))</f>
        <v/>
      </c>
      <c r="BS12" t="str">
        <f>IF(NOT(ISERROR(HLOOKUP(Standings!BS$3,Entries!$C4:$K4,1,FALSE))),"x",IF(NOT(ISERROR(HLOOKUP(Standings!BS$3,Entries!$L4:$L4,1,FALSE))),"S",""))</f>
        <v>x</v>
      </c>
      <c r="BT12" t="str">
        <f>IF(NOT(ISERROR(HLOOKUP(Standings!BT$3,Entries!$C4:$K4,1,FALSE))),"x",IF(NOT(ISERROR(HLOOKUP(Standings!BT$3,Entries!$L4:$L4,1,FALSE))),"S",""))</f>
        <v/>
      </c>
      <c r="BU12" t="str">
        <f>IF(NOT(ISERROR(HLOOKUP(Standings!BU$3,Entries!$C4:$K4,1,FALSE))),"x",IF(NOT(ISERROR(HLOOKUP(Standings!BU$3,Entries!$L4:$L4,1,FALSE))),"S",""))</f>
        <v/>
      </c>
      <c r="BV12" t="str">
        <f>IF(NOT(ISERROR(HLOOKUP(Standings!BV$3,Entries!$C4:$K4,1,FALSE))),"x",IF(NOT(ISERROR(HLOOKUP(Standings!BV$3,Entries!$L4:$L4,1,FALSE))),"S",""))</f>
        <v/>
      </c>
      <c r="BW12" t="str">
        <f>IF(NOT(ISERROR(HLOOKUP(Standings!BW$3,Entries!$C4:$K4,1,FALSE))),"x",IF(NOT(ISERROR(HLOOKUP(Standings!BW$3,Entries!$L4:$L4,1,FALSE))),"S",""))</f>
        <v/>
      </c>
      <c r="BX12" t="str">
        <f>IF(NOT(ISERROR(HLOOKUP(Standings!BX$3,Entries!$C4:$K4,1,FALSE))),"x",IF(NOT(ISERROR(HLOOKUP(Standings!BX$3,Entries!$L4:$L4,1,FALSE))),"S",""))</f>
        <v/>
      </c>
      <c r="BY12" t="str">
        <f>IF(NOT(ISERROR(HLOOKUP(Standings!BY$3,Entries!$C4:$K4,1,FALSE))),"x",IF(NOT(ISERROR(HLOOKUP(Standings!BY$3,Entries!$L4:$L4,1,FALSE))),"S",""))</f>
        <v/>
      </c>
      <c r="BZ12" t="str">
        <f>IF(NOT(ISERROR(HLOOKUP(Standings!BZ$3,Entries!$C4:$K4,1,FALSE))),"x",IF(NOT(ISERROR(HLOOKUP(Standings!BZ$3,Entries!$L4:$L4,1,FALSE))),"S",""))</f>
        <v/>
      </c>
      <c r="CA12" t="str">
        <f>IF(NOT(ISERROR(HLOOKUP(Standings!CA$3,Entries!$C4:$K4,1,FALSE))),"x",IF(NOT(ISERROR(HLOOKUP(Standings!CA$3,Entries!$L4:$L4,1,FALSE))),"S",""))</f>
        <v/>
      </c>
      <c r="CB12" t="str">
        <f>IF(NOT(ISERROR(HLOOKUP(Standings!CB$3,Entries!$C4:$K4,1,FALSE))),"x",IF(NOT(ISERROR(HLOOKUP(Standings!CB$3,Entries!$L4:$L4,1,FALSE))),"S",""))</f>
        <v/>
      </c>
      <c r="CC12" t="str">
        <f>IF(NOT(ISERROR(HLOOKUP(Standings!CC$3,Entries!$C4:$K4,1,FALSE))),"x",IF(NOT(ISERROR(HLOOKUP(Standings!CC$3,Entries!$L4:$L4,1,FALSE))),"S",""))</f>
        <v/>
      </c>
      <c r="CD12" t="str">
        <f>IF(NOT(ISERROR(HLOOKUP(Standings!CD$3,Entries!$C4:$K4,1,FALSE))),"x",IF(NOT(ISERROR(HLOOKUP(Standings!CD$3,Entries!$L4:$L4,1,FALSE))),"S",""))</f>
        <v/>
      </c>
      <c r="CE12" t="str">
        <f>IF(NOT(ISERROR(HLOOKUP(Standings!CE$3,Entries!$C4:$K4,1,FALSE))),"x",IF(NOT(ISERROR(HLOOKUP(Standings!CE$3,Entries!$L4:$L4,1,FALSE))),"S",""))</f>
        <v>x</v>
      </c>
      <c r="CF12" t="str">
        <f>IF(NOT(ISERROR(HLOOKUP(Standings!CF$3,Entries!$C4:$K4,1,FALSE))),"x",IF(NOT(ISERROR(HLOOKUP(Standings!CF$3,Entries!$L4:$L4,1,FALSE))),"S",""))</f>
        <v/>
      </c>
      <c r="CG12" t="str">
        <f>IF(NOT(ISERROR(HLOOKUP(Standings!CG$3,Entries!$C4:$K4,1,FALSE))),"x",IF(NOT(ISERROR(HLOOKUP(Standings!CG$3,Entries!$L4:$L4,1,FALSE))),"S",""))</f>
        <v/>
      </c>
      <c r="CH12" t="str">
        <f>IF(NOT(ISERROR(HLOOKUP(Standings!CH$3,Entries!$C4:$K4,1,FALSE))),"x",IF(NOT(ISERROR(HLOOKUP(Standings!CH$3,Entries!$L4:$L4,1,FALSE))),"S",""))</f>
        <v/>
      </c>
      <c r="CI12" t="str">
        <f>IF(NOT(ISERROR(HLOOKUP(Standings!CI$3,Entries!$C4:$K4,1,FALSE))),"x",IF(NOT(ISERROR(HLOOKUP(Standings!CI$3,Entries!$L4:$L4,1,FALSE))),"S",""))</f>
        <v>x</v>
      </c>
      <c r="CJ12" t="str">
        <f>IF(NOT(ISERROR(HLOOKUP(Standings!CJ$3,Entries!$C4:$K4,1,FALSE))),"x",IF(NOT(ISERROR(HLOOKUP(Standings!CJ$3,Entries!$L4:$L4,1,FALSE))),"S",""))</f>
        <v/>
      </c>
      <c r="CK12" t="str">
        <f>IF(NOT(ISERROR(HLOOKUP(Standings!CK$3,Entries!$C4:$K4,1,FALSE))),"x",IF(NOT(ISERROR(HLOOKUP(Standings!CK$3,Entries!$L4:$L4,1,FALSE))),"S",""))</f>
        <v/>
      </c>
      <c r="CL12" t="str">
        <f>IF(NOT(ISERROR(HLOOKUP(Standings!CL$3,Entries!$C4:$K4,1,FALSE))),"x",IF(NOT(ISERROR(HLOOKUP(Standings!CL$3,Entries!$L4:$L4,1,FALSE))),"S",""))</f>
        <v/>
      </c>
      <c r="CM12" t="str">
        <f>IF(NOT(ISERROR(HLOOKUP(Standings!CM$3,Entries!$C4:$K4,1,FALSE))),"x",IF(NOT(ISERROR(HLOOKUP(Standings!CM$3,Entries!$L4:$L4,1,FALSE))),"S",""))</f>
        <v/>
      </c>
      <c r="CN12" t="str">
        <f>IF(NOT(ISERROR(HLOOKUP(Standings!CN$3,Entries!$C4:$K4,1,FALSE))),"x",IF(NOT(ISERROR(HLOOKUP(Standings!CN$3,Entries!$L4:$L4,1,FALSE))),"S",""))</f>
        <v/>
      </c>
      <c r="CO12" t="str">
        <f>IF(NOT(ISERROR(HLOOKUP(Standings!CO$3,Entries!$C4:$K4,1,FALSE))),"x",IF(NOT(ISERROR(HLOOKUP(Standings!CO$3,Entries!$L4:$L4,1,FALSE))),"S",""))</f>
        <v/>
      </c>
      <c r="CP12" t="str">
        <f>IF(NOT(ISERROR(HLOOKUP(Standings!CP$3,Entries!$C4:$K4,1,FALSE))),"x",IF(NOT(ISERROR(HLOOKUP(Standings!CP$3,Entries!$L4:$L4,1,FALSE))),"S",""))</f>
        <v/>
      </c>
      <c r="CQ12" t="str">
        <f>IF(NOT(ISERROR(HLOOKUP(Standings!CQ$3,Entries!$C4:$K4,1,FALSE))),"x",IF(NOT(ISERROR(HLOOKUP(Standings!CQ$3,Entries!$L4:$L4,1,FALSE))),"S",""))</f>
        <v/>
      </c>
      <c r="CR12" t="str">
        <f>IF(NOT(ISERROR(HLOOKUP(Standings!CR$3,Entries!$C4:$K4,1,FALSE))),"x",IF(NOT(ISERROR(HLOOKUP(Standings!CR$3,Entries!$L4:$L4,1,FALSE))),"S",""))</f>
        <v/>
      </c>
      <c r="CS12" t="str">
        <f>IF(NOT(ISERROR(HLOOKUP(Standings!CS$3,Entries!$C4:$K4,1,FALSE))),"x",IF(NOT(ISERROR(HLOOKUP(Standings!CS$3,Entries!$L4:$L4,1,FALSE))),"S",""))</f>
        <v>x</v>
      </c>
      <c r="CT12" t="str">
        <f>IF(NOT(ISERROR(HLOOKUP(Standings!CT$3,Entries!$C4:$K4,1,FALSE))),"x",IF(NOT(ISERROR(HLOOKUP(Standings!CT$3,Entries!$L4:$L4,1,FALSE))),"S",""))</f>
        <v/>
      </c>
      <c r="CU12" t="str">
        <f>IF(NOT(ISERROR(HLOOKUP(Standings!CU$3,Entries!$C4:$K4,1,FALSE))),"x",IF(NOT(ISERROR(HLOOKUP(Standings!CU$3,Entries!$L4:$L4,1,FALSE))),"S",""))</f>
        <v/>
      </c>
      <c r="CV12" t="str">
        <f>IF(NOT(ISERROR(HLOOKUP(Standings!CV$3,Entries!$C4:$K4,1,FALSE))),"x",IF(NOT(ISERROR(HLOOKUP(Standings!CV$3,Entries!$L4:$L4,1,FALSE))),"S",""))</f>
        <v/>
      </c>
      <c r="CW12" t="str">
        <f>IF(NOT(ISERROR(HLOOKUP(Standings!CW$3,Entries!$C4:$K4,1,FALSE))),"x",IF(NOT(ISERROR(HLOOKUP(Standings!CW$3,Entries!$L4:$L4,1,FALSE))),"S",""))</f>
        <v/>
      </c>
      <c r="CX12" t="str">
        <f>IF(NOT(ISERROR(HLOOKUP(Standings!CX$3,Entries!$C4:$K4,1,FALSE))),"x",IF(NOT(ISERROR(HLOOKUP(Standings!CX$3,Entries!$L4:$L4,1,FALSE))),"S",""))</f>
        <v/>
      </c>
      <c r="CY12" t="str">
        <f>IF(NOT(ISERROR(HLOOKUP(Standings!CY$3,Entries!$C4:$K4,1,FALSE))),"x",IF(NOT(ISERROR(HLOOKUP(Standings!CY$3,Entries!$L4:$L4,1,FALSE))),"S",""))</f>
        <v>S</v>
      </c>
      <c r="CZ12" t="str">
        <f>IF(NOT(ISERROR(HLOOKUP(Standings!CZ$3,Entries!$C4:$K4,1,FALSE))),"x",IF(NOT(ISERROR(HLOOKUP(Standings!CZ$3,Entries!$L4:$L4,1,FALSE))),"S",""))</f>
        <v>x</v>
      </c>
      <c r="DA12" t="str">
        <f>IF(NOT(ISERROR(HLOOKUP(Standings!DA$3,Entries!$C4:$K4,1,FALSE))),"x",IF(NOT(ISERROR(HLOOKUP(Standings!DA$3,Entries!$L4:$L4,1,FALSE))),"S",""))</f>
        <v/>
      </c>
      <c r="DB12" t="str">
        <f>IF(NOT(ISERROR(HLOOKUP(Standings!DB$3,Entries!$C4:$K4,1,FALSE))),"x",IF(NOT(ISERROR(HLOOKUP(Standings!DB$3,Entries!$L4:$L4,1,FALSE))),"S",""))</f>
        <v/>
      </c>
    </row>
    <row r="13" spans="1:106" x14ac:dyDescent="0.25">
      <c r="B13">
        <v>54</v>
      </c>
      <c r="C13" t="str">
        <f>Entries!B5</f>
        <v>MatthewSchaefer</v>
      </c>
      <c r="D13" s="4">
        <f t="shared" si="3"/>
        <v>55</v>
      </c>
      <c r="E13" s="31">
        <f t="shared" si="4"/>
        <v>0</v>
      </c>
      <c r="F13" s="40" t="str">
        <f t="shared" si="52"/>
        <v/>
      </c>
      <c r="G13" s="41" t="str">
        <f t="shared" si="5"/>
        <v/>
      </c>
      <c r="H13" s="41" t="str">
        <f t="shared" si="6"/>
        <v/>
      </c>
      <c r="I13" s="42" t="str">
        <f t="shared" si="7"/>
        <v/>
      </c>
      <c r="J13" s="40" t="str">
        <f t="shared" si="8"/>
        <v/>
      </c>
      <c r="K13" s="41" t="str">
        <f t="shared" si="9"/>
        <v/>
      </c>
      <c r="L13" s="41" t="str">
        <f t="shared" si="10"/>
        <v/>
      </c>
      <c r="M13" s="42" t="str">
        <f t="shared" si="11"/>
        <v/>
      </c>
      <c r="N13" s="43">
        <f t="shared" si="12"/>
        <v>-1.0000000000000001E-5</v>
      </c>
      <c r="O13" s="41" t="str">
        <f t="shared" si="13"/>
        <v/>
      </c>
      <c r="P13" s="41" t="str">
        <f t="shared" si="14"/>
        <v/>
      </c>
      <c r="Q13" s="42" t="str">
        <f t="shared" si="15"/>
        <v/>
      </c>
      <c r="R13" s="40" t="str">
        <f t="shared" si="16"/>
        <v/>
      </c>
      <c r="S13" s="41" t="str">
        <f t="shared" si="17"/>
        <v/>
      </c>
      <c r="T13" s="43" t="str">
        <f t="shared" si="18"/>
        <v/>
      </c>
      <c r="U13" s="42" t="str">
        <f t="shared" si="19"/>
        <v/>
      </c>
      <c r="V13" s="40" t="str">
        <f t="shared" si="20"/>
        <v/>
      </c>
      <c r="W13" s="41" t="str">
        <f t="shared" si="21"/>
        <v/>
      </c>
      <c r="X13" s="41" t="str">
        <f t="shared" si="22"/>
        <v/>
      </c>
      <c r="Y13" s="42" t="str">
        <f t="shared" si="23"/>
        <v/>
      </c>
      <c r="Z13" s="40" t="str">
        <f t="shared" si="24"/>
        <v/>
      </c>
      <c r="AA13" s="41" t="str">
        <f t="shared" si="25"/>
        <v/>
      </c>
      <c r="AB13" s="41" t="str">
        <f t="shared" si="26"/>
        <v/>
      </c>
      <c r="AC13" s="42" t="str">
        <f t="shared" si="27"/>
        <v/>
      </c>
      <c r="AD13" s="40" t="str">
        <f t="shared" si="28"/>
        <v/>
      </c>
      <c r="AE13" s="41" t="str">
        <f t="shared" si="29"/>
        <v/>
      </c>
      <c r="AF13" s="41" t="str">
        <f t="shared" si="30"/>
        <v/>
      </c>
      <c r="AG13" s="42" t="str">
        <f t="shared" si="31"/>
        <v/>
      </c>
      <c r="AH13" s="40">
        <f t="shared" si="32"/>
        <v>0</v>
      </c>
      <c r="AI13" s="41" t="str">
        <f t="shared" si="33"/>
        <v/>
      </c>
      <c r="AJ13" s="41" t="str">
        <f t="shared" si="34"/>
        <v/>
      </c>
      <c r="AK13" s="42" t="str">
        <f t="shared" si="35"/>
        <v/>
      </c>
      <c r="AL13" s="40" t="str">
        <f t="shared" si="36"/>
        <v/>
      </c>
      <c r="AM13" s="41" t="str">
        <f t="shared" si="37"/>
        <v/>
      </c>
      <c r="AN13" s="41">
        <f t="shared" si="38"/>
        <v>0</v>
      </c>
      <c r="AO13" s="42" t="str">
        <f t="shared" si="39"/>
        <v/>
      </c>
      <c r="AP13" s="40">
        <f t="shared" si="40"/>
        <v>0</v>
      </c>
      <c r="AQ13" s="41" t="str">
        <f t="shared" si="41"/>
        <v/>
      </c>
      <c r="AR13" s="41" t="str">
        <f t="shared" si="42"/>
        <v/>
      </c>
      <c r="AS13" s="42" t="str">
        <f t="shared" si="43"/>
        <v/>
      </c>
      <c r="AT13" s="40" t="str">
        <f t="shared" si="44"/>
        <v/>
      </c>
      <c r="AU13" s="41" t="str">
        <f t="shared" si="45"/>
        <v/>
      </c>
      <c r="AV13" s="41" t="str">
        <f t="shared" si="46"/>
        <v/>
      </c>
      <c r="AW13" s="42" t="str">
        <f t="shared" si="47"/>
        <v/>
      </c>
      <c r="AX13" s="40" t="str">
        <f t="shared" si="48"/>
        <v/>
      </c>
      <c r="AY13" s="41" t="str">
        <f t="shared" si="49"/>
        <v/>
      </c>
      <c r="AZ13" s="41" t="str">
        <f t="shared" si="50"/>
        <v/>
      </c>
      <c r="BA13" s="42" t="str">
        <f t="shared" si="51"/>
        <v/>
      </c>
      <c r="BB13" s="37" t="s">
        <v>106</v>
      </c>
      <c r="BC13" s="21"/>
      <c r="BD13" s="21"/>
      <c r="BE13" s="5"/>
      <c r="BG13" t="str">
        <f>IF(NOT(ISERROR(HLOOKUP(Standings!BG$3,Entries!$C5:$K5,1,FALSE))),"x",IF(NOT(ISERROR(HLOOKUP(Standings!BG$3,Entries!$L5:$L5,1,FALSE))),"S",""))</f>
        <v/>
      </c>
      <c r="BH13" t="str">
        <f>IF(NOT(ISERROR(HLOOKUP(Standings!BH$3,Entries!$C5:$K5,1,FALSE))),"x",IF(NOT(ISERROR(HLOOKUP(Standings!BH$3,Entries!$L5:$L5,1,FALSE))),"S",""))</f>
        <v/>
      </c>
      <c r="BI13" t="str">
        <f>IF(NOT(ISERROR(HLOOKUP(Standings!BI$3,Entries!$C5:$K5,1,FALSE))),"x",IF(NOT(ISERROR(HLOOKUP(Standings!BI$3,Entries!$L5:$L5,1,FALSE))),"S",""))</f>
        <v/>
      </c>
      <c r="BJ13" t="str">
        <f>IF(NOT(ISERROR(HLOOKUP(Standings!BJ$3,Entries!$C5:$K5,1,FALSE))),"x",IF(NOT(ISERROR(HLOOKUP(Standings!BJ$3,Entries!$L5:$L5,1,FALSE))),"S",""))</f>
        <v/>
      </c>
      <c r="BK13" t="str">
        <f>IF(NOT(ISERROR(HLOOKUP(Standings!BK$3,Entries!$C5:$K5,1,FALSE))),"x",IF(NOT(ISERROR(HLOOKUP(Standings!BK$3,Entries!$L5:$L5,1,FALSE))),"S",""))</f>
        <v/>
      </c>
      <c r="BL13" t="str">
        <f>IF(NOT(ISERROR(HLOOKUP(Standings!BL$3,Entries!$C5:$K5,1,FALSE))),"x",IF(NOT(ISERROR(HLOOKUP(Standings!BL$3,Entries!$L5:$L5,1,FALSE))),"S",""))</f>
        <v/>
      </c>
      <c r="BM13" t="str">
        <f>IF(NOT(ISERROR(HLOOKUP(Standings!BM$3,Entries!$C5:$K5,1,FALSE))),"x",IF(NOT(ISERROR(HLOOKUP(Standings!BM$3,Entries!$L5:$L5,1,FALSE))),"S",""))</f>
        <v/>
      </c>
      <c r="BN13" t="str">
        <f>IF(NOT(ISERROR(HLOOKUP(Standings!BN$3,Entries!$C5:$K5,1,FALSE))),"x",IF(NOT(ISERROR(HLOOKUP(Standings!BN$3,Entries!$L5:$L5,1,FALSE))),"S",""))</f>
        <v/>
      </c>
      <c r="BO13" t="str">
        <f>IF(NOT(ISERROR(HLOOKUP(Standings!BO$3,Entries!$C5:$K5,1,FALSE))),"x",IF(NOT(ISERROR(HLOOKUP(Standings!BO$3,Entries!$L5:$L5,1,FALSE))),"S",""))</f>
        <v>S</v>
      </c>
      <c r="BP13" t="str">
        <f>IF(NOT(ISERROR(HLOOKUP(Standings!BP$3,Entries!$C5:$K5,1,FALSE))),"x",IF(NOT(ISERROR(HLOOKUP(Standings!BP$3,Entries!$L5:$L5,1,FALSE))),"S",""))</f>
        <v/>
      </c>
      <c r="BQ13" t="str">
        <f>IF(NOT(ISERROR(HLOOKUP(Standings!BQ$3,Entries!$C5:$K5,1,FALSE))),"x",IF(NOT(ISERROR(HLOOKUP(Standings!BQ$3,Entries!$L5:$L5,1,FALSE))),"S",""))</f>
        <v/>
      </c>
      <c r="BR13" t="str">
        <f>IF(NOT(ISERROR(HLOOKUP(Standings!BR$3,Entries!$C5:$K5,1,FALSE))),"x",IF(NOT(ISERROR(HLOOKUP(Standings!BR$3,Entries!$L5:$L5,1,FALSE))),"S",""))</f>
        <v/>
      </c>
      <c r="BS13" t="str">
        <f>IF(NOT(ISERROR(HLOOKUP(Standings!BS$3,Entries!$C5:$K5,1,FALSE))),"x",IF(NOT(ISERROR(HLOOKUP(Standings!BS$3,Entries!$L5:$L5,1,FALSE))),"S",""))</f>
        <v/>
      </c>
      <c r="BT13" t="str">
        <f>IF(NOT(ISERROR(HLOOKUP(Standings!BT$3,Entries!$C5:$K5,1,FALSE))),"x",IF(NOT(ISERROR(HLOOKUP(Standings!BT$3,Entries!$L5:$L5,1,FALSE))),"S",""))</f>
        <v/>
      </c>
      <c r="BU13" t="str">
        <f>IF(NOT(ISERROR(HLOOKUP(Standings!BU$3,Entries!$C5:$K5,1,FALSE))),"x",IF(NOT(ISERROR(HLOOKUP(Standings!BU$3,Entries!$L5:$L5,1,FALSE))),"S",""))</f>
        <v/>
      </c>
      <c r="BV13" t="str">
        <f>IF(NOT(ISERROR(HLOOKUP(Standings!BV$3,Entries!$C5:$K5,1,FALSE))),"x",IF(NOT(ISERROR(HLOOKUP(Standings!BV$3,Entries!$L5:$L5,1,FALSE))),"S",""))</f>
        <v/>
      </c>
      <c r="BW13" t="str">
        <f>IF(NOT(ISERROR(HLOOKUP(Standings!BW$3,Entries!$C5:$K5,1,FALSE))),"x",IF(NOT(ISERROR(HLOOKUP(Standings!BW$3,Entries!$L5:$L5,1,FALSE))),"S",""))</f>
        <v/>
      </c>
      <c r="BX13" t="str">
        <f>IF(NOT(ISERROR(HLOOKUP(Standings!BX$3,Entries!$C5:$K5,1,FALSE))),"x",IF(NOT(ISERROR(HLOOKUP(Standings!BX$3,Entries!$L5:$L5,1,FALSE))),"S",""))</f>
        <v/>
      </c>
      <c r="BY13" t="str">
        <f>IF(NOT(ISERROR(HLOOKUP(Standings!BY$3,Entries!$C5:$K5,1,FALSE))),"x",IF(NOT(ISERROR(HLOOKUP(Standings!BY$3,Entries!$L5:$L5,1,FALSE))),"S",""))</f>
        <v/>
      </c>
      <c r="BZ13" t="str">
        <f>IF(NOT(ISERROR(HLOOKUP(Standings!BZ$3,Entries!$C5:$K5,1,FALSE))),"x",IF(NOT(ISERROR(HLOOKUP(Standings!BZ$3,Entries!$L5:$L5,1,FALSE))),"S",""))</f>
        <v/>
      </c>
      <c r="CA13" t="str">
        <f>IF(NOT(ISERROR(HLOOKUP(Standings!CA$3,Entries!$C5:$K5,1,FALSE))),"x",IF(NOT(ISERROR(HLOOKUP(Standings!CA$3,Entries!$L5:$L5,1,FALSE))),"S",""))</f>
        <v/>
      </c>
      <c r="CB13" t="str">
        <f>IF(NOT(ISERROR(HLOOKUP(Standings!CB$3,Entries!$C5:$K5,1,FALSE))),"x",IF(NOT(ISERROR(HLOOKUP(Standings!CB$3,Entries!$L5:$L5,1,FALSE))),"S",""))</f>
        <v/>
      </c>
      <c r="CC13" t="str">
        <f>IF(NOT(ISERROR(HLOOKUP(Standings!CC$3,Entries!$C5:$K5,1,FALSE))),"x",IF(NOT(ISERROR(HLOOKUP(Standings!CC$3,Entries!$L5:$L5,1,FALSE))),"S",""))</f>
        <v/>
      </c>
      <c r="CD13" t="str">
        <f>IF(NOT(ISERROR(HLOOKUP(Standings!CD$3,Entries!$C5:$K5,1,FALSE))),"x",IF(NOT(ISERROR(HLOOKUP(Standings!CD$3,Entries!$L5:$L5,1,FALSE))),"S",""))</f>
        <v/>
      </c>
      <c r="CE13" t="str">
        <f>IF(NOT(ISERROR(HLOOKUP(Standings!CE$3,Entries!$C5:$K5,1,FALSE))),"x",IF(NOT(ISERROR(HLOOKUP(Standings!CE$3,Entries!$L5:$L5,1,FALSE))),"S",""))</f>
        <v/>
      </c>
      <c r="CF13" t="str">
        <f>IF(NOT(ISERROR(HLOOKUP(Standings!CF$3,Entries!$C5:$K5,1,FALSE))),"x",IF(NOT(ISERROR(HLOOKUP(Standings!CF$3,Entries!$L5:$L5,1,FALSE))),"S",""))</f>
        <v/>
      </c>
      <c r="CG13" t="str">
        <f>IF(NOT(ISERROR(HLOOKUP(Standings!CG$3,Entries!$C5:$K5,1,FALSE))),"x",IF(NOT(ISERROR(HLOOKUP(Standings!CG$3,Entries!$L5:$L5,1,FALSE))),"S",""))</f>
        <v/>
      </c>
      <c r="CH13" t="str">
        <f>IF(NOT(ISERROR(HLOOKUP(Standings!CH$3,Entries!$C5:$K5,1,FALSE))),"x",IF(NOT(ISERROR(HLOOKUP(Standings!CH$3,Entries!$L5:$L5,1,FALSE))),"S",""))</f>
        <v/>
      </c>
      <c r="CI13" t="str">
        <f>IF(NOT(ISERROR(HLOOKUP(Standings!CI$3,Entries!$C5:$K5,1,FALSE))),"x",IF(NOT(ISERROR(HLOOKUP(Standings!CI$3,Entries!$L5:$L5,1,FALSE))),"S",""))</f>
        <v>x</v>
      </c>
      <c r="CJ13" t="str">
        <f>IF(NOT(ISERROR(HLOOKUP(Standings!CJ$3,Entries!$C5:$K5,1,FALSE))),"x",IF(NOT(ISERROR(HLOOKUP(Standings!CJ$3,Entries!$L5:$L5,1,FALSE))),"S",""))</f>
        <v/>
      </c>
      <c r="CK13" t="str">
        <f>IF(NOT(ISERROR(HLOOKUP(Standings!CK$3,Entries!$C5:$K5,1,FALSE))),"x",IF(NOT(ISERROR(HLOOKUP(Standings!CK$3,Entries!$L5:$L5,1,FALSE))),"S",""))</f>
        <v/>
      </c>
      <c r="CL13" t="str">
        <f>IF(NOT(ISERROR(HLOOKUP(Standings!CL$3,Entries!$C5:$K5,1,FALSE))),"x",IF(NOT(ISERROR(HLOOKUP(Standings!CL$3,Entries!$L5:$L5,1,FALSE))),"S",""))</f>
        <v/>
      </c>
      <c r="CM13" t="str">
        <f>IF(NOT(ISERROR(HLOOKUP(Standings!CM$3,Entries!$C5:$K5,1,FALSE))),"x",IF(NOT(ISERROR(HLOOKUP(Standings!CM$3,Entries!$L5:$L5,1,FALSE))),"S",""))</f>
        <v/>
      </c>
      <c r="CN13" t="str">
        <f>IF(NOT(ISERROR(HLOOKUP(Standings!CN$3,Entries!$C5:$K5,1,FALSE))),"x",IF(NOT(ISERROR(HLOOKUP(Standings!CN$3,Entries!$L5:$L5,1,FALSE))),"S",""))</f>
        <v/>
      </c>
      <c r="CO13" t="str">
        <f>IF(NOT(ISERROR(HLOOKUP(Standings!CO$3,Entries!$C5:$K5,1,FALSE))),"x",IF(NOT(ISERROR(HLOOKUP(Standings!CO$3,Entries!$L5:$L5,1,FALSE))),"S",""))</f>
        <v>x</v>
      </c>
      <c r="CP13" t="str">
        <f>IF(NOT(ISERROR(HLOOKUP(Standings!CP$3,Entries!$C5:$K5,1,FALSE))),"x",IF(NOT(ISERROR(HLOOKUP(Standings!CP$3,Entries!$L5:$L5,1,FALSE))),"S",""))</f>
        <v/>
      </c>
      <c r="CQ13" t="str">
        <f>IF(NOT(ISERROR(HLOOKUP(Standings!CQ$3,Entries!$C5:$K5,1,FALSE))),"x",IF(NOT(ISERROR(HLOOKUP(Standings!CQ$3,Entries!$L5:$L5,1,FALSE))),"S",""))</f>
        <v>x</v>
      </c>
      <c r="CR13" t="str">
        <f>IF(NOT(ISERROR(HLOOKUP(Standings!CR$3,Entries!$C5:$K5,1,FALSE))),"x",IF(NOT(ISERROR(HLOOKUP(Standings!CR$3,Entries!$L5:$L5,1,FALSE))),"S",""))</f>
        <v/>
      </c>
      <c r="CS13" t="str">
        <f>IF(NOT(ISERROR(HLOOKUP(Standings!CS$3,Entries!$C5:$K5,1,FALSE))),"x",IF(NOT(ISERROR(HLOOKUP(Standings!CS$3,Entries!$L5:$L5,1,FALSE))),"S",""))</f>
        <v/>
      </c>
      <c r="CT13" t="str">
        <f>IF(NOT(ISERROR(HLOOKUP(Standings!CT$3,Entries!$C5:$K5,1,FALSE))),"x",IF(NOT(ISERROR(HLOOKUP(Standings!CT$3,Entries!$L5:$L5,1,FALSE))),"S",""))</f>
        <v/>
      </c>
      <c r="CU13" t="str">
        <f>IF(NOT(ISERROR(HLOOKUP(Standings!CU$3,Entries!$C5:$K5,1,FALSE))),"x",IF(NOT(ISERROR(HLOOKUP(Standings!CU$3,Entries!$L5:$L5,1,FALSE))),"S",""))</f>
        <v/>
      </c>
      <c r="CV13" t="str">
        <f>IF(NOT(ISERROR(HLOOKUP(Standings!CV$3,Entries!$C5:$K5,1,FALSE))),"x",IF(NOT(ISERROR(HLOOKUP(Standings!CV$3,Entries!$L5:$L5,1,FALSE))),"S",""))</f>
        <v/>
      </c>
      <c r="CW13" t="str">
        <f>IF(NOT(ISERROR(HLOOKUP(Standings!CW$3,Entries!$C5:$K5,1,FALSE))),"x",IF(NOT(ISERROR(HLOOKUP(Standings!CW$3,Entries!$L5:$L5,1,FALSE))),"S",""))</f>
        <v/>
      </c>
      <c r="CX13" t="str">
        <f>IF(NOT(ISERROR(HLOOKUP(Standings!CX$3,Entries!$C5:$K5,1,FALSE))),"x",IF(NOT(ISERROR(HLOOKUP(Standings!CX$3,Entries!$L5:$L5,1,FALSE))),"S",""))</f>
        <v/>
      </c>
      <c r="CY13" t="str">
        <f>IF(NOT(ISERROR(HLOOKUP(Standings!CY$3,Entries!$C5:$K5,1,FALSE))),"x",IF(NOT(ISERROR(HLOOKUP(Standings!CY$3,Entries!$L5:$L5,1,FALSE))),"S",""))</f>
        <v/>
      </c>
      <c r="CZ13" t="str">
        <f>IF(NOT(ISERROR(HLOOKUP(Standings!CZ$3,Entries!$C5:$K5,1,FALSE))),"x",IF(NOT(ISERROR(HLOOKUP(Standings!CZ$3,Entries!$L5:$L5,1,FALSE))),"S",""))</f>
        <v/>
      </c>
      <c r="DA13" t="str">
        <f>IF(NOT(ISERROR(HLOOKUP(Standings!DA$3,Entries!$C5:$K5,1,FALSE))),"x",IF(NOT(ISERROR(HLOOKUP(Standings!DA$3,Entries!$L5:$L5,1,FALSE))),"S",""))</f>
        <v/>
      </c>
      <c r="DB13" t="str">
        <f>IF(NOT(ISERROR(HLOOKUP(Standings!DB$3,Entries!$C5:$K5,1,FALSE))),"x",IF(NOT(ISERROR(HLOOKUP(Standings!DB$3,Entries!$L5:$L5,1,FALSE))),"S",""))</f>
        <v/>
      </c>
    </row>
    <row r="14" spans="1:106" x14ac:dyDescent="0.25">
      <c r="A14" s="18"/>
      <c r="B14">
        <v>23</v>
      </c>
      <c r="C14" t="str">
        <f>Entries!B6</f>
        <v>Marissa Cleaveland2</v>
      </c>
      <c r="D14" s="4">
        <f t="shared" si="3"/>
        <v>55</v>
      </c>
      <c r="E14" s="31">
        <f t="shared" si="4"/>
        <v>0</v>
      </c>
      <c r="F14" s="40" t="str">
        <f t="shared" si="52"/>
        <v/>
      </c>
      <c r="G14" s="41" t="str">
        <f t="shared" si="5"/>
        <v/>
      </c>
      <c r="H14" s="41" t="str">
        <f t="shared" si="6"/>
        <v/>
      </c>
      <c r="I14" s="42">
        <f t="shared" si="7"/>
        <v>0</v>
      </c>
      <c r="J14" s="40" t="str">
        <f t="shared" si="8"/>
        <v/>
      </c>
      <c r="K14" s="41" t="str">
        <f t="shared" si="9"/>
        <v/>
      </c>
      <c r="L14" s="41" t="str">
        <f t="shared" si="10"/>
        <v/>
      </c>
      <c r="M14" s="42" t="str">
        <f t="shared" si="11"/>
        <v/>
      </c>
      <c r="N14" s="43" t="str">
        <f t="shared" si="12"/>
        <v/>
      </c>
      <c r="O14" s="41" t="str">
        <f t="shared" si="13"/>
        <v/>
      </c>
      <c r="P14" s="41" t="str">
        <f t="shared" si="14"/>
        <v/>
      </c>
      <c r="Q14" s="42" t="str">
        <f t="shared" si="15"/>
        <v/>
      </c>
      <c r="R14" s="40" t="str">
        <f t="shared" si="16"/>
        <v/>
      </c>
      <c r="S14" s="41" t="str">
        <f t="shared" si="17"/>
        <v/>
      </c>
      <c r="T14" s="43" t="str">
        <f t="shared" si="18"/>
        <v/>
      </c>
      <c r="U14" s="42">
        <f t="shared" si="19"/>
        <v>0</v>
      </c>
      <c r="V14" s="40" t="str">
        <f t="shared" si="20"/>
        <v/>
      </c>
      <c r="W14" s="41" t="str">
        <f t="shared" si="21"/>
        <v/>
      </c>
      <c r="X14" s="41" t="str">
        <f t="shared" si="22"/>
        <v/>
      </c>
      <c r="Y14" s="42">
        <f t="shared" si="23"/>
        <v>0</v>
      </c>
      <c r="Z14" s="40">
        <f t="shared" si="24"/>
        <v>0</v>
      </c>
      <c r="AA14" s="41" t="str">
        <f t="shared" si="25"/>
        <v/>
      </c>
      <c r="AB14" s="41" t="str">
        <f t="shared" si="26"/>
        <v/>
      </c>
      <c r="AC14" s="42" t="str">
        <f t="shared" si="27"/>
        <v/>
      </c>
      <c r="AD14" s="40" t="str">
        <f t="shared" si="28"/>
        <v/>
      </c>
      <c r="AE14" s="41" t="str">
        <f t="shared" si="29"/>
        <v/>
      </c>
      <c r="AF14" s="41" t="str">
        <f t="shared" si="30"/>
        <v/>
      </c>
      <c r="AG14" s="42" t="str">
        <f t="shared" si="31"/>
        <v/>
      </c>
      <c r="AH14" s="40" t="str">
        <f t="shared" si="32"/>
        <v/>
      </c>
      <c r="AI14" s="41" t="str">
        <f t="shared" si="33"/>
        <v/>
      </c>
      <c r="AJ14" s="41" t="str">
        <f t="shared" si="34"/>
        <v/>
      </c>
      <c r="AK14" s="42" t="str">
        <f t="shared" si="35"/>
        <v/>
      </c>
      <c r="AL14" s="40" t="str">
        <f t="shared" si="36"/>
        <v/>
      </c>
      <c r="AM14" s="41" t="str">
        <f t="shared" si="37"/>
        <v/>
      </c>
      <c r="AN14" s="41" t="str">
        <f t="shared" si="38"/>
        <v/>
      </c>
      <c r="AO14" s="42" t="str">
        <f t="shared" si="39"/>
        <v/>
      </c>
      <c r="AP14" s="40" t="str">
        <f t="shared" si="40"/>
        <v/>
      </c>
      <c r="AQ14" s="41" t="str">
        <f t="shared" si="41"/>
        <v/>
      </c>
      <c r="AR14" s="41" t="str">
        <f t="shared" si="42"/>
        <v/>
      </c>
      <c r="AS14" s="42" t="str">
        <f t="shared" si="43"/>
        <v/>
      </c>
      <c r="AT14" s="40" t="str">
        <f t="shared" si="44"/>
        <v/>
      </c>
      <c r="AU14" s="41" t="str">
        <f t="shared" si="45"/>
        <v/>
      </c>
      <c r="AV14" s="41" t="str">
        <f t="shared" si="46"/>
        <v/>
      </c>
      <c r="AW14" s="42" t="str">
        <f t="shared" si="47"/>
        <v/>
      </c>
      <c r="AX14" s="40" t="str">
        <f t="shared" si="48"/>
        <v/>
      </c>
      <c r="AY14" s="41">
        <f t="shared" si="49"/>
        <v>0</v>
      </c>
      <c r="AZ14" s="41" t="str">
        <f t="shared" si="50"/>
        <v/>
      </c>
      <c r="BA14" s="42" t="str">
        <f t="shared" si="51"/>
        <v/>
      </c>
      <c r="BB14" s="37" t="s">
        <v>106</v>
      </c>
      <c r="BC14" s="21"/>
      <c r="BD14" s="21"/>
      <c r="BE14" s="5"/>
      <c r="BG14" t="str">
        <f>IF(NOT(ISERROR(HLOOKUP(Standings!BG$3,Entries!$C6:$K6,1,FALSE))),"x",IF(NOT(ISERROR(HLOOKUP(Standings!BG$3,Entries!$L6:$L6,1,FALSE))),"S",""))</f>
        <v/>
      </c>
      <c r="BH14" t="str">
        <f>IF(NOT(ISERROR(HLOOKUP(Standings!BH$3,Entries!$C6:$K6,1,FALSE))),"x",IF(NOT(ISERROR(HLOOKUP(Standings!BH$3,Entries!$L6:$L6,1,FALSE))),"S",""))</f>
        <v/>
      </c>
      <c r="BI14" t="str">
        <f>IF(NOT(ISERROR(HLOOKUP(Standings!BI$3,Entries!$C6:$K6,1,FALSE))),"x",IF(NOT(ISERROR(HLOOKUP(Standings!BI$3,Entries!$L6:$L6,1,FALSE))),"S",""))</f>
        <v/>
      </c>
      <c r="BJ14" t="str">
        <f>IF(NOT(ISERROR(HLOOKUP(Standings!BJ$3,Entries!$C6:$K6,1,FALSE))),"x",IF(NOT(ISERROR(HLOOKUP(Standings!BJ$3,Entries!$L6:$L6,1,FALSE))),"S",""))</f>
        <v>x</v>
      </c>
      <c r="BK14" t="str">
        <f>IF(NOT(ISERROR(HLOOKUP(Standings!BK$3,Entries!$C6:$K6,1,FALSE))),"x",IF(NOT(ISERROR(HLOOKUP(Standings!BK$3,Entries!$L6:$L6,1,FALSE))),"S",""))</f>
        <v/>
      </c>
      <c r="BL14" t="str">
        <f>IF(NOT(ISERROR(HLOOKUP(Standings!BL$3,Entries!$C6:$K6,1,FALSE))),"x",IF(NOT(ISERROR(HLOOKUP(Standings!BL$3,Entries!$L6:$L6,1,FALSE))),"S",""))</f>
        <v/>
      </c>
      <c r="BM14" t="str">
        <f>IF(NOT(ISERROR(HLOOKUP(Standings!BM$3,Entries!$C6:$K6,1,FALSE))),"x",IF(NOT(ISERROR(HLOOKUP(Standings!BM$3,Entries!$L6:$L6,1,FALSE))),"S",""))</f>
        <v/>
      </c>
      <c r="BN14" t="str">
        <f>IF(NOT(ISERROR(HLOOKUP(Standings!BN$3,Entries!$C6:$K6,1,FALSE))),"x",IF(NOT(ISERROR(HLOOKUP(Standings!BN$3,Entries!$L6:$L6,1,FALSE))),"S",""))</f>
        <v/>
      </c>
      <c r="BO14" t="str">
        <f>IF(NOT(ISERROR(HLOOKUP(Standings!BO$3,Entries!$C6:$K6,1,FALSE))),"x",IF(NOT(ISERROR(HLOOKUP(Standings!BO$3,Entries!$L6:$L6,1,FALSE))),"S",""))</f>
        <v/>
      </c>
      <c r="BP14" t="str">
        <f>IF(NOT(ISERROR(HLOOKUP(Standings!BP$3,Entries!$C6:$K6,1,FALSE))),"x",IF(NOT(ISERROR(HLOOKUP(Standings!BP$3,Entries!$L6:$L6,1,FALSE))),"S",""))</f>
        <v/>
      </c>
      <c r="BQ14" t="str">
        <f>IF(NOT(ISERROR(HLOOKUP(Standings!BQ$3,Entries!$C6:$K6,1,FALSE))),"x",IF(NOT(ISERROR(HLOOKUP(Standings!BQ$3,Entries!$L6:$L6,1,FALSE))),"S",""))</f>
        <v/>
      </c>
      <c r="BR14" t="str">
        <f>IF(NOT(ISERROR(HLOOKUP(Standings!BR$3,Entries!$C6:$K6,1,FALSE))),"x",IF(NOT(ISERROR(HLOOKUP(Standings!BR$3,Entries!$L6:$L6,1,FALSE))),"S",""))</f>
        <v/>
      </c>
      <c r="BS14" t="str">
        <f>IF(NOT(ISERROR(HLOOKUP(Standings!BS$3,Entries!$C6:$K6,1,FALSE))),"x",IF(NOT(ISERROR(HLOOKUP(Standings!BS$3,Entries!$L6:$L6,1,FALSE))),"S",""))</f>
        <v/>
      </c>
      <c r="BT14" t="str">
        <f>IF(NOT(ISERROR(HLOOKUP(Standings!BT$3,Entries!$C6:$K6,1,FALSE))),"x",IF(NOT(ISERROR(HLOOKUP(Standings!BT$3,Entries!$L6:$L6,1,FALSE))),"S",""))</f>
        <v/>
      </c>
      <c r="BU14" t="str">
        <f>IF(NOT(ISERROR(HLOOKUP(Standings!BU$3,Entries!$C6:$K6,1,FALSE))),"x",IF(NOT(ISERROR(HLOOKUP(Standings!BU$3,Entries!$L6:$L6,1,FALSE))),"S",""))</f>
        <v/>
      </c>
      <c r="BV14" t="str">
        <f>IF(NOT(ISERROR(HLOOKUP(Standings!BV$3,Entries!$C6:$K6,1,FALSE))),"x",IF(NOT(ISERROR(HLOOKUP(Standings!BV$3,Entries!$L6:$L6,1,FALSE))),"S",""))</f>
        <v>x</v>
      </c>
      <c r="BW14" t="str">
        <f>IF(NOT(ISERROR(HLOOKUP(Standings!BW$3,Entries!$C6:$K6,1,FALSE))),"x",IF(NOT(ISERROR(HLOOKUP(Standings!BW$3,Entries!$L6:$L6,1,FALSE))),"S",""))</f>
        <v/>
      </c>
      <c r="BX14" t="str">
        <f>IF(NOT(ISERROR(HLOOKUP(Standings!BX$3,Entries!$C6:$K6,1,FALSE))),"x",IF(NOT(ISERROR(HLOOKUP(Standings!BX$3,Entries!$L6:$L6,1,FALSE))),"S",""))</f>
        <v/>
      </c>
      <c r="BY14" t="str">
        <f>IF(NOT(ISERROR(HLOOKUP(Standings!BY$3,Entries!$C6:$K6,1,FALSE))),"x",IF(NOT(ISERROR(HLOOKUP(Standings!BY$3,Entries!$L6:$L6,1,FALSE))),"S",""))</f>
        <v/>
      </c>
      <c r="BZ14" t="str">
        <f>IF(NOT(ISERROR(HLOOKUP(Standings!BZ$3,Entries!$C6:$K6,1,FALSE))),"x",IF(NOT(ISERROR(HLOOKUP(Standings!BZ$3,Entries!$L6:$L6,1,FALSE))),"S",""))</f>
        <v>x</v>
      </c>
      <c r="CA14" t="str">
        <f>IF(NOT(ISERROR(HLOOKUP(Standings!CA$3,Entries!$C6:$K6,1,FALSE))),"x",IF(NOT(ISERROR(HLOOKUP(Standings!CA$3,Entries!$L6:$L6,1,FALSE))),"S",""))</f>
        <v>x</v>
      </c>
      <c r="CB14" t="str">
        <f>IF(NOT(ISERROR(HLOOKUP(Standings!CB$3,Entries!$C6:$K6,1,FALSE))),"x",IF(NOT(ISERROR(HLOOKUP(Standings!CB$3,Entries!$L6:$L6,1,FALSE))),"S",""))</f>
        <v/>
      </c>
      <c r="CC14" t="str">
        <f>IF(NOT(ISERROR(HLOOKUP(Standings!CC$3,Entries!$C6:$K6,1,FALSE))),"x",IF(NOT(ISERROR(HLOOKUP(Standings!CC$3,Entries!$L6:$L6,1,FALSE))),"S",""))</f>
        <v/>
      </c>
      <c r="CD14" t="str">
        <f>IF(NOT(ISERROR(HLOOKUP(Standings!CD$3,Entries!$C6:$K6,1,FALSE))),"x",IF(NOT(ISERROR(HLOOKUP(Standings!CD$3,Entries!$L6:$L6,1,FALSE))),"S",""))</f>
        <v/>
      </c>
      <c r="CE14" t="str">
        <f>IF(NOT(ISERROR(HLOOKUP(Standings!CE$3,Entries!$C6:$K6,1,FALSE))),"x",IF(NOT(ISERROR(HLOOKUP(Standings!CE$3,Entries!$L6:$L6,1,FALSE))),"S",""))</f>
        <v/>
      </c>
      <c r="CF14" t="str">
        <f>IF(NOT(ISERROR(HLOOKUP(Standings!CF$3,Entries!$C6:$K6,1,FALSE))),"x",IF(NOT(ISERROR(HLOOKUP(Standings!CF$3,Entries!$L6:$L6,1,FALSE))),"S",""))</f>
        <v/>
      </c>
      <c r="CG14" t="str">
        <f>IF(NOT(ISERROR(HLOOKUP(Standings!CG$3,Entries!$C6:$K6,1,FALSE))),"x",IF(NOT(ISERROR(HLOOKUP(Standings!CG$3,Entries!$L6:$L6,1,FALSE))),"S",""))</f>
        <v/>
      </c>
      <c r="CH14" t="str">
        <f>IF(NOT(ISERROR(HLOOKUP(Standings!CH$3,Entries!$C6:$K6,1,FALSE))),"x",IF(NOT(ISERROR(HLOOKUP(Standings!CH$3,Entries!$L6:$L6,1,FALSE))),"S",""))</f>
        <v/>
      </c>
      <c r="CI14" t="str">
        <f>IF(NOT(ISERROR(HLOOKUP(Standings!CI$3,Entries!$C6:$K6,1,FALSE))),"x",IF(NOT(ISERROR(HLOOKUP(Standings!CI$3,Entries!$L6:$L6,1,FALSE))),"S",""))</f>
        <v/>
      </c>
      <c r="CJ14" t="str">
        <f>IF(NOT(ISERROR(HLOOKUP(Standings!CJ$3,Entries!$C6:$K6,1,FALSE))),"x",IF(NOT(ISERROR(HLOOKUP(Standings!CJ$3,Entries!$L6:$L6,1,FALSE))),"S",""))</f>
        <v/>
      </c>
      <c r="CK14" t="str">
        <f>IF(NOT(ISERROR(HLOOKUP(Standings!CK$3,Entries!$C6:$K6,1,FALSE))),"x",IF(NOT(ISERROR(HLOOKUP(Standings!CK$3,Entries!$L6:$L6,1,FALSE))),"S",""))</f>
        <v/>
      </c>
      <c r="CL14" t="str">
        <f>IF(NOT(ISERROR(HLOOKUP(Standings!CL$3,Entries!$C6:$K6,1,FALSE))),"x",IF(NOT(ISERROR(HLOOKUP(Standings!CL$3,Entries!$L6:$L6,1,FALSE))),"S",""))</f>
        <v/>
      </c>
      <c r="CM14" t="str">
        <f>IF(NOT(ISERROR(HLOOKUP(Standings!CM$3,Entries!$C6:$K6,1,FALSE))),"x",IF(NOT(ISERROR(HLOOKUP(Standings!CM$3,Entries!$L6:$L6,1,FALSE))),"S",""))</f>
        <v/>
      </c>
      <c r="CN14" t="str">
        <f>IF(NOT(ISERROR(HLOOKUP(Standings!CN$3,Entries!$C6:$K6,1,FALSE))),"x",IF(NOT(ISERROR(HLOOKUP(Standings!CN$3,Entries!$L6:$L6,1,FALSE))),"S",""))</f>
        <v/>
      </c>
      <c r="CO14" t="str">
        <f>IF(NOT(ISERROR(HLOOKUP(Standings!CO$3,Entries!$C6:$K6,1,FALSE))),"x",IF(NOT(ISERROR(HLOOKUP(Standings!CO$3,Entries!$L6:$L6,1,FALSE))),"S",""))</f>
        <v/>
      </c>
      <c r="CP14" t="str">
        <f>IF(NOT(ISERROR(HLOOKUP(Standings!CP$3,Entries!$C6:$K6,1,FALSE))),"x",IF(NOT(ISERROR(HLOOKUP(Standings!CP$3,Entries!$L6:$L6,1,FALSE))),"S",""))</f>
        <v/>
      </c>
      <c r="CQ14" t="str">
        <f>IF(NOT(ISERROR(HLOOKUP(Standings!CQ$3,Entries!$C6:$K6,1,FALSE))),"x",IF(NOT(ISERROR(HLOOKUP(Standings!CQ$3,Entries!$L6:$L6,1,FALSE))),"S",""))</f>
        <v/>
      </c>
      <c r="CR14" t="str">
        <f>IF(NOT(ISERROR(HLOOKUP(Standings!CR$3,Entries!$C6:$K6,1,FALSE))),"x",IF(NOT(ISERROR(HLOOKUP(Standings!CR$3,Entries!$L6:$L6,1,FALSE))),"S",""))</f>
        <v/>
      </c>
      <c r="CS14" t="str">
        <f>IF(NOT(ISERROR(HLOOKUP(Standings!CS$3,Entries!$C6:$K6,1,FALSE))),"x",IF(NOT(ISERROR(HLOOKUP(Standings!CS$3,Entries!$L6:$L6,1,FALSE))),"S",""))</f>
        <v/>
      </c>
      <c r="CT14" t="str">
        <f>IF(NOT(ISERROR(HLOOKUP(Standings!CT$3,Entries!$C6:$K6,1,FALSE))),"x",IF(NOT(ISERROR(HLOOKUP(Standings!CT$3,Entries!$L6:$L6,1,FALSE))),"S",""))</f>
        <v/>
      </c>
      <c r="CU14" t="str">
        <f>IF(NOT(ISERROR(HLOOKUP(Standings!CU$3,Entries!$C6:$K6,1,FALSE))),"x",IF(NOT(ISERROR(HLOOKUP(Standings!CU$3,Entries!$L6:$L6,1,FALSE))),"S",""))</f>
        <v/>
      </c>
      <c r="CV14" t="str">
        <f>IF(NOT(ISERROR(HLOOKUP(Standings!CV$3,Entries!$C6:$K6,1,FALSE))),"x",IF(NOT(ISERROR(HLOOKUP(Standings!CV$3,Entries!$L6:$L6,1,FALSE))),"S",""))</f>
        <v/>
      </c>
      <c r="CW14" t="str">
        <f>IF(NOT(ISERROR(HLOOKUP(Standings!CW$3,Entries!$C6:$K6,1,FALSE))),"x",IF(NOT(ISERROR(HLOOKUP(Standings!CW$3,Entries!$L6:$L6,1,FALSE))),"S",""))</f>
        <v/>
      </c>
      <c r="CX14" t="str">
        <f>IF(NOT(ISERROR(HLOOKUP(Standings!CX$3,Entries!$C6:$K6,1,FALSE))),"x",IF(NOT(ISERROR(HLOOKUP(Standings!CX$3,Entries!$L6:$L6,1,FALSE))),"S",""))</f>
        <v/>
      </c>
      <c r="CY14" t="str">
        <f>IF(NOT(ISERROR(HLOOKUP(Standings!CY$3,Entries!$C6:$K6,1,FALSE))),"x",IF(NOT(ISERROR(HLOOKUP(Standings!CY$3,Entries!$L6:$L6,1,FALSE))),"S",""))</f>
        <v/>
      </c>
      <c r="CZ14" t="str">
        <f>IF(NOT(ISERROR(HLOOKUP(Standings!CZ$3,Entries!$C6:$K6,1,FALSE))),"x",IF(NOT(ISERROR(HLOOKUP(Standings!CZ$3,Entries!$L6:$L6,1,FALSE))),"S",""))</f>
        <v>x</v>
      </c>
      <c r="DA14" t="str">
        <f>IF(NOT(ISERROR(HLOOKUP(Standings!DA$3,Entries!$C6:$K6,1,FALSE))),"x",IF(NOT(ISERROR(HLOOKUP(Standings!DA$3,Entries!$L6:$L6,1,FALSE))),"S",""))</f>
        <v/>
      </c>
      <c r="DB14" t="str">
        <f>IF(NOT(ISERROR(HLOOKUP(Standings!DB$3,Entries!$C6:$K6,1,FALSE))),"x",IF(NOT(ISERROR(HLOOKUP(Standings!DB$3,Entries!$L6:$L6,1,FALSE))),"S",""))</f>
        <v/>
      </c>
    </row>
    <row r="15" spans="1:106" x14ac:dyDescent="0.25">
      <c r="B15">
        <v>71</v>
      </c>
      <c r="C15" t="str">
        <f>Entries!B7</f>
        <v>John Falck</v>
      </c>
      <c r="D15" s="4">
        <f t="shared" si="3"/>
        <v>55</v>
      </c>
      <c r="E15" s="31">
        <f t="shared" si="4"/>
        <v>0</v>
      </c>
      <c r="F15" s="40" t="str">
        <f t="shared" si="52"/>
        <v/>
      </c>
      <c r="G15" s="41" t="str">
        <f t="shared" si="5"/>
        <v/>
      </c>
      <c r="H15" s="41" t="str">
        <f t="shared" si="6"/>
        <v/>
      </c>
      <c r="I15" s="42" t="str">
        <f t="shared" si="7"/>
        <v/>
      </c>
      <c r="J15" s="40" t="str">
        <f t="shared" si="8"/>
        <v/>
      </c>
      <c r="K15" s="41" t="str">
        <f t="shared" si="9"/>
        <v/>
      </c>
      <c r="L15" s="41">
        <f t="shared" si="10"/>
        <v>0</v>
      </c>
      <c r="M15" s="42" t="str">
        <f t="shared" si="11"/>
        <v/>
      </c>
      <c r="N15" s="43" t="str">
        <f t="shared" si="12"/>
        <v/>
      </c>
      <c r="O15" s="41" t="str">
        <f t="shared" si="13"/>
        <v/>
      </c>
      <c r="P15" s="41" t="str">
        <f t="shared" si="14"/>
        <v/>
      </c>
      <c r="Q15" s="42" t="str">
        <f t="shared" si="15"/>
        <v/>
      </c>
      <c r="R15" s="40" t="str">
        <f t="shared" si="16"/>
        <v/>
      </c>
      <c r="S15" s="41" t="str">
        <f t="shared" si="17"/>
        <v/>
      </c>
      <c r="T15" s="43" t="str">
        <f t="shared" si="18"/>
        <v/>
      </c>
      <c r="U15" s="42" t="str">
        <f t="shared" si="19"/>
        <v/>
      </c>
      <c r="V15" s="40" t="str">
        <f t="shared" si="20"/>
        <v/>
      </c>
      <c r="W15" s="41" t="str">
        <f t="shared" si="21"/>
        <v/>
      </c>
      <c r="X15" s="41" t="str">
        <f t="shared" si="22"/>
        <v/>
      </c>
      <c r="Y15" s="42" t="str">
        <f t="shared" si="23"/>
        <v/>
      </c>
      <c r="Z15" s="40" t="str">
        <f t="shared" si="24"/>
        <v/>
      </c>
      <c r="AA15" s="41" t="str">
        <f t="shared" si="25"/>
        <v/>
      </c>
      <c r="AB15" s="41" t="str">
        <f t="shared" si="26"/>
        <v/>
      </c>
      <c r="AC15" s="42">
        <f t="shared" si="27"/>
        <v>0</v>
      </c>
      <c r="AD15" s="40" t="str">
        <f t="shared" si="28"/>
        <v/>
      </c>
      <c r="AE15" s="41" t="str">
        <f t="shared" si="29"/>
        <v/>
      </c>
      <c r="AF15" s="41" t="str">
        <f t="shared" si="30"/>
        <v/>
      </c>
      <c r="AG15" s="42">
        <f t="shared" si="31"/>
        <v>0</v>
      </c>
      <c r="AH15" s="40" t="str">
        <f t="shared" si="32"/>
        <v/>
      </c>
      <c r="AI15" s="41" t="str">
        <f t="shared" si="33"/>
        <v/>
      </c>
      <c r="AJ15" s="41" t="str">
        <f t="shared" si="34"/>
        <v/>
      </c>
      <c r="AK15" s="42" t="str">
        <f t="shared" si="35"/>
        <v/>
      </c>
      <c r="AL15" s="40">
        <f t="shared" si="36"/>
        <v>0</v>
      </c>
      <c r="AM15" s="41" t="str">
        <f t="shared" si="37"/>
        <v/>
      </c>
      <c r="AN15" s="41" t="str">
        <f t="shared" si="38"/>
        <v/>
      </c>
      <c r="AO15" s="42" t="str">
        <f t="shared" si="39"/>
        <v/>
      </c>
      <c r="AP15" s="40">
        <f t="shared" si="40"/>
        <v>-1.0000000000000001E-5</v>
      </c>
      <c r="AQ15" s="41" t="str">
        <f t="shared" si="41"/>
        <v/>
      </c>
      <c r="AR15" s="41" t="str">
        <f t="shared" si="42"/>
        <v/>
      </c>
      <c r="AS15" s="42">
        <f t="shared" si="43"/>
        <v>0</v>
      </c>
      <c r="AT15" s="40" t="str">
        <f t="shared" si="44"/>
        <v/>
      </c>
      <c r="AU15" s="41" t="str">
        <f t="shared" si="45"/>
        <v/>
      </c>
      <c r="AV15" s="41" t="str">
        <f t="shared" si="46"/>
        <v/>
      </c>
      <c r="AW15" s="42" t="str">
        <f t="shared" si="47"/>
        <v/>
      </c>
      <c r="AX15" s="40">
        <f t="shared" si="48"/>
        <v>0</v>
      </c>
      <c r="AY15" s="41" t="str">
        <f t="shared" si="49"/>
        <v/>
      </c>
      <c r="AZ15" s="41" t="str">
        <f t="shared" si="50"/>
        <v/>
      </c>
      <c r="BA15" s="42" t="str">
        <f t="shared" si="51"/>
        <v/>
      </c>
      <c r="BB15" s="37" t="s">
        <v>106</v>
      </c>
      <c r="BC15" s="21"/>
      <c r="BD15" s="21"/>
      <c r="BG15" t="str">
        <f>IF(NOT(ISERROR(HLOOKUP(Standings!BG$3,Entries!$C7:$K7,1,FALSE))),"x",IF(NOT(ISERROR(HLOOKUP(Standings!BG$3,Entries!$L7:$L7,1,FALSE))),"S",""))</f>
        <v/>
      </c>
      <c r="BH15" t="str">
        <f>IF(NOT(ISERROR(HLOOKUP(Standings!BH$3,Entries!$C7:$K7,1,FALSE))),"x",IF(NOT(ISERROR(HLOOKUP(Standings!BH$3,Entries!$L7:$L7,1,FALSE))),"S",""))</f>
        <v/>
      </c>
      <c r="BI15" t="str">
        <f>IF(NOT(ISERROR(HLOOKUP(Standings!BI$3,Entries!$C7:$K7,1,FALSE))),"x",IF(NOT(ISERROR(HLOOKUP(Standings!BI$3,Entries!$L7:$L7,1,FALSE))),"S",""))</f>
        <v/>
      </c>
      <c r="BJ15" t="str">
        <f>IF(NOT(ISERROR(HLOOKUP(Standings!BJ$3,Entries!$C7:$K7,1,FALSE))),"x",IF(NOT(ISERROR(HLOOKUP(Standings!BJ$3,Entries!$L7:$L7,1,FALSE))),"S",""))</f>
        <v/>
      </c>
      <c r="BK15" t="str">
        <f>IF(NOT(ISERROR(HLOOKUP(Standings!BK$3,Entries!$C7:$K7,1,FALSE))),"x",IF(NOT(ISERROR(HLOOKUP(Standings!BK$3,Entries!$L7:$L7,1,FALSE))),"S",""))</f>
        <v/>
      </c>
      <c r="BL15" t="str">
        <f>IF(NOT(ISERROR(HLOOKUP(Standings!BL$3,Entries!$C7:$K7,1,FALSE))),"x",IF(NOT(ISERROR(HLOOKUP(Standings!BL$3,Entries!$L7:$L7,1,FALSE))),"S",""))</f>
        <v/>
      </c>
      <c r="BM15" t="str">
        <f>IF(NOT(ISERROR(HLOOKUP(Standings!BM$3,Entries!$C7:$K7,1,FALSE))),"x",IF(NOT(ISERROR(HLOOKUP(Standings!BM$3,Entries!$L7:$L7,1,FALSE))),"S",""))</f>
        <v>x</v>
      </c>
      <c r="BN15" t="str">
        <f>IF(NOT(ISERROR(HLOOKUP(Standings!BN$3,Entries!$C7:$K7,1,FALSE))),"x",IF(NOT(ISERROR(HLOOKUP(Standings!BN$3,Entries!$L7:$L7,1,FALSE))),"S",""))</f>
        <v/>
      </c>
      <c r="BO15" t="str">
        <f>IF(NOT(ISERROR(HLOOKUP(Standings!BO$3,Entries!$C7:$K7,1,FALSE))),"x",IF(NOT(ISERROR(HLOOKUP(Standings!BO$3,Entries!$L7:$L7,1,FALSE))),"S",""))</f>
        <v/>
      </c>
      <c r="BP15" t="str">
        <f>IF(NOT(ISERROR(HLOOKUP(Standings!BP$3,Entries!$C7:$K7,1,FALSE))),"x",IF(NOT(ISERROR(HLOOKUP(Standings!BP$3,Entries!$L7:$L7,1,FALSE))),"S",""))</f>
        <v/>
      </c>
      <c r="BQ15" t="str">
        <f>IF(NOT(ISERROR(HLOOKUP(Standings!BQ$3,Entries!$C7:$K7,1,FALSE))),"x",IF(NOT(ISERROR(HLOOKUP(Standings!BQ$3,Entries!$L7:$L7,1,FALSE))),"S",""))</f>
        <v/>
      </c>
      <c r="BR15" t="str">
        <f>IF(NOT(ISERROR(HLOOKUP(Standings!BR$3,Entries!$C7:$K7,1,FALSE))),"x",IF(NOT(ISERROR(HLOOKUP(Standings!BR$3,Entries!$L7:$L7,1,FALSE))),"S",""))</f>
        <v/>
      </c>
      <c r="BS15" t="str">
        <f>IF(NOT(ISERROR(HLOOKUP(Standings!BS$3,Entries!$C7:$K7,1,FALSE))),"x",IF(NOT(ISERROR(HLOOKUP(Standings!BS$3,Entries!$L7:$L7,1,FALSE))),"S",""))</f>
        <v/>
      </c>
      <c r="BT15" t="str">
        <f>IF(NOT(ISERROR(HLOOKUP(Standings!BT$3,Entries!$C7:$K7,1,FALSE))),"x",IF(NOT(ISERROR(HLOOKUP(Standings!BT$3,Entries!$L7:$L7,1,FALSE))),"S",""))</f>
        <v/>
      </c>
      <c r="BU15" t="str">
        <f>IF(NOT(ISERROR(HLOOKUP(Standings!BU$3,Entries!$C7:$K7,1,FALSE))),"x",IF(NOT(ISERROR(HLOOKUP(Standings!BU$3,Entries!$L7:$L7,1,FALSE))),"S",""))</f>
        <v/>
      </c>
      <c r="BV15" t="str">
        <f>IF(NOT(ISERROR(HLOOKUP(Standings!BV$3,Entries!$C7:$K7,1,FALSE))),"x",IF(NOT(ISERROR(HLOOKUP(Standings!BV$3,Entries!$L7:$L7,1,FALSE))),"S",""))</f>
        <v/>
      </c>
      <c r="BW15" t="str">
        <f>IF(NOT(ISERROR(HLOOKUP(Standings!BW$3,Entries!$C7:$K7,1,FALSE))),"x",IF(NOT(ISERROR(HLOOKUP(Standings!BW$3,Entries!$L7:$L7,1,FALSE))),"S",""))</f>
        <v/>
      </c>
      <c r="BX15" t="str">
        <f>IF(NOT(ISERROR(HLOOKUP(Standings!BX$3,Entries!$C7:$K7,1,FALSE))),"x",IF(NOT(ISERROR(HLOOKUP(Standings!BX$3,Entries!$L7:$L7,1,FALSE))),"S",""))</f>
        <v/>
      </c>
      <c r="BY15" t="str">
        <f>IF(NOT(ISERROR(HLOOKUP(Standings!BY$3,Entries!$C7:$K7,1,FALSE))),"x",IF(NOT(ISERROR(HLOOKUP(Standings!BY$3,Entries!$L7:$L7,1,FALSE))),"S",""))</f>
        <v/>
      </c>
      <c r="BZ15" t="str">
        <f>IF(NOT(ISERROR(HLOOKUP(Standings!BZ$3,Entries!$C7:$K7,1,FALSE))),"x",IF(NOT(ISERROR(HLOOKUP(Standings!BZ$3,Entries!$L7:$L7,1,FALSE))),"S",""))</f>
        <v/>
      </c>
      <c r="CA15" t="str">
        <f>IF(NOT(ISERROR(HLOOKUP(Standings!CA$3,Entries!$C7:$K7,1,FALSE))),"x",IF(NOT(ISERROR(HLOOKUP(Standings!CA$3,Entries!$L7:$L7,1,FALSE))),"S",""))</f>
        <v/>
      </c>
      <c r="CB15" t="str">
        <f>IF(NOT(ISERROR(HLOOKUP(Standings!CB$3,Entries!$C7:$K7,1,FALSE))),"x",IF(NOT(ISERROR(HLOOKUP(Standings!CB$3,Entries!$L7:$L7,1,FALSE))),"S",""))</f>
        <v/>
      </c>
      <c r="CC15" t="str">
        <f>IF(NOT(ISERROR(HLOOKUP(Standings!CC$3,Entries!$C7:$K7,1,FALSE))),"x",IF(NOT(ISERROR(HLOOKUP(Standings!CC$3,Entries!$L7:$L7,1,FALSE))),"S",""))</f>
        <v/>
      </c>
      <c r="CD15" t="str">
        <f>IF(NOT(ISERROR(HLOOKUP(Standings!CD$3,Entries!$C7:$K7,1,FALSE))),"x",IF(NOT(ISERROR(HLOOKUP(Standings!CD$3,Entries!$L7:$L7,1,FALSE))),"S",""))</f>
        <v>x</v>
      </c>
      <c r="CE15" t="str">
        <f>IF(NOT(ISERROR(HLOOKUP(Standings!CE$3,Entries!$C7:$K7,1,FALSE))),"x",IF(NOT(ISERROR(HLOOKUP(Standings!CE$3,Entries!$L7:$L7,1,FALSE))),"S",""))</f>
        <v/>
      </c>
      <c r="CF15" t="str">
        <f>IF(NOT(ISERROR(HLOOKUP(Standings!CF$3,Entries!$C7:$K7,1,FALSE))),"x",IF(NOT(ISERROR(HLOOKUP(Standings!CF$3,Entries!$L7:$L7,1,FALSE))),"S",""))</f>
        <v/>
      </c>
      <c r="CG15" t="str">
        <f>IF(NOT(ISERROR(HLOOKUP(Standings!CG$3,Entries!$C7:$K7,1,FALSE))),"x",IF(NOT(ISERROR(HLOOKUP(Standings!CG$3,Entries!$L7:$L7,1,FALSE))),"S",""))</f>
        <v/>
      </c>
      <c r="CH15" t="str">
        <f>IF(NOT(ISERROR(HLOOKUP(Standings!CH$3,Entries!$C7:$K7,1,FALSE))),"x",IF(NOT(ISERROR(HLOOKUP(Standings!CH$3,Entries!$L7:$L7,1,FALSE))),"S",""))</f>
        <v>x</v>
      </c>
      <c r="CI15" t="str">
        <f>IF(NOT(ISERROR(HLOOKUP(Standings!CI$3,Entries!$C7:$K7,1,FALSE))),"x",IF(NOT(ISERROR(HLOOKUP(Standings!CI$3,Entries!$L7:$L7,1,FALSE))),"S",""))</f>
        <v/>
      </c>
      <c r="CJ15" t="str">
        <f>IF(NOT(ISERROR(HLOOKUP(Standings!CJ$3,Entries!$C7:$K7,1,FALSE))),"x",IF(NOT(ISERROR(HLOOKUP(Standings!CJ$3,Entries!$L7:$L7,1,FALSE))),"S",""))</f>
        <v/>
      </c>
      <c r="CK15" t="str">
        <f>IF(NOT(ISERROR(HLOOKUP(Standings!CK$3,Entries!$C7:$K7,1,FALSE))),"x",IF(NOT(ISERROR(HLOOKUP(Standings!CK$3,Entries!$L7:$L7,1,FALSE))),"S",""))</f>
        <v/>
      </c>
      <c r="CL15" t="str">
        <f>IF(NOT(ISERROR(HLOOKUP(Standings!CL$3,Entries!$C7:$K7,1,FALSE))),"x",IF(NOT(ISERROR(HLOOKUP(Standings!CL$3,Entries!$L7:$L7,1,FALSE))),"S",""))</f>
        <v/>
      </c>
      <c r="CM15" t="str">
        <f>IF(NOT(ISERROR(HLOOKUP(Standings!CM$3,Entries!$C7:$K7,1,FALSE))),"x",IF(NOT(ISERROR(HLOOKUP(Standings!CM$3,Entries!$L7:$L7,1,FALSE))),"S",""))</f>
        <v>x</v>
      </c>
      <c r="CN15" t="str">
        <f>IF(NOT(ISERROR(HLOOKUP(Standings!CN$3,Entries!$C7:$K7,1,FALSE))),"x",IF(NOT(ISERROR(HLOOKUP(Standings!CN$3,Entries!$L7:$L7,1,FALSE))),"S",""))</f>
        <v/>
      </c>
      <c r="CO15" t="str">
        <f>IF(NOT(ISERROR(HLOOKUP(Standings!CO$3,Entries!$C7:$K7,1,FALSE))),"x",IF(NOT(ISERROR(HLOOKUP(Standings!CO$3,Entries!$L7:$L7,1,FALSE))),"S",""))</f>
        <v/>
      </c>
      <c r="CP15" t="str">
        <f>IF(NOT(ISERROR(HLOOKUP(Standings!CP$3,Entries!$C7:$K7,1,FALSE))),"x",IF(NOT(ISERROR(HLOOKUP(Standings!CP$3,Entries!$L7:$L7,1,FALSE))),"S",""))</f>
        <v/>
      </c>
      <c r="CQ15" t="str">
        <f>IF(NOT(ISERROR(HLOOKUP(Standings!CQ$3,Entries!$C7:$K7,1,FALSE))),"x",IF(NOT(ISERROR(HLOOKUP(Standings!CQ$3,Entries!$L7:$L7,1,FALSE))),"S",""))</f>
        <v>S</v>
      </c>
      <c r="CR15" t="str">
        <f>IF(NOT(ISERROR(HLOOKUP(Standings!CR$3,Entries!$C7:$K7,1,FALSE))),"x",IF(NOT(ISERROR(HLOOKUP(Standings!CR$3,Entries!$L7:$L7,1,FALSE))),"S",""))</f>
        <v/>
      </c>
      <c r="CS15" t="str">
        <f>IF(NOT(ISERROR(HLOOKUP(Standings!CS$3,Entries!$C7:$K7,1,FALSE))),"x",IF(NOT(ISERROR(HLOOKUP(Standings!CS$3,Entries!$L7:$L7,1,FALSE))),"S",""))</f>
        <v/>
      </c>
      <c r="CT15" t="str">
        <f>IF(NOT(ISERROR(HLOOKUP(Standings!CT$3,Entries!$C7:$K7,1,FALSE))),"x",IF(NOT(ISERROR(HLOOKUP(Standings!CT$3,Entries!$L7:$L7,1,FALSE))),"S",""))</f>
        <v>x</v>
      </c>
      <c r="CU15" t="str">
        <f>IF(NOT(ISERROR(HLOOKUP(Standings!CU$3,Entries!$C7:$K7,1,FALSE))),"x",IF(NOT(ISERROR(HLOOKUP(Standings!CU$3,Entries!$L7:$L7,1,FALSE))),"S",""))</f>
        <v/>
      </c>
      <c r="CV15" t="str">
        <f>IF(NOT(ISERROR(HLOOKUP(Standings!CV$3,Entries!$C7:$K7,1,FALSE))),"x",IF(NOT(ISERROR(HLOOKUP(Standings!CV$3,Entries!$L7:$L7,1,FALSE))),"S",""))</f>
        <v/>
      </c>
      <c r="CW15" t="str">
        <f>IF(NOT(ISERROR(HLOOKUP(Standings!CW$3,Entries!$C7:$K7,1,FALSE))),"x",IF(NOT(ISERROR(HLOOKUP(Standings!CW$3,Entries!$L7:$L7,1,FALSE))),"S",""))</f>
        <v/>
      </c>
      <c r="CX15" t="str">
        <f>IF(NOT(ISERROR(HLOOKUP(Standings!CX$3,Entries!$C7:$K7,1,FALSE))),"x",IF(NOT(ISERROR(HLOOKUP(Standings!CX$3,Entries!$L7:$L7,1,FALSE))),"S",""))</f>
        <v/>
      </c>
      <c r="CY15" t="str">
        <f>IF(NOT(ISERROR(HLOOKUP(Standings!CY$3,Entries!$C7:$K7,1,FALSE))),"x",IF(NOT(ISERROR(HLOOKUP(Standings!CY$3,Entries!$L7:$L7,1,FALSE))),"S",""))</f>
        <v>x</v>
      </c>
      <c r="CZ15" t="str">
        <f>IF(NOT(ISERROR(HLOOKUP(Standings!CZ$3,Entries!$C7:$K7,1,FALSE))),"x",IF(NOT(ISERROR(HLOOKUP(Standings!CZ$3,Entries!$L7:$L7,1,FALSE))),"S",""))</f>
        <v/>
      </c>
      <c r="DA15" t="str">
        <f>IF(NOT(ISERROR(HLOOKUP(Standings!DA$3,Entries!$C7:$K7,1,FALSE))),"x",IF(NOT(ISERROR(HLOOKUP(Standings!DA$3,Entries!$L7:$L7,1,FALSE))),"S",""))</f>
        <v/>
      </c>
      <c r="DB15" t="str">
        <f>IF(NOT(ISERROR(HLOOKUP(Standings!DB$3,Entries!$C7:$K7,1,FALSE))),"x",IF(NOT(ISERROR(HLOOKUP(Standings!DB$3,Entries!$L7:$L7,1,FALSE))),"S",""))</f>
        <v/>
      </c>
    </row>
    <row r="16" spans="1:106" x14ac:dyDescent="0.25">
      <c r="B16">
        <v>71</v>
      </c>
      <c r="C16" t="str">
        <f>Entries!B8</f>
        <v>Manson1ColumbusGotLost</v>
      </c>
      <c r="D16" s="4">
        <f t="shared" si="3"/>
        <v>18</v>
      </c>
      <c r="E16" s="32">
        <f t="shared" si="4"/>
        <v>2</v>
      </c>
      <c r="F16" s="40">
        <f t="shared" si="52"/>
        <v>2</v>
      </c>
      <c r="G16" s="41" t="str">
        <f t="shared" si="5"/>
        <v/>
      </c>
      <c r="H16" s="41" t="str">
        <f t="shared" si="6"/>
        <v/>
      </c>
      <c r="I16" s="42" t="str">
        <f t="shared" si="7"/>
        <v/>
      </c>
      <c r="J16" s="40" t="str">
        <f t="shared" si="8"/>
        <v/>
      </c>
      <c r="K16" s="41">
        <f t="shared" si="9"/>
        <v>0</v>
      </c>
      <c r="L16" s="41" t="str">
        <f t="shared" si="10"/>
        <v/>
      </c>
      <c r="M16" s="42" t="str">
        <f t="shared" si="11"/>
        <v/>
      </c>
      <c r="N16" s="43" t="str">
        <f t="shared" si="12"/>
        <v/>
      </c>
      <c r="O16" s="41" t="str">
        <f t="shared" si="13"/>
        <v/>
      </c>
      <c r="P16" s="41" t="str">
        <f t="shared" si="14"/>
        <v/>
      </c>
      <c r="Q16" s="42" t="str">
        <f t="shared" si="15"/>
        <v/>
      </c>
      <c r="R16" s="40" t="str">
        <f t="shared" si="16"/>
        <v/>
      </c>
      <c r="S16" s="41" t="str">
        <f t="shared" si="17"/>
        <v/>
      </c>
      <c r="T16" s="43" t="str">
        <f t="shared" si="18"/>
        <v/>
      </c>
      <c r="U16" s="42" t="str">
        <f t="shared" si="19"/>
        <v/>
      </c>
      <c r="V16" s="40">
        <f t="shared" si="20"/>
        <v>0</v>
      </c>
      <c r="W16" s="41" t="str">
        <f t="shared" si="21"/>
        <v/>
      </c>
      <c r="X16" s="41" t="str">
        <f t="shared" si="22"/>
        <v/>
      </c>
      <c r="Y16" s="42" t="str">
        <f t="shared" si="23"/>
        <v/>
      </c>
      <c r="Z16" s="40" t="str">
        <f t="shared" si="24"/>
        <v/>
      </c>
      <c r="AA16" s="41" t="str">
        <f t="shared" si="25"/>
        <v/>
      </c>
      <c r="AB16" s="41" t="str">
        <f t="shared" si="26"/>
        <v/>
      </c>
      <c r="AC16" s="42" t="str">
        <f t="shared" si="27"/>
        <v/>
      </c>
      <c r="AD16" s="40" t="str">
        <f t="shared" si="28"/>
        <v/>
      </c>
      <c r="AE16" s="41" t="str">
        <f t="shared" si="29"/>
        <v/>
      </c>
      <c r="AF16" s="41" t="str">
        <f t="shared" si="30"/>
        <v/>
      </c>
      <c r="AG16" s="42" t="str">
        <f t="shared" si="31"/>
        <v/>
      </c>
      <c r="AH16" s="40">
        <f t="shared" si="32"/>
        <v>-1.0000000000000001E-5</v>
      </c>
      <c r="AI16" s="41" t="str">
        <f t="shared" si="33"/>
        <v/>
      </c>
      <c r="AJ16" s="41" t="str">
        <f t="shared" si="34"/>
        <v/>
      </c>
      <c r="AK16" s="42" t="str">
        <f t="shared" si="35"/>
        <v/>
      </c>
      <c r="AL16" s="40">
        <f t="shared" si="36"/>
        <v>0</v>
      </c>
      <c r="AM16" s="41" t="str">
        <f t="shared" si="37"/>
        <v/>
      </c>
      <c r="AN16" s="41" t="str">
        <f t="shared" si="38"/>
        <v/>
      </c>
      <c r="AO16" s="42" t="str">
        <f t="shared" si="39"/>
        <v/>
      </c>
      <c r="AP16" s="40" t="str">
        <f t="shared" si="40"/>
        <v/>
      </c>
      <c r="AQ16" s="41" t="str">
        <f t="shared" si="41"/>
        <v/>
      </c>
      <c r="AR16" s="41" t="str">
        <f t="shared" si="42"/>
        <v/>
      </c>
      <c r="AS16" s="42" t="str">
        <f t="shared" si="43"/>
        <v/>
      </c>
      <c r="AT16" s="40" t="str">
        <f t="shared" si="44"/>
        <v/>
      </c>
      <c r="AU16" s="41" t="str">
        <f t="shared" si="45"/>
        <v/>
      </c>
      <c r="AV16" s="41" t="str">
        <f t="shared" si="46"/>
        <v/>
      </c>
      <c r="AW16" s="42" t="str">
        <f t="shared" si="47"/>
        <v/>
      </c>
      <c r="AX16" s="40" t="str">
        <f t="shared" si="48"/>
        <v/>
      </c>
      <c r="AY16" s="41" t="str">
        <f t="shared" si="49"/>
        <v/>
      </c>
      <c r="AZ16" s="41" t="str">
        <f t="shared" si="50"/>
        <v/>
      </c>
      <c r="BA16" s="42" t="str">
        <f t="shared" si="51"/>
        <v/>
      </c>
      <c r="BB16" s="37" t="s">
        <v>106</v>
      </c>
      <c r="BC16" s="21"/>
      <c r="BD16" s="21"/>
      <c r="BG16" t="str">
        <f>IF(NOT(ISERROR(HLOOKUP(Standings!BG$3,Entries!$C8:$K8,1,FALSE))),"x",IF(NOT(ISERROR(HLOOKUP(Standings!BG$3,Entries!$L8:$L8,1,FALSE))),"S",""))</f>
        <v>x</v>
      </c>
      <c r="BH16" t="str">
        <f>IF(NOT(ISERROR(HLOOKUP(Standings!BH$3,Entries!$C8:$K8,1,FALSE))),"x",IF(NOT(ISERROR(HLOOKUP(Standings!BH$3,Entries!$L8:$L8,1,FALSE))),"S",""))</f>
        <v/>
      </c>
      <c r="BI16" t="str">
        <f>IF(NOT(ISERROR(HLOOKUP(Standings!BI$3,Entries!$C8:$K8,1,FALSE))),"x",IF(NOT(ISERROR(HLOOKUP(Standings!BI$3,Entries!$L8:$L8,1,FALSE))),"S",""))</f>
        <v/>
      </c>
      <c r="BJ16" t="str">
        <f>IF(NOT(ISERROR(HLOOKUP(Standings!BJ$3,Entries!$C8:$K8,1,FALSE))),"x",IF(NOT(ISERROR(HLOOKUP(Standings!BJ$3,Entries!$L8:$L8,1,FALSE))),"S",""))</f>
        <v/>
      </c>
      <c r="BK16" t="str">
        <f>IF(NOT(ISERROR(HLOOKUP(Standings!BK$3,Entries!$C8:$K8,1,FALSE))),"x",IF(NOT(ISERROR(HLOOKUP(Standings!BK$3,Entries!$L8:$L8,1,FALSE))),"S",""))</f>
        <v/>
      </c>
      <c r="BL16" t="str">
        <f>IF(NOT(ISERROR(HLOOKUP(Standings!BL$3,Entries!$C8:$K8,1,FALSE))),"x",IF(NOT(ISERROR(HLOOKUP(Standings!BL$3,Entries!$L8:$L8,1,FALSE))),"S",""))</f>
        <v>x</v>
      </c>
      <c r="BM16" t="str">
        <f>IF(NOT(ISERROR(HLOOKUP(Standings!BM$3,Entries!$C8:$K8,1,FALSE))),"x",IF(NOT(ISERROR(HLOOKUP(Standings!BM$3,Entries!$L8:$L8,1,FALSE))),"S",""))</f>
        <v/>
      </c>
      <c r="BN16" t="str">
        <f>IF(NOT(ISERROR(HLOOKUP(Standings!BN$3,Entries!$C8:$K8,1,FALSE))),"x",IF(NOT(ISERROR(HLOOKUP(Standings!BN$3,Entries!$L8:$L8,1,FALSE))),"S",""))</f>
        <v/>
      </c>
      <c r="BO16" t="str">
        <f>IF(NOT(ISERROR(HLOOKUP(Standings!BO$3,Entries!$C8:$K8,1,FALSE))),"x",IF(NOT(ISERROR(HLOOKUP(Standings!BO$3,Entries!$L8:$L8,1,FALSE))),"S",""))</f>
        <v/>
      </c>
      <c r="BP16" t="str">
        <f>IF(NOT(ISERROR(HLOOKUP(Standings!BP$3,Entries!$C8:$K8,1,FALSE))),"x",IF(NOT(ISERROR(HLOOKUP(Standings!BP$3,Entries!$L8:$L8,1,FALSE))),"S",""))</f>
        <v/>
      </c>
      <c r="BQ16" t="str">
        <f>IF(NOT(ISERROR(HLOOKUP(Standings!BQ$3,Entries!$C8:$K8,1,FALSE))),"x",IF(NOT(ISERROR(HLOOKUP(Standings!BQ$3,Entries!$L8:$L8,1,FALSE))),"S",""))</f>
        <v/>
      </c>
      <c r="BR16" t="str">
        <f>IF(NOT(ISERROR(HLOOKUP(Standings!BR$3,Entries!$C8:$K8,1,FALSE))),"x",IF(NOT(ISERROR(HLOOKUP(Standings!BR$3,Entries!$L8:$L8,1,FALSE))),"S",""))</f>
        <v/>
      </c>
      <c r="BS16" t="str">
        <f>IF(NOT(ISERROR(HLOOKUP(Standings!BS$3,Entries!$C8:$K8,1,FALSE))),"x",IF(NOT(ISERROR(HLOOKUP(Standings!BS$3,Entries!$L8:$L8,1,FALSE))),"S",""))</f>
        <v/>
      </c>
      <c r="BT16" t="str">
        <f>IF(NOT(ISERROR(HLOOKUP(Standings!BT$3,Entries!$C8:$K8,1,FALSE))),"x",IF(NOT(ISERROR(HLOOKUP(Standings!BT$3,Entries!$L8:$L8,1,FALSE))),"S",""))</f>
        <v/>
      </c>
      <c r="BU16" t="str">
        <f>IF(NOT(ISERROR(HLOOKUP(Standings!BU$3,Entries!$C8:$K8,1,FALSE))),"x",IF(NOT(ISERROR(HLOOKUP(Standings!BU$3,Entries!$L8:$L8,1,FALSE))),"S",""))</f>
        <v/>
      </c>
      <c r="BV16" t="str">
        <f>IF(NOT(ISERROR(HLOOKUP(Standings!BV$3,Entries!$C8:$K8,1,FALSE))),"x",IF(NOT(ISERROR(HLOOKUP(Standings!BV$3,Entries!$L8:$L8,1,FALSE))),"S",""))</f>
        <v/>
      </c>
      <c r="BW16" t="str">
        <f>IF(NOT(ISERROR(HLOOKUP(Standings!BW$3,Entries!$C8:$K8,1,FALSE))),"x",IF(NOT(ISERROR(HLOOKUP(Standings!BW$3,Entries!$L8:$L8,1,FALSE))),"S",""))</f>
        <v>x</v>
      </c>
      <c r="BX16" t="str">
        <f>IF(NOT(ISERROR(HLOOKUP(Standings!BX$3,Entries!$C8:$K8,1,FALSE))),"x",IF(NOT(ISERROR(HLOOKUP(Standings!BX$3,Entries!$L8:$L8,1,FALSE))),"S",""))</f>
        <v/>
      </c>
      <c r="BY16" t="str">
        <f>IF(NOT(ISERROR(HLOOKUP(Standings!BY$3,Entries!$C8:$K8,1,FALSE))),"x",IF(NOT(ISERROR(HLOOKUP(Standings!BY$3,Entries!$L8:$L8,1,FALSE))),"S",""))</f>
        <v/>
      </c>
      <c r="BZ16" t="str">
        <f>IF(NOT(ISERROR(HLOOKUP(Standings!BZ$3,Entries!$C8:$K8,1,FALSE))),"x",IF(NOT(ISERROR(HLOOKUP(Standings!BZ$3,Entries!$L8:$L8,1,FALSE))),"S",""))</f>
        <v/>
      </c>
      <c r="CA16" t="str">
        <f>IF(NOT(ISERROR(HLOOKUP(Standings!CA$3,Entries!$C8:$K8,1,FALSE))),"x",IF(NOT(ISERROR(HLOOKUP(Standings!CA$3,Entries!$L8:$L8,1,FALSE))),"S",""))</f>
        <v/>
      </c>
      <c r="CB16" t="str">
        <f>IF(NOT(ISERROR(HLOOKUP(Standings!CB$3,Entries!$C8:$K8,1,FALSE))),"x",IF(NOT(ISERROR(HLOOKUP(Standings!CB$3,Entries!$L8:$L8,1,FALSE))),"S",""))</f>
        <v/>
      </c>
      <c r="CC16" t="str">
        <f>IF(NOT(ISERROR(HLOOKUP(Standings!CC$3,Entries!$C8:$K8,1,FALSE))),"x",IF(NOT(ISERROR(HLOOKUP(Standings!CC$3,Entries!$L8:$L8,1,FALSE))),"S",""))</f>
        <v/>
      </c>
      <c r="CD16" t="str">
        <f>IF(NOT(ISERROR(HLOOKUP(Standings!CD$3,Entries!$C8:$K8,1,FALSE))),"x",IF(NOT(ISERROR(HLOOKUP(Standings!CD$3,Entries!$L8:$L8,1,FALSE))),"S",""))</f>
        <v/>
      </c>
      <c r="CE16" t="str">
        <f>IF(NOT(ISERROR(HLOOKUP(Standings!CE$3,Entries!$C8:$K8,1,FALSE))),"x",IF(NOT(ISERROR(HLOOKUP(Standings!CE$3,Entries!$L8:$L8,1,FALSE))),"S",""))</f>
        <v/>
      </c>
      <c r="CF16" t="str">
        <f>IF(NOT(ISERROR(HLOOKUP(Standings!CF$3,Entries!$C8:$K8,1,FALSE))),"x",IF(NOT(ISERROR(HLOOKUP(Standings!CF$3,Entries!$L8:$L8,1,FALSE))),"S",""))</f>
        <v/>
      </c>
      <c r="CG16" t="str">
        <f>IF(NOT(ISERROR(HLOOKUP(Standings!CG$3,Entries!$C8:$K8,1,FALSE))),"x",IF(NOT(ISERROR(HLOOKUP(Standings!CG$3,Entries!$L8:$L8,1,FALSE))),"S",""))</f>
        <v/>
      </c>
      <c r="CH16" t="str">
        <f>IF(NOT(ISERROR(HLOOKUP(Standings!CH$3,Entries!$C8:$K8,1,FALSE))),"x",IF(NOT(ISERROR(HLOOKUP(Standings!CH$3,Entries!$L8:$L8,1,FALSE))),"S",""))</f>
        <v/>
      </c>
      <c r="CI16" t="str">
        <f>IF(NOT(ISERROR(HLOOKUP(Standings!CI$3,Entries!$C8:$K8,1,FALSE))),"x",IF(NOT(ISERROR(HLOOKUP(Standings!CI$3,Entries!$L8:$L8,1,FALSE))),"S",""))</f>
        <v>S</v>
      </c>
      <c r="CJ16" t="str">
        <f>IF(NOT(ISERROR(HLOOKUP(Standings!CJ$3,Entries!$C8:$K8,1,FALSE))),"x",IF(NOT(ISERROR(HLOOKUP(Standings!CJ$3,Entries!$L8:$L8,1,FALSE))),"S",""))</f>
        <v/>
      </c>
      <c r="CK16" t="str">
        <f>IF(NOT(ISERROR(HLOOKUP(Standings!CK$3,Entries!$C8:$K8,1,FALSE))),"x",IF(NOT(ISERROR(HLOOKUP(Standings!CK$3,Entries!$L8:$L8,1,FALSE))),"S",""))</f>
        <v/>
      </c>
      <c r="CL16" t="str">
        <f>IF(NOT(ISERROR(HLOOKUP(Standings!CL$3,Entries!$C8:$K8,1,FALSE))),"x",IF(NOT(ISERROR(HLOOKUP(Standings!CL$3,Entries!$L8:$L8,1,FALSE))),"S",""))</f>
        <v/>
      </c>
      <c r="CM16" t="str">
        <f>IF(NOT(ISERROR(HLOOKUP(Standings!CM$3,Entries!$C8:$K8,1,FALSE))),"x",IF(NOT(ISERROR(HLOOKUP(Standings!CM$3,Entries!$L8:$L8,1,FALSE))),"S",""))</f>
        <v>x</v>
      </c>
      <c r="CN16" t="str">
        <f>IF(NOT(ISERROR(HLOOKUP(Standings!CN$3,Entries!$C8:$K8,1,FALSE))),"x",IF(NOT(ISERROR(HLOOKUP(Standings!CN$3,Entries!$L8:$L8,1,FALSE))),"S",""))</f>
        <v/>
      </c>
      <c r="CO16" t="str">
        <f>IF(NOT(ISERROR(HLOOKUP(Standings!CO$3,Entries!$C8:$K8,1,FALSE))),"x",IF(NOT(ISERROR(HLOOKUP(Standings!CO$3,Entries!$L8:$L8,1,FALSE))),"S",""))</f>
        <v/>
      </c>
      <c r="CP16" t="str">
        <f>IF(NOT(ISERROR(HLOOKUP(Standings!CP$3,Entries!$C8:$K8,1,FALSE))),"x",IF(NOT(ISERROR(HLOOKUP(Standings!CP$3,Entries!$L8:$L8,1,FALSE))),"S",""))</f>
        <v/>
      </c>
      <c r="CQ16" t="str">
        <f>IF(NOT(ISERROR(HLOOKUP(Standings!CQ$3,Entries!$C8:$K8,1,FALSE))),"x",IF(NOT(ISERROR(HLOOKUP(Standings!CQ$3,Entries!$L8:$L8,1,FALSE))),"S",""))</f>
        <v/>
      </c>
      <c r="CR16" t="str">
        <f>IF(NOT(ISERROR(HLOOKUP(Standings!CR$3,Entries!$C8:$K8,1,FALSE))),"x",IF(NOT(ISERROR(HLOOKUP(Standings!CR$3,Entries!$L8:$L8,1,FALSE))),"S",""))</f>
        <v/>
      </c>
      <c r="CS16" t="str">
        <f>IF(NOT(ISERROR(HLOOKUP(Standings!CS$3,Entries!$C8:$K8,1,FALSE))),"x",IF(NOT(ISERROR(HLOOKUP(Standings!CS$3,Entries!$L8:$L8,1,FALSE))),"S",""))</f>
        <v/>
      </c>
      <c r="CT16" t="str">
        <f>IF(NOT(ISERROR(HLOOKUP(Standings!CT$3,Entries!$C8:$K8,1,FALSE))),"x",IF(NOT(ISERROR(HLOOKUP(Standings!CT$3,Entries!$L8:$L8,1,FALSE))),"S",""))</f>
        <v/>
      </c>
      <c r="CU16" t="str">
        <f>IF(NOT(ISERROR(HLOOKUP(Standings!CU$3,Entries!$C8:$K8,1,FALSE))),"x",IF(NOT(ISERROR(HLOOKUP(Standings!CU$3,Entries!$L8:$L8,1,FALSE))),"S",""))</f>
        <v/>
      </c>
      <c r="CV16" t="str">
        <f>IF(NOT(ISERROR(HLOOKUP(Standings!CV$3,Entries!$C8:$K8,1,FALSE))),"x",IF(NOT(ISERROR(HLOOKUP(Standings!CV$3,Entries!$L8:$L8,1,FALSE))),"S",""))</f>
        <v/>
      </c>
      <c r="CW16" t="str">
        <f>IF(NOT(ISERROR(HLOOKUP(Standings!CW$3,Entries!$C8:$K8,1,FALSE))),"x",IF(NOT(ISERROR(HLOOKUP(Standings!CW$3,Entries!$L8:$L8,1,FALSE))),"S",""))</f>
        <v/>
      </c>
      <c r="CX16" t="str">
        <f>IF(NOT(ISERROR(HLOOKUP(Standings!CX$3,Entries!$C8:$K8,1,FALSE))),"x",IF(NOT(ISERROR(HLOOKUP(Standings!CX$3,Entries!$L8:$L8,1,FALSE))),"S",""))</f>
        <v/>
      </c>
      <c r="CY16" t="str">
        <f>IF(NOT(ISERROR(HLOOKUP(Standings!CY$3,Entries!$C8:$K8,1,FALSE))),"x",IF(NOT(ISERROR(HLOOKUP(Standings!CY$3,Entries!$L8:$L8,1,FALSE))),"S",""))</f>
        <v/>
      </c>
      <c r="CZ16" t="str">
        <f>IF(NOT(ISERROR(HLOOKUP(Standings!CZ$3,Entries!$C8:$K8,1,FALSE))),"x",IF(NOT(ISERROR(HLOOKUP(Standings!CZ$3,Entries!$L8:$L8,1,FALSE))),"S",""))</f>
        <v/>
      </c>
      <c r="DA16" t="str">
        <f>IF(NOT(ISERROR(HLOOKUP(Standings!DA$3,Entries!$C8:$K8,1,FALSE))),"x",IF(NOT(ISERROR(HLOOKUP(Standings!DA$3,Entries!$L8:$L8,1,FALSE))),"S",""))</f>
        <v/>
      </c>
      <c r="DB16" t="str">
        <f>IF(NOT(ISERROR(HLOOKUP(Standings!DB$3,Entries!$C8:$K8,1,FALSE))),"x",IF(NOT(ISERROR(HLOOKUP(Standings!DB$3,Entries!$L8:$L8,1,FALSE))),"S",""))</f>
        <v/>
      </c>
    </row>
    <row r="17" spans="1:106" x14ac:dyDescent="0.25">
      <c r="A17" s="18"/>
      <c r="B17">
        <v>28</v>
      </c>
      <c r="C17" t="str">
        <f>Entries!B9</f>
        <v>Manson2SudAmericaDrama</v>
      </c>
      <c r="D17" s="4">
        <f t="shared" si="3"/>
        <v>55</v>
      </c>
      <c r="E17" s="31">
        <f t="shared" si="4"/>
        <v>0</v>
      </c>
      <c r="F17" s="40" t="str">
        <f t="shared" si="52"/>
        <v/>
      </c>
      <c r="G17" s="41" t="str">
        <f t="shared" si="5"/>
        <v/>
      </c>
      <c r="H17" s="41" t="str">
        <f t="shared" si="6"/>
        <v/>
      </c>
      <c r="I17" s="42" t="str">
        <f t="shared" si="7"/>
        <v/>
      </c>
      <c r="J17" s="40" t="str">
        <f t="shared" si="8"/>
        <v/>
      </c>
      <c r="K17" s="41" t="str">
        <f t="shared" si="9"/>
        <v/>
      </c>
      <c r="L17" s="41" t="str">
        <f t="shared" si="10"/>
        <v/>
      </c>
      <c r="M17" s="42" t="str">
        <f t="shared" si="11"/>
        <v/>
      </c>
      <c r="N17" s="43">
        <f t="shared" si="12"/>
        <v>-1.0000000000000001E-5</v>
      </c>
      <c r="O17" s="41">
        <f t="shared" si="13"/>
        <v>0</v>
      </c>
      <c r="P17" s="41">
        <f t="shared" si="14"/>
        <v>0</v>
      </c>
      <c r="Q17" s="42" t="str">
        <f t="shared" si="15"/>
        <v/>
      </c>
      <c r="R17" s="40" t="str">
        <f t="shared" si="16"/>
        <v/>
      </c>
      <c r="S17" s="41" t="str">
        <f t="shared" si="17"/>
        <v/>
      </c>
      <c r="T17" s="43" t="str">
        <f t="shared" si="18"/>
        <v/>
      </c>
      <c r="U17" s="42" t="str">
        <f t="shared" si="19"/>
        <v/>
      </c>
      <c r="V17" s="40" t="str">
        <f t="shared" si="20"/>
        <v/>
      </c>
      <c r="W17" s="41" t="str">
        <f t="shared" si="21"/>
        <v/>
      </c>
      <c r="X17" s="41" t="str">
        <f t="shared" si="22"/>
        <v/>
      </c>
      <c r="Y17" s="42" t="str">
        <f t="shared" si="23"/>
        <v/>
      </c>
      <c r="Z17" s="40" t="str">
        <f t="shared" si="24"/>
        <v/>
      </c>
      <c r="AA17" s="41">
        <f t="shared" si="25"/>
        <v>0</v>
      </c>
      <c r="AB17" s="41" t="str">
        <f t="shared" si="26"/>
        <v/>
      </c>
      <c r="AC17" s="42" t="str">
        <f t="shared" si="27"/>
        <v/>
      </c>
      <c r="AD17" s="40" t="str">
        <f t="shared" si="28"/>
        <v/>
      </c>
      <c r="AE17" s="41" t="str">
        <f t="shared" si="29"/>
        <v/>
      </c>
      <c r="AF17" s="41" t="str">
        <f t="shared" si="30"/>
        <v/>
      </c>
      <c r="AG17" s="42" t="str">
        <f t="shared" si="31"/>
        <v/>
      </c>
      <c r="AH17" s="40" t="str">
        <f t="shared" si="32"/>
        <v/>
      </c>
      <c r="AI17" s="41" t="str">
        <f t="shared" si="33"/>
        <v/>
      </c>
      <c r="AJ17" s="41" t="str">
        <f t="shared" si="34"/>
        <v/>
      </c>
      <c r="AK17" s="42" t="str">
        <f t="shared" si="35"/>
        <v/>
      </c>
      <c r="AL17" s="40" t="str">
        <f t="shared" si="36"/>
        <v/>
      </c>
      <c r="AM17" s="41" t="str">
        <f t="shared" si="37"/>
        <v/>
      </c>
      <c r="AN17" s="41" t="str">
        <f t="shared" si="38"/>
        <v/>
      </c>
      <c r="AO17" s="42" t="str">
        <f t="shared" si="39"/>
        <v/>
      </c>
      <c r="AP17" s="40">
        <f t="shared" si="40"/>
        <v>0</v>
      </c>
      <c r="AQ17" s="41" t="str">
        <f t="shared" si="41"/>
        <v/>
      </c>
      <c r="AR17" s="41" t="str">
        <f t="shared" si="42"/>
        <v/>
      </c>
      <c r="AS17" s="42" t="str">
        <f t="shared" si="43"/>
        <v/>
      </c>
      <c r="AT17" s="40">
        <f t="shared" si="44"/>
        <v>0</v>
      </c>
      <c r="AU17" s="41" t="str">
        <f t="shared" si="45"/>
        <v/>
      </c>
      <c r="AV17" s="41" t="str">
        <f t="shared" si="46"/>
        <v/>
      </c>
      <c r="AW17" s="42" t="str">
        <f t="shared" si="47"/>
        <v/>
      </c>
      <c r="AX17" s="40" t="str">
        <f t="shared" si="48"/>
        <v/>
      </c>
      <c r="AY17" s="41" t="str">
        <f t="shared" si="49"/>
        <v/>
      </c>
      <c r="AZ17" s="41" t="str">
        <f t="shared" si="50"/>
        <v/>
      </c>
      <c r="BA17" s="42">
        <f t="shared" si="51"/>
        <v>0</v>
      </c>
      <c r="BB17" s="37" t="s">
        <v>106</v>
      </c>
      <c r="BC17" s="21"/>
      <c r="BD17" s="21"/>
      <c r="BG17" t="str">
        <f>IF(NOT(ISERROR(HLOOKUP(Standings!BG$3,Entries!$C9:$K9,1,FALSE))),"x",IF(NOT(ISERROR(HLOOKUP(Standings!BG$3,Entries!$L9:$L9,1,FALSE))),"S",""))</f>
        <v/>
      </c>
      <c r="BH17" t="str">
        <f>IF(NOT(ISERROR(HLOOKUP(Standings!BH$3,Entries!$C9:$K9,1,FALSE))),"x",IF(NOT(ISERROR(HLOOKUP(Standings!BH$3,Entries!$L9:$L9,1,FALSE))),"S",""))</f>
        <v/>
      </c>
      <c r="BI17" t="str">
        <f>IF(NOT(ISERROR(HLOOKUP(Standings!BI$3,Entries!$C9:$K9,1,FALSE))),"x",IF(NOT(ISERROR(HLOOKUP(Standings!BI$3,Entries!$L9:$L9,1,FALSE))),"S",""))</f>
        <v/>
      </c>
      <c r="BJ17" t="str">
        <f>IF(NOT(ISERROR(HLOOKUP(Standings!BJ$3,Entries!$C9:$K9,1,FALSE))),"x",IF(NOT(ISERROR(HLOOKUP(Standings!BJ$3,Entries!$L9:$L9,1,FALSE))),"S",""))</f>
        <v/>
      </c>
      <c r="BK17" t="str">
        <f>IF(NOT(ISERROR(HLOOKUP(Standings!BK$3,Entries!$C9:$K9,1,FALSE))),"x",IF(NOT(ISERROR(HLOOKUP(Standings!BK$3,Entries!$L9:$L9,1,FALSE))),"S",""))</f>
        <v/>
      </c>
      <c r="BL17" t="str">
        <f>IF(NOT(ISERROR(HLOOKUP(Standings!BL$3,Entries!$C9:$K9,1,FALSE))),"x",IF(NOT(ISERROR(HLOOKUP(Standings!BL$3,Entries!$L9:$L9,1,FALSE))),"S",""))</f>
        <v/>
      </c>
      <c r="BM17" t="str">
        <f>IF(NOT(ISERROR(HLOOKUP(Standings!BM$3,Entries!$C9:$K9,1,FALSE))),"x",IF(NOT(ISERROR(HLOOKUP(Standings!BM$3,Entries!$L9:$L9,1,FALSE))),"S",""))</f>
        <v/>
      </c>
      <c r="BN17" t="str">
        <f>IF(NOT(ISERROR(HLOOKUP(Standings!BN$3,Entries!$C9:$K9,1,FALSE))),"x",IF(NOT(ISERROR(HLOOKUP(Standings!BN$3,Entries!$L9:$L9,1,FALSE))),"S",""))</f>
        <v/>
      </c>
      <c r="BO17" t="str">
        <f>IF(NOT(ISERROR(HLOOKUP(Standings!BO$3,Entries!$C9:$K9,1,FALSE))),"x",IF(NOT(ISERROR(HLOOKUP(Standings!BO$3,Entries!$L9:$L9,1,FALSE))),"S",""))</f>
        <v>S</v>
      </c>
      <c r="BP17" t="str">
        <f>IF(NOT(ISERROR(HLOOKUP(Standings!BP$3,Entries!$C9:$K9,1,FALSE))),"x",IF(NOT(ISERROR(HLOOKUP(Standings!BP$3,Entries!$L9:$L9,1,FALSE))),"S",""))</f>
        <v>x</v>
      </c>
      <c r="BQ17" t="str">
        <f>IF(NOT(ISERROR(HLOOKUP(Standings!BQ$3,Entries!$C9:$K9,1,FALSE))),"x",IF(NOT(ISERROR(HLOOKUP(Standings!BQ$3,Entries!$L9:$L9,1,FALSE))),"S",""))</f>
        <v>x</v>
      </c>
      <c r="BR17" t="str">
        <f>IF(NOT(ISERROR(HLOOKUP(Standings!BR$3,Entries!$C9:$K9,1,FALSE))),"x",IF(NOT(ISERROR(HLOOKUP(Standings!BR$3,Entries!$L9:$L9,1,FALSE))),"S",""))</f>
        <v/>
      </c>
      <c r="BS17" t="str">
        <f>IF(NOT(ISERROR(HLOOKUP(Standings!BS$3,Entries!$C9:$K9,1,FALSE))),"x",IF(NOT(ISERROR(HLOOKUP(Standings!BS$3,Entries!$L9:$L9,1,FALSE))),"S",""))</f>
        <v/>
      </c>
      <c r="BT17" t="str">
        <f>IF(NOT(ISERROR(HLOOKUP(Standings!BT$3,Entries!$C9:$K9,1,FALSE))),"x",IF(NOT(ISERROR(HLOOKUP(Standings!BT$3,Entries!$L9:$L9,1,FALSE))),"S",""))</f>
        <v/>
      </c>
      <c r="BU17" t="str">
        <f>IF(NOT(ISERROR(HLOOKUP(Standings!BU$3,Entries!$C9:$K9,1,FALSE))),"x",IF(NOT(ISERROR(HLOOKUP(Standings!BU$3,Entries!$L9:$L9,1,FALSE))),"S",""))</f>
        <v/>
      </c>
      <c r="BV17" t="str">
        <f>IF(NOT(ISERROR(HLOOKUP(Standings!BV$3,Entries!$C9:$K9,1,FALSE))),"x",IF(NOT(ISERROR(HLOOKUP(Standings!BV$3,Entries!$L9:$L9,1,FALSE))),"S",""))</f>
        <v/>
      </c>
      <c r="BW17" t="str">
        <f>IF(NOT(ISERROR(HLOOKUP(Standings!BW$3,Entries!$C9:$K9,1,FALSE))),"x",IF(NOT(ISERROR(HLOOKUP(Standings!BW$3,Entries!$L9:$L9,1,FALSE))),"S",""))</f>
        <v/>
      </c>
      <c r="BX17" t="str">
        <f>IF(NOT(ISERROR(HLOOKUP(Standings!BX$3,Entries!$C9:$K9,1,FALSE))),"x",IF(NOT(ISERROR(HLOOKUP(Standings!BX$3,Entries!$L9:$L9,1,FALSE))),"S",""))</f>
        <v/>
      </c>
      <c r="BY17" t="str">
        <f>IF(NOT(ISERROR(HLOOKUP(Standings!BY$3,Entries!$C9:$K9,1,FALSE))),"x",IF(NOT(ISERROR(HLOOKUP(Standings!BY$3,Entries!$L9:$L9,1,FALSE))),"S",""))</f>
        <v/>
      </c>
      <c r="BZ17" t="str">
        <f>IF(NOT(ISERROR(HLOOKUP(Standings!BZ$3,Entries!$C9:$K9,1,FALSE))),"x",IF(NOT(ISERROR(HLOOKUP(Standings!BZ$3,Entries!$L9:$L9,1,FALSE))),"S",""))</f>
        <v/>
      </c>
      <c r="CA17" t="str">
        <f>IF(NOT(ISERROR(HLOOKUP(Standings!CA$3,Entries!$C9:$K9,1,FALSE))),"x",IF(NOT(ISERROR(HLOOKUP(Standings!CA$3,Entries!$L9:$L9,1,FALSE))),"S",""))</f>
        <v/>
      </c>
      <c r="CB17" t="str">
        <f>IF(NOT(ISERROR(HLOOKUP(Standings!CB$3,Entries!$C9:$K9,1,FALSE))),"x",IF(NOT(ISERROR(HLOOKUP(Standings!CB$3,Entries!$L9:$L9,1,FALSE))),"S",""))</f>
        <v>x</v>
      </c>
      <c r="CC17" t="str">
        <f>IF(NOT(ISERROR(HLOOKUP(Standings!CC$3,Entries!$C9:$K9,1,FALSE))),"x",IF(NOT(ISERROR(HLOOKUP(Standings!CC$3,Entries!$L9:$L9,1,FALSE))),"S",""))</f>
        <v/>
      </c>
      <c r="CD17" t="str">
        <f>IF(NOT(ISERROR(HLOOKUP(Standings!CD$3,Entries!$C9:$K9,1,FALSE))),"x",IF(NOT(ISERROR(HLOOKUP(Standings!CD$3,Entries!$L9:$L9,1,FALSE))),"S",""))</f>
        <v/>
      </c>
      <c r="CE17" t="str">
        <f>IF(NOT(ISERROR(HLOOKUP(Standings!CE$3,Entries!$C9:$K9,1,FALSE))),"x",IF(NOT(ISERROR(HLOOKUP(Standings!CE$3,Entries!$L9:$L9,1,FALSE))),"S",""))</f>
        <v/>
      </c>
      <c r="CF17" t="str">
        <f>IF(NOT(ISERROR(HLOOKUP(Standings!CF$3,Entries!$C9:$K9,1,FALSE))),"x",IF(NOT(ISERROR(HLOOKUP(Standings!CF$3,Entries!$L9:$L9,1,FALSE))),"S",""))</f>
        <v/>
      </c>
      <c r="CG17" t="str">
        <f>IF(NOT(ISERROR(HLOOKUP(Standings!CG$3,Entries!$C9:$K9,1,FALSE))),"x",IF(NOT(ISERROR(HLOOKUP(Standings!CG$3,Entries!$L9:$L9,1,FALSE))),"S",""))</f>
        <v/>
      </c>
      <c r="CH17" t="str">
        <f>IF(NOT(ISERROR(HLOOKUP(Standings!CH$3,Entries!$C9:$K9,1,FALSE))),"x",IF(NOT(ISERROR(HLOOKUP(Standings!CH$3,Entries!$L9:$L9,1,FALSE))),"S",""))</f>
        <v/>
      </c>
      <c r="CI17" t="str">
        <f>IF(NOT(ISERROR(HLOOKUP(Standings!CI$3,Entries!$C9:$K9,1,FALSE))),"x",IF(NOT(ISERROR(HLOOKUP(Standings!CI$3,Entries!$L9:$L9,1,FALSE))),"S",""))</f>
        <v/>
      </c>
      <c r="CJ17" t="str">
        <f>IF(NOT(ISERROR(HLOOKUP(Standings!CJ$3,Entries!$C9:$K9,1,FALSE))),"x",IF(NOT(ISERROR(HLOOKUP(Standings!CJ$3,Entries!$L9:$L9,1,FALSE))),"S",""))</f>
        <v/>
      </c>
      <c r="CK17" t="str">
        <f>IF(NOT(ISERROR(HLOOKUP(Standings!CK$3,Entries!$C9:$K9,1,FALSE))),"x",IF(NOT(ISERROR(HLOOKUP(Standings!CK$3,Entries!$L9:$L9,1,FALSE))),"S",""))</f>
        <v/>
      </c>
      <c r="CL17" t="str">
        <f>IF(NOT(ISERROR(HLOOKUP(Standings!CL$3,Entries!$C9:$K9,1,FALSE))),"x",IF(NOT(ISERROR(HLOOKUP(Standings!CL$3,Entries!$L9:$L9,1,FALSE))),"S",""))</f>
        <v/>
      </c>
      <c r="CM17" t="str">
        <f>IF(NOT(ISERROR(HLOOKUP(Standings!CM$3,Entries!$C9:$K9,1,FALSE))),"x",IF(NOT(ISERROR(HLOOKUP(Standings!CM$3,Entries!$L9:$L9,1,FALSE))),"S",""))</f>
        <v/>
      </c>
      <c r="CN17" t="str">
        <f>IF(NOT(ISERROR(HLOOKUP(Standings!CN$3,Entries!$C9:$K9,1,FALSE))),"x",IF(NOT(ISERROR(HLOOKUP(Standings!CN$3,Entries!$L9:$L9,1,FALSE))),"S",""))</f>
        <v/>
      </c>
      <c r="CO17" t="str">
        <f>IF(NOT(ISERROR(HLOOKUP(Standings!CO$3,Entries!$C9:$K9,1,FALSE))),"x",IF(NOT(ISERROR(HLOOKUP(Standings!CO$3,Entries!$L9:$L9,1,FALSE))),"S",""))</f>
        <v/>
      </c>
      <c r="CP17" t="str">
        <f>IF(NOT(ISERROR(HLOOKUP(Standings!CP$3,Entries!$C9:$K9,1,FALSE))),"x",IF(NOT(ISERROR(HLOOKUP(Standings!CP$3,Entries!$L9:$L9,1,FALSE))),"S",""))</f>
        <v/>
      </c>
      <c r="CQ17" t="str">
        <f>IF(NOT(ISERROR(HLOOKUP(Standings!CQ$3,Entries!$C9:$K9,1,FALSE))),"x",IF(NOT(ISERROR(HLOOKUP(Standings!CQ$3,Entries!$L9:$L9,1,FALSE))),"S",""))</f>
        <v>x</v>
      </c>
      <c r="CR17" t="str">
        <f>IF(NOT(ISERROR(HLOOKUP(Standings!CR$3,Entries!$C9:$K9,1,FALSE))),"x",IF(NOT(ISERROR(HLOOKUP(Standings!CR$3,Entries!$L9:$L9,1,FALSE))),"S",""))</f>
        <v/>
      </c>
      <c r="CS17" t="str">
        <f>IF(NOT(ISERROR(HLOOKUP(Standings!CS$3,Entries!$C9:$K9,1,FALSE))),"x",IF(NOT(ISERROR(HLOOKUP(Standings!CS$3,Entries!$L9:$L9,1,FALSE))),"S",""))</f>
        <v/>
      </c>
      <c r="CT17" t="str">
        <f>IF(NOT(ISERROR(HLOOKUP(Standings!CT$3,Entries!$C9:$K9,1,FALSE))),"x",IF(NOT(ISERROR(HLOOKUP(Standings!CT$3,Entries!$L9:$L9,1,FALSE))),"S",""))</f>
        <v/>
      </c>
      <c r="CU17" t="str">
        <f>IF(NOT(ISERROR(HLOOKUP(Standings!CU$3,Entries!$C9:$K9,1,FALSE))),"x",IF(NOT(ISERROR(HLOOKUP(Standings!CU$3,Entries!$L9:$L9,1,FALSE))),"S",""))</f>
        <v>x</v>
      </c>
      <c r="CV17" t="str">
        <f>IF(NOT(ISERROR(HLOOKUP(Standings!CV$3,Entries!$C9:$K9,1,FALSE))),"x",IF(NOT(ISERROR(HLOOKUP(Standings!CV$3,Entries!$L9:$L9,1,FALSE))),"S",""))</f>
        <v/>
      </c>
      <c r="CW17" t="str">
        <f>IF(NOT(ISERROR(HLOOKUP(Standings!CW$3,Entries!$C9:$K9,1,FALSE))),"x",IF(NOT(ISERROR(HLOOKUP(Standings!CW$3,Entries!$L9:$L9,1,FALSE))),"S",""))</f>
        <v/>
      </c>
      <c r="CX17" t="str">
        <f>IF(NOT(ISERROR(HLOOKUP(Standings!CX$3,Entries!$C9:$K9,1,FALSE))),"x",IF(NOT(ISERROR(HLOOKUP(Standings!CX$3,Entries!$L9:$L9,1,FALSE))),"S",""))</f>
        <v/>
      </c>
      <c r="CY17" t="str">
        <f>IF(NOT(ISERROR(HLOOKUP(Standings!CY$3,Entries!$C9:$K9,1,FALSE))),"x",IF(NOT(ISERROR(HLOOKUP(Standings!CY$3,Entries!$L9:$L9,1,FALSE))),"S",""))</f>
        <v/>
      </c>
      <c r="CZ17" t="str">
        <f>IF(NOT(ISERROR(HLOOKUP(Standings!CZ$3,Entries!$C9:$K9,1,FALSE))),"x",IF(NOT(ISERROR(HLOOKUP(Standings!CZ$3,Entries!$L9:$L9,1,FALSE))),"S",""))</f>
        <v/>
      </c>
      <c r="DA17" t="str">
        <f>IF(NOT(ISERROR(HLOOKUP(Standings!DA$3,Entries!$C9:$K9,1,FALSE))),"x",IF(NOT(ISERROR(HLOOKUP(Standings!DA$3,Entries!$L9:$L9,1,FALSE))),"S",""))</f>
        <v/>
      </c>
      <c r="DB17" t="str">
        <f>IF(NOT(ISERROR(HLOOKUP(Standings!DB$3,Entries!$C9:$K9,1,FALSE))),"x",IF(NOT(ISERROR(HLOOKUP(Standings!DB$3,Entries!$L9:$L9,1,FALSE))),"S",""))</f>
        <v>x</v>
      </c>
    </row>
    <row r="18" spans="1:106" x14ac:dyDescent="0.25">
      <c r="A18" s="18"/>
      <c r="B18">
        <v>10</v>
      </c>
      <c r="C18" t="str">
        <f>Entries!B10</f>
        <v>Manson3HeartofHearts</v>
      </c>
      <c r="D18" s="4">
        <f t="shared" si="3"/>
        <v>18</v>
      </c>
      <c r="E18" s="31">
        <f t="shared" si="4"/>
        <v>2</v>
      </c>
      <c r="F18" s="40" t="str">
        <f t="shared" si="52"/>
        <v/>
      </c>
      <c r="G18" s="41" t="str">
        <f t="shared" si="5"/>
        <v/>
      </c>
      <c r="H18" s="41" t="str">
        <f t="shared" si="6"/>
        <v/>
      </c>
      <c r="I18" s="42">
        <f t="shared" si="7"/>
        <v>0</v>
      </c>
      <c r="J18" s="40" t="str">
        <f t="shared" si="8"/>
        <v/>
      </c>
      <c r="K18" s="41" t="str">
        <f t="shared" si="9"/>
        <v/>
      </c>
      <c r="L18" s="41" t="str">
        <f t="shared" si="10"/>
        <v/>
      </c>
      <c r="M18" s="42" t="str">
        <f t="shared" si="11"/>
        <v/>
      </c>
      <c r="N18" s="43" t="str">
        <f t="shared" si="12"/>
        <v/>
      </c>
      <c r="O18" s="41" t="str">
        <f t="shared" si="13"/>
        <v/>
      </c>
      <c r="P18" s="41" t="str">
        <f t="shared" si="14"/>
        <v/>
      </c>
      <c r="Q18" s="42" t="str">
        <f t="shared" si="15"/>
        <v/>
      </c>
      <c r="R18" s="40">
        <f t="shared" si="16"/>
        <v>2</v>
      </c>
      <c r="S18" s="41" t="str">
        <f t="shared" si="17"/>
        <v/>
      </c>
      <c r="T18" s="43" t="str">
        <f t="shared" si="18"/>
        <v/>
      </c>
      <c r="U18" s="42" t="str">
        <f t="shared" si="19"/>
        <v/>
      </c>
      <c r="V18" s="40" t="str">
        <f t="shared" si="20"/>
        <v/>
      </c>
      <c r="W18" s="41" t="str">
        <f t="shared" si="21"/>
        <v/>
      </c>
      <c r="X18" s="41" t="str">
        <f t="shared" si="22"/>
        <v/>
      </c>
      <c r="Y18" s="42" t="str">
        <f t="shared" si="23"/>
        <v/>
      </c>
      <c r="Z18" s="40" t="str">
        <f t="shared" si="24"/>
        <v/>
      </c>
      <c r="AA18" s="41">
        <f t="shared" si="25"/>
        <v>0</v>
      </c>
      <c r="AB18" s="41" t="str">
        <f t="shared" si="26"/>
        <v/>
      </c>
      <c r="AC18" s="42" t="str">
        <f t="shared" si="27"/>
        <v/>
      </c>
      <c r="AD18" s="40" t="str">
        <f t="shared" si="28"/>
        <v/>
      </c>
      <c r="AE18" s="41" t="str">
        <f t="shared" si="29"/>
        <v/>
      </c>
      <c r="AF18" s="41" t="str">
        <f t="shared" si="30"/>
        <v/>
      </c>
      <c r="AG18" s="42" t="str">
        <f t="shared" si="31"/>
        <v/>
      </c>
      <c r="AH18" s="40" t="str">
        <f t="shared" si="32"/>
        <v/>
      </c>
      <c r="AI18" s="41" t="str">
        <f t="shared" si="33"/>
        <v/>
      </c>
      <c r="AJ18" s="41" t="str">
        <f t="shared" si="34"/>
        <v/>
      </c>
      <c r="AK18" s="42" t="str">
        <f t="shared" si="35"/>
        <v/>
      </c>
      <c r="AL18" s="40">
        <f t="shared" si="36"/>
        <v>0</v>
      </c>
      <c r="AM18" s="41">
        <f t="shared" si="37"/>
        <v>0</v>
      </c>
      <c r="AN18" s="41" t="str">
        <f t="shared" si="38"/>
        <v/>
      </c>
      <c r="AO18" s="42" t="str">
        <f t="shared" si="39"/>
        <v/>
      </c>
      <c r="AP18" s="40" t="str">
        <f t="shared" si="40"/>
        <v/>
      </c>
      <c r="AQ18" s="41" t="str">
        <f t="shared" si="41"/>
        <v/>
      </c>
      <c r="AR18" s="41" t="str">
        <f t="shared" si="42"/>
        <v/>
      </c>
      <c r="AS18" s="42" t="str">
        <f t="shared" si="43"/>
        <v/>
      </c>
      <c r="AT18" s="40" t="str">
        <f t="shared" si="44"/>
        <v/>
      </c>
      <c r="AU18" s="41" t="str">
        <f t="shared" si="45"/>
        <v/>
      </c>
      <c r="AV18" s="41" t="str">
        <f t="shared" si="46"/>
        <v/>
      </c>
      <c r="AW18" s="42" t="str">
        <f t="shared" si="47"/>
        <v/>
      </c>
      <c r="AX18" s="40">
        <f t="shared" si="48"/>
        <v>-1.0000000000000001E-5</v>
      </c>
      <c r="AY18" s="41">
        <f t="shared" si="49"/>
        <v>0</v>
      </c>
      <c r="AZ18" s="41">
        <f t="shared" si="50"/>
        <v>0</v>
      </c>
      <c r="BA18" s="42" t="str">
        <f t="shared" si="51"/>
        <v/>
      </c>
      <c r="BB18" s="37" t="s">
        <v>106</v>
      </c>
      <c r="BC18" s="21"/>
      <c r="BD18" s="21"/>
      <c r="BE18" s="5"/>
      <c r="BG18" t="str">
        <f>IF(NOT(ISERROR(HLOOKUP(Standings!BG$3,Entries!$C10:$K10,1,FALSE))),"x",IF(NOT(ISERROR(HLOOKUP(Standings!BG$3,Entries!$L10:$L10,1,FALSE))),"S",""))</f>
        <v/>
      </c>
      <c r="BH18" t="str">
        <f>IF(NOT(ISERROR(HLOOKUP(Standings!BH$3,Entries!$C10:$K10,1,FALSE))),"x",IF(NOT(ISERROR(HLOOKUP(Standings!BH$3,Entries!$L10:$L10,1,FALSE))),"S",""))</f>
        <v/>
      </c>
      <c r="BI18" t="str">
        <f>IF(NOT(ISERROR(HLOOKUP(Standings!BI$3,Entries!$C10:$K10,1,FALSE))),"x",IF(NOT(ISERROR(HLOOKUP(Standings!BI$3,Entries!$L10:$L10,1,FALSE))),"S",""))</f>
        <v/>
      </c>
      <c r="BJ18" t="str">
        <f>IF(NOT(ISERROR(HLOOKUP(Standings!BJ$3,Entries!$C10:$K10,1,FALSE))),"x",IF(NOT(ISERROR(HLOOKUP(Standings!BJ$3,Entries!$L10:$L10,1,FALSE))),"S",""))</f>
        <v>x</v>
      </c>
      <c r="BK18" t="str">
        <f>IF(NOT(ISERROR(HLOOKUP(Standings!BK$3,Entries!$C10:$K10,1,FALSE))),"x",IF(NOT(ISERROR(HLOOKUP(Standings!BK$3,Entries!$L10:$L10,1,FALSE))),"S",""))</f>
        <v/>
      </c>
      <c r="BL18" t="str">
        <f>IF(NOT(ISERROR(HLOOKUP(Standings!BL$3,Entries!$C10:$K10,1,FALSE))),"x",IF(NOT(ISERROR(HLOOKUP(Standings!BL$3,Entries!$L10:$L10,1,FALSE))),"S",""))</f>
        <v/>
      </c>
      <c r="BM18" t="str">
        <f>IF(NOT(ISERROR(HLOOKUP(Standings!BM$3,Entries!$C10:$K10,1,FALSE))),"x",IF(NOT(ISERROR(HLOOKUP(Standings!BM$3,Entries!$L10:$L10,1,FALSE))),"S",""))</f>
        <v/>
      </c>
      <c r="BN18" t="str">
        <f>IF(NOT(ISERROR(HLOOKUP(Standings!BN$3,Entries!$C10:$K10,1,FALSE))),"x",IF(NOT(ISERROR(HLOOKUP(Standings!BN$3,Entries!$L10:$L10,1,FALSE))),"S",""))</f>
        <v/>
      </c>
      <c r="BO18" t="str">
        <f>IF(NOT(ISERROR(HLOOKUP(Standings!BO$3,Entries!$C10:$K10,1,FALSE))),"x",IF(NOT(ISERROR(HLOOKUP(Standings!BO$3,Entries!$L10:$L10,1,FALSE))),"S",""))</f>
        <v/>
      </c>
      <c r="BP18" t="str">
        <f>IF(NOT(ISERROR(HLOOKUP(Standings!BP$3,Entries!$C10:$K10,1,FALSE))),"x",IF(NOT(ISERROR(HLOOKUP(Standings!BP$3,Entries!$L10:$L10,1,FALSE))),"S",""))</f>
        <v/>
      </c>
      <c r="BQ18" t="str">
        <f>IF(NOT(ISERROR(HLOOKUP(Standings!BQ$3,Entries!$C10:$K10,1,FALSE))),"x",IF(NOT(ISERROR(HLOOKUP(Standings!BQ$3,Entries!$L10:$L10,1,FALSE))),"S",""))</f>
        <v/>
      </c>
      <c r="BR18" t="str">
        <f>IF(NOT(ISERROR(HLOOKUP(Standings!BR$3,Entries!$C10:$K10,1,FALSE))),"x",IF(NOT(ISERROR(HLOOKUP(Standings!BR$3,Entries!$L10:$L10,1,FALSE))),"S",""))</f>
        <v/>
      </c>
      <c r="BS18" t="str">
        <f>IF(NOT(ISERROR(HLOOKUP(Standings!BS$3,Entries!$C10:$K10,1,FALSE))),"x",IF(NOT(ISERROR(HLOOKUP(Standings!BS$3,Entries!$L10:$L10,1,FALSE))),"S",""))</f>
        <v>x</v>
      </c>
      <c r="BT18" t="str">
        <f>IF(NOT(ISERROR(HLOOKUP(Standings!BT$3,Entries!$C10:$K10,1,FALSE))),"x",IF(NOT(ISERROR(HLOOKUP(Standings!BT$3,Entries!$L10:$L10,1,FALSE))),"S",""))</f>
        <v/>
      </c>
      <c r="BU18" t="str">
        <f>IF(NOT(ISERROR(HLOOKUP(Standings!BU$3,Entries!$C10:$K10,1,FALSE))),"x",IF(NOT(ISERROR(HLOOKUP(Standings!BU$3,Entries!$L10:$L10,1,FALSE))),"S",""))</f>
        <v/>
      </c>
      <c r="BV18" t="str">
        <f>IF(NOT(ISERROR(HLOOKUP(Standings!BV$3,Entries!$C10:$K10,1,FALSE))),"x",IF(NOT(ISERROR(HLOOKUP(Standings!BV$3,Entries!$L10:$L10,1,FALSE))),"S",""))</f>
        <v/>
      </c>
      <c r="BW18" t="str">
        <f>IF(NOT(ISERROR(HLOOKUP(Standings!BW$3,Entries!$C10:$K10,1,FALSE))),"x",IF(NOT(ISERROR(HLOOKUP(Standings!BW$3,Entries!$L10:$L10,1,FALSE))),"S",""))</f>
        <v/>
      </c>
      <c r="BX18" t="str">
        <f>IF(NOT(ISERROR(HLOOKUP(Standings!BX$3,Entries!$C10:$K10,1,FALSE))),"x",IF(NOT(ISERROR(HLOOKUP(Standings!BX$3,Entries!$L10:$L10,1,FALSE))),"S",""))</f>
        <v/>
      </c>
      <c r="BY18" t="str">
        <f>IF(NOT(ISERROR(HLOOKUP(Standings!BY$3,Entries!$C10:$K10,1,FALSE))),"x",IF(NOT(ISERROR(HLOOKUP(Standings!BY$3,Entries!$L10:$L10,1,FALSE))),"S",""))</f>
        <v/>
      </c>
      <c r="BZ18" t="str">
        <f>IF(NOT(ISERROR(HLOOKUP(Standings!BZ$3,Entries!$C10:$K10,1,FALSE))),"x",IF(NOT(ISERROR(HLOOKUP(Standings!BZ$3,Entries!$L10:$L10,1,FALSE))),"S",""))</f>
        <v/>
      </c>
      <c r="CA18" t="str">
        <f>IF(NOT(ISERROR(HLOOKUP(Standings!CA$3,Entries!$C10:$K10,1,FALSE))),"x",IF(NOT(ISERROR(HLOOKUP(Standings!CA$3,Entries!$L10:$L10,1,FALSE))),"S",""))</f>
        <v/>
      </c>
      <c r="CB18" t="str">
        <f>IF(NOT(ISERROR(HLOOKUP(Standings!CB$3,Entries!$C10:$K10,1,FALSE))),"x",IF(NOT(ISERROR(HLOOKUP(Standings!CB$3,Entries!$L10:$L10,1,FALSE))),"S",""))</f>
        <v>x</v>
      </c>
      <c r="CC18" t="str">
        <f>IF(NOT(ISERROR(HLOOKUP(Standings!CC$3,Entries!$C10:$K10,1,FALSE))),"x",IF(NOT(ISERROR(HLOOKUP(Standings!CC$3,Entries!$L10:$L10,1,FALSE))),"S",""))</f>
        <v/>
      </c>
      <c r="CD18" t="str">
        <f>IF(NOT(ISERROR(HLOOKUP(Standings!CD$3,Entries!$C10:$K10,1,FALSE))),"x",IF(NOT(ISERROR(HLOOKUP(Standings!CD$3,Entries!$L10:$L10,1,FALSE))),"S",""))</f>
        <v/>
      </c>
      <c r="CE18" t="str">
        <f>IF(NOT(ISERROR(HLOOKUP(Standings!CE$3,Entries!$C10:$K10,1,FALSE))),"x",IF(NOT(ISERROR(HLOOKUP(Standings!CE$3,Entries!$L10:$L10,1,FALSE))),"S",""))</f>
        <v/>
      </c>
      <c r="CF18" t="str">
        <f>IF(NOT(ISERROR(HLOOKUP(Standings!CF$3,Entries!$C10:$K10,1,FALSE))),"x",IF(NOT(ISERROR(HLOOKUP(Standings!CF$3,Entries!$L10:$L10,1,FALSE))),"S",""))</f>
        <v/>
      </c>
      <c r="CG18" t="str">
        <f>IF(NOT(ISERROR(HLOOKUP(Standings!CG$3,Entries!$C10:$K10,1,FALSE))),"x",IF(NOT(ISERROR(HLOOKUP(Standings!CG$3,Entries!$L10:$L10,1,FALSE))),"S",""))</f>
        <v/>
      </c>
      <c r="CH18" t="str">
        <f>IF(NOT(ISERROR(HLOOKUP(Standings!CH$3,Entries!$C10:$K10,1,FALSE))),"x",IF(NOT(ISERROR(HLOOKUP(Standings!CH$3,Entries!$L10:$L10,1,FALSE))),"S",""))</f>
        <v/>
      </c>
      <c r="CI18" t="str">
        <f>IF(NOT(ISERROR(HLOOKUP(Standings!CI$3,Entries!$C10:$K10,1,FALSE))),"x",IF(NOT(ISERROR(HLOOKUP(Standings!CI$3,Entries!$L10:$L10,1,FALSE))),"S",""))</f>
        <v/>
      </c>
      <c r="CJ18" t="str">
        <f>IF(NOT(ISERROR(HLOOKUP(Standings!CJ$3,Entries!$C10:$K10,1,FALSE))),"x",IF(NOT(ISERROR(HLOOKUP(Standings!CJ$3,Entries!$L10:$L10,1,FALSE))),"S",""))</f>
        <v/>
      </c>
      <c r="CK18" t="str">
        <f>IF(NOT(ISERROR(HLOOKUP(Standings!CK$3,Entries!$C10:$K10,1,FALSE))),"x",IF(NOT(ISERROR(HLOOKUP(Standings!CK$3,Entries!$L10:$L10,1,FALSE))),"S",""))</f>
        <v/>
      </c>
      <c r="CL18" t="str">
        <f>IF(NOT(ISERROR(HLOOKUP(Standings!CL$3,Entries!$C10:$K10,1,FALSE))),"x",IF(NOT(ISERROR(HLOOKUP(Standings!CL$3,Entries!$L10:$L10,1,FALSE))),"S",""))</f>
        <v/>
      </c>
      <c r="CM18" t="str">
        <f>IF(NOT(ISERROR(HLOOKUP(Standings!CM$3,Entries!$C10:$K10,1,FALSE))),"x",IF(NOT(ISERROR(HLOOKUP(Standings!CM$3,Entries!$L10:$L10,1,FALSE))),"S",""))</f>
        <v>x</v>
      </c>
      <c r="CN18" t="str">
        <f>IF(NOT(ISERROR(HLOOKUP(Standings!CN$3,Entries!$C10:$K10,1,FALSE))),"x",IF(NOT(ISERROR(HLOOKUP(Standings!CN$3,Entries!$L10:$L10,1,FALSE))),"S",""))</f>
        <v>x</v>
      </c>
      <c r="CO18" t="str">
        <f>IF(NOT(ISERROR(HLOOKUP(Standings!CO$3,Entries!$C10:$K10,1,FALSE))),"x",IF(NOT(ISERROR(HLOOKUP(Standings!CO$3,Entries!$L10:$L10,1,FALSE))),"S",""))</f>
        <v/>
      </c>
      <c r="CP18" t="str">
        <f>IF(NOT(ISERROR(HLOOKUP(Standings!CP$3,Entries!$C10:$K10,1,FALSE))),"x",IF(NOT(ISERROR(HLOOKUP(Standings!CP$3,Entries!$L10:$L10,1,FALSE))),"S",""))</f>
        <v/>
      </c>
      <c r="CQ18" t="str">
        <f>IF(NOT(ISERROR(HLOOKUP(Standings!CQ$3,Entries!$C10:$K10,1,FALSE))),"x",IF(NOT(ISERROR(HLOOKUP(Standings!CQ$3,Entries!$L10:$L10,1,FALSE))),"S",""))</f>
        <v/>
      </c>
      <c r="CR18" t="str">
        <f>IF(NOT(ISERROR(HLOOKUP(Standings!CR$3,Entries!$C10:$K10,1,FALSE))),"x",IF(NOT(ISERROR(HLOOKUP(Standings!CR$3,Entries!$L10:$L10,1,FALSE))),"S",""))</f>
        <v/>
      </c>
      <c r="CS18" t="str">
        <f>IF(NOT(ISERROR(HLOOKUP(Standings!CS$3,Entries!$C10:$K10,1,FALSE))),"x",IF(NOT(ISERROR(HLOOKUP(Standings!CS$3,Entries!$L10:$L10,1,FALSE))),"S",""))</f>
        <v/>
      </c>
      <c r="CT18" t="str">
        <f>IF(NOT(ISERROR(HLOOKUP(Standings!CT$3,Entries!$C10:$K10,1,FALSE))),"x",IF(NOT(ISERROR(HLOOKUP(Standings!CT$3,Entries!$L10:$L10,1,FALSE))),"S",""))</f>
        <v/>
      </c>
      <c r="CU18" t="str">
        <f>IF(NOT(ISERROR(HLOOKUP(Standings!CU$3,Entries!$C10:$K10,1,FALSE))),"x",IF(NOT(ISERROR(HLOOKUP(Standings!CU$3,Entries!$L10:$L10,1,FALSE))),"S",""))</f>
        <v/>
      </c>
      <c r="CV18" t="str">
        <f>IF(NOT(ISERROR(HLOOKUP(Standings!CV$3,Entries!$C10:$K10,1,FALSE))),"x",IF(NOT(ISERROR(HLOOKUP(Standings!CV$3,Entries!$L10:$L10,1,FALSE))),"S",""))</f>
        <v/>
      </c>
      <c r="CW18" t="str">
        <f>IF(NOT(ISERROR(HLOOKUP(Standings!CW$3,Entries!$C10:$K10,1,FALSE))),"x",IF(NOT(ISERROR(HLOOKUP(Standings!CW$3,Entries!$L10:$L10,1,FALSE))),"S",""))</f>
        <v/>
      </c>
      <c r="CX18" t="str">
        <f>IF(NOT(ISERROR(HLOOKUP(Standings!CX$3,Entries!$C10:$K10,1,FALSE))),"x",IF(NOT(ISERROR(HLOOKUP(Standings!CX$3,Entries!$L10:$L10,1,FALSE))),"S",""))</f>
        <v/>
      </c>
      <c r="CY18" t="str">
        <f>IF(NOT(ISERROR(HLOOKUP(Standings!CY$3,Entries!$C10:$K10,1,FALSE))),"x",IF(NOT(ISERROR(HLOOKUP(Standings!CY$3,Entries!$L10:$L10,1,FALSE))),"S",""))</f>
        <v>S</v>
      </c>
      <c r="CZ18" t="str">
        <f>IF(NOT(ISERROR(HLOOKUP(Standings!CZ$3,Entries!$C10:$K10,1,FALSE))),"x",IF(NOT(ISERROR(HLOOKUP(Standings!CZ$3,Entries!$L10:$L10,1,FALSE))),"S",""))</f>
        <v>x</v>
      </c>
      <c r="DA18" t="str">
        <f>IF(NOT(ISERROR(HLOOKUP(Standings!DA$3,Entries!$C10:$K10,1,FALSE))),"x",IF(NOT(ISERROR(HLOOKUP(Standings!DA$3,Entries!$L10:$L10,1,FALSE))),"S",""))</f>
        <v>x</v>
      </c>
      <c r="DB18" t="str">
        <f>IF(NOT(ISERROR(HLOOKUP(Standings!DB$3,Entries!$C10:$K10,1,FALSE))),"x",IF(NOT(ISERROR(HLOOKUP(Standings!DB$3,Entries!$L10:$L10,1,FALSE))),"S",""))</f>
        <v/>
      </c>
    </row>
    <row r="19" spans="1:106" x14ac:dyDescent="0.25">
      <c r="B19">
        <v>62</v>
      </c>
      <c r="C19" t="str">
        <f>Entries!B11</f>
        <v>NickHanson1</v>
      </c>
      <c r="D19" s="4">
        <f t="shared" si="3"/>
        <v>8</v>
      </c>
      <c r="E19" s="31">
        <f t="shared" si="4"/>
        <v>3</v>
      </c>
      <c r="F19" s="40">
        <f t="shared" si="52"/>
        <v>2</v>
      </c>
      <c r="G19" s="41" t="str">
        <f t="shared" si="5"/>
        <v/>
      </c>
      <c r="H19" s="41" t="str">
        <f t="shared" si="6"/>
        <v/>
      </c>
      <c r="I19" s="42" t="str">
        <f t="shared" si="7"/>
        <v/>
      </c>
      <c r="J19" s="40">
        <f t="shared" si="8"/>
        <v>1</v>
      </c>
      <c r="K19" s="41" t="str">
        <f t="shared" si="9"/>
        <v/>
      </c>
      <c r="L19" s="41" t="str">
        <f t="shared" si="10"/>
        <v/>
      </c>
      <c r="M19" s="42" t="str">
        <f t="shared" si="11"/>
        <v/>
      </c>
      <c r="N19" s="43" t="str">
        <f t="shared" si="12"/>
        <v/>
      </c>
      <c r="O19" s="41" t="str">
        <f t="shared" si="13"/>
        <v/>
      </c>
      <c r="P19" s="41" t="str">
        <f t="shared" si="14"/>
        <v/>
      </c>
      <c r="Q19" s="42">
        <f t="shared" si="15"/>
        <v>0</v>
      </c>
      <c r="R19" s="40" t="str">
        <f t="shared" si="16"/>
        <v/>
      </c>
      <c r="S19" s="41" t="str">
        <f t="shared" si="17"/>
        <v/>
      </c>
      <c r="T19" s="43" t="str">
        <f t="shared" si="18"/>
        <v/>
      </c>
      <c r="U19" s="42">
        <f t="shared" si="19"/>
        <v>0</v>
      </c>
      <c r="V19" s="40" t="str">
        <f t="shared" si="20"/>
        <v/>
      </c>
      <c r="W19" s="41" t="str">
        <f t="shared" si="21"/>
        <v/>
      </c>
      <c r="X19" s="41" t="str">
        <f t="shared" si="22"/>
        <v/>
      </c>
      <c r="Y19" s="42">
        <f t="shared" si="23"/>
        <v>0</v>
      </c>
      <c r="Z19" s="40" t="str">
        <f t="shared" si="24"/>
        <v/>
      </c>
      <c r="AA19" s="41" t="str">
        <f t="shared" si="25"/>
        <v/>
      </c>
      <c r="AB19" s="41" t="str">
        <f t="shared" si="26"/>
        <v/>
      </c>
      <c r="AC19" s="42" t="str">
        <f t="shared" si="27"/>
        <v/>
      </c>
      <c r="AD19" s="40" t="str">
        <f t="shared" si="28"/>
        <v/>
      </c>
      <c r="AE19" s="41" t="str">
        <f t="shared" si="29"/>
        <v/>
      </c>
      <c r="AF19" s="41" t="str">
        <f t="shared" si="30"/>
        <v/>
      </c>
      <c r="AG19" s="42" t="str">
        <f t="shared" si="31"/>
        <v/>
      </c>
      <c r="AH19" s="40">
        <f t="shared" si="32"/>
        <v>-1.0000000000000001E-5</v>
      </c>
      <c r="AI19" s="41" t="str">
        <f t="shared" si="33"/>
        <v/>
      </c>
      <c r="AJ19" s="41" t="str">
        <f t="shared" si="34"/>
        <v/>
      </c>
      <c r="AK19" s="42">
        <f t="shared" si="35"/>
        <v>0</v>
      </c>
      <c r="AL19" s="40" t="str">
        <f t="shared" si="36"/>
        <v/>
      </c>
      <c r="AM19" s="41" t="str">
        <f t="shared" si="37"/>
        <v/>
      </c>
      <c r="AN19" s="41" t="str">
        <f t="shared" si="38"/>
        <v/>
      </c>
      <c r="AO19" s="42" t="str">
        <f t="shared" si="39"/>
        <v/>
      </c>
      <c r="AP19" s="40">
        <f t="shared" si="40"/>
        <v>0</v>
      </c>
      <c r="AQ19" s="41" t="str">
        <f t="shared" si="41"/>
        <v/>
      </c>
      <c r="AR19" s="41" t="str">
        <f t="shared" si="42"/>
        <v/>
      </c>
      <c r="AS19" s="42">
        <f t="shared" si="43"/>
        <v>0</v>
      </c>
      <c r="AT19" s="40" t="str">
        <f t="shared" si="44"/>
        <v/>
      </c>
      <c r="AU19" s="41" t="str">
        <f t="shared" si="45"/>
        <v/>
      </c>
      <c r="AV19" s="41" t="str">
        <f t="shared" si="46"/>
        <v/>
      </c>
      <c r="AW19" s="42" t="str">
        <f t="shared" si="47"/>
        <v/>
      </c>
      <c r="AX19" s="40" t="str">
        <f t="shared" si="48"/>
        <v/>
      </c>
      <c r="AY19" s="41" t="str">
        <f t="shared" si="49"/>
        <v/>
      </c>
      <c r="AZ19" s="41" t="str">
        <f t="shared" si="50"/>
        <v/>
      </c>
      <c r="BA19" s="42">
        <f t="shared" si="51"/>
        <v>0</v>
      </c>
      <c r="BB19" s="37" t="s">
        <v>106</v>
      </c>
      <c r="BC19" s="21"/>
      <c r="BD19" s="21"/>
      <c r="BE19" s="5"/>
      <c r="BG19" t="str">
        <f>IF(NOT(ISERROR(HLOOKUP(Standings!BG$3,Entries!$C11:$K11,1,FALSE))),"x",IF(NOT(ISERROR(HLOOKUP(Standings!BG$3,Entries!$L11:$L11,1,FALSE))),"S",""))</f>
        <v>x</v>
      </c>
      <c r="BH19" t="str">
        <f>IF(NOT(ISERROR(HLOOKUP(Standings!BH$3,Entries!$C11:$K11,1,FALSE))),"x",IF(NOT(ISERROR(HLOOKUP(Standings!BH$3,Entries!$L11:$L11,1,FALSE))),"S",""))</f>
        <v/>
      </c>
      <c r="BI19" t="str">
        <f>IF(NOT(ISERROR(HLOOKUP(Standings!BI$3,Entries!$C11:$K11,1,FALSE))),"x",IF(NOT(ISERROR(HLOOKUP(Standings!BI$3,Entries!$L11:$L11,1,FALSE))),"S",""))</f>
        <v/>
      </c>
      <c r="BJ19" t="str">
        <f>IF(NOT(ISERROR(HLOOKUP(Standings!BJ$3,Entries!$C11:$K11,1,FALSE))),"x",IF(NOT(ISERROR(HLOOKUP(Standings!BJ$3,Entries!$L11:$L11,1,FALSE))),"S",""))</f>
        <v/>
      </c>
      <c r="BK19" t="str">
        <f>IF(NOT(ISERROR(HLOOKUP(Standings!BK$3,Entries!$C11:$K11,1,FALSE))),"x",IF(NOT(ISERROR(HLOOKUP(Standings!BK$3,Entries!$L11:$L11,1,FALSE))),"S",""))</f>
        <v>x</v>
      </c>
      <c r="BL19" t="str">
        <f>IF(NOT(ISERROR(HLOOKUP(Standings!BL$3,Entries!$C11:$K11,1,FALSE))),"x",IF(NOT(ISERROR(HLOOKUP(Standings!BL$3,Entries!$L11:$L11,1,FALSE))),"S",""))</f>
        <v/>
      </c>
      <c r="BM19" t="str">
        <f>IF(NOT(ISERROR(HLOOKUP(Standings!BM$3,Entries!$C11:$K11,1,FALSE))),"x",IF(NOT(ISERROR(HLOOKUP(Standings!BM$3,Entries!$L11:$L11,1,FALSE))),"S",""))</f>
        <v/>
      </c>
      <c r="BN19" t="str">
        <f>IF(NOT(ISERROR(HLOOKUP(Standings!BN$3,Entries!$C11:$K11,1,FALSE))),"x",IF(NOT(ISERROR(HLOOKUP(Standings!BN$3,Entries!$L11:$L11,1,FALSE))),"S",""))</f>
        <v/>
      </c>
      <c r="BO19" t="str">
        <f>IF(NOT(ISERROR(HLOOKUP(Standings!BO$3,Entries!$C11:$K11,1,FALSE))),"x",IF(NOT(ISERROR(HLOOKUP(Standings!BO$3,Entries!$L11:$L11,1,FALSE))),"S",""))</f>
        <v/>
      </c>
      <c r="BP19" t="str">
        <f>IF(NOT(ISERROR(HLOOKUP(Standings!BP$3,Entries!$C11:$K11,1,FALSE))),"x",IF(NOT(ISERROR(HLOOKUP(Standings!BP$3,Entries!$L11:$L11,1,FALSE))),"S",""))</f>
        <v/>
      </c>
      <c r="BQ19" t="str">
        <f>IF(NOT(ISERROR(HLOOKUP(Standings!BQ$3,Entries!$C11:$K11,1,FALSE))),"x",IF(NOT(ISERROR(HLOOKUP(Standings!BQ$3,Entries!$L11:$L11,1,FALSE))),"S",""))</f>
        <v/>
      </c>
      <c r="BR19" t="str">
        <f>IF(NOT(ISERROR(HLOOKUP(Standings!BR$3,Entries!$C11:$K11,1,FALSE))),"x",IF(NOT(ISERROR(HLOOKUP(Standings!BR$3,Entries!$L11:$L11,1,FALSE))),"S",""))</f>
        <v>x</v>
      </c>
      <c r="BS19" t="str">
        <f>IF(NOT(ISERROR(HLOOKUP(Standings!BS$3,Entries!$C11:$K11,1,FALSE))),"x",IF(NOT(ISERROR(HLOOKUP(Standings!BS$3,Entries!$L11:$L11,1,FALSE))),"S",""))</f>
        <v/>
      </c>
      <c r="BT19" t="str">
        <f>IF(NOT(ISERROR(HLOOKUP(Standings!BT$3,Entries!$C11:$K11,1,FALSE))),"x",IF(NOT(ISERROR(HLOOKUP(Standings!BT$3,Entries!$L11:$L11,1,FALSE))),"S",""))</f>
        <v/>
      </c>
      <c r="BU19" t="str">
        <f>IF(NOT(ISERROR(HLOOKUP(Standings!BU$3,Entries!$C11:$K11,1,FALSE))),"x",IF(NOT(ISERROR(HLOOKUP(Standings!BU$3,Entries!$L11:$L11,1,FALSE))),"S",""))</f>
        <v/>
      </c>
      <c r="BV19" t="str">
        <f>IF(NOT(ISERROR(HLOOKUP(Standings!BV$3,Entries!$C11:$K11,1,FALSE))),"x",IF(NOT(ISERROR(HLOOKUP(Standings!BV$3,Entries!$L11:$L11,1,FALSE))),"S",""))</f>
        <v>x</v>
      </c>
      <c r="BW19" t="str">
        <f>IF(NOT(ISERROR(HLOOKUP(Standings!BW$3,Entries!$C11:$K11,1,FALSE))),"x",IF(NOT(ISERROR(HLOOKUP(Standings!BW$3,Entries!$L11:$L11,1,FALSE))),"S",""))</f>
        <v/>
      </c>
      <c r="BX19" t="str">
        <f>IF(NOT(ISERROR(HLOOKUP(Standings!BX$3,Entries!$C11:$K11,1,FALSE))),"x",IF(NOT(ISERROR(HLOOKUP(Standings!BX$3,Entries!$L11:$L11,1,FALSE))),"S",""))</f>
        <v/>
      </c>
      <c r="BY19" t="str">
        <f>IF(NOT(ISERROR(HLOOKUP(Standings!BY$3,Entries!$C11:$K11,1,FALSE))),"x",IF(NOT(ISERROR(HLOOKUP(Standings!BY$3,Entries!$L11:$L11,1,FALSE))),"S",""))</f>
        <v/>
      </c>
      <c r="BZ19" t="str">
        <f>IF(NOT(ISERROR(HLOOKUP(Standings!BZ$3,Entries!$C11:$K11,1,FALSE))),"x",IF(NOT(ISERROR(HLOOKUP(Standings!BZ$3,Entries!$L11:$L11,1,FALSE))),"S",""))</f>
        <v>x</v>
      </c>
      <c r="CA19" t="str">
        <f>IF(NOT(ISERROR(HLOOKUP(Standings!CA$3,Entries!$C11:$K11,1,FALSE))),"x",IF(NOT(ISERROR(HLOOKUP(Standings!CA$3,Entries!$L11:$L11,1,FALSE))),"S",""))</f>
        <v/>
      </c>
      <c r="CB19" t="str">
        <f>IF(NOT(ISERROR(HLOOKUP(Standings!CB$3,Entries!$C11:$K11,1,FALSE))),"x",IF(NOT(ISERROR(HLOOKUP(Standings!CB$3,Entries!$L11:$L11,1,FALSE))),"S",""))</f>
        <v/>
      </c>
      <c r="CC19" t="str">
        <f>IF(NOT(ISERROR(HLOOKUP(Standings!CC$3,Entries!$C11:$K11,1,FALSE))),"x",IF(NOT(ISERROR(HLOOKUP(Standings!CC$3,Entries!$L11:$L11,1,FALSE))),"S",""))</f>
        <v/>
      </c>
      <c r="CD19" t="str">
        <f>IF(NOT(ISERROR(HLOOKUP(Standings!CD$3,Entries!$C11:$K11,1,FALSE))),"x",IF(NOT(ISERROR(HLOOKUP(Standings!CD$3,Entries!$L11:$L11,1,FALSE))),"S",""))</f>
        <v/>
      </c>
      <c r="CE19" t="str">
        <f>IF(NOT(ISERROR(HLOOKUP(Standings!CE$3,Entries!$C11:$K11,1,FALSE))),"x",IF(NOT(ISERROR(HLOOKUP(Standings!CE$3,Entries!$L11:$L11,1,FALSE))),"S",""))</f>
        <v/>
      </c>
      <c r="CF19" t="str">
        <f>IF(NOT(ISERROR(HLOOKUP(Standings!CF$3,Entries!$C11:$K11,1,FALSE))),"x",IF(NOT(ISERROR(HLOOKUP(Standings!CF$3,Entries!$L11:$L11,1,FALSE))),"S",""))</f>
        <v/>
      </c>
      <c r="CG19" t="str">
        <f>IF(NOT(ISERROR(HLOOKUP(Standings!CG$3,Entries!$C11:$K11,1,FALSE))),"x",IF(NOT(ISERROR(HLOOKUP(Standings!CG$3,Entries!$L11:$L11,1,FALSE))),"S",""))</f>
        <v/>
      </c>
      <c r="CH19" t="str">
        <f>IF(NOT(ISERROR(HLOOKUP(Standings!CH$3,Entries!$C11:$K11,1,FALSE))),"x",IF(NOT(ISERROR(HLOOKUP(Standings!CH$3,Entries!$L11:$L11,1,FALSE))),"S",""))</f>
        <v/>
      </c>
      <c r="CI19" t="str">
        <f>IF(NOT(ISERROR(HLOOKUP(Standings!CI$3,Entries!$C11:$K11,1,FALSE))),"x",IF(NOT(ISERROR(HLOOKUP(Standings!CI$3,Entries!$L11:$L11,1,FALSE))),"S",""))</f>
        <v>S</v>
      </c>
      <c r="CJ19" t="str">
        <f>IF(NOT(ISERROR(HLOOKUP(Standings!CJ$3,Entries!$C11:$K11,1,FALSE))),"x",IF(NOT(ISERROR(HLOOKUP(Standings!CJ$3,Entries!$L11:$L11,1,FALSE))),"S",""))</f>
        <v/>
      </c>
      <c r="CK19" t="str">
        <f>IF(NOT(ISERROR(HLOOKUP(Standings!CK$3,Entries!$C11:$K11,1,FALSE))),"x",IF(NOT(ISERROR(HLOOKUP(Standings!CK$3,Entries!$L11:$L11,1,FALSE))),"S",""))</f>
        <v/>
      </c>
      <c r="CL19" t="str">
        <f>IF(NOT(ISERROR(HLOOKUP(Standings!CL$3,Entries!$C11:$K11,1,FALSE))),"x",IF(NOT(ISERROR(HLOOKUP(Standings!CL$3,Entries!$L11:$L11,1,FALSE))),"S",""))</f>
        <v>x</v>
      </c>
      <c r="CM19" t="str">
        <f>IF(NOT(ISERROR(HLOOKUP(Standings!CM$3,Entries!$C11:$K11,1,FALSE))),"x",IF(NOT(ISERROR(HLOOKUP(Standings!CM$3,Entries!$L11:$L11,1,FALSE))),"S",""))</f>
        <v/>
      </c>
      <c r="CN19" t="str">
        <f>IF(NOT(ISERROR(HLOOKUP(Standings!CN$3,Entries!$C11:$K11,1,FALSE))),"x",IF(NOT(ISERROR(HLOOKUP(Standings!CN$3,Entries!$L11:$L11,1,FALSE))),"S",""))</f>
        <v/>
      </c>
      <c r="CO19" t="str">
        <f>IF(NOT(ISERROR(HLOOKUP(Standings!CO$3,Entries!$C11:$K11,1,FALSE))),"x",IF(NOT(ISERROR(HLOOKUP(Standings!CO$3,Entries!$L11:$L11,1,FALSE))),"S",""))</f>
        <v/>
      </c>
      <c r="CP19" t="str">
        <f>IF(NOT(ISERROR(HLOOKUP(Standings!CP$3,Entries!$C11:$K11,1,FALSE))),"x",IF(NOT(ISERROR(HLOOKUP(Standings!CP$3,Entries!$L11:$L11,1,FALSE))),"S",""))</f>
        <v/>
      </c>
      <c r="CQ19" t="str">
        <f>IF(NOT(ISERROR(HLOOKUP(Standings!CQ$3,Entries!$C11:$K11,1,FALSE))),"x",IF(NOT(ISERROR(HLOOKUP(Standings!CQ$3,Entries!$L11:$L11,1,FALSE))),"S",""))</f>
        <v>x</v>
      </c>
      <c r="CR19" t="str">
        <f>IF(NOT(ISERROR(HLOOKUP(Standings!CR$3,Entries!$C11:$K11,1,FALSE))),"x",IF(NOT(ISERROR(HLOOKUP(Standings!CR$3,Entries!$L11:$L11,1,FALSE))),"S",""))</f>
        <v/>
      </c>
      <c r="CS19" t="str">
        <f>IF(NOT(ISERROR(HLOOKUP(Standings!CS$3,Entries!$C11:$K11,1,FALSE))),"x",IF(NOT(ISERROR(HLOOKUP(Standings!CS$3,Entries!$L11:$L11,1,FALSE))),"S",""))</f>
        <v/>
      </c>
      <c r="CT19" t="str">
        <f>IF(NOT(ISERROR(HLOOKUP(Standings!CT$3,Entries!$C11:$K11,1,FALSE))),"x",IF(NOT(ISERROR(HLOOKUP(Standings!CT$3,Entries!$L11:$L11,1,FALSE))),"S",""))</f>
        <v>x</v>
      </c>
      <c r="CU19" t="str">
        <f>IF(NOT(ISERROR(HLOOKUP(Standings!CU$3,Entries!$C11:$K11,1,FALSE))),"x",IF(NOT(ISERROR(HLOOKUP(Standings!CU$3,Entries!$L11:$L11,1,FALSE))),"S",""))</f>
        <v/>
      </c>
      <c r="CV19" t="str">
        <f>IF(NOT(ISERROR(HLOOKUP(Standings!CV$3,Entries!$C11:$K11,1,FALSE))),"x",IF(NOT(ISERROR(HLOOKUP(Standings!CV$3,Entries!$L11:$L11,1,FALSE))),"S",""))</f>
        <v/>
      </c>
      <c r="CW19" t="str">
        <f>IF(NOT(ISERROR(HLOOKUP(Standings!CW$3,Entries!$C11:$K11,1,FALSE))),"x",IF(NOT(ISERROR(HLOOKUP(Standings!CW$3,Entries!$L11:$L11,1,FALSE))),"S",""))</f>
        <v/>
      </c>
      <c r="CX19" t="str">
        <f>IF(NOT(ISERROR(HLOOKUP(Standings!CX$3,Entries!$C11:$K11,1,FALSE))),"x",IF(NOT(ISERROR(HLOOKUP(Standings!CX$3,Entries!$L11:$L11,1,FALSE))),"S",""))</f>
        <v/>
      </c>
      <c r="CY19" t="str">
        <f>IF(NOT(ISERROR(HLOOKUP(Standings!CY$3,Entries!$C11:$K11,1,FALSE))),"x",IF(NOT(ISERROR(HLOOKUP(Standings!CY$3,Entries!$L11:$L11,1,FALSE))),"S",""))</f>
        <v/>
      </c>
      <c r="CZ19" t="str">
        <f>IF(NOT(ISERROR(HLOOKUP(Standings!CZ$3,Entries!$C11:$K11,1,FALSE))),"x",IF(NOT(ISERROR(HLOOKUP(Standings!CZ$3,Entries!$L11:$L11,1,FALSE))),"S",""))</f>
        <v/>
      </c>
      <c r="DA19" t="str">
        <f>IF(NOT(ISERROR(HLOOKUP(Standings!DA$3,Entries!$C11:$K11,1,FALSE))),"x",IF(NOT(ISERROR(HLOOKUP(Standings!DA$3,Entries!$L11:$L11,1,FALSE))),"S",""))</f>
        <v/>
      </c>
      <c r="DB19" t="str">
        <f>IF(NOT(ISERROR(HLOOKUP(Standings!DB$3,Entries!$C11:$K11,1,FALSE))),"x",IF(NOT(ISERROR(HLOOKUP(Standings!DB$3,Entries!$L11:$L11,1,FALSE))),"S",""))</f>
        <v>x</v>
      </c>
    </row>
    <row r="20" spans="1:106" x14ac:dyDescent="0.25">
      <c r="A20" s="18"/>
      <c r="B20">
        <v>2</v>
      </c>
      <c r="C20" t="str">
        <f>Entries!B12</f>
        <v>NickHanson2</v>
      </c>
      <c r="D20" s="4">
        <f t="shared" si="3"/>
        <v>18</v>
      </c>
      <c r="E20" s="31">
        <f t="shared" si="4"/>
        <v>2</v>
      </c>
      <c r="F20" s="40">
        <f t="shared" si="52"/>
        <v>2</v>
      </c>
      <c r="G20" s="41" t="str">
        <f t="shared" si="5"/>
        <v/>
      </c>
      <c r="H20" s="41" t="str">
        <f t="shared" si="6"/>
        <v/>
      </c>
      <c r="I20" s="42" t="str">
        <f t="shared" si="7"/>
        <v/>
      </c>
      <c r="J20" s="40" t="str">
        <f t="shared" si="8"/>
        <v/>
      </c>
      <c r="K20" s="41" t="str">
        <f t="shared" si="9"/>
        <v/>
      </c>
      <c r="L20" s="41" t="str">
        <f t="shared" si="10"/>
        <v/>
      </c>
      <c r="M20" s="42" t="str">
        <f t="shared" si="11"/>
        <v/>
      </c>
      <c r="N20" s="43">
        <f t="shared" si="12"/>
        <v>0</v>
      </c>
      <c r="O20" s="41" t="str">
        <f t="shared" si="13"/>
        <v/>
      </c>
      <c r="P20" s="41" t="str">
        <f t="shared" si="14"/>
        <v/>
      </c>
      <c r="Q20" s="42" t="str">
        <f t="shared" si="15"/>
        <v/>
      </c>
      <c r="R20" s="40" t="str">
        <f t="shared" si="16"/>
        <v/>
      </c>
      <c r="S20" s="41" t="str">
        <f t="shared" si="17"/>
        <v/>
      </c>
      <c r="T20" s="43">
        <f t="shared" si="18"/>
        <v>0</v>
      </c>
      <c r="U20" s="42" t="str">
        <f t="shared" si="19"/>
        <v/>
      </c>
      <c r="V20" s="40">
        <f t="shared" si="20"/>
        <v>0</v>
      </c>
      <c r="W20" s="41" t="str">
        <f t="shared" si="21"/>
        <v/>
      </c>
      <c r="X20" s="41" t="str">
        <f t="shared" si="22"/>
        <v/>
      </c>
      <c r="Y20" s="42">
        <f t="shared" si="23"/>
        <v>0</v>
      </c>
      <c r="Z20" s="40" t="str">
        <f t="shared" si="24"/>
        <v/>
      </c>
      <c r="AA20" s="41" t="str">
        <f t="shared" si="25"/>
        <v/>
      </c>
      <c r="AB20" s="41" t="str">
        <f t="shared" si="26"/>
        <v/>
      </c>
      <c r="AC20" s="42" t="str">
        <f t="shared" si="27"/>
        <v/>
      </c>
      <c r="AD20" s="40" t="str">
        <f t="shared" si="28"/>
        <v/>
      </c>
      <c r="AE20" s="41">
        <f t="shared" si="29"/>
        <v>0</v>
      </c>
      <c r="AF20" s="41" t="str">
        <f t="shared" si="30"/>
        <v/>
      </c>
      <c r="AG20" s="42" t="str">
        <f t="shared" si="31"/>
        <v/>
      </c>
      <c r="AH20" s="40" t="str">
        <f t="shared" si="32"/>
        <v/>
      </c>
      <c r="AI20" s="41" t="str">
        <f t="shared" si="33"/>
        <v/>
      </c>
      <c r="AJ20" s="41" t="str">
        <f t="shared" si="34"/>
        <v/>
      </c>
      <c r="AK20" s="42" t="str">
        <f t="shared" si="35"/>
        <v/>
      </c>
      <c r="AL20" s="40">
        <f t="shared" si="36"/>
        <v>-1.0000000000000001E-5</v>
      </c>
      <c r="AM20" s="41" t="str">
        <f t="shared" si="37"/>
        <v/>
      </c>
      <c r="AN20" s="41" t="str">
        <f t="shared" si="38"/>
        <v/>
      </c>
      <c r="AO20" s="42" t="str">
        <f t="shared" si="39"/>
        <v/>
      </c>
      <c r="AP20" s="40" t="str">
        <f t="shared" si="40"/>
        <v/>
      </c>
      <c r="AQ20" s="41">
        <f t="shared" si="41"/>
        <v>0</v>
      </c>
      <c r="AR20" s="41" t="str">
        <f t="shared" si="42"/>
        <v/>
      </c>
      <c r="AS20" s="42" t="str">
        <f t="shared" si="43"/>
        <v/>
      </c>
      <c r="AT20" s="40" t="str">
        <f t="shared" si="44"/>
        <v/>
      </c>
      <c r="AU20" s="41" t="str">
        <f t="shared" si="45"/>
        <v/>
      </c>
      <c r="AV20" s="41" t="str">
        <f t="shared" si="46"/>
        <v/>
      </c>
      <c r="AW20" s="42" t="str">
        <f t="shared" si="47"/>
        <v/>
      </c>
      <c r="AX20" s="40" t="str">
        <f t="shared" si="48"/>
        <v/>
      </c>
      <c r="AY20" s="41" t="str">
        <f t="shared" si="49"/>
        <v/>
      </c>
      <c r="AZ20" s="41" t="str">
        <f t="shared" si="50"/>
        <v/>
      </c>
      <c r="BA20" s="42" t="str">
        <f t="shared" si="51"/>
        <v/>
      </c>
      <c r="BB20" s="37" t="s">
        <v>106</v>
      </c>
      <c r="BC20" s="21"/>
      <c r="BD20" s="21"/>
      <c r="BE20" s="5"/>
      <c r="BG20" t="str">
        <f>IF(NOT(ISERROR(HLOOKUP(Standings!BG$3,Entries!$C12:$K12,1,FALSE))),"x",IF(NOT(ISERROR(HLOOKUP(Standings!BG$3,Entries!$L12:$L12,1,FALSE))),"S",""))</f>
        <v>x</v>
      </c>
      <c r="BH20" t="str">
        <f>IF(NOT(ISERROR(HLOOKUP(Standings!BH$3,Entries!$C12:$K12,1,FALSE))),"x",IF(NOT(ISERROR(HLOOKUP(Standings!BH$3,Entries!$L12:$L12,1,FALSE))),"S",""))</f>
        <v/>
      </c>
      <c r="BI20" t="str">
        <f>IF(NOT(ISERROR(HLOOKUP(Standings!BI$3,Entries!$C12:$K12,1,FALSE))),"x",IF(NOT(ISERROR(HLOOKUP(Standings!BI$3,Entries!$L12:$L12,1,FALSE))),"S",""))</f>
        <v/>
      </c>
      <c r="BJ20" t="str">
        <f>IF(NOT(ISERROR(HLOOKUP(Standings!BJ$3,Entries!$C12:$K12,1,FALSE))),"x",IF(NOT(ISERROR(HLOOKUP(Standings!BJ$3,Entries!$L12:$L12,1,FALSE))),"S",""))</f>
        <v/>
      </c>
      <c r="BK20" t="str">
        <f>IF(NOT(ISERROR(HLOOKUP(Standings!BK$3,Entries!$C12:$K12,1,FALSE))),"x",IF(NOT(ISERROR(HLOOKUP(Standings!BK$3,Entries!$L12:$L12,1,FALSE))),"S",""))</f>
        <v/>
      </c>
      <c r="BL20" t="str">
        <f>IF(NOT(ISERROR(HLOOKUP(Standings!BL$3,Entries!$C12:$K12,1,FALSE))),"x",IF(NOT(ISERROR(HLOOKUP(Standings!BL$3,Entries!$L12:$L12,1,FALSE))),"S",""))</f>
        <v/>
      </c>
      <c r="BM20" t="str">
        <f>IF(NOT(ISERROR(HLOOKUP(Standings!BM$3,Entries!$C12:$K12,1,FALSE))),"x",IF(NOT(ISERROR(HLOOKUP(Standings!BM$3,Entries!$L12:$L12,1,FALSE))),"S",""))</f>
        <v/>
      </c>
      <c r="BN20" t="str">
        <f>IF(NOT(ISERROR(HLOOKUP(Standings!BN$3,Entries!$C12:$K12,1,FALSE))),"x",IF(NOT(ISERROR(HLOOKUP(Standings!BN$3,Entries!$L12:$L12,1,FALSE))),"S",""))</f>
        <v/>
      </c>
      <c r="BO20" t="str">
        <f>IF(NOT(ISERROR(HLOOKUP(Standings!BO$3,Entries!$C12:$K12,1,FALSE))),"x",IF(NOT(ISERROR(HLOOKUP(Standings!BO$3,Entries!$L12:$L12,1,FALSE))),"S",""))</f>
        <v>x</v>
      </c>
      <c r="BP20" t="str">
        <f>IF(NOT(ISERROR(HLOOKUP(Standings!BP$3,Entries!$C12:$K12,1,FALSE))),"x",IF(NOT(ISERROR(HLOOKUP(Standings!BP$3,Entries!$L12:$L12,1,FALSE))),"S",""))</f>
        <v/>
      </c>
      <c r="BQ20" t="str">
        <f>IF(NOT(ISERROR(HLOOKUP(Standings!BQ$3,Entries!$C12:$K12,1,FALSE))),"x",IF(NOT(ISERROR(HLOOKUP(Standings!BQ$3,Entries!$L12:$L12,1,FALSE))),"S",""))</f>
        <v/>
      </c>
      <c r="BR20" t="str">
        <f>IF(NOT(ISERROR(HLOOKUP(Standings!BR$3,Entries!$C12:$K12,1,FALSE))),"x",IF(NOT(ISERROR(HLOOKUP(Standings!BR$3,Entries!$L12:$L12,1,FALSE))),"S",""))</f>
        <v/>
      </c>
      <c r="BS20" t="str">
        <f>IF(NOT(ISERROR(HLOOKUP(Standings!BS$3,Entries!$C12:$K12,1,FALSE))),"x",IF(NOT(ISERROR(HLOOKUP(Standings!BS$3,Entries!$L12:$L12,1,FALSE))),"S",""))</f>
        <v/>
      </c>
      <c r="BT20" t="str">
        <f>IF(NOT(ISERROR(HLOOKUP(Standings!BT$3,Entries!$C12:$K12,1,FALSE))),"x",IF(NOT(ISERROR(HLOOKUP(Standings!BT$3,Entries!$L12:$L12,1,FALSE))),"S",""))</f>
        <v/>
      </c>
      <c r="BU20" t="str">
        <f>IF(NOT(ISERROR(HLOOKUP(Standings!BU$3,Entries!$C12:$K12,1,FALSE))),"x",IF(NOT(ISERROR(HLOOKUP(Standings!BU$3,Entries!$L12:$L12,1,FALSE))),"S",""))</f>
        <v>x</v>
      </c>
      <c r="BV20" t="str">
        <f>IF(NOT(ISERROR(HLOOKUP(Standings!BV$3,Entries!$C12:$K12,1,FALSE))),"x",IF(NOT(ISERROR(HLOOKUP(Standings!BV$3,Entries!$L12:$L12,1,FALSE))),"S",""))</f>
        <v/>
      </c>
      <c r="BW20" t="str">
        <f>IF(NOT(ISERROR(HLOOKUP(Standings!BW$3,Entries!$C12:$K12,1,FALSE))),"x",IF(NOT(ISERROR(HLOOKUP(Standings!BW$3,Entries!$L12:$L12,1,FALSE))),"S",""))</f>
        <v>x</v>
      </c>
      <c r="BX20" t="str">
        <f>IF(NOT(ISERROR(HLOOKUP(Standings!BX$3,Entries!$C12:$K12,1,FALSE))),"x",IF(NOT(ISERROR(HLOOKUP(Standings!BX$3,Entries!$L12:$L12,1,FALSE))),"S",""))</f>
        <v/>
      </c>
      <c r="BY20" t="str">
        <f>IF(NOT(ISERROR(HLOOKUP(Standings!BY$3,Entries!$C12:$K12,1,FALSE))),"x",IF(NOT(ISERROR(HLOOKUP(Standings!BY$3,Entries!$L12:$L12,1,FALSE))),"S",""))</f>
        <v/>
      </c>
      <c r="BZ20" t="str">
        <f>IF(NOT(ISERROR(HLOOKUP(Standings!BZ$3,Entries!$C12:$K12,1,FALSE))),"x",IF(NOT(ISERROR(HLOOKUP(Standings!BZ$3,Entries!$L12:$L12,1,FALSE))),"S",""))</f>
        <v>x</v>
      </c>
      <c r="CA20" t="str">
        <f>IF(NOT(ISERROR(HLOOKUP(Standings!CA$3,Entries!$C12:$K12,1,FALSE))),"x",IF(NOT(ISERROR(HLOOKUP(Standings!CA$3,Entries!$L12:$L12,1,FALSE))),"S",""))</f>
        <v/>
      </c>
      <c r="CB20" t="str">
        <f>IF(NOT(ISERROR(HLOOKUP(Standings!CB$3,Entries!$C12:$K12,1,FALSE))),"x",IF(NOT(ISERROR(HLOOKUP(Standings!CB$3,Entries!$L12:$L12,1,FALSE))),"S",""))</f>
        <v/>
      </c>
      <c r="CC20" t="str">
        <f>IF(NOT(ISERROR(HLOOKUP(Standings!CC$3,Entries!$C12:$K12,1,FALSE))),"x",IF(NOT(ISERROR(HLOOKUP(Standings!CC$3,Entries!$L12:$L12,1,FALSE))),"S",""))</f>
        <v/>
      </c>
      <c r="CD20" t="str">
        <f>IF(NOT(ISERROR(HLOOKUP(Standings!CD$3,Entries!$C12:$K12,1,FALSE))),"x",IF(NOT(ISERROR(HLOOKUP(Standings!CD$3,Entries!$L12:$L12,1,FALSE))),"S",""))</f>
        <v/>
      </c>
      <c r="CE20" t="str">
        <f>IF(NOT(ISERROR(HLOOKUP(Standings!CE$3,Entries!$C12:$K12,1,FALSE))),"x",IF(NOT(ISERROR(HLOOKUP(Standings!CE$3,Entries!$L12:$L12,1,FALSE))),"S",""))</f>
        <v/>
      </c>
      <c r="CF20" t="str">
        <f>IF(NOT(ISERROR(HLOOKUP(Standings!CF$3,Entries!$C12:$K12,1,FALSE))),"x",IF(NOT(ISERROR(HLOOKUP(Standings!CF$3,Entries!$L12:$L12,1,FALSE))),"S",""))</f>
        <v>x</v>
      </c>
      <c r="CG20" t="str">
        <f>IF(NOT(ISERROR(HLOOKUP(Standings!CG$3,Entries!$C12:$K12,1,FALSE))),"x",IF(NOT(ISERROR(HLOOKUP(Standings!CG$3,Entries!$L12:$L12,1,FALSE))),"S",""))</f>
        <v/>
      </c>
      <c r="CH20" t="str">
        <f>IF(NOT(ISERROR(HLOOKUP(Standings!CH$3,Entries!$C12:$K12,1,FALSE))),"x",IF(NOT(ISERROR(HLOOKUP(Standings!CH$3,Entries!$L12:$L12,1,FALSE))),"S",""))</f>
        <v/>
      </c>
      <c r="CI20" t="str">
        <f>IF(NOT(ISERROR(HLOOKUP(Standings!CI$3,Entries!$C12:$K12,1,FALSE))),"x",IF(NOT(ISERROR(HLOOKUP(Standings!CI$3,Entries!$L12:$L12,1,FALSE))),"S",""))</f>
        <v/>
      </c>
      <c r="CJ20" t="str">
        <f>IF(NOT(ISERROR(HLOOKUP(Standings!CJ$3,Entries!$C12:$K12,1,FALSE))),"x",IF(NOT(ISERROR(HLOOKUP(Standings!CJ$3,Entries!$L12:$L12,1,FALSE))),"S",""))</f>
        <v/>
      </c>
      <c r="CK20" t="str">
        <f>IF(NOT(ISERROR(HLOOKUP(Standings!CK$3,Entries!$C12:$K12,1,FALSE))),"x",IF(NOT(ISERROR(HLOOKUP(Standings!CK$3,Entries!$L12:$L12,1,FALSE))),"S",""))</f>
        <v/>
      </c>
      <c r="CL20" t="str">
        <f>IF(NOT(ISERROR(HLOOKUP(Standings!CL$3,Entries!$C12:$K12,1,FALSE))),"x",IF(NOT(ISERROR(HLOOKUP(Standings!CL$3,Entries!$L12:$L12,1,FALSE))),"S",""))</f>
        <v/>
      </c>
      <c r="CM20" t="str">
        <f>IF(NOT(ISERROR(HLOOKUP(Standings!CM$3,Entries!$C12:$K12,1,FALSE))),"x",IF(NOT(ISERROR(HLOOKUP(Standings!CM$3,Entries!$L12:$L12,1,FALSE))),"S",""))</f>
        <v>S</v>
      </c>
      <c r="CN20" t="str">
        <f>IF(NOT(ISERROR(HLOOKUP(Standings!CN$3,Entries!$C12:$K12,1,FALSE))),"x",IF(NOT(ISERROR(HLOOKUP(Standings!CN$3,Entries!$L12:$L12,1,FALSE))),"S",""))</f>
        <v/>
      </c>
      <c r="CO20" t="str">
        <f>IF(NOT(ISERROR(HLOOKUP(Standings!CO$3,Entries!$C12:$K12,1,FALSE))),"x",IF(NOT(ISERROR(HLOOKUP(Standings!CO$3,Entries!$L12:$L12,1,FALSE))),"S",""))</f>
        <v/>
      </c>
      <c r="CP20" t="str">
        <f>IF(NOT(ISERROR(HLOOKUP(Standings!CP$3,Entries!$C12:$K12,1,FALSE))),"x",IF(NOT(ISERROR(HLOOKUP(Standings!CP$3,Entries!$L12:$L12,1,FALSE))),"S",""))</f>
        <v/>
      </c>
      <c r="CQ20" t="str">
        <f>IF(NOT(ISERROR(HLOOKUP(Standings!CQ$3,Entries!$C12:$K12,1,FALSE))),"x",IF(NOT(ISERROR(HLOOKUP(Standings!CQ$3,Entries!$L12:$L12,1,FALSE))),"S",""))</f>
        <v/>
      </c>
      <c r="CR20" t="str">
        <f>IF(NOT(ISERROR(HLOOKUP(Standings!CR$3,Entries!$C12:$K12,1,FALSE))),"x",IF(NOT(ISERROR(HLOOKUP(Standings!CR$3,Entries!$L12:$L12,1,FALSE))),"S",""))</f>
        <v>x</v>
      </c>
      <c r="CS20" t="str">
        <f>IF(NOT(ISERROR(HLOOKUP(Standings!CS$3,Entries!$C12:$K12,1,FALSE))),"x",IF(NOT(ISERROR(HLOOKUP(Standings!CS$3,Entries!$L12:$L12,1,FALSE))),"S",""))</f>
        <v/>
      </c>
      <c r="CT20" t="str">
        <f>IF(NOT(ISERROR(HLOOKUP(Standings!CT$3,Entries!$C12:$K12,1,FALSE))),"x",IF(NOT(ISERROR(HLOOKUP(Standings!CT$3,Entries!$L12:$L12,1,FALSE))),"S",""))</f>
        <v/>
      </c>
      <c r="CU20" t="str">
        <f>IF(NOT(ISERROR(HLOOKUP(Standings!CU$3,Entries!$C12:$K12,1,FALSE))),"x",IF(NOT(ISERROR(HLOOKUP(Standings!CU$3,Entries!$L12:$L12,1,FALSE))),"S",""))</f>
        <v/>
      </c>
      <c r="CV20" t="str">
        <f>IF(NOT(ISERROR(HLOOKUP(Standings!CV$3,Entries!$C12:$K12,1,FALSE))),"x",IF(NOT(ISERROR(HLOOKUP(Standings!CV$3,Entries!$L12:$L12,1,FALSE))),"S",""))</f>
        <v/>
      </c>
      <c r="CW20" t="str">
        <f>IF(NOT(ISERROR(HLOOKUP(Standings!CW$3,Entries!$C12:$K12,1,FALSE))),"x",IF(NOT(ISERROR(HLOOKUP(Standings!CW$3,Entries!$L12:$L12,1,FALSE))),"S",""))</f>
        <v/>
      </c>
      <c r="CX20" t="str">
        <f>IF(NOT(ISERROR(HLOOKUP(Standings!CX$3,Entries!$C12:$K12,1,FALSE))),"x",IF(NOT(ISERROR(HLOOKUP(Standings!CX$3,Entries!$L12:$L12,1,FALSE))),"S",""))</f>
        <v/>
      </c>
      <c r="CY20" t="str">
        <f>IF(NOT(ISERROR(HLOOKUP(Standings!CY$3,Entries!$C12:$K12,1,FALSE))),"x",IF(NOT(ISERROR(HLOOKUP(Standings!CY$3,Entries!$L12:$L12,1,FALSE))),"S",""))</f>
        <v/>
      </c>
      <c r="CZ20" t="str">
        <f>IF(NOT(ISERROR(HLOOKUP(Standings!CZ$3,Entries!$C12:$K12,1,FALSE))),"x",IF(NOT(ISERROR(HLOOKUP(Standings!CZ$3,Entries!$L12:$L12,1,FALSE))),"S",""))</f>
        <v/>
      </c>
      <c r="DA20" t="str">
        <f>IF(NOT(ISERROR(HLOOKUP(Standings!DA$3,Entries!$C12:$K12,1,FALSE))),"x",IF(NOT(ISERROR(HLOOKUP(Standings!DA$3,Entries!$L12:$L12,1,FALSE))),"S",""))</f>
        <v/>
      </c>
      <c r="DB20" t="str">
        <f>IF(NOT(ISERROR(HLOOKUP(Standings!DB$3,Entries!$C12:$K12,1,FALSE))),"x",IF(NOT(ISERROR(HLOOKUP(Standings!DB$3,Entries!$L12:$L12,1,FALSE))),"S",""))</f>
        <v/>
      </c>
    </row>
    <row r="21" spans="1:106" x14ac:dyDescent="0.25">
      <c r="A21" s="18"/>
      <c r="B21">
        <v>22</v>
      </c>
      <c r="C21" t="str">
        <f>Entries!B13</f>
        <v>shoup1</v>
      </c>
      <c r="D21" s="4">
        <f t="shared" si="3"/>
        <v>8</v>
      </c>
      <c r="E21" s="31">
        <f t="shared" si="4"/>
        <v>3</v>
      </c>
      <c r="F21" s="40" t="str">
        <f t="shared" si="52"/>
        <v/>
      </c>
      <c r="G21" s="41" t="str">
        <f t="shared" si="5"/>
        <v/>
      </c>
      <c r="H21" s="41" t="str">
        <f t="shared" si="6"/>
        <v/>
      </c>
      <c r="I21" s="42" t="str">
        <f t="shared" si="7"/>
        <v/>
      </c>
      <c r="J21" s="40">
        <f t="shared" si="8"/>
        <v>1</v>
      </c>
      <c r="K21" s="41" t="str">
        <f t="shared" si="9"/>
        <v/>
      </c>
      <c r="L21" s="41" t="str">
        <f t="shared" si="10"/>
        <v/>
      </c>
      <c r="M21" s="42" t="str">
        <f t="shared" si="11"/>
        <v/>
      </c>
      <c r="N21" s="43" t="str">
        <f t="shared" si="12"/>
        <v/>
      </c>
      <c r="O21" s="41">
        <f t="shared" si="13"/>
        <v>0</v>
      </c>
      <c r="P21" s="41" t="str">
        <f t="shared" si="14"/>
        <v/>
      </c>
      <c r="Q21" s="42" t="str">
        <f t="shared" si="15"/>
        <v/>
      </c>
      <c r="R21" s="40">
        <f t="shared" si="16"/>
        <v>2</v>
      </c>
      <c r="S21" s="41" t="str">
        <f t="shared" si="17"/>
        <v/>
      </c>
      <c r="T21" s="43" t="str">
        <f t="shared" si="18"/>
        <v/>
      </c>
      <c r="U21" s="42" t="str">
        <f t="shared" si="19"/>
        <v/>
      </c>
      <c r="V21" s="40" t="str">
        <f t="shared" si="20"/>
        <v/>
      </c>
      <c r="W21" s="41" t="str">
        <f t="shared" si="21"/>
        <v/>
      </c>
      <c r="X21" s="41" t="str">
        <f t="shared" si="22"/>
        <v/>
      </c>
      <c r="Y21" s="42">
        <f t="shared" si="23"/>
        <v>0</v>
      </c>
      <c r="Z21" s="40">
        <f t="shared" si="24"/>
        <v>-1.0000000000000001E-5</v>
      </c>
      <c r="AA21" s="41" t="str">
        <f t="shared" si="25"/>
        <v/>
      </c>
      <c r="AB21" s="41" t="str">
        <f t="shared" si="26"/>
        <v/>
      </c>
      <c r="AC21" s="42">
        <f t="shared" si="27"/>
        <v>0</v>
      </c>
      <c r="AD21" s="40" t="str">
        <f t="shared" si="28"/>
        <v/>
      </c>
      <c r="AE21" s="41" t="str">
        <f t="shared" si="29"/>
        <v/>
      </c>
      <c r="AF21" s="41" t="str">
        <f t="shared" si="30"/>
        <v/>
      </c>
      <c r="AG21" s="42" t="str">
        <f t="shared" si="31"/>
        <v/>
      </c>
      <c r="AH21" s="40" t="str">
        <f t="shared" si="32"/>
        <v/>
      </c>
      <c r="AI21" s="41" t="str">
        <f t="shared" si="33"/>
        <v/>
      </c>
      <c r="AJ21" s="41" t="str">
        <f t="shared" si="34"/>
        <v/>
      </c>
      <c r="AK21" s="42" t="str">
        <f t="shared" si="35"/>
        <v/>
      </c>
      <c r="AL21" s="40" t="str">
        <f t="shared" si="36"/>
        <v/>
      </c>
      <c r="AM21" s="41" t="str">
        <f t="shared" si="37"/>
        <v/>
      </c>
      <c r="AN21" s="41" t="str">
        <f t="shared" si="38"/>
        <v/>
      </c>
      <c r="AO21" s="42" t="str">
        <f t="shared" si="39"/>
        <v/>
      </c>
      <c r="AP21" s="40" t="str">
        <f t="shared" si="40"/>
        <v/>
      </c>
      <c r="AQ21" s="41" t="str">
        <f t="shared" si="41"/>
        <v/>
      </c>
      <c r="AR21" s="41" t="str">
        <f t="shared" si="42"/>
        <v/>
      </c>
      <c r="AS21" s="42" t="str">
        <f t="shared" si="43"/>
        <v/>
      </c>
      <c r="AT21" s="40" t="str">
        <f t="shared" si="44"/>
        <v/>
      </c>
      <c r="AU21" s="41" t="str">
        <f t="shared" si="45"/>
        <v/>
      </c>
      <c r="AV21" s="41">
        <f t="shared" si="46"/>
        <v>0</v>
      </c>
      <c r="AW21" s="42" t="str">
        <f t="shared" si="47"/>
        <v/>
      </c>
      <c r="AX21" s="40" t="str">
        <f t="shared" si="48"/>
        <v/>
      </c>
      <c r="AY21" s="41">
        <f t="shared" si="49"/>
        <v>0</v>
      </c>
      <c r="AZ21" s="41" t="str">
        <f t="shared" si="50"/>
        <v/>
      </c>
      <c r="BA21" s="42" t="str">
        <f t="shared" si="51"/>
        <v/>
      </c>
      <c r="BB21" s="37" t="s">
        <v>106</v>
      </c>
      <c r="BC21" s="21"/>
      <c r="BD21" s="21"/>
      <c r="BE21" s="5"/>
      <c r="BG21" t="str">
        <f>IF(NOT(ISERROR(HLOOKUP(Standings!BG$3,Entries!$C13:$K13,1,FALSE))),"x",IF(NOT(ISERROR(HLOOKUP(Standings!BG$3,Entries!$L13:$L13,1,FALSE))),"S",""))</f>
        <v/>
      </c>
      <c r="BH21" t="str">
        <f>IF(NOT(ISERROR(HLOOKUP(Standings!BH$3,Entries!$C13:$K13,1,FALSE))),"x",IF(NOT(ISERROR(HLOOKUP(Standings!BH$3,Entries!$L13:$L13,1,FALSE))),"S",""))</f>
        <v/>
      </c>
      <c r="BI21" t="str">
        <f>IF(NOT(ISERROR(HLOOKUP(Standings!BI$3,Entries!$C13:$K13,1,FALSE))),"x",IF(NOT(ISERROR(HLOOKUP(Standings!BI$3,Entries!$L13:$L13,1,FALSE))),"S",""))</f>
        <v/>
      </c>
      <c r="BJ21" t="str">
        <f>IF(NOT(ISERROR(HLOOKUP(Standings!BJ$3,Entries!$C13:$K13,1,FALSE))),"x",IF(NOT(ISERROR(HLOOKUP(Standings!BJ$3,Entries!$L13:$L13,1,FALSE))),"S",""))</f>
        <v/>
      </c>
      <c r="BK21" t="str">
        <f>IF(NOT(ISERROR(HLOOKUP(Standings!BK$3,Entries!$C13:$K13,1,FALSE))),"x",IF(NOT(ISERROR(HLOOKUP(Standings!BK$3,Entries!$L13:$L13,1,FALSE))),"S",""))</f>
        <v>x</v>
      </c>
      <c r="BL21" t="str">
        <f>IF(NOT(ISERROR(HLOOKUP(Standings!BL$3,Entries!$C13:$K13,1,FALSE))),"x",IF(NOT(ISERROR(HLOOKUP(Standings!BL$3,Entries!$L13:$L13,1,FALSE))),"S",""))</f>
        <v/>
      </c>
      <c r="BM21" t="str">
        <f>IF(NOT(ISERROR(HLOOKUP(Standings!BM$3,Entries!$C13:$K13,1,FALSE))),"x",IF(NOT(ISERROR(HLOOKUP(Standings!BM$3,Entries!$L13:$L13,1,FALSE))),"S",""))</f>
        <v/>
      </c>
      <c r="BN21" t="str">
        <f>IF(NOT(ISERROR(HLOOKUP(Standings!BN$3,Entries!$C13:$K13,1,FALSE))),"x",IF(NOT(ISERROR(HLOOKUP(Standings!BN$3,Entries!$L13:$L13,1,FALSE))),"S",""))</f>
        <v/>
      </c>
      <c r="BO21" t="str">
        <f>IF(NOT(ISERROR(HLOOKUP(Standings!BO$3,Entries!$C13:$K13,1,FALSE))),"x",IF(NOT(ISERROR(HLOOKUP(Standings!BO$3,Entries!$L13:$L13,1,FALSE))),"S",""))</f>
        <v/>
      </c>
      <c r="BP21" t="str">
        <f>IF(NOT(ISERROR(HLOOKUP(Standings!BP$3,Entries!$C13:$K13,1,FALSE))),"x",IF(NOT(ISERROR(HLOOKUP(Standings!BP$3,Entries!$L13:$L13,1,FALSE))),"S",""))</f>
        <v>x</v>
      </c>
      <c r="BQ21" t="str">
        <f>IF(NOT(ISERROR(HLOOKUP(Standings!BQ$3,Entries!$C13:$K13,1,FALSE))),"x",IF(NOT(ISERROR(HLOOKUP(Standings!BQ$3,Entries!$L13:$L13,1,FALSE))),"S",""))</f>
        <v/>
      </c>
      <c r="BR21" t="str">
        <f>IF(NOT(ISERROR(HLOOKUP(Standings!BR$3,Entries!$C13:$K13,1,FALSE))),"x",IF(NOT(ISERROR(HLOOKUP(Standings!BR$3,Entries!$L13:$L13,1,FALSE))),"S",""))</f>
        <v/>
      </c>
      <c r="BS21" t="str">
        <f>IF(NOT(ISERROR(HLOOKUP(Standings!BS$3,Entries!$C13:$K13,1,FALSE))),"x",IF(NOT(ISERROR(HLOOKUP(Standings!BS$3,Entries!$L13:$L13,1,FALSE))),"S",""))</f>
        <v>x</v>
      </c>
      <c r="BT21" t="str">
        <f>IF(NOT(ISERROR(HLOOKUP(Standings!BT$3,Entries!$C13:$K13,1,FALSE))),"x",IF(NOT(ISERROR(HLOOKUP(Standings!BT$3,Entries!$L13:$L13,1,FALSE))),"S",""))</f>
        <v/>
      </c>
      <c r="BU21" t="str">
        <f>IF(NOT(ISERROR(HLOOKUP(Standings!BU$3,Entries!$C13:$K13,1,FALSE))),"x",IF(NOT(ISERROR(HLOOKUP(Standings!BU$3,Entries!$L13:$L13,1,FALSE))),"S",""))</f>
        <v/>
      </c>
      <c r="BV21" t="str">
        <f>IF(NOT(ISERROR(HLOOKUP(Standings!BV$3,Entries!$C13:$K13,1,FALSE))),"x",IF(NOT(ISERROR(HLOOKUP(Standings!BV$3,Entries!$L13:$L13,1,FALSE))),"S",""))</f>
        <v/>
      </c>
      <c r="BW21" t="str">
        <f>IF(NOT(ISERROR(HLOOKUP(Standings!BW$3,Entries!$C13:$K13,1,FALSE))),"x",IF(NOT(ISERROR(HLOOKUP(Standings!BW$3,Entries!$L13:$L13,1,FALSE))),"S",""))</f>
        <v/>
      </c>
      <c r="BX21" t="str">
        <f>IF(NOT(ISERROR(HLOOKUP(Standings!BX$3,Entries!$C13:$K13,1,FALSE))),"x",IF(NOT(ISERROR(HLOOKUP(Standings!BX$3,Entries!$L13:$L13,1,FALSE))),"S",""))</f>
        <v/>
      </c>
      <c r="BY21" t="str">
        <f>IF(NOT(ISERROR(HLOOKUP(Standings!BY$3,Entries!$C13:$K13,1,FALSE))),"x",IF(NOT(ISERROR(HLOOKUP(Standings!BY$3,Entries!$L13:$L13,1,FALSE))),"S",""))</f>
        <v/>
      </c>
      <c r="BZ21" t="str">
        <f>IF(NOT(ISERROR(HLOOKUP(Standings!BZ$3,Entries!$C13:$K13,1,FALSE))),"x",IF(NOT(ISERROR(HLOOKUP(Standings!BZ$3,Entries!$L13:$L13,1,FALSE))),"S",""))</f>
        <v>x</v>
      </c>
      <c r="CA21" t="str">
        <f>IF(NOT(ISERROR(HLOOKUP(Standings!CA$3,Entries!$C13:$K13,1,FALSE))),"x",IF(NOT(ISERROR(HLOOKUP(Standings!CA$3,Entries!$L13:$L13,1,FALSE))),"S",""))</f>
        <v>S</v>
      </c>
      <c r="CB21" t="str">
        <f>IF(NOT(ISERROR(HLOOKUP(Standings!CB$3,Entries!$C13:$K13,1,FALSE))),"x",IF(NOT(ISERROR(HLOOKUP(Standings!CB$3,Entries!$L13:$L13,1,FALSE))),"S",""))</f>
        <v/>
      </c>
      <c r="CC21" t="str">
        <f>IF(NOT(ISERROR(HLOOKUP(Standings!CC$3,Entries!$C13:$K13,1,FALSE))),"x",IF(NOT(ISERROR(HLOOKUP(Standings!CC$3,Entries!$L13:$L13,1,FALSE))),"S",""))</f>
        <v/>
      </c>
      <c r="CD21" t="str">
        <f>IF(NOT(ISERROR(HLOOKUP(Standings!CD$3,Entries!$C13:$K13,1,FALSE))),"x",IF(NOT(ISERROR(HLOOKUP(Standings!CD$3,Entries!$L13:$L13,1,FALSE))),"S",""))</f>
        <v>x</v>
      </c>
      <c r="CE21" t="str">
        <f>IF(NOT(ISERROR(HLOOKUP(Standings!CE$3,Entries!$C13:$K13,1,FALSE))),"x",IF(NOT(ISERROR(HLOOKUP(Standings!CE$3,Entries!$L13:$L13,1,FALSE))),"S",""))</f>
        <v/>
      </c>
      <c r="CF21" t="str">
        <f>IF(NOT(ISERROR(HLOOKUP(Standings!CF$3,Entries!$C13:$K13,1,FALSE))),"x",IF(NOT(ISERROR(HLOOKUP(Standings!CF$3,Entries!$L13:$L13,1,FALSE))),"S",""))</f>
        <v/>
      </c>
      <c r="CG21" t="str">
        <f>IF(NOT(ISERROR(HLOOKUP(Standings!CG$3,Entries!$C13:$K13,1,FALSE))),"x",IF(NOT(ISERROR(HLOOKUP(Standings!CG$3,Entries!$L13:$L13,1,FALSE))),"S",""))</f>
        <v/>
      </c>
      <c r="CH21" t="str">
        <f>IF(NOT(ISERROR(HLOOKUP(Standings!CH$3,Entries!$C13:$K13,1,FALSE))),"x",IF(NOT(ISERROR(HLOOKUP(Standings!CH$3,Entries!$L13:$L13,1,FALSE))),"S",""))</f>
        <v/>
      </c>
      <c r="CI21" t="str">
        <f>IF(NOT(ISERROR(HLOOKUP(Standings!CI$3,Entries!$C13:$K13,1,FALSE))),"x",IF(NOT(ISERROR(HLOOKUP(Standings!CI$3,Entries!$L13:$L13,1,FALSE))),"S",""))</f>
        <v/>
      </c>
      <c r="CJ21" t="str">
        <f>IF(NOT(ISERROR(HLOOKUP(Standings!CJ$3,Entries!$C13:$K13,1,FALSE))),"x",IF(NOT(ISERROR(HLOOKUP(Standings!CJ$3,Entries!$L13:$L13,1,FALSE))),"S",""))</f>
        <v/>
      </c>
      <c r="CK21" t="str">
        <f>IF(NOT(ISERROR(HLOOKUP(Standings!CK$3,Entries!$C13:$K13,1,FALSE))),"x",IF(NOT(ISERROR(HLOOKUP(Standings!CK$3,Entries!$L13:$L13,1,FALSE))),"S",""))</f>
        <v/>
      </c>
      <c r="CL21" t="str">
        <f>IF(NOT(ISERROR(HLOOKUP(Standings!CL$3,Entries!$C13:$K13,1,FALSE))),"x",IF(NOT(ISERROR(HLOOKUP(Standings!CL$3,Entries!$L13:$L13,1,FALSE))),"S",""))</f>
        <v/>
      </c>
      <c r="CM21" t="str">
        <f>IF(NOT(ISERROR(HLOOKUP(Standings!CM$3,Entries!$C13:$K13,1,FALSE))),"x",IF(NOT(ISERROR(HLOOKUP(Standings!CM$3,Entries!$L13:$L13,1,FALSE))),"S",""))</f>
        <v/>
      </c>
      <c r="CN21" t="str">
        <f>IF(NOT(ISERROR(HLOOKUP(Standings!CN$3,Entries!$C13:$K13,1,FALSE))),"x",IF(NOT(ISERROR(HLOOKUP(Standings!CN$3,Entries!$L13:$L13,1,FALSE))),"S",""))</f>
        <v/>
      </c>
      <c r="CO21" t="str">
        <f>IF(NOT(ISERROR(HLOOKUP(Standings!CO$3,Entries!$C13:$K13,1,FALSE))),"x",IF(NOT(ISERROR(HLOOKUP(Standings!CO$3,Entries!$L13:$L13,1,FALSE))),"S",""))</f>
        <v/>
      </c>
      <c r="CP21" t="str">
        <f>IF(NOT(ISERROR(HLOOKUP(Standings!CP$3,Entries!$C13:$K13,1,FALSE))),"x",IF(NOT(ISERROR(HLOOKUP(Standings!CP$3,Entries!$L13:$L13,1,FALSE))),"S",""))</f>
        <v/>
      </c>
      <c r="CQ21" t="str">
        <f>IF(NOT(ISERROR(HLOOKUP(Standings!CQ$3,Entries!$C13:$K13,1,FALSE))),"x",IF(NOT(ISERROR(HLOOKUP(Standings!CQ$3,Entries!$L13:$L13,1,FALSE))),"S",""))</f>
        <v/>
      </c>
      <c r="CR21" t="str">
        <f>IF(NOT(ISERROR(HLOOKUP(Standings!CR$3,Entries!$C13:$K13,1,FALSE))),"x",IF(NOT(ISERROR(HLOOKUP(Standings!CR$3,Entries!$L13:$L13,1,FALSE))),"S",""))</f>
        <v/>
      </c>
      <c r="CS21" t="str">
        <f>IF(NOT(ISERROR(HLOOKUP(Standings!CS$3,Entries!$C13:$K13,1,FALSE))),"x",IF(NOT(ISERROR(HLOOKUP(Standings!CS$3,Entries!$L13:$L13,1,FALSE))),"S",""))</f>
        <v/>
      </c>
      <c r="CT21" t="str">
        <f>IF(NOT(ISERROR(HLOOKUP(Standings!CT$3,Entries!$C13:$K13,1,FALSE))),"x",IF(NOT(ISERROR(HLOOKUP(Standings!CT$3,Entries!$L13:$L13,1,FALSE))),"S",""))</f>
        <v/>
      </c>
      <c r="CU21" t="str">
        <f>IF(NOT(ISERROR(HLOOKUP(Standings!CU$3,Entries!$C13:$K13,1,FALSE))),"x",IF(NOT(ISERROR(HLOOKUP(Standings!CU$3,Entries!$L13:$L13,1,FALSE))),"S",""))</f>
        <v/>
      </c>
      <c r="CV21" t="str">
        <f>IF(NOT(ISERROR(HLOOKUP(Standings!CV$3,Entries!$C13:$K13,1,FALSE))),"x",IF(NOT(ISERROR(HLOOKUP(Standings!CV$3,Entries!$L13:$L13,1,FALSE))),"S",""))</f>
        <v/>
      </c>
      <c r="CW21" t="str">
        <f>IF(NOT(ISERROR(HLOOKUP(Standings!CW$3,Entries!$C13:$K13,1,FALSE))),"x",IF(NOT(ISERROR(HLOOKUP(Standings!CW$3,Entries!$L13:$L13,1,FALSE))),"S",""))</f>
        <v>x</v>
      </c>
      <c r="CX21" t="str">
        <f>IF(NOT(ISERROR(HLOOKUP(Standings!CX$3,Entries!$C13:$K13,1,FALSE))),"x",IF(NOT(ISERROR(HLOOKUP(Standings!CX$3,Entries!$L13:$L13,1,FALSE))),"S",""))</f>
        <v/>
      </c>
      <c r="CY21" t="str">
        <f>IF(NOT(ISERROR(HLOOKUP(Standings!CY$3,Entries!$C13:$K13,1,FALSE))),"x",IF(NOT(ISERROR(HLOOKUP(Standings!CY$3,Entries!$L13:$L13,1,FALSE))),"S",""))</f>
        <v/>
      </c>
      <c r="CZ21" t="str">
        <f>IF(NOT(ISERROR(HLOOKUP(Standings!CZ$3,Entries!$C13:$K13,1,FALSE))),"x",IF(NOT(ISERROR(HLOOKUP(Standings!CZ$3,Entries!$L13:$L13,1,FALSE))),"S",""))</f>
        <v>x</v>
      </c>
      <c r="DA21" t="str">
        <f>IF(NOT(ISERROR(HLOOKUP(Standings!DA$3,Entries!$C13:$K13,1,FALSE))),"x",IF(NOT(ISERROR(HLOOKUP(Standings!DA$3,Entries!$L13:$L13,1,FALSE))),"S",""))</f>
        <v/>
      </c>
      <c r="DB21" t="str">
        <f>IF(NOT(ISERROR(HLOOKUP(Standings!DB$3,Entries!$C13:$K13,1,FALSE))),"x",IF(NOT(ISERROR(HLOOKUP(Standings!DB$3,Entries!$L13:$L13,1,FALSE))),"S",""))</f>
        <v/>
      </c>
    </row>
    <row r="22" spans="1:106" x14ac:dyDescent="0.25">
      <c r="B22">
        <v>72</v>
      </c>
      <c r="C22" t="str">
        <f>Entries!B14</f>
        <v>shoup2</v>
      </c>
      <c r="D22" s="4">
        <f t="shared" si="3"/>
        <v>55</v>
      </c>
      <c r="E22" s="31">
        <f t="shared" si="4"/>
        <v>0</v>
      </c>
      <c r="F22" s="40" t="str">
        <f t="shared" si="52"/>
        <v/>
      </c>
      <c r="G22" s="41" t="str">
        <f t="shared" si="5"/>
        <v/>
      </c>
      <c r="H22" s="41" t="str">
        <f t="shared" si="6"/>
        <v/>
      </c>
      <c r="I22" s="42" t="str">
        <f t="shared" si="7"/>
        <v/>
      </c>
      <c r="J22" s="40" t="str">
        <f t="shared" si="8"/>
        <v/>
      </c>
      <c r="K22" s="41">
        <f t="shared" si="9"/>
        <v>0</v>
      </c>
      <c r="L22" s="41" t="str">
        <f t="shared" si="10"/>
        <v/>
      </c>
      <c r="M22" s="42" t="str">
        <f t="shared" si="11"/>
        <v/>
      </c>
      <c r="N22" s="43" t="str">
        <f t="shared" si="12"/>
        <v/>
      </c>
      <c r="O22" s="41" t="str">
        <f t="shared" si="13"/>
        <v/>
      </c>
      <c r="P22" s="41" t="str">
        <f t="shared" si="14"/>
        <v/>
      </c>
      <c r="Q22" s="42" t="str">
        <f t="shared" si="15"/>
        <v/>
      </c>
      <c r="R22" s="40" t="str">
        <f t="shared" si="16"/>
        <v/>
      </c>
      <c r="S22" s="41" t="str">
        <f t="shared" si="17"/>
        <v/>
      </c>
      <c r="T22" s="43" t="str">
        <f t="shared" si="18"/>
        <v/>
      </c>
      <c r="U22" s="42">
        <f t="shared" si="19"/>
        <v>0</v>
      </c>
      <c r="V22" s="40">
        <f t="shared" si="20"/>
        <v>0</v>
      </c>
      <c r="W22" s="41" t="str">
        <f t="shared" si="21"/>
        <v/>
      </c>
      <c r="X22" s="41" t="str">
        <f t="shared" si="22"/>
        <v/>
      </c>
      <c r="Y22" s="42" t="str">
        <f t="shared" si="23"/>
        <v/>
      </c>
      <c r="Z22" s="40" t="str">
        <f t="shared" si="24"/>
        <v/>
      </c>
      <c r="AA22" s="41" t="str">
        <f t="shared" si="25"/>
        <v/>
      </c>
      <c r="AB22" s="41" t="str">
        <f t="shared" si="26"/>
        <v/>
      </c>
      <c r="AC22" s="42" t="str">
        <f t="shared" si="27"/>
        <v/>
      </c>
      <c r="AD22" s="40">
        <f t="shared" si="28"/>
        <v>0</v>
      </c>
      <c r="AE22" s="41" t="str">
        <f t="shared" si="29"/>
        <v/>
      </c>
      <c r="AF22" s="41" t="str">
        <f t="shared" si="30"/>
        <v/>
      </c>
      <c r="AG22" s="42" t="str">
        <f t="shared" si="31"/>
        <v/>
      </c>
      <c r="AH22" s="40" t="str">
        <f t="shared" si="32"/>
        <v/>
      </c>
      <c r="AI22" s="41" t="str">
        <f t="shared" si="33"/>
        <v/>
      </c>
      <c r="AJ22" s="41" t="str">
        <f t="shared" si="34"/>
        <v/>
      </c>
      <c r="AK22" s="42" t="str">
        <f t="shared" si="35"/>
        <v/>
      </c>
      <c r="AL22" s="40" t="str">
        <f t="shared" si="36"/>
        <v/>
      </c>
      <c r="AM22" s="41" t="str">
        <f t="shared" si="37"/>
        <v/>
      </c>
      <c r="AN22" s="41">
        <f t="shared" si="38"/>
        <v>-1.0000000000000001E-5</v>
      </c>
      <c r="AO22" s="42" t="str">
        <f t="shared" si="39"/>
        <v/>
      </c>
      <c r="AP22" s="40" t="str">
        <f t="shared" si="40"/>
        <v/>
      </c>
      <c r="AQ22" s="41" t="str">
        <f t="shared" si="41"/>
        <v/>
      </c>
      <c r="AR22" s="41" t="str">
        <f t="shared" si="42"/>
        <v/>
      </c>
      <c r="AS22" s="42" t="str">
        <f t="shared" si="43"/>
        <v/>
      </c>
      <c r="AT22" s="40" t="str">
        <f t="shared" si="44"/>
        <v/>
      </c>
      <c r="AU22" s="41" t="str">
        <f t="shared" si="45"/>
        <v/>
      </c>
      <c r="AV22" s="41" t="str">
        <f t="shared" si="46"/>
        <v/>
      </c>
      <c r="AW22" s="42" t="str">
        <f t="shared" si="47"/>
        <v/>
      </c>
      <c r="AX22" s="40" t="str">
        <f t="shared" si="48"/>
        <v/>
      </c>
      <c r="AY22" s="41" t="str">
        <f t="shared" si="49"/>
        <v/>
      </c>
      <c r="AZ22" s="41" t="str">
        <f t="shared" si="50"/>
        <v/>
      </c>
      <c r="BA22" s="42" t="str">
        <f t="shared" si="51"/>
        <v/>
      </c>
      <c r="BB22" s="37" t="s">
        <v>106</v>
      </c>
      <c r="BG22" t="str">
        <f>IF(NOT(ISERROR(HLOOKUP(Standings!BG$3,Entries!$C14:$K14,1,FALSE))),"x",IF(NOT(ISERROR(HLOOKUP(Standings!BG$3,Entries!$L14:$L14,1,FALSE))),"S",""))</f>
        <v/>
      </c>
      <c r="BH22" t="str">
        <f>IF(NOT(ISERROR(HLOOKUP(Standings!BH$3,Entries!$C14:$K14,1,FALSE))),"x",IF(NOT(ISERROR(HLOOKUP(Standings!BH$3,Entries!$L14:$L14,1,FALSE))),"S",""))</f>
        <v/>
      </c>
      <c r="BI22" t="str">
        <f>IF(NOT(ISERROR(HLOOKUP(Standings!BI$3,Entries!$C14:$K14,1,FALSE))),"x",IF(NOT(ISERROR(HLOOKUP(Standings!BI$3,Entries!$L14:$L14,1,FALSE))),"S",""))</f>
        <v/>
      </c>
      <c r="BJ22" t="str">
        <f>IF(NOT(ISERROR(HLOOKUP(Standings!BJ$3,Entries!$C14:$K14,1,FALSE))),"x",IF(NOT(ISERROR(HLOOKUP(Standings!BJ$3,Entries!$L14:$L14,1,FALSE))),"S",""))</f>
        <v/>
      </c>
      <c r="BK22" t="str">
        <f>IF(NOT(ISERROR(HLOOKUP(Standings!BK$3,Entries!$C14:$K14,1,FALSE))),"x",IF(NOT(ISERROR(HLOOKUP(Standings!BK$3,Entries!$L14:$L14,1,FALSE))),"S",""))</f>
        <v/>
      </c>
      <c r="BL22" t="str">
        <f>IF(NOT(ISERROR(HLOOKUP(Standings!BL$3,Entries!$C14:$K14,1,FALSE))),"x",IF(NOT(ISERROR(HLOOKUP(Standings!BL$3,Entries!$L14:$L14,1,FALSE))),"S",""))</f>
        <v>x</v>
      </c>
      <c r="BM22" t="str">
        <f>IF(NOT(ISERROR(HLOOKUP(Standings!BM$3,Entries!$C14:$K14,1,FALSE))),"x",IF(NOT(ISERROR(HLOOKUP(Standings!BM$3,Entries!$L14:$L14,1,FALSE))),"S",""))</f>
        <v/>
      </c>
      <c r="BN22" t="str">
        <f>IF(NOT(ISERROR(HLOOKUP(Standings!BN$3,Entries!$C14:$K14,1,FALSE))),"x",IF(NOT(ISERROR(HLOOKUP(Standings!BN$3,Entries!$L14:$L14,1,FALSE))),"S",""))</f>
        <v/>
      </c>
      <c r="BO22" t="str">
        <f>IF(NOT(ISERROR(HLOOKUP(Standings!BO$3,Entries!$C14:$K14,1,FALSE))),"x",IF(NOT(ISERROR(HLOOKUP(Standings!BO$3,Entries!$L14:$L14,1,FALSE))),"S",""))</f>
        <v/>
      </c>
      <c r="BP22" t="str">
        <f>IF(NOT(ISERROR(HLOOKUP(Standings!BP$3,Entries!$C14:$K14,1,FALSE))),"x",IF(NOT(ISERROR(HLOOKUP(Standings!BP$3,Entries!$L14:$L14,1,FALSE))),"S",""))</f>
        <v/>
      </c>
      <c r="BQ22" t="str">
        <f>IF(NOT(ISERROR(HLOOKUP(Standings!BQ$3,Entries!$C14:$K14,1,FALSE))),"x",IF(NOT(ISERROR(HLOOKUP(Standings!BQ$3,Entries!$L14:$L14,1,FALSE))),"S",""))</f>
        <v/>
      </c>
      <c r="BR22" t="str">
        <f>IF(NOT(ISERROR(HLOOKUP(Standings!BR$3,Entries!$C14:$K14,1,FALSE))),"x",IF(NOT(ISERROR(HLOOKUP(Standings!BR$3,Entries!$L14:$L14,1,FALSE))),"S",""))</f>
        <v/>
      </c>
      <c r="BS22" t="str">
        <f>IF(NOT(ISERROR(HLOOKUP(Standings!BS$3,Entries!$C14:$K14,1,FALSE))),"x",IF(NOT(ISERROR(HLOOKUP(Standings!BS$3,Entries!$L14:$L14,1,FALSE))),"S",""))</f>
        <v/>
      </c>
      <c r="BT22" t="str">
        <f>IF(NOT(ISERROR(HLOOKUP(Standings!BT$3,Entries!$C14:$K14,1,FALSE))),"x",IF(NOT(ISERROR(HLOOKUP(Standings!BT$3,Entries!$L14:$L14,1,FALSE))),"S",""))</f>
        <v/>
      </c>
      <c r="BU22" t="str">
        <f>IF(NOT(ISERROR(HLOOKUP(Standings!BU$3,Entries!$C14:$K14,1,FALSE))),"x",IF(NOT(ISERROR(HLOOKUP(Standings!BU$3,Entries!$L14:$L14,1,FALSE))),"S",""))</f>
        <v/>
      </c>
      <c r="BV22" t="str">
        <f>IF(NOT(ISERROR(HLOOKUP(Standings!BV$3,Entries!$C14:$K14,1,FALSE))),"x",IF(NOT(ISERROR(HLOOKUP(Standings!BV$3,Entries!$L14:$L14,1,FALSE))),"S",""))</f>
        <v>x</v>
      </c>
      <c r="BW22" t="str">
        <f>IF(NOT(ISERROR(HLOOKUP(Standings!BW$3,Entries!$C14:$K14,1,FALSE))),"x",IF(NOT(ISERROR(HLOOKUP(Standings!BW$3,Entries!$L14:$L14,1,FALSE))),"S",""))</f>
        <v>x</v>
      </c>
      <c r="BX22" t="str">
        <f>IF(NOT(ISERROR(HLOOKUP(Standings!BX$3,Entries!$C14:$K14,1,FALSE))),"x",IF(NOT(ISERROR(HLOOKUP(Standings!BX$3,Entries!$L14:$L14,1,FALSE))),"S",""))</f>
        <v/>
      </c>
      <c r="BY22" t="str">
        <f>IF(NOT(ISERROR(HLOOKUP(Standings!BY$3,Entries!$C14:$K14,1,FALSE))),"x",IF(NOT(ISERROR(HLOOKUP(Standings!BY$3,Entries!$L14:$L14,1,FALSE))),"S",""))</f>
        <v/>
      </c>
      <c r="BZ22" t="str">
        <f>IF(NOT(ISERROR(HLOOKUP(Standings!BZ$3,Entries!$C14:$K14,1,FALSE))),"x",IF(NOT(ISERROR(HLOOKUP(Standings!BZ$3,Entries!$L14:$L14,1,FALSE))),"S",""))</f>
        <v/>
      </c>
      <c r="CA22" t="str">
        <f>IF(NOT(ISERROR(HLOOKUP(Standings!CA$3,Entries!$C14:$K14,1,FALSE))),"x",IF(NOT(ISERROR(HLOOKUP(Standings!CA$3,Entries!$L14:$L14,1,FALSE))),"S",""))</f>
        <v/>
      </c>
      <c r="CB22" t="str">
        <f>IF(NOT(ISERROR(HLOOKUP(Standings!CB$3,Entries!$C14:$K14,1,FALSE))),"x",IF(NOT(ISERROR(HLOOKUP(Standings!CB$3,Entries!$L14:$L14,1,FALSE))),"S",""))</f>
        <v/>
      </c>
      <c r="CC22" t="str">
        <f>IF(NOT(ISERROR(HLOOKUP(Standings!CC$3,Entries!$C14:$K14,1,FALSE))),"x",IF(NOT(ISERROR(HLOOKUP(Standings!CC$3,Entries!$L14:$L14,1,FALSE))),"S",""))</f>
        <v/>
      </c>
      <c r="CD22" t="str">
        <f>IF(NOT(ISERROR(HLOOKUP(Standings!CD$3,Entries!$C14:$K14,1,FALSE))),"x",IF(NOT(ISERROR(HLOOKUP(Standings!CD$3,Entries!$L14:$L14,1,FALSE))),"S",""))</f>
        <v/>
      </c>
      <c r="CE22" t="str">
        <f>IF(NOT(ISERROR(HLOOKUP(Standings!CE$3,Entries!$C14:$K14,1,FALSE))),"x",IF(NOT(ISERROR(HLOOKUP(Standings!CE$3,Entries!$L14:$L14,1,FALSE))),"S",""))</f>
        <v>x</v>
      </c>
      <c r="CF22" t="str">
        <f>IF(NOT(ISERROR(HLOOKUP(Standings!CF$3,Entries!$C14:$K14,1,FALSE))),"x",IF(NOT(ISERROR(HLOOKUP(Standings!CF$3,Entries!$L14:$L14,1,FALSE))),"S",""))</f>
        <v/>
      </c>
      <c r="CG22" t="str">
        <f>IF(NOT(ISERROR(HLOOKUP(Standings!CG$3,Entries!$C14:$K14,1,FALSE))),"x",IF(NOT(ISERROR(HLOOKUP(Standings!CG$3,Entries!$L14:$L14,1,FALSE))),"S",""))</f>
        <v/>
      </c>
      <c r="CH22" t="str">
        <f>IF(NOT(ISERROR(HLOOKUP(Standings!CH$3,Entries!$C14:$K14,1,FALSE))),"x",IF(NOT(ISERROR(HLOOKUP(Standings!CH$3,Entries!$L14:$L14,1,FALSE))),"S",""))</f>
        <v/>
      </c>
      <c r="CI22" t="str">
        <f>IF(NOT(ISERROR(HLOOKUP(Standings!CI$3,Entries!$C14:$K14,1,FALSE))),"x",IF(NOT(ISERROR(HLOOKUP(Standings!CI$3,Entries!$L14:$L14,1,FALSE))),"S",""))</f>
        <v/>
      </c>
      <c r="CJ22" t="str">
        <f>IF(NOT(ISERROR(HLOOKUP(Standings!CJ$3,Entries!$C14:$K14,1,FALSE))),"x",IF(NOT(ISERROR(HLOOKUP(Standings!CJ$3,Entries!$L14:$L14,1,FALSE))),"S",""))</f>
        <v/>
      </c>
      <c r="CK22" t="str">
        <f>IF(NOT(ISERROR(HLOOKUP(Standings!CK$3,Entries!$C14:$K14,1,FALSE))),"x",IF(NOT(ISERROR(HLOOKUP(Standings!CK$3,Entries!$L14:$L14,1,FALSE))),"S",""))</f>
        <v/>
      </c>
      <c r="CL22" t="str">
        <f>IF(NOT(ISERROR(HLOOKUP(Standings!CL$3,Entries!$C14:$K14,1,FALSE))),"x",IF(NOT(ISERROR(HLOOKUP(Standings!CL$3,Entries!$L14:$L14,1,FALSE))),"S",""))</f>
        <v/>
      </c>
      <c r="CM22" t="str">
        <f>IF(NOT(ISERROR(HLOOKUP(Standings!CM$3,Entries!$C14:$K14,1,FALSE))),"x",IF(NOT(ISERROR(HLOOKUP(Standings!CM$3,Entries!$L14:$L14,1,FALSE))),"S",""))</f>
        <v/>
      </c>
      <c r="CN22" t="str">
        <f>IF(NOT(ISERROR(HLOOKUP(Standings!CN$3,Entries!$C14:$K14,1,FALSE))),"x",IF(NOT(ISERROR(HLOOKUP(Standings!CN$3,Entries!$L14:$L14,1,FALSE))),"S",""))</f>
        <v/>
      </c>
      <c r="CO22" t="str">
        <f>IF(NOT(ISERROR(HLOOKUP(Standings!CO$3,Entries!$C14:$K14,1,FALSE))),"x",IF(NOT(ISERROR(HLOOKUP(Standings!CO$3,Entries!$L14:$L14,1,FALSE))),"S",""))</f>
        <v>S</v>
      </c>
      <c r="CP22" t="str">
        <f>IF(NOT(ISERROR(HLOOKUP(Standings!CP$3,Entries!$C14:$K14,1,FALSE))),"x",IF(NOT(ISERROR(HLOOKUP(Standings!CP$3,Entries!$L14:$L14,1,FALSE))),"S",""))</f>
        <v/>
      </c>
      <c r="CQ22" t="str">
        <f>IF(NOT(ISERROR(HLOOKUP(Standings!CQ$3,Entries!$C14:$K14,1,FALSE))),"x",IF(NOT(ISERROR(HLOOKUP(Standings!CQ$3,Entries!$L14:$L14,1,FALSE))),"S",""))</f>
        <v/>
      </c>
      <c r="CR22" t="str">
        <f>IF(NOT(ISERROR(HLOOKUP(Standings!CR$3,Entries!$C14:$K14,1,FALSE))),"x",IF(NOT(ISERROR(HLOOKUP(Standings!CR$3,Entries!$L14:$L14,1,FALSE))),"S",""))</f>
        <v/>
      </c>
      <c r="CS22" t="str">
        <f>IF(NOT(ISERROR(HLOOKUP(Standings!CS$3,Entries!$C14:$K14,1,FALSE))),"x",IF(NOT(ISERROR(HLOOKUP(Standings!CS$3,Entries!$L14:$L14,1,FALSE))),"S",""))</f>
        <v/>
      </c>
      <c r="CT22" t="str">
        <f>IF(NOT(ISERROR(HLOOKUP(Standings!CT$3,Entries!$C14:$K14,1,FALSE))),"x",IF(NOT(ISERROR(HLOOKUP(Standings!CT$3,Entries!$L14:$L14,1,FALSE))),"S",""))</f>
        <v/>
      </c>
      <c r="CU22" t="str">
        <f>IF(NOT(ISERROR(HLOOKUP(Standings!CU$3,Entries!$C14:$K14,1,FALSE))),"x",IF(NOT(ISERROR(HLOOKUP(Standings!CU$3,Entries!$L14:$L14,1,FALSE))),"S",""))</f>
        <v/>
      </c>
      <c r="CV22" t="str">
        <f>IF(NOT(ISERROR(HLOOKUP(Standings!CV$3,Entries!$C14:$K14,1,FALSE))),"x",IF(NOT(ISERROR(HLOOKUP(Standings!CV$3,Entries!$L14:$L14,1,FALSE))),"S",""))</f>
        <v/>
      </c>
      <c r="CW22" t="str">
        <f>IF(NOT(ISERROR(HLOOKUP(Standings!CW$3,Entries!$C14:$K14,1,FALSE))),"x",IF(NOT(ISERROR(HLOOKUP(Standings!CW$3,Entries!$L14:$L14,1,FALSE))),"S",""))</f>
        <v/>
      </c>
      <c r="CX22" t="str">
        <f>IF(NOT(ISERROR(HLOOKUP(Standings!CX$3,Entries!$C14:$K14,1,FALSE))),"x",IF(NOT(ISERROR(HLOOKUP(Standings!CX$3,Entries!$L14:$L14,1,FALSE))),"S",""))</f>
        <v/>
      </c>
      <c r="CY22" t="str">
        <f>IF(NOT(ISERROR(HLOOKUP(Standings!CY$3,Entries!$C14:$K14,1,FALSE))),"x",IF(NOT(ISERROR(HLOOKUP(Standings!CY$3,Entries!$L14:$L14,1,FALSE))),"S",""))</f>
        <v/>
      </c>
      <c r="CZ22" t="str">
        <f>IF(NOT(ISERROR(HLOOKUP(Standings!CZ$3,Entries!$C14:$K14,1,FALSE))),"x",IF(NOT(ISERROR(HLOOKUP(Standings!CZ$3,Entries!$L14:$L14,1,FALSE))),"S",""))</f>
        <v/>
      </c>
      <c r="DA22" t="str">
        <f>IF(NOT(ISERROR(HLOOKUP(Standings!DA$3,Entries!$C14:$K14,1,FALSE))),"x",IF(NOT(ISERROR(HLOOKUP(Standings!DA$3,Entries!$L14:$L14,1,FALSE))),"S",""))</f>
        <v/>
      </c>
      <c r="DB22" t="str">
        <f>IF(NOT(ISERROR(HLOOKUP(Standings!DB$3,Entries!$C14:$K14,1,FALSE))),"x",IF(NOT(ISERROR(HLOOKUP(Standings!DB$3,Entries!$L14:$L14,1,FALSE))),"S",""))</f>
        <v/>
      </c>
    </row>
    <row r="23" spans="1:106" x14ac:dyDescent="0.25">
      <c r="A23" s="18"/>
      <c r="B23">
        <v>29</v>
      </c>
      <c r="C23" t="str">
        <f>Entries!B15</f>
        <v>AbbieSchaeferWorldCupPicks</v>
      </c>
      <c r="D23" s="4">
        <f t="shared" si="3"/>
        <v>55</v>
      </c>
      <c r="E23" s="31">
        <f t="shared" si="4"/>
        <v>0</v>
      </c>
      <c r="F23" s="40" t="str">
        <f t="shared" si="52"/>
        <v/>
      </c>
      <c r="G23" s="41" t="str">
        <f t="shared" si="5"/>
        <v/>
      </c>
      <c r="H23" s="41" t="str">
        <f t="shared" si="6"/>
        <v/>
      </c>
      <c r="I23" s="42" t="str">
        <f t="shared" si="7"/>
        <v/>
      </c>
      <c r="J23" s="40" t="str">
        <f t="shared" si="8"/>
        <v/>
      </c>
      <c r="K23" s="41" t="str">
        <f t="shared" si="9"/>
        <v/>
      </c>
      <c r="L23" s="41" t="str">
        <f t="shared" si="10"/>
        <v/>
      </c>
      <c r="M23" s="42" t="str">
        <f t="shared" si="11"/>
        <v/>
      </c>
      <c r="N23" s="43" t="str">
        <f t="shared" si="12"/>
        <v/>
      </c>
      <c r="O23" s="41" t="str">
        <f t="shared" si="13"/>
        <v/>
      </c>
      <c r="P23" s="41" t="str">
        <f t="shared" si="14"/>
        <v/>
      </c>
      <c r="Q23" s="42" t="str">
        <f t="shared" si="15"/>
        <v/>
      </c>
      <c r="R23" s="40" t="str">
        <f t="shared" si="16"/>
        <v/>
      </c>
      <c r="S23" s="41" t="str">
        <f t="shared" si="17"/>
        <v/>
      </c>
      <c r="T23" s="43" t="str">
        <f t="shared" si="18"/>
        <v/>
      </c>
      <c r="U23" s="42" t="str">
        <f t="shared" si="19"/>
        <v/>
      </c>
      <c r="V23" s="40">
        <f t="shared" si="20"/>
        <v>0</v>
      </c>
      <c r="W23" s="41" t="str">
        <f t="shared" si="21"/>
        <v/>
      </c>
      <c r="X23" s="41" t="str">
        <f t="shared" si="22"/>
        <v/>
      </c>
      <c r="Y23" s="42" t="str">
        <f t="shared" si="23"/>
        <v/>
      </c>
      <c r="Z23" s="40" t="str">
        <f t="shared" si="24"/>
        <v/>
      </c>
      <c r="AA23" s="41" t="str">
        <f t="shared" si="25"/>
        <v/>
      </c>
      <c r="AB23" s="41" t="str">
        <f t="shared" si="26"/>
        <v/>
      </c>
      <c r="AC23" s="42" t="str">
        <f t="shared" si="27"/>
        <v/>
      </c>
      <c r="AD23" s="40">
        <f t="shared" si="28"/>
        <v>0</v>
      </c>
      <c r="AE23" s="41" t="str">
        <f t="shared" si="29"/>
        <v/>
      </c>
      <c r="AF23" s="41" t="str">
        <f t="shared" si="30"/>
        <v/>
      </c>
      <c r="AG23" s="42" t="str">
        <f t="shared" si="31"/>
        <v/>
      </c>
      <c r="AH23" s="40" t="str">
        <f t="shared" si="32"/>
        <v/>
      </c>
      <c r="AI23" s="41" t="str">
        <f t="shared" si="33"/>
        <v/>
      </c>
      <c r="AJ23" s="41" t="str">
        <f t="shared" si="34"/>
        <v/>
      </c>
      <c r="AK23" s="42" t="str">
        <f t="shared" si="35"/>
        <v/>
      </c>
      <c r="AL23" s="40">
        <f t="shared" si="36"/>
        <v>0</v>
      </c>
      <c r="AM23" s="41" t="str">
        <f t="shared" si="37"/>
        <v/>
      </c>
      <c r="AN23" s="41" t="str">
        <f t="shared" si="38"/>
        <v/>
      </c>
      <c r="AO23" s="42" t="str">
        <f t="shared" si="39"/>
        <v/>
      </c>
      <c r="AP23" s="40">
        <f t="shared" si="40"/>
        <v>-1.0000000000000001E-5</v>
      </c>
      <c r="AQ23" s="41" t="str">
        <f t="shared" si="41"/>
        <v/>
      </c>
      <c r="AR23" s="41" t="str">
        <f t="shared" si="42"/>
        <v/>
      </c>
      <c r="AS23" s="42" t="str">
        <f t="shared" si="43"/>
        <v/>
      </c>
      <c r="AT23" s="40" t="str">
        <f t="shared" si="44"/>
        <v/>
      </c>
      <c r="AU23" s="41" t="str">
        <f t="shared" si="45"/>
        <v/>
      </c>
      <c r="AV23" s="41" t="str">
        <f t="shared" si="46"/>
        <v/>
      </c>
      <c r="AW23" s="42" t="str">
        <f t="shared" si="47"/>
        <v/>
      </c>
      <c r="AX23" s="40" t="str">
        <f t="shared" si="48"/>
        <v/>
      </c>
      <c r="AY23" s="41" t="str">
        <f t="shared" si="49"/>
        <v/>
      </c>
      <c r="AZ23" s="41" t="str">
        <f t="shared" si="50"/>
        <v/>
      </c>
      <c r="BA23" s="42" t="str">
        <f t="shared" si="51"/>
        <v/>
      </c>
      <c r="BB23" s="37" t="s">
        <v>106</v>
      </c>
      <c r="BD23" s="21"/>
      <c r="BG23" t="str">
        <f>IF(NOT(ISERROR(HLOOKUP(Standings!BG$3,Entries!$C15:$K15,1,FALSE))),"x",IF(NOT(ISERROR(HLOOKUP(Standings!BG$3,Entries!$L15:$L15,1,FALSE))),"S",""))</f>
        <v/>
      </c>
      <c r="BH23" t="str">
        <f>IF(NOT(ISERROR(HLOOKUP(Standings!BH$3,Entries!$C15:$K15,1,FALSE))),"x",IF(NOT(ISERROR(HLOOKUP(Standings!BH$3,Entries!$L15:$L15,1,FALSE))),"S",""))</f>
        <v/>
      </c>
      <c r="BI23" t="str">
        <f>IF(NOT(ISERROR(HLOOKUP(Standings!BI$3,Entries!$C15:$K15,1,FALSE))),"x",IF(NOT(ISERROR(HLOOKUP(Standings!BI$3,Entries!$L15:$L15,1,FALSE))),"S",""))</f>
        <v/>
      </c>
      <c r="BJ23" t="str">
        <f>IF(NOT(ISERROR(HLOOKUP(Standings!BJ$3,Entries!$C15:$K15,1,FALSE))),"x",IF(NOT(ISERROR(HLOOKUP(Standings!BJ$3,Entries!$L15:$L15,1,FALSE))),"S",""))</f>
        <v/>
      </c>
      <c r="BK23" t="str">
        <f>IF(NOT(ISERROR(HLOOKUP(Standings!BK$3,Entries!$C15:$K15,1,FALSE))),"x",IF(NOT(ISERROR(HLOOKUP(Standings!BK$3,Entries!$L15:$L15,1,FALSE))),"S",""))</f>
        <v/>
      </c>
      <c r="BL23" t="str">
        <f>IF(NOT(ISERROR(HLOOKUP(Standings!BL$3,Entries!$C15:$K15,1,FALSE))),"x",IF(NOT(ISERROR(HLOOKUP(Standings!BL$3,Entries!$L15:$L15,1,FALSE))),"S",""))</f>
        <v/>
      </c>
      <c r="BM23" t="str">
        <f>IF(NOT(ISERROR(HLOOKUP(Standings!BM$3,Entries!$C15:$K15,1,FALSE))),"x",IF(NOT(ISERROR(HLOOKUP(Standings!BM$3,Entries!$L15:$L15,1,FALSE))),"S",""))</f>
        <v/>
      </c>
      <c r="BN23" t="str">
        <f>IF(NOT(ISERROR(HLOOKUP(Standings!BN$3,Entries!$C15:$K15,1,FALSE))),"x",IF(NOT(ISERROR(HLOOKUP(Standings!BN$3,Entries!$L15:$L15,1,FALSE))),"S",""))</f>
        <v/>
      </c>
      <c r="BO23" t="str">
        <f>IF(NOT(ISERROR(HLOOKUP(Standings!BO$3,Entries!$C15:$K15,1,FALSE))),"x",IF(NOT(ISERROR(HLOOKUP(Standings!BO$3,Entries!$L15:$L15,1,FALSE))),"S",""))</f>
        <v/>
      </c>
      <c r="BP23" t="str">
        <f>IF(NOT(ISERROR(HLOOKUP(Standings!BP$3,Entries!$C15:$K15,1,FALSE))),"x",IF(NOT(ISERROR(HLOOKUP(Standings!BP$3,Entries!$L15:$L15,1,FALSE))),"S",""))</f>
        <v/>
      </c>
      <c r="BQ23" t="str">
        <f>IF(NOT(ISERROR(HLOOKUP(Standings!BQ$3,Entries!$C15:$K15,1,FALSE))),"x",IF(NOT(ISERROR(HLOOKUP(Standings!BQ$3,Entries!$L15:$L15,1,FALSE))),"S",""))</f>
        <v/>
      </c>
      <c r="BR23" t="str">
        <f>IF(NOT(ISERROR(HLOOKUP(Standings!BR$3,Entries!$C15:$K15,1,FALSE))),"x",IF(NOT(ISERROR(HLOOKUP(Standings!BR$3,Entries!$L15:$L15,1,FALSE))),"S",""))</f>
        <v/>
      </c>
      <c r="BS23" t="str">
        <f>IF(NOT(ISERROR(HLOOKUP(Standings!BS$3,Entries!$C15:$K15,1,FALSE))),"x",IF(NOT(ISERROR(HLOOKUP(Standings!BS$3,Entries!$L15:$L15,1,FALSE))),"S",""))</f>
        <v/>
      </c>
      <c r="BT23" t="str">
        <f>IF(NOT(ISERROR(HLOOKUP(Standings!BT$3,Entries!$C15:$K15,1,FALSE))),"x",IF(NOT(ISERROR(HLOOKUP(Standings!BT$3,Entries!$L15:$L15,1,FALSE))),"S",""))</f>
        <v/>
      </c>
      <c r="BU23" t="str">
        <f>IF(NOT(ISERROR(HLOOKUP(Standings!BU$3,Entries!$C15:$K15,1,FALSE))),"x",IF(NOT(ISERROR(HLOOKUP(Standings!BU$3,Entries!$L15:$L15,1,FALSE))),"S",""))</f>
        <v/>
      </c>
      <c r="BV23" t="str">
        <f>IF(NOT(ISERROR(HLOOKUP(Standings!BV$3,Entries!$C15:$K15,1,FALSE))),"x",IF(NOT(ISERROR(HLOOKUP(Standings!BV$3,Entries!$L15:$L15,1,FALSE))),"S",""))</f>
        <v/>
      </c>
      <c r="BW23" t="str">
        <f>IF(NOT(ISERROR(HLOOKUP(Standings!BW$3,Entries!$C15:$K15,1,FALSE))),"x",IF(NOT(ISERROR(HLOOKUP(Standings!BW$3,Entries!$L15:$L15,1,FALSE))),"S",""))</f>
        <v>x</v>
      </c>
      <c r="BX23" t="str">
        <f>IF(NOT(ISERROR(HLOOKUP(Standings!BX$3,Entries!$C15:$K15,1,FALSE))),"x",IF(NOT(ISERROR(HLOOKUP(Standings!BX$3,Entries!$L15:$L15,1,FALSE))),"S",""))</f>
        <v/>
      </c>
      <c r="BY23" t="str">
        <f>IF(NOT(ISERROR(HLOOKUP(Standings!BY$3,Entries!$C15:$K15,1,FALSE))),"x",IF(NOT(ISERROR(HLOOKUP(Standings!BY$3,Entries!$L15:$L15,1,FALSE))),"S",""))</f>
        <v/>
      </c>
      <c r="BZ23" t="str">
        <f>IF(NOT(ISERROR(HLOOKUP(Standings!BZ$3,Entries!$C15:$K15,1,FALSE))),"x",IF(NOT(ISERROR(HLOOKUP(Standings!BZ$3,Entries!$L15:$L15,1,FALSE))),"S",""))</f>
        <v/>
      </c>
      <c r="CA23" t="str">
        <f>IF(NOT(ISERROR(HLOOKUP(Standings!CA$3,Entries!$C15:$K15,1,FALSE))),"x",IF(NOT(ISERROR(HLOOKUP(Standings!CA$3,Entries!$L15:$L15,1,FALSE))),"S",""))</f>
        <v/>
      </c>
      <c r="CB23" t="str">
        <f>IF(NOT(ISERROR(HLOOKUP(Standings!CB$3,Entries!$C15:$K15,1,FALSE))),"x",IF(NOT(ISERROR(HLOOKUP(Standings!CB$3,Entries!$L15:$L15,1,FALSE))),"S",""))</f>
        <v/>
      </c>
      <c r="CC23" t="str">
        <f>IF(NOT(ISERROR(HLOOKUP(Standings!CC$3,Entries!$C15:$K15,1,FALSE))),"x",IF(NOT(ISERROR(HLOOKUP(Standings!CC$3,Entries!$L15:$L15,1,FALSE))),"S",""))</f>
        <v/>
      </c>
      <c r="CD23" t="str">
        <f>IF(NOT(ISERROR(HLOOKUP(Standings!CD$3,Entries!$C15:$K15,1,FALSE))),"x",IF(NOT(ISERROR(HLOOKUP(Standings!CD$3,Entries!$L15:$L15,1,FALSE))),"S",""))</f>
        <v/>
      </c>
      <c r="CE23" t="str">
        <f>IF(NOT(ISERROR(HLOOKUP(Standings!CE$3,Entries!$C15:$K15,1,FALSE))),"x",IF(NOT(ISERROR(HLOOKUP(Standings!CE$3,Entries!$L15:$L15,1,FALSE))),"S",""))</f>
        <v>x</v>
      </c>
      <c r="CF23" t="str">
        <f>IF(NOT(ISERROR(HLOOKUP(Standings!CF$3,Entries!$C15:$K15,1,FALSE))),"x",IF(NOT(ISERROR(HLOOKUP(Standings!CF$3,Entries!$L15:$L15,1,FALSE))),"S",""))</f>
        <v/>
      </c>
      <c r="CG23" t="str">
        <f>IF(NOT(ISERROR(HLOOKUP(Standings!CG$3,Entries!$C15:$K15,1,FALSE))),"x",IF(NOT(ISERROR(HLOOKUP(Standings!CG$3,Entries!$L15:$L15,1,FALSE))),"S",""))</f>
        <v/>
      </c>
      <c r="CH23" t="str">
        <f>IF(NOT(ISERROR(HLOOKUP(Standings!CH$3,Entries!$C15:$K15,1,FALSE))),"x",IF(NOT(ISERROR(HLOOKUP(Standings!CH$3,Entries!$L15:$L15,1,FALSE))),"S",""))</f>
        <v/>
      </c>
      <c r="CI23" t="str">
        <f>IF(NOT(ISERROR(HLOOKUP(Standings!CI$3,Entries!$C15:$K15,1,FALSE))),"x",IF(NOT(ISERROR(HLOOKUP(Standings!CI$3,Entries!$L15:$L15,1,FALSE))),"S",""))</f>
        <v/>
      </c>
      <c r="CJ23" t="str">
        <f>IF(NOT(ISERROR(HLOOKUP(Standings!CJ$3,Entries!$C15:$K15,1,FALSE))),"x",IF(NOT(ISERROR(HLOOKUP(Standings!CJ$3,Entries!$L15:$L15,1,FALSE))),"S",""))</f>
        <v/>
      </c>
      <c r="CK23" t="str">
        <f>IF(NOT(ISERROR(HLOOKUP(Standings!CK$3,Entries!$C15:$K15,1,FALSE))),"x",IF(NOT(ISERROR(HLOOKUP(Standings!CK$3,Entries!$L15:$L15,1,FALSE))),"S",""))</f>
        <v/>
      </c>
      <c r="CL23" t="str">
        <f>IF(NOT(ISERROR(HLOOKUP(Standings!CL$3,Entries!$C15:$K15,1,FALSE))),"x",IF(NOT(ISERROR(HLOOKUP(Standings!CL$3,Entries!$L15:$L15,1,FALSE))),"S",""))</f>
        <v/>
      </c>
      <c r="CM23" t="str">
        <f>IF(NOT(ISERROR(HLOOKUP(Standings!CM$3,Entries!$C15:$K15,1,FALSE))),"x",IF(NOT(ISERROR(HLOOKUP(Standings!CM$3,Entries!$L15:$L15,1,FALSE))),"S",""))</f>
        <v>x</v>
      </c>
      <c r="CN23" t="str">
        <f>IF(NOT(ISERROR(HLOOKUP(Standings!CN$3,Entries!$C15:$K15,1,FALSE))),"x",IF(NOT(ISERROR(HLOOKUP(Standings!CN$3,Entries!$L15:$L15,1,FALSE))),"S",""))</f>
        <v/>
      </c>
      <c r="CO23" t="str">
        <f>IF(NOT(ISERROR(HLOOKUP(Standings!CO$3,Entries!$C15:$K15,1,FALSE))),"x",IF(NOT(ISERROR(HLOOKUP(Standings!CO$3,Entries!$L15:$L15,1,FALSE))),"S",""))</f>
        <v/>
      </c>
      <c r="CP23" t="str">
        <f>IF(NOT(ISERROR(HLOOKUP(Standings!CP$3,Entries!$C15:$K15,1,FALSE))),"x",IF(NOT(ISERROR(HLOOKUP(Standings!CP$3,Entries!$L15:$L15,1,FALSE))),"S",""))</f>
        <v/>
      </c>
      <c r="CQ23" t="str">
        <f>IF(NOT(ISERROR(HLOOKUP(Standings!CQ$3,Entries!$C15:$K15,1,FALSE))),"x",IF(NOT(ISERROR(HLOOKUP(Standings!CQ$3,Entries!$L15:$L15,1,FALSE))),"S",""))</f>
        <v>S</v>
      </c>
      <c r="CR23" t="str">
        <f>IF(NOT(ISERROR(HLOOKUP(Standings!CR$3,Entries!$C15:$K15,1,FALSE))),"x",IF(NOT(ISERROR(HLOOKUP(Standings!CR$3,Entries!$L15:$L15,1,FALSE))),"S",""))</f>
        <v/>
      </c>
      <c r="CS23" t="str">
        <f>IF(NOT(ISERROR(HLOOKUP(Standings!CS$3,Entries!$C15:$K15,1,FALSE))),"x",IF(NOT(ISERROR(HLOOKUP(Standings!CS$3,Entries!$L15:$L15,1,FALSE))),"S",""))</f>
        <v/>
      </c>
      <c r="CT23" t="str">
        <f>IF(NOT(ISERROR(HLOOKUP(Standings!CT$3,Entries!$C15:$K15,1,FALSE))),"x",IF(NOT(ISERROR(HLOOKUP(Standings!CT$3,Entries!$L15:$L15,1,FALSE))),"S",""))</f>
        <v/>
      </c>
      <c r="CU23" t="str">
        <f>IF(NOT(ISERROR(HLOOKUP(Standings!CU$3,Entries!$C15:$K15,1,FALSE))),"x",IF(NOT(ISERROR(HLOOKUP(Standings!CU$3,Entries!$L15:$L15,1,FALSE))),"S",""))</f>
        <v/>
      </c>
      <c r="CV23" t="str">
        <f>IF(NOT(ISERROR(HLOOKUP(Standings!CV$3,Entries!$C15:$K15,1,FALSE))),"x",IF(NOT(ISERROR(HLOOKUP(Standings!CV$3,Entries!$L15:$L15,1,FALSE))),"S",""))</f>
        <v/>
      </c>
      <c r="CW23" t="str">
        <f>IF(NOT(ISERROR(HLOOKUP(Standings!CW$3,Entries!$C15:$K15,1,FALSE))),"x",IF(NOT(ISERROR(HLOOKUP(Standings!CW$3,Entries!$L15:$L15,1,FALSE))),"S",""))</f>
        <v/>
      </c>
      <c r="CX23" t="str">
        <f>IF(NOT(ISERROR(HLOOKUP(Standings!CX$3,Entries!$C15:$K15,1,FALSE))),"x",IF(NOT(ISERROR(HLOOKUP(Standings!CX$3,Entries!$L15:$L15,1,FALSE))),"S",""))</f>
        <v/>
      </c>
      <c r="CY23" t="str">
        <f>IF(NOT(ISERROR(HLOOKUP(Standings!CY$3,Entries!$C15:$K15,1,FALSE))),"x",IF(NOT(ISERROR(HLOOKUP(Standings!CY$3,Entries!$L15:$L15,1,FALSE))),"S",""))</f>
        <v/>
      </c>
      <c r="CZ23" t="str">
        <f>IF(NOT(ISERROR(HLOOKUP(Standings!CZ$3,Entries!$C15:$K15,1,FALSE))),"x",IF(NOT(ISERROR(HLOOKUP(Standings!CZ$3,Entries!$L15:$L15,1,FALSE))),"S",""))</f>
        <v/>
      </c>
      <c r="DA23" t="str">
        <f>IF(NOT(ISERROR(HLOOKUP(Standings!DA$3,Entries!$C15:$K15,1,FALSE))),"x",IF(NOT(ISERROR(HLOOKUP(Standings!DA$3,Entries!$L15:$L15,1,FALSE))),"S",""))</f>
        <v/>
      </c>
      <c r="DB23" t="str">
        <f>IF(NOT(ISERROR(HLOOKUP(Standings!DB$3,Entries!$C15:$K15,1,FALSE))),"x",IF(NOT(ISERROR(HLOOKUP(Standings!DB$3,Entries!$L15:$L15,1,FALSE))),"S",""))</f>
        <v/>
      </c>
    </row>
    <row r="24" spans="1:106" x14ac:dyDescent="0.25">
      <c r="A24" s="18"/>
      <c r="B24">
        <v>9</v>
      </c>
      <c r="C24" t="str">
        <f>Entries!B16</f>
        <v>JoelsBalance</v>
      </c>
      <c r="D24" s="4">
        <f t="shared" si="3"/>
        <v>18</v>
      </c>
      <c r="E24" s="31">
        <f t="shared" si="4"/>
        <v>2</v>
      </c>
      <c r="F24" s="40">
        <f t="shared" si="52"/>
        <v>2</v>
      </c>
      <c r="G24" s="41" t="str">
        <f t="shared" si="5"/>
        <v/>
      </c>
      <c r="H24" s="41" t="str">
        <f t="shared" si="6"/>
        <v/>
      </c>
      <c r="I24" s="42" t="str">
        <f t="shared" si="7"/>
        <v/>
      </c>
      <c r="J24" s="40" t="str">
        <f t="shared" si="8"/>
        <v/>
      </c>
      <c r="K24" s="41">
        <f t="shared" si="9"/>
        <v>0</v>
      </c>
      <c r="L24" s="41" t="str">
        <f t="shared" si="10"/>
        <v/>
      </c>
      <c r="M24" s="42" t="str">
        <f t="shared" si="11"/>
        <v/>
      </c>
      <c r="N24" s="43" t="str">
        <f t="shared" si="12"/>
        <v/>
      </c>
      <c r="O24" s="41" t="str">
        <f t="shared" si="13"/>
        <v/>
      </c>
      <c r="P24" s="41" t="str">
        <f t="shared" si="14"/>
        <v/>
      </c>
      <c r="Q24" s="42" t="str">
        <f t="shared" si="15"/>
        <v/>
      </c>
      <c r="R24" s="40" t="str">
        <f t="shared" si="16"/>
        <v/>
      </c>
      <c r="S24" s="41" t="str">
        <f t="shared" si="17"/>
        <v/>
      </c>
      <c r="T24" s="43">
        <f t="shared" si="18"/>
        <v>0</v>
      </c>
      <c r="U24" s="42" t="str">
        <f t="shared" si="19"/>
        <v/>
      </c>
      <c r="V24" s="40">
        <f t="shared" si="20"/>
        <v>-1.0000000000000001E-5</v>
      </c>
      <c r="W24" s="41" t="str">
        <f t="shared" si="21"/>
        <v/>
      </c>
      <c r="X24" s="41" t="str">
        <f t="shared" si="22"/>
        <v/>
      </c>
      <c r="Y24" s="42" t="str">
        <f t="shared" si="23"/>
        <v/>
      </c>
      <c r="Z24" s="40" t="str">
        <f t="shared" si="24"/>
        <v/>
      </c>
      <c r="AA24" s="41" t="str">
        <f t="shared" si="25"/>
        <v/>
      </c>
      <c r="AB24" s="41">
        <f t="shared" si="26"/>
        <v>0</v>
      </c>
      <c r="AC24" s="42" t="str">
        <f t="shared" si="27"/>
        <v/>
      </c>
      <c r="AD24" s="40" t="str">
        <f t="shared" si="28"/>
        <v/>
      </c>
      <c r="AE24" s="41">
        <f t="shared" si="29"/>
        <v>0</v>
      </c>
      <c r="AF24" s="41" t="str">
        <f t="shared" si="30"/>
        <v/>
      </c>
      <c r="AG24" s="42" t="str">
        <f t="shared" si="31"/>
        <v/>
      </c>
      <c r="AH24" s="40" t="str">
        <f t="shared" si="32"/>
        <v/>
      </c>
      <c r="AI24" s="41" t="str">
        <f t="shared" si="33"/>
        <v/>
      </c>
      <c r="AJ24" s="41" t="str">
        <f t="shared" si="34"/>
        <v/>
      </c>
      <c r="AK24" s="42" t="str">
        <f t="shared" si="35"/>
        <v/>
      </c>
      <c r="AL24" s="40" t="str">
        <f t="shared" si="36"/>
        <v/>
      </c>
      <c r="AM24" s="41">
        <f t="shared" si="37"/>
        <v>0</v>
      </c>
      <c r="AN24" s="41" t="str">
        <f t="shared" si="38"/>
        <v/>
      </c>
      <c r="AO24" s="42" t="str">
        <f t="shared" si="39"/>
        <v/>
      </c>
      <c r="AP24" s="40" t="str">
        <f t="shared" si="40"/>
        <v/>
      </c>
      <c r="AQ24" s="41" t="str">
        <f t="shared" si="41"/>
        <v/>
      </c>
      <c r="AR24" s="41" t="str">
        <f t="shared" si="42"/>
        <v/>
      </c>
      <c r="AS24" s="42" t="str">
        <f t="shared" si="43"/>
        <v/>
      </c>
      <c r="AT24" s="40">
        <f t="shared" si="44"/>
        <v>0</v>
      </c>
      <c r="AU24" s="41" t="str">
        <f t="shared" si="45"/>
        <v/>
      </c>
      <c r="AV24" s="41" t="str">
        <f t="shared" si="46"/>
        <v/>
      </c>
      <c r="AW24" s="42" t="str">
        <f t="shared" si="47"/>
        <v/>
      </c>
      <c r="AX24" s="40" t="str">
        <f t="shared" si="48"/>
        <v/>
      </c>
      <c r="AY24" s="41" t="str">
        <f t="shared" si="49"/>
        <v/>
      </c>
      <c r="AZ24" s="41" t="str">
        <f t="shared" si="50"/>
        <v/>
      </c>
      <c r="BA24" s="42">
        <f t="shared" si="51"/>
        <v>0</v>
      </c>
      <c r="BB24" s="37" t="s">
        <v>106</v>
      </c>
      <c r="BC24" s="21"/>
      <c r="BD24" s="21"/>
      <c r="BG24" t="str">
        <f>IF(NOT(ISERROR(HLOOKUP(Standings!BG$3,Entries!$C16:$K16,1,FALSE))),"x",IF(NOT(ISERROR(HLOOKUP(Standings!BG$3,Entries!$L16:$L16,1,FALSE))),"S",""))</f>
        <v>x</v>
      </c>
      <c r="BH24" t="str">
        <f>IF(NOT(ISERROR(HLOOKUP(Standings!BH$3,Entries!$C16:$K16,1,FALSE))),"x",IF(NOT(ISERROR(HLOOKUP(Standings!BH$3,Entries!$L16:$L16,1,FALSE))),"S",""))</f>
        <v/>
      </c>
      <c r="BI24" t="str">
        <f>IF(NOT(ISERROR(HLOOKUP(Standings!BI$3,Entries!$C16:$K16,1,FALSE))),"x",IF(NOT(ISERROR(HLOOKUP(Standings!BI$3,Entries!$L16:$L16,1,FALSE))),"S",""))</f>
        <v/>
      </c>
      <c r="BJ24" t="str">
        <f>IF(NOT(ISERROR(HLOOKUP(Standings!BJ$3,Entries!$C16:$K16,1,FALSE))),"x",IF(NOT(ISERROR(HLOOKUP(Standings!BJ$3,Entries!$L16:$L16,1,FALSE))),"S",""))</f>
        <v/>
      </c>
      <c r="BK24" t="str">
        <f>IF(NOT(ISERROR(HLOOKUP(Standings!BK$3,Entries!$C16:$K16,1,FALSE))),"x",IF(NOT(ISERROR(HLOOKUP(Standings!BK$3,Entries!$L16:$L16,1,FALSE))),"S",""))</f>
        <v/>
      </c>
      <c r="BL24" t="str">
        <f>IF(NOT(ISERROR(HLOOKUP(Standings!BL$3,Entries!$C16:$K16,1,FALSE))),"x",IF(NOT(ISERROR(HLOOKUP(Standings!BL$3,Entries!$L16:$L16,1,FALSE))),"S",""))</f>
        <v>x</v>
      </c>
      <c r="BM24" t="str">
        <f>IF(NOT(ISERROR(HLOOKUP(Standings!BM$3,Entries!$C16:$K16,1,FALSE))),"x",IF(NOT(ISERROR(HLOOKUP(Standings!BM$3,Entries!$L16:$L16,1,FALSE))),"S",""))</f>
        <v/>
      </c>
      <c r="BN24" t="str">
        <f>IF(NOT(ISERROR(HLOOKUP(Standings!BN$3,Entries!$C16:$K16,1,FALSE))),"x",IF(NOT(ISERROR(HLOOKUP(Standings!BN$3,Entries!$L16:$L16,1,FALSE))),"S",""))</f>
        <v/>
      </c>
      <c r="BO24" t="str">
        <f>IF(NOT(ISERROR(HLOOKUP(Standings!BO$3,Entries!$C16:$K16,1,FALSE))),"x",IF(NOT(ISERROR(HLOOKUP(Standings!BO$3,Entries!$L16:$L16,1,FALSE))),"S",""))</f>
        <v/>
      </c>
      <c r="BP24" t="str">
        <f>IF(NOT(ISERROR(HLOOKUP(Standings!BP$3,Entries!$C16:$K16,1,FALSE))),"x",IF(NOT(ISERROR(HLOOKUP(Standings!BP$3,Entries!$L16:$L16,1,FALSE))),"S",""))</f>
        <v/>
      </c>
      <c r="BQ24" t="str">
        <f>IF(NOT(ISERROR(HLOOKUP(Standings!BQ$3,Entries!$C16:$K16,1,FALSE))),"x",IF(NOT(ISERROR(HLOOKUP(Standings!BQ$3,Entries!$L16:$L16,1,FALSE))),"S",""))</f>
        <v/>
      </c>
      <c r="BR24" t="str">
        <f>IF(NOT(ISERROR(HLOOKUP(Standings!BR$3,Entries!$C16:$K16,1,FALSE))),"x",IF(NOT(ISERROR(HLOOKUP(Standings!BR$3,Entries!$L16:$L16,1,FALSE))),"S",""))</f>
        <v/>
      </c>
      <c r="BS24" t="str">
        <f>IF(NOT(ISERROR(HLOOKUP(Standings!BS$3,Entries!$C16:$K16,1,FALSE))),"x",IF(NOT(ISERROR(HLOOKUP(Standings!BS$3,Entries!$L16:$L16,1,FALSE))),"S",""))</f>
        <v/>
      </c>
      <c r="BT24" t="str">
        <f>IF(NOT(ISERROR(HLOOKUP(Standings!BT$3,Entries!$C16:$K16,1,FALSE))),"x",IF(NOT(ISERROR(HLOOKUP(Standings!BT$3,Entries!$L16:$L16,1,FALSE))),"S",""))</f>
        <v/>
      </c>
      <c r="BU24" t="str">
        <f>IF(NOT(ISERROR(HLOOKUP(Standings!BU$3,Entries!$C16:$K16,1,FALSE))),"x",IF(NOT(ISERROR(HLOOKUP(Standings!BU$3,Entries!$L16:$L16,1,FALSE))),"S",""))</f>
        <v>x</v>
      </c>
      <c r="BV24" t="str">
        <f>IF(NOT(ISERROR(HLOOKUP(Standings!BV$3,Entries!$C16:$K16,1,FALSE))),"x",IF(NOT(ISERROR(HLOOKUP(Standings!BV$3,Entries!$L16:$L16,1,FALSE))),"S",""))</f>
        <v/>
      </c>
      <c r="BW24" t="str">
        <f>IF(NOT(ISERROR(HLOOKUP(Standings!BW$3,Entries!$C16:$K16,1,FALSE))),"x",IF(NOT(ISERROR(HLOOKUP(Standings!BW$3,Entries!$L16:$L16,1,FALSE))),"S",""))</f>
        <v>S</v>
      </c>
      <c r="BX24" t="str">
        <f>IF(NOT(ISERROR(HLOOKUP(Standings!BX$3,Entries!$C16:$K16,1,FALSE))),"x",IF(NOT(ISERROR(HLOOKUP(Standings!BX$3,Entries!$L16:$L16,1,FALSE))),"S",""))</f>
        <v/>
      </c>
      <c r="BY24" t="str">
        <f>IF(NOT(ISERROR(HLOOKUP(Standings!BY$3,Entries!$C16:$K16,1,FALSE))),"x",IF(NOT(ISERROR(HLOOKUP(Standings!BY$3,Entries!$L16:$L16,1,FALSE))),"S",""))</f>
        <v/>
      </c>
      <c r="BZ24" t="str">
        <f>IF(NOT(ISERROR(HLOOKUP(Standings!BZ$3,Entries!$C16:$K16,1,FALSE))),"x",IF(NOT(ISERROR(HLOOKUP(Standings!BZ$3,Entries!$L16:$L16,1,FALSE))),"S",""))</f>
        <v/>
      </c>
      <c r="CA24" t="str">
        <f>IF(NOT(ISERROR(HLOOKUP(Standings!CA$3,Entries!$C16:$K16,1,FALSE))),"x",IF(NOT(ISERROR(HLOOKUP(Standings!CA$3,Entries!$L16:$L16,1,FALSE))),"S",""))</f>
        <v/>
      </c>
      <c r="CB24" t="str">
        <f>IF(NOT(ISERROR(HLOOKUP(Standings!CB$3,Entries!$C16:$K16,1,FALSE))),"x",IF(NOT(ISERROR(HLOOKUP(Standings!CB$3,Entries!$L16:$L16,1,FALSE))),"S",""))</f>
        <v/>
      </c>
      <c r="CC24" t="str">
        <f>IF(NOT(ISERROR(HLOOKUP(Standings!CC$3,Entries!$C16:$K16,1,FALSE))),"x",IF(NOT(ISERROR(HLOOKUP(Standings!CC$3,Entries!$L16:$L16,1,FALSE))),"S",""))</f>
        <v>x</v>
      </c>
      <c r="CD24" t="str">
        <f>IF(NOT(ISERROR(HLOOKUP(Standings!CD$3,Entries!$C16:$K16,1,FALSE))),"x",IF(NOT(ISERROR(HLOOKUP(Standings!CD$3,Entries!$L16:$L16,1,FALSE))),"S",""))</f>
        <v/>
      </c>
      <c r="CE24" t="str">
        <f>IF(NOT(ISERROR(HLOOKUP(Standings!CE$3,Entries!$C16:$K16,1,FALSE))),"x",IF(NOT(ISERROR(HLOOKUP(Standings!CE$3,Entries!$L16:$L16,1,FALSE))),"S",""))</f>
        <v/>
      </c>
      <c r="CF24" t="str">
        <f>IF(NOT(ISERROR(HLOOKUP(Standings!CF$3,Entries!$C16:$K16,1,FALSE))),"x",IF(NOT(ISERROR(HLOOKUP(Standings!CF$3,Entries!$L16:$L16,1,FALSE))),"S",""))</f>
        <v>x</v>
      </c>
      <c r="CG24" t="str">
        <f>IF(NOT(ISERROR(HLOOKUP(Standings!CG$3,Entries!$C16:$K16,1,FALSE))),"x",IF(NOT(ISERROR(HLOOKUP(Standings!CG$3,Entries!$L16:$L16,1,FALSE))),"S",""))</f>
        <v/>
      </c>
      <c r="CH24" t="str">
        <f>IF(NOT(ISERROR(HLOOKUP(Standings!CH$3,Entries!$C16:$K16,1,FALSE))),"x",IF(NOT(ISERROR(HLOOKUP(Standings!CH$3,Entries!$L16:$L16,1,FALSE))),"S",""))</f>
        <v/>
      </c>
      <c r="CI24" t="str">
        <f>IF(NOT(ISERROR(HLOOKUP(Standings!CI$3,Entries!$C16:$K16,1,FALSE))),"x",IF(NOT(ISERROR(HLOOKUP(Standings!CI$3,Entries!$L16:$L16,1,FALSE))),"S",""))</f>
        <v/>
      </c>
      <c r="CJ24" t="str">
        <f>IF(NOT(ISERROR(HLOOKUP(Standings!CJ$3,Entries!$C16:$K16,1,FALSE))),"x",IF(NOT(ISERROR(HLOOKUP(Standings!CJ$3,Entries!$L16:$L16,1,FALSE))),"S",""))</f>
        <v/>
      </c>
      <c r="CK24" t="str">
        <f>IF(NOT(ISERROR(HLOOKUP(Standings!CK$3,Entries!$C16:$K16,1,FALSE))),"x",IF(NOT(ISERROR(HLOOKUP(Standings!CK$3,Entries!$L16:$L16,1,FALSE))),"S",""))</f>
        <v/>
      </c>
      <c r="CL24" t="str">
        <f>IF(NOT(ISERROR(HLOOKUP(Standings!CL$3,Entries!$C16:$K16,1,FALSE))),"x",IF(NOT(ISERROR(HLOOKUP(Standings!CL$3,Entries!$L16:$L16,1,FALSE))),"S",""))</f>
        <v/>
      </c>
      <c r="CM24" t="str">
        <f>IF(NOT(ISERROR(HLOOKUP(Standings!CM$3,Entries!$C16:$K16,1,FALSE))),"x",IF(NOT(ISERROR(HLOOKUP(Standings!CM$3,Entries!$L16:$L16,1,FALSE))),"S",""))</f>
        <v/>
      </c>
      <c r="CN24" t="str">
        <f>IF(NOT(ISERROR(HLOOKUP(Standings!CN$3,Entries!$C16:$K16,1,FALSE))),"x",IF(NOT(ISERROR(HLOOKUP(Standings!CN$3,Entries!$L16:$L16,1,FALSE))),"S",""))</f>
        <v>x</v>
      </c>
      <c r="CO24" t="str">
        <f>IF(NOT(ISERROR(HLOOKUP(Standings!CO$3,Entries!$C16:$K16,1,FALSE))),"x",IF(NOT(ISERROR(HLOOKUP(Standings!CO$3,Entries!$L16:$L16,1,FALSE))),"S",""))</f>
        <v/>
      </c>
      <c r="CP24" t="str">
        <f>IF(NOT(ISERROR(HLOOKUP(Standings!CP$3,Entries!$C16:$K16,1,FALSE))),"x",IF(NOT(ISERROR(HLOOKUP(Standings!CP$3,Entries!$L16:$L16,1,FALSE))),"S",""))</f>
        <v/>
      </c>
      <c r="CQ24" t="str">
        <f>IF(NOT(ISERROR(HLOOKUP(Standings!CQ$3,Entries!$C16:$K16,1,FALSE))),"x",IF(NOT(ISERROR(HLOOKUP(Standings!CQ$3,Entries!$L16:$L16,1,FALSE))),"S",""))</f>
        <v/>
      </c>
      <c r="CR24" t="str">
        <f>IF(NOT(ISERROR(HLOOKUP(Standings!CR$3,Entries!$C16:$K16,1,FALSE))),"x",IF(NOT(ISERROR(HLOOKUP(Standings!CR$3,Entries!$L16:$L16,1,FALSE))),"S",""))</f>
        <v/>
      </c>
      <c r="CS24" t="str">
        <f>IF(NOT(ISERROR(HLOOKUP(Standings!CS$3,Entries!$C16:$K16,1,FALSE))),"x",IF(NOT(ISERROR(HLOOKUP(Standings!CS$3,Entries!$L16:$L16,1,FALSE))),"S",""))</f>
        <v/>
      </c>
      <c r="CT24" t="str">
        <f>IF(NOT(ISERROR(HLOOKUP(Standings!CT$3,Entries!$C16:$K16,1,FALSE))),"x",IF(NOT(ISERROR(HLOOKUP(Standings!CT$3,Entries!$L16:$L16,1,FALSE))),"S",""))</f>
        <v/>
      </c>
      <c r="CU24" t="str">
        <f>IF(NOT(ISERROR(HLOOKUP(Standings!CU$3,Entries!$C16:$K16,1,FALSE))),"x",IF(NOT(ISERROR(HLOOKUP(Standings!CU$3,Entries!$L16:$L16,1,FALSE))),"S",""))</f>
        <v>x</v>
      </c>
      <c r="CV24" t="str">
        <f>IF(NOT(ISERROR(HLOOKUP(Standings!CV$3,Entries!$C16:$K16,1,FALSE))),"x",IF(NOT(ISERROR(HLOOKUP(Standings!CV$3,Entries!$L16:$L16,1,FALSE))),"S",""))</f>
        <v/>
      </c>
      <c r="CW24" t="str">
        <f>IF(NOT(ISERROR(HLOOKUP(Standings!CW$3,Entries!$C16:$K16,1,FALSE))),"x",IF(NOT(ISERROR(HLOOKUP(Standings!CW$3,Entries!$L16:$L16,1,FALSE))),"S",""))</f>
        <v/>
      </c>
      <c r="CX24" t="str">
        <f>IF(NOT(ISERROR(HLOOKUP(Standings!CX$3,Entries!$C16:$K16,1,FALSE))),"x",IF(NOT(ISERROR(HLOOKUP(Standings!CX$3,Entries!$L16:$L16,1,FALSE))),"S",""))</f>
        <v/>
      </c>
      <c r="CY24" t="str">
        <f>IF(NOT(ISERROR(HLOOKUP(Standings!CY$3,Entries!$C16:$K16,1,FALSE))),"x",IF(NOT(ISERROR(HLOOKUP(Standings!CY$3,Entries!$L16:$L16,1,FALSE))),"S",""))</f>
        <v/>
      </c>
      <c r="CZ24" t="str">
        <f>IF(NOT(ISERROR(HLOOKUP(Standings!CZ$3,Entries!$C16:$K16,1,FALSE))),"x",IF(NOT(ISERROR(HLOOKUP(Standings!CZ$3,Entries!$L16:$L16,1,FALSE))),"S",""))</f>
        <v/>
      </c>
      <c r="DA24" t="str">
        <f>IF(NOT(ISERROR(HLOOKUP(Standings!DA$3,Entries!$C16:$K16,1,FALSE))),"x",IF(NOT(ISERROR(HLOOKUP(Standings!DA$3,Entries!$L16:$L16,1,FALSE))),"S",""))</f>
        <v/>
      </c>
      <c r="DB24" t="str">
        <f>IF(NOT(ISERROR(HLOOKUP(Standings!DB$3,Entries!$C16:$K16,1,FALSE))),"x",IF(NOT(ISERROR(HLOOKUP(Standings!DB$3,Entries!$L16:$L16,1,FALSE))),"S",""))</f>
        <v>x</v>
      </c>
    </row>
    <row r="25" spans="1:106" x14ac:dyDescent="0.25">
      <c r="A25" s="18"/>
      <c r="B25">
        <v>38</v>
      </c>
      <c r="C25" t="str">
        <f>Entries!B17</f>
        <v>JoelsBigShort</v>
      </c>
      <c r="D25" s="4">
        <f t="shared" si="3"/>
        <v>8</v>
      </c>
      <c r="E25" s="31">
        <f t="shared" si="4"/>
        <v>3</v>
      </c>
      <c r="F25" s="40">
        <f t="shared" si="52"/>
        <v>2</v>
      </c>
      <c r="G25" s="41" t="str">
        <f t="shared" si="5"/>
        <v/>
      </c>
      <c r="H25" s="41" t="str">
        <f t="shared" si="6"/>
        <v/>
      </c>
      <c r="I25" s="42" t="str">
        <f t="shared" si="7"/>
        <v/>
      </c>
      <c r="J25" s="40">
        <f t="shared" si="8"/>
        <v>1</v>
      </c>
      <c r="K25" s="41">
        <f t="shared" si="9"/>
        <v>0</v>
      </c>
      <c r="L25" s="41" t="str">
        <f t="shared" si="10"/>
        <v/>
      </c>
      <c r="M25" s="42" t="str">
        <f t="shared" si="11"/>
        <v/>
      </c>
      <c r="N25" s="43" t="str">
        <f t="shared" si="12"/>
        <v/>
      </c>
      <c r="O25" s="41" t="str">
        <f t="shared" si="13"/>
        <v/>
      </c>
      <c r="P25" s="41" t="str">
        <f t="shared" si="14"/>
        <v/>
      </c>
      <c r="Q25" s="42" t="str">
        <f t="shared" si="15"/>
        <v/>
      </c>
      <c r="R25" s="40" t="str">
        <f t="shared" si="16"/>
        <v/>
      </c>
      <c r="S25" s="41" t="str">
        <f t="shared" si="17"/>
        <v/>
      </c>
      <c r="T25" s="43" t="str">
        <f t="shared" si="18"/>
        <v/>
      </c>
      <c r="U25" s="42" t="str">
        <f t="shared" si="19"/>
        <v/>
      </c>
      <c r="V25" s="40" t="str">
        <f t="shared" si="20"/>
        <v/>
      </c>
      <c r="W25" s="41">
        <f t="shared" si="21"/>
        <v>0</v>
      </c>
      <c r="X25" s="41" t="str">
        <f t="shared" si="22"/>
        <v/>
      </c>
      <c r="Y25" s="42" t="str">
        <f t="shared" si="23"/>
        <v/>
      </c>
      <c r="Z25" s="40">
        <f t="shared" si="24"/>
        <v>0</v>
      </c>
      <c r="AA25" s="41">
        <f t="shared" si="25"/>
        <v>0</v>
      </c>
      <c r="AB25" s="41" t="str">
        <f t="shared" si="26"/>
        <v/>
      </c>
      <c r="AC25" s="42" t="str">
        <f t="shared" si="27"/>
        <v/>
      </c>
      <c r="AD25" s="40" t="str">
        <f t="shared" si="28"/>
        <v/>
      </c>
      <c r="AE25" s="41">
        <f t="shared" si="29"/>
        <v>0</v>
      </c>
      <c r="AF25" s="41" t="str">
        <f t="shared" si="30"/>
        <v/>
      </c>
      <c r="AG25" s="42" t="str">
        <f t="shared" si="31"/>
        <v/>
      </c>
      <c r="AH25" s="40" t="str">
        <f t="shared" si="32"/>
        <v/>
      </c>
      <c r="AI25" s="41" t="str">
        <f t="shared" si="33"/>
        <v/>
      </c>
      <c r="AJ25" s="41" t="str">
        <f t="shared" si="34"/>
        <v/>
      </c>
      <c r="AK25" s="42" t="str">
        <f t="shared" si="35"/>
        <v/>
      </c>
      <c r="AL25" s="40">
        <f t="shared" si="36"/>
        <v>-1.0000000000000001E-5</v>
      </c>
      <c r="AM25" s="41" t="str">
        <f t="shared" si="37"/>
        <v/>
      </c>
      <c r="AN25" s="41" t="str">
        <f t="shared" si="38"/>
        <v/>
      </c>
      <c r="AO25" s="42" t="str">
        <f t="shared" si="39"/>
        <v/>
      </c>
      <c r="AP25" s="40" t="str">
        <f t="shared" si="40"/>
        <v/>
      </c>
      <c r="AQ25" s="41" t="str">
        <f t="shared" si="41"/>
        <v/>
      </c>
      <c r="AR25" s="41">
        <f t="shared" si="42"/>
        <v>0</v>
      </c>
      <c r="AS25" s="42" t="str">
        <f t="shared" si="43"/>
        <v/>
      </c>
      <c r="AT25" s="40" t="str">
        <f t="shared" si="44"/>
        <v/>
      </c>
      <c r="AU25" s="41" t="str">
        <f t="shared" si="45"/>
        <v/>
      </c>
      <c r="AV25" s="41" t="str">
        <f t="shared" si="46"/>
        <v/>
      </c>
      <c r="AW25" s="42" t="str">
        <f t="shared" si="47"/>
        <v/>
      </c>
      <c r="AX25" s="40" t="str">
        <f t="shared" si="48"/>
        <v/>
      </c>
      <c r="AY25" s="41">
        <f t="shared" si="49"/>
        <v>0</v>
      </c>
      <c r="AZ25" s="41" t="str">
        <f t="shared" si="50"/>
        <v/>
      </c>
      <c r="BA25" s="42" t="str">
        <f t="shared" si="51"/>
        <v/>
      </c>
      <c r="BB25" s="37" t="s">
        <v>106</v>
      </c>
      <c r="BC25" s="21"/>
      <c r="BD25" s="21"/>
      <c r="BG25" t="str">
        <f>IF(NOT(ISERROR(HLOOKUP(Standings!BG$3,Entries!$C17:$K17,1,FALSE))),"x",IF(NOT(ISERROR(HLOOKUP(Standings!BG$3,Entries!$L17:$L17,1,FALSE))),"S",""))</f>
        <v>x</v>
      </c>
      <c r="BH25" t="str">
        <f>IF(NOT(ISERROR(HLOOKUP(Standings!BH$3,Entries!$C17:$K17,1,FALSE))),"x",IF(NOT(ISERROR(HLOOKUP(Standings!BH$3,Entries!$L17:$L17,1,FALSE))),"S",""))</f>
        <v/>
      </c>
      <c r="BI25" t="str">
        <f>IF(NOT(ISERROR(HLOOKUP(Standings!BI$3,Entries!$C17:$K17,1,FALSE))),"x",IF(NOT(ISERROR(HLOOKUP(Standings!BI$3,Entries!$L17:$L17,1,FALSE))),"S",""))</f>
        <v/>
      </c>
      <c r="BJ25" t="str">
        <f>IF(NOT(ISERROR(HLOOKUP(Standings!BJ$3,Entries!$C17:$K17,1,FALSE))),"x",IF(NOT(ISERROR(HLOOKUP(Standings!BJ$3,Entries!$L17:$L17,1,FALSE))),"S",""))</f>
        <v/>
      </c>
      <c r="BK25" t="str">
        <f>IF(NOT(ISERROR(HLOOKUP(Standings!BK$3,Entries!$C17:$K17,1,FALSE))),"x",IF(NOT(ISERROR(HLOOKUP(Standings!BK$3,Entries!$L17:$L17,1,FALSE))),"S",""))</f>
        <v>x</v>
      </c>
      <c r="BL25" t="str">
        <f>IF(NOT(ISERROR(HLOOKUP(Standings!BL$3,Entries!$C17:$K17,1,FALSE))),"x",IF(NOT(ISERROR(HLOOKUP(Standings!BL$3,Entries!$L17:$L17,1,FALSE))),"S",""))</f>
        <v>x</v>
      </c>
      <c r="BM25" t="str">
        <f>IF(NOT(ISERROR(HLOOKUP(Standings!BM$3,Entries!$C17:$K17,1,FALSE))),"x",IF(NOT(ISERROR(HLOOKUP(Standings!BM$3,Entries!$L17:$L17,1,FALSE))),"S",""))</f>
        <v/>
      </c>
      <c r="BN25" t="str">
        <f>IF(NOT(ISERROR(HLOOKUP(Standings!BN$3,Entries!$C17:$K17,1,FALSE))),"x",IF(NOT(ISERROR(HLOOKUP(Standings!BN$3,Entries!$L17:$L17,1,FALSE))),"S",""))</f>
        <v/>
      </c>
      <c r="BO25" t="str">
        <f>IF(NOT(ISERROR(HLOOKUP(Standings!BO$3,Entries!$C17:$K17,1,FALSE))),"x",IF(NOT(ISERROR(HLOOKUP(Standings!BO$3,Entries!$L17:$L17,1,FALSE))),"S",""))</f>
        <v/>
      </c>
      <c r="BP25" t="str">
        <f>IF(NOT(ISERROR(HLOOKUP(Standings!BP$3,Entries!$C17:$K17,1,FALSE))),"x",IF(NOT(ISERROR(HLOOKUP(Standings!BP$3,Entries!$L17:$L17,1,FALSE))),"S",""))</f>
        <v/>
      </c>
      <c r="BQ25" t="str">
        <f>IF(NOT(ISERROR(HLOOKUP(Standings!BQ$3,Entries!$C17:$K17,1,FALSE))),"x",IF(NOT(ISERROR(HLOOKUP(Standings!BQ$3,Entries!$L17:$L17,1,FALSE))),"S",""))</f>
        <v/>
      </c>
      <c r="BR25" t="str">
        <f>IF(NOT(ISERROR(HLOOKUP(Standings!BR$3,Entries!$C17:$K17,1,FALSE))),"x",IF(NOT(ISERROR(HLOOKUP(Standings!BR$3,Entries!$L17:$L17,1,FALSE))),"S",""))</f>
        <v/>
      </c>
      <c r="BS25" t="str">
        <f>IF(NOT(ISERROR(HLOOKUP(Standings!BS$3,Entries!$C17:$K17,1,FALSE))),"x",IF(NOT(ISERROR(HLOOKUP(Standings!BS$3,Entries!$L17:$L17,1,FALSE))),"S",""))</f>
        <v/>
      </c>
      <c r="BT25" t="str">
        <f>IF(NOT(ISERROR(HLOOKUP(Standings!BT$3,Entries!$C17:$K17,1,FALSE))),"x",IF(NOT(ISERROR(HLOOKUP(Standings!BT$3,Entries!$L17:$L17,1,FALSE))),"S",""))</f>
        <v/>
      </c>
      <c r="BU25" t="str">
        <f>IF(NOT(ISERROR(HLOOKUP(Standings!BU$3,Entries!$C17:$K17,1,FALSE))),"x",IF(NOT(ISERROR(HLOOKUP(Standings!BU$3,Entries!$L17:$L17,1,FALSE))),"S",""))</f>
        <v/>
      </c>
      <c r="BV25" t="str">
        <f>IF(NOT(ISERROR(HLOOKUP(Standings!BV$3,Entries!$C17:$K17,1,FALSE))),"x",IF(NOT(ISERROR(HLOOKUP(Standings!BV$3,Entries!$L17:$L17,1,FALSE))),"S",""))</f>
        <v/>
      </c>
      <c r="BW25" t="str">
        <f>IF(NOT(ISERROR(HLOOKUP(Standings!BW$3,Entries!$C17:$K17,1,FALSE))),"x",IF(NOT(ISERROR(HLOOKUP(Standings!BW$3,Entries!$L17:$L17,1,FALSE))),"S",""))</f>
        <v/>
      </c>
      <c r="BX25" t="str">
        <f>IF(NOT(ISERROR(HLOOKUP(Standings!BX$3,Entries!$C17:$K17,1,FALSE))),"x",IF(NOT(ISERROR(HLOOKUP(Standings!BX$3,Entries!$L17:$L17,1,FALSE))),"S",""))</f>
        <v>x</v>
      </c>
      <c r="BY25" t="str">
        <f>IF(NOT(ISERROR(HLOOKUP(Standings!BY$3,Entries!$C17:$K17,1,FALSE))),"x",IF(NOT(ISERROR(HLOOKUP(Standings!BY$3,Entries!$L17:$L17,1,FALSE))),"S",""))</f>
        <v/>
      </c>
      <c r="BZ25" t="str">
        <f>IF(NOT(ISERROR(HLOOKUP(Standings!BZ$3,Entries!$C17:$K17,1,FALSE))),"x",IF(NOT(ISERROR(HLOOKUP(Standings!BZ$3,Entries!$L17:$L17,1,FALSE))),"S",""))</f>
        <v/>
      </c>
      <c r="CA25" t="str">
        <f>IF(NOT(ISERROR(HLOOKUP(Standings!CA$3,Entries!$C17:$K17,1,FALSE))),"x",IF(NOT(ISERROR(HLOOKUP(Standings!CA$3,Entries!$L17:$L17,1,FALSE))),"S",""))</f>
        <v>x</v>
      </c>
      <c r="CB25" t="str">
        <f>IF(NOT(ISERROR(HLOOKUP(Standings!CB$3,Entries!$C17:$K17,1,FALSE))),"x",IF(NOT(ISERROR(HLOOKUP(Standings!CB$3,Entries!$L17:$L17,1,FALSE))),"S",""))</f>
        <v>x</v>
      </c>
      <c r="CC25" t="str">
        <f>IF(NOT(ISERROR(HLOOKUP(Standings!CC$3,Entries!$C17:$K17,1,FALSE))),"x",IF(NOT(ISERROR(HLOOKUP(Standings!CC$3,Entries!$L17:$L17,1,FALSE))),"S",""))</f>
        <v/>
      </c>
      <c r="CD25" t="str">
        <f>IF(NOT(ISERROR(HLOOKUP(Standings!CD$3,Entries!$C17:$K17,1,FALSE))),"x",IF(NOT(ISERROR(HLOOKUP(Standings!CD$3,Entries!$L17:$L17,1,FALSE))),"S",""))</f>
        <v/>
      </c>
      <c r="CE25" t="str">
        <f>IF(NOT(ISERROR(HLOOKUP(Standings!CE$3,Entries!$C17:$K17,1,FALSE))),"x",IF(NOT(ISERROR(HLOOKUP(Standings!CE$3,Entries!$L17:$L17,1,FALSE))),"S",""))</f>
        <v/>
      </c>
      <c r="CF25" t="str">
        <f>IF(NOT(ISERROR(HLOOKUP(Standings!CF$3,Entries!$C17:$K17,1,FALSE))),"x",IF(NOT(ISERROR(HLOOKUP(Standings!CF$3,Entries!$L17:$L17,1,FALSE))),"S",""))</f>
        <v>x</v>
      </c>
      <c r="CG25" t="str">
        <f>IF(NOT(ISERROR(HLOOKUP(Standings!CG$3,Entries!$C17:$K17,1,FALSE))),"x",IF(NOT(ISERROR(HLOOKUP(Standings!CG$3,Entries!$L17:$L17,1,FALSE))),"S",""))</f>
        <v/>
      </c>
      <c r="CH25" t="str">
        <f>IF(NOT(ISERROR(HLOOKUP(Standings!CH$3,Entries!$C17:$K17,1,FALSE))),"x",IF(NOT(ISERROR(HLOOKUP(Standings!CH$3,Entries!$L17:$L17,1,FALSE))),"S",""))</f>
        <v/>
      </c>
      <c r="CI25" t="str">
        <f>IF(NOT(ISERROR(HLOOKUP(Standings!CI$3,Entries!$C17:$K17,1,FALSE))),"x",IF(NOT(ISERROR(HLOOKUP(Standings!CI$3,Entries!$L17:$L17,1,FALSE))),"S",""))</f>
        <v/>
      </c>
      <c r="CJ25" t="str">
        <f>IF(NOT(ISERROR(HLOOKUP(Standings!CJ$3,Entries!$C17:$K17,1,FALSE))),"x",IF(NOT(ISERROR(HLOOKUP(Standings!CJ$3,Entries!$L17:$L17,1,FALSE))),"S",""))</f>
        <v/>
      </c>
      <c r="CK25" t="str">
        <f>IF(NOT(ISERROR(HLOOKUP(Standings!CK$3,Entries!$C17:$K17,1,FALSE))),"x",IF(NOT(ISERROR(HLOOKUP(Standings!CK$3,Entries!$L17:$L17,1,FALSE))),"S",""))</f>
        <v/>
      </c>
      <c r="CL25" t="str">
        <f>IF(NOT(ISERROR(HLOOKUP(Standings!CL$3,Entries!$C17:$K17,1,FALSE))),"x",IF(NOT(ISERROR(HLOOKUP(Standings!CL$3,Entries!$L17:$L17,1,FALSE))),"S",""))</f>
        <v/>
      </c>
      <c r="CM25" t="str">
        <f>IF(NOT(ISERROR(HLOOKUP(Standings!CM$3,Entries!$C17:$K17,1,FALSE))),"x",IF(NOT(ISERROR(HLOOKUP(Standings!CM$3,Entries!$L17:$L17,1,FALSE))),"S",""))</f>
        <v>S</v>
      </c>
      <c r="CN25" t="str">
        <f>IF(NOT(ISERROR(HLOOKUP(Standings!CN$3,Entries!$C17:$K17,1,FALSE))),"x",IF(NOT(ISERROR(HLOOKUP(Standings!CN$3,Entries!$L17:$L17,1,FALSE))),"S",""))</f>
        <v/>
      </c>
      <c r="CO25" t="str">
        <f>IF(NOT(ISERROR(HLOOKUP(Standings!CO$3,Entries!$C17:$K17,1,FALSE))),"x",IF(NOT(ISERROR(HLOOKUP(Standings!CO$3,Entries!$L17:$L17,1,FALSE))),"S",""))</f>
        <v/>
      </c>
      <c r="CP25" t="str">
        <f>IF(NOT(ISERROR(HLOOKUP(Standings!CP$3,Entries!$C17:$K17,1,FALSE))),"x",IF(NOT(ISERROR(HLOOKUP(Standings!CP$3,Entries!$L17:$L17,1,FALSE))),"S",""))</f>
        <v/>
      </c>
      <c r="CQ25" t="str">
        <f>IF(NOT(ISERROR(HLOOKUP(Standings!CQ$3,Entries!$C17:$K17,1,FALSE))),"x",IF(NOT(ISERROR(HLOOKUP(Standings!CQ$3,Entries!$L17:$L17,1,FALSE))),"S",""))</f>
        <v/>
      </c>
      <c r="CR25" t="str">
        <f>IF(NOT(ISERROR(HLOOKUP(Standings!CR$3,Entries!$C17:$K17,1,FALSE))),"x",IF(NOT(ISERROR(HLOOKUP(Standings!CR$3,Entries!$L17:$L17,1,FALSE))),"S",""))</f>
        <v/>
      </c>
      <c r="CS25" t="str">
        <f>IF(NOT(ISERROR(HLOOKUP(Standings!CS$3,Entries!$C17:$K17,1,FALSE))),"x",IF(NOT(ISERROR(HLOOKUP(Standings!CS$3,Entries!$L17:$L17,1,FALSE))),"S",""))</f>
        <v>x</v>
      </c>
      <c r="CT25" t="str">
        <f>IF(NOT(ISERROR(HLOOKUP(Standings!CT$3,Entries!$C17:$K17,1,FALSE))),"x",IF(NOT(ISERROR(HLOOKUP(Standings!CT$3,Entries!$L17:$L17,1,FALSE))),"S",""))</f>
        <v/>
      </c>
      <c r="CU25" t="str">
        <f>IF(NOT(ISERROR(HLOOKUP(Standings!CU$3,Entries!$C17:$K17,1,FALSE))),"x",IF(NOT(ISERROR(HLOOKUP(Standings!CU$3,Entries!$L17:$L17,1,FALSE))),"S",""))</f>
        <v/>
      </c>
      <c r="CV25" t="str">
        <f>IF(NOT(ISERROR(HLOOKUP(Standings!CV$3,Entries!$C17:$K17,1,FALSE))),"x",IF(NOT(ISERROR(HLOOKUP(Standings!CV$3,Entries!$L17:$L17,1,FALSE))),"S",""))</f>
        <v/>
      </c>
      <c r="CW25" t="str">
        <f>IF(NOT(ISERROR(HLOOKUP(Standings!CW$3,Entries!$C17:$K17,1,FALSE))),"x",IF(NOT(ISERROR(HLOOKUP(Standings!CW$3,Entries!$L17:$L17,1,FALSE))),"S",""))</f>
        <v/>
      </c>
      <c r="CX25" t="str">
        <f>IF(NOT(ISERROR(HLOOKUP(Standings!CX$3,Entries!$C17:$K17,1,FALSE))),"x",IF(NOT(ISERROR(HLOOKUP(Standings!CX$3,Entries!$L17:$L17,1,FALSE))),"S",""))</f>
        <v/>
      </c>
      <c r="CY25" t="str">
        <f>IF(NOT(ISERROR(HLOOKUP(Standings!CY$3,Entries!$C17:$K17,1,FALSE))),"x",IF(NOT(ISERROR(HLOOKUP(Standings!CY$3,Entries!$L17:$L17,1,FALSE))),"S",""))</f>
        <v/>
      </c>
      <c r="CZ25" t="str">
        <f>IF(NOT(ISERROR(HLOOKUP(Standings!CZ$3,Entries!$C17:$K17,1,FALSE))),"x",IF(NOT(ISERROR(HLOOKUP(Standings!CZ$3,Entries!$L17:$L17,1,FALSE))),"S",""))</f>
        <v>x</v>
      </c>
      <c r="DA25" t="str">
        <f>IF(NOT(ISERROR(HLOOKUP(Standings!DA$3,Entries!$C17:$K17,1,FALSE))),"x",IF(NOT(ISERROR(HLOOKUP(Standings!DA$3,Entries!$L17:$L17,1,FALSE))),"S",""))</f>
        <v/>
      </c>
      <c r="DB25" t="str">
        <f>IF(NOT(ISERROR(HLOOKUP(Standings!DB$3,Entries!$C17:$K17,1,FALSE))),"x",IF(NOT(ISERROR(HLOOKUP(Standings!DB$3,Entries!$L17:$L17,1,FALSE))),"S",""))</f>
        <v/>
      </c>
    </row>
    <row r="26" spans="1:106" x14ac:dyDescent="0.25">
      <c r="B26">
        <v>53</v>
      </c>
      <c r="C26" t="str">
        <f>Entries!B18</f>
        <v>JoelsSenegalFlex</v>
      </c>
      <c r="D26" s="4">
        <f t="shared" si="3"/>
        <v>8</v>
      </c>
      <c r="E26" s="31">
        <f t="shared" si="4"/>
        <v>3</v>
      </c>
      <c r="F26" s="40">
        <f t="shared" si="52"/>
        <v>2</v>
      </c>
      <c r="G26" s="41" t="str">
        <f t="shared" si="5"/>
        <v/>
      </c>
      <c r="H26" s="41" t="str">
        <f t="shared" si="6"/>
        <v/>
      </c>
      <c r="I26" s="42" t="str">
        <f t="shared" si="7"/>
        <v/>
      </c>
      <c r="J26" s="40">
        <f t="shared" si="8"/>
        <v>1</v>
      </c>
      <c r="K26" s="41">
        <f t="shared" si="9"/>
        <v>0</v>
      </c>
      <c r="L26" s="41" t="str">
        <f t="shared" si="10"/>
        <v/>
      </c>
      <c r="M26" s="42" t="str">
        <f t="shared" si="11"/>
        <v/>
      </c>
      <c r="N26" s="43" t="str">
        <f t="shared" si="12"/>
        <v/>
      </c>
      <c r="O26" s="41" t="str">
        <f t="shared" si="13"/>
        <v/>
      </c>
      <c r="P26" s="41" t="str">
        <f t="shared" si="14"/>
        <v/>
      </c>
      <c r="Q26" s="42" t="str">
        <f t="shared" si="15"/>
        <v/>
      </c>
      <c r="R26" s="40" t="str">
        <f t="shared" si="16"/>
        <v/>
      </c>
      <c r="S26" s="41" t="str">
        <f t="shared" si="17"/>
        <v/>
      </c>
      <c r="T26" s="43" t="str">
        <f t="shared" si="18"/>
        <v/>
      </c>
      <c r="U26" s="42" t="str">
        <f t="shared" si="19"/>
        <v/>
      </c>
      <c r="V26" s="40" t="str">
        <f t="shared" si="20"/>
        <v/>
      </c>
      <c r="W26" s="41">
        <f t="shared" si="21"/>
        <v>0</v>
      </c>
      <c r="X26" s="41" t="str">
        <f t="shared" si="22"/>
        <v/>
      </c>
      <c r="Y26" s="42" t="str">
        <f t="shared" si="23"/>
        <v/>
      </c>
      <c r="Z26" s="40">
        <f t="shared" si="24"/>
        <v>0</v>
      </c>
      <c r="AA26" s="41">
        <f t="shared" si="25"/>
        <v>0</v>
      </c>
      <c r="AB26" s="41" t="str">
        <f t="shared" si="26"/>
        <v/>
      </c>
      <c r="AC26" s="42" t="str">
        <f t="shared" si="27"/>
        <v/>
      </c>
      <c r="AD26" s="40" t="str">
        <f t="shared" si="28"/>
        <v/>
      </c>
      <c r="AE26" s="41">
        <f t="shared" si="29"/>
        <v>0</v>
      </c>
      <c r="AF26" s="41" t="str">
        <f t="shared" si="30"/>
        <v/>
      </c>
      <c r="AG26" s="42" t="str">
        <f t="shared" si="31"/>
        <v/>
      </c>
      <c r="AH26" s="40">
        <f t="shared" si="32"/>
        <v>-1.0000000000000001E-5</v>
      </c>
      <c r="AI26" s="41" t="str">
        <f t="shared" si="33"/>
        <v/>
      </c>
      <c r="AJ26" s="41" t="str">
        <f t="shared" si="34"/>
        <v/>
      </c>
      <c r="AK26" s="42" t="str">
        <f t="shared" si="35"/>
        <v/>
      </c>
      <c r="AL26" s="40" t="str">
        <f t="shared" si="36"/>
        <v/>
      </c>
      <c r="AM26" s="41">
        <f t="shared" si="37"/>
        <v>0</v>
      </c>
      <c r="AN26" s="41" t="str">
        <f t="shared" si="38"/>
        <v/>
      </c>
      <c r="AO26" s="42" t="str">
        <f t="shared" si="39"/>
        <v/>
      </c>
      <c r="AP26" s="40" t="str">
        <f t="shared" si="40"/>
        <v/>
      </c>
      <c r="AQ26" s="41" t="str">
        <f t="shared" si="41"/>
        <v/>
      </c>
      <c r="AR26" s="41" t="str">
        <f t="shared" si="42"/>
        <v/>
      </c>
      <c r="AS26" s="42" t="str">
        <f t="shared" si="43"/>
        <v/>
      </c>
      <c r="AT26" s="40" t="str">
        <f t="shared" si="44"/>
        <v/>
      </c>
      <c r="AU26" s="41" t="str">
        <f t="shared" si="45"/>
        <v/>
      </c>
      <c r="AV26" s="41" t="str">
        <f t="shared" si="46"/>
        <v/>
      </c>
      <c r="AW26" s="42" t="str">
        <f t="shared" si="47"/>
        <v/>
      </c>
      <c r="AX26" s="40" t="str">
        <f t="shared" si="48"/>
        <v/>
      </c>
      <c r="AY26" s="41">
        <f t="shared" si="49"/>
        <v>0</v>
      </c>
      <c r="AZ26" s="41" t="str">
        <f t="shared" si="50"/>
        <v/>
      </c>
      <c r="BA26" s="42" t="str">
        <f t="shared" si="51"/>
        <v/>
      </c>
      <c r="BB26" s="37" t="s">
        <v>106</v>
      </c>
      <c r="BC26" s="21"/>
      <c r="BD26" s="21"/>
      <c r="BG26" t="str">
        <f>IF(NOT(ISERROR(HLOOKUP(Standings!BG$3,Entries!$C18:$K18,1,FALSE))),"x",IF(NOT(ISERROR(HLOOKUP(Standings!BG$3,Entries!$L18:$L18,1,FALSE))),"S",""))</f>
        <v>x</v>
      </c>
      <c r="BH26" t="str">
        <f>IF(NOT(ISERROR(HLOOKUP(Standings!BH$3,Entries!$C18:$K18,1,FALSE))),"x",IF(NOT(ISERROR(HLOOKUP(Standings!BH$3,Entries!$L18:$L18,1,FALSE))),"S",""))</f>
        <v/>
      </c>
      <c r="BI26" t="str">
        <f>IF(NOT(ISERROR(HLOOKUP(Standings!BI$3,Entries!$C18:$K18,1,FALSE))),"x",IF(NOT(ISERROR(HLOOKUP(Standings!BI$3,Entries!$L18:$L18,1,FALSE))),"S",""))</f>
        <v/>
      </c>
      <c r="BJ26" t="str">
        <f>IF(NOT(ISERROR(HLOOKUP(Standings!BJ$3,Entries!$C18:$K18,1,FALSE))),"x",IF(NOT(ISERROR(HLOOKUP(Standings!BJ$3,Entries!$L18:$L18,1,FALSE))),"S",""))</f>
        <v/>
      </c>
      <c r="BK26" t="str">
        <f>IF(NOT(ISERROR(HLOOKUP(Standings!BK$3,Entries!$C18:$K18,1,FALSE))),"x",IF(NOT(ISERROR(HLOOKUP(Standings!BK$3,Entries!$L18:$L18,1,FALSE))),"S",""))</f>
        <v>x</v>
      </c>
      <c r="BL26" t="str">
        <f>IF(NOT(ISERROR(HLOOKUP(Standings!BL$3,Entries!$C18:$K18,1,FALSE))),"x",IF(NOT(ISERROR(HLOOKUP(Standings!BL$3,Entries!$L18:$L18,1,FALSE))),"S",""))</f>
        <v>x</v>
      </c>
      <c r="BM26" t="str">
        <f>IF(NOT(ISERROR(HLOOKUP(Standings!BM$3,Entries!$C18:$K18,1,FALSE))),"x",IF(NOT(ISERROR(HLOOKUP(Standings!BM$3,Entries!$L18:$L18,1,FALSE))),"S",""))</f>
        <v/>
      </c>
      <c r="BN26" t="str">
        <f>IF(NOT(ISERROR(HLOOKUP(Standings!BN$3,Entries!$C18:$K18,1,FALSE))),"x",IF(NOT(ISERROR(HLOOKUP(Standings!BN$3,Entries!$L18:$L18,1,FALSE))),"S",""))</f>
        <v/>
      </c>
      <c r="BO26" t="str">
        <f>IF(NOT(ISERROR(HLOOKUP(Standings!BO$3,Entries!$C18:$K18,1,FALSE))),"x",IF(NOT(ISERROR(HLOOKUP(Standings!BO$3,Entries!$L18:$L18,1,FALSE))),"S",""))</f>
        <v/>
      </c>
      <c r="BP26" t="str">
        <f>IF(NOT(ISERROR(HLOOKUP(Standings!BP$3,Entries!$C18:$K18,1,FALSE))),"x",IF(NOT(ISERROR(HLOOKUP(Standings!BP$3,Entries!$L18:$L18,1,FALSE))),"S",""))</f>
        <v/>
      </c>
      <c r="BQ26" t="str">
        <f>IF(NOT(ISERROR(HLOOKUP(Standings!BQ$3,Entries!$C18:$K18,1,FALSE))),"x",IF(NOT(ISERROR(HLOOKUP(Standings!BQ$3,Entries!$L18:$L18,1,FALSE))),"S",""))</f>
        <v/>
      </c>
      <c r="BR26" t="str">
        <f>IF(NOT(ISERROR(HLOOKUP(Standings!BR$3,Entries!$C18:$K18,1,FALSE))),"x",IF(NOT(ISERROR(HLOOKUP(Standings!BR$3,Entries!$L18:$L18,1,FALSE))),"S",""))</f>
        <v/>
      </c>
      <c r="BS26" t="str">
        <f>IF(NOT(ISERROR(HLOOKUP(Standings!BS$3,Entries!$C18:$K18,1,FALSE))),"x",IF(NOT(ISERROR(HLOOKUP(Standings!BS$3,Entries!$L18:$L18,1,FALSE))),"S",""))</f>
        <v/>
      </c>
      <c r="BT26" t="str">
        <f>IF(NOT(ISERROR(HLOOKUP(Standings!BT$3,Entries!$C18:$K18,1,FALSE))),"x",IF(NOT(ISERROR(HLOOKUP(Standings!BT$3,Entries!$L18:$L18,1,FALSE))),"S",""))</f>
        <v/>
      </c>
      <c r="BU26" t="str">
        <f>IF(NOT(ISERROR(HLOOKUP(Standings!BU$3,Entries!$C18:$K18,1,FALSE))),"x",IF(NOT(ISERROR(HLOOKUP(Standings!BU$3,Entries!$L18:$L18,1,FALSE))),"S",""))</f>
        <v/>
      </c>
      <c r="BV26" t="str">
        <f>IF(NOT(ISERROR(HLOOKUP(Standings!BV$3,Entries!$C18:$K18,1,FALSE))),"x",IF(NOT(ISERROR(HLOOKUP(Standings!BV$3,Entries!$L18:$L18,1,FALSE))),"S",""))</f>
        <v/>
      </c>
      <c r="BW26" t="str">
        <f>IF(NOT(ISERROR(HLOOKUP(Standings!BW$3,Entries!$C18:$K18,1,FALSE))),"x",IF(NOT(ISERROR(HLOOKUP(Standings!BW$3,Entries!$L18:$L18,1,FALSE))),"S",""))</f>
        <v/>
      </c>
      <c r="BX26" t="str">
        <f>IF(NOT(ISERROR(HLOOKUP(Standings!BX$3,Entries!$C18:$K18,1,FALSE))),"x",IF(NOT(ISERROR(HLOOKUP(Standings!BX$3,Entries!$L18:$L18,1,FALSE))),"S",""))</f>
        <v>x</v>
      </c>
      <c r="BY26" t="str">
        <f>IF(NOT(ISERROR(HLOOKUP(Standings!BY$3,Entries!$C18:$K18,1,FALSE))),"x",IF(NOT(ISERROR(HLOOKUP(Standings!BY$3,Entries!$L18:$L18,1,FALSE))),"S",""))</f>
        <v/>
      </c>
      <c r="BZ26" t="str">
        <f>IF(NOT(ISERROR(HLOOKUP(Standings!BZ$3,Entries!$C18:$K18,1,FALSE))),"x",IF(NOT(ISERROR(HLOOKUP(Standings!BZ$3,Entries!$L18:$L18,1,FALSE))),"S",""))</f>
        <v/>
      </c>
      <c r="CA26" t="str">
        <f>IF(NOT(ISERROR(HLOOKUP(Standings!CA$3,Entries!$C18:$K18,1,FALSE))),"x",IF(NOT(ISERROR(HLOOKUP(Standings!CA$3,Entries!$L18:$L18,1,FALSE))),"S",""))</f>
        <v>x</v>
      </c>
      <c r="CB26" t="str">
        <f>IF(NOT(ISERROR(HLOOKUP(Standings!CB$3,Entries!$C18:$K18,1,FALSE))),"x",IF(NOT(ISERROR(HLOOKUP(Standings!CB$3,Entries!$L18:$L18,1,FALSE))),"S",""))</f>
        <v>x</v>
      </c>
      <c r="CC26" t="str">
        <f>IF(NOT(ISERROR(HLOOKUP(Standings!CC$3,Entries!$C18:$K18,1,FALSE))),"x",IF(NOT(ISERROR(HLOOKUP(Standings!CC$3,Entries!$L18:$L18,1,FALSE))),"S",""))</f>
        <v/>
      </c>
      <c r="CD26" t="str">
        <f>IF(NOT(ISERROR(HLOOKUP(Standings!CD$3,Entries!$C18:$K18,1,FALSE))),"x",IF(NOT(ISERROR(HLOOKUP(Standings!CD$3,Entries!$L18:$L18,1,FALSE))),"S",""))</f>
        <v/>
      </c>
      <c r="CE26" t="str">
        <f>IF(NOT(ISERROR(HLOOKUP(Standings!CE$3,Entries!$C18:$K18,1,FALSE))),"x",IF(NOT(ISERROR(HLOOKUP(Standings!CE$3,Entries!$L18:$L18,1,FALSE))),"S",""))</f>
        <v/>
      </c>
      <c r="CF26" t="str">
        <f>IF(NOT(ISERROR(HLOOKUP(Standings!CF$3,Entries!$C18:$K18,1,FALSE))),"x",IF(NOT(ISERROR(HLOOKUP(Standings!CF$3,Entries!$L18:$L18,1,FALSE))),"S",""))</f>
        <v>x</v>
      </c>
      <c r="CG26" t="str">
        <f>IF(NOT(ISERROR(HLOOKUP(Standings!CG$3,Entries!$C18:$K18,1,FALSE))),"x",IF(NOT(ISERROR(HLOOKUP(Standings!CG$3,Entries!$L18:$L18,1,FALSE))),"S",""))</f>
        <v/>
      </c>
      <c r="CH26" t="str">
        <f>IF(NOT(ISERROR(HLOOKUP(Standings!CH$3,Entries!$C18:$K18,1,FALSE))),"x",IF(NOT(ISERROR(HLOOKUP(Standings!CH$3,Entries!$L18:$L18,1,FALSE))),"S",""))</f>
        <v/>
      </c>
      <c r="CI26" t="str">
        <f>IF(NOT(ISERROR(HLOOKUP(Standings!CI$3,Entries!$C18:$K18,1,FALSE))),"x",IF(NOT(ISERROR(HLOOKUP(Standings!CI$3,Entries!$L18:$L18,1,FALSE))),"S",""))</f>
        <v>S</v>
      </c>
      <c r="CJ26" t="str">
        <f>IF(NOT(ISERROR(HLOOKUP(Standings!CJ$3,Entries!$C18:$K18,1,FALSE))),"x",IF(NOT(ISERROR(HLOOKUP(Standings!CJ$3,Entries!$L18:$L18,1,FALSE))),"S",""))</f>
        <v/>
      </c>
      <c r="CK26" t="str">
        <f>IF(NOT(ISERROR(HLOOKUP(Standings!CK$3,Entries!$C18:$K18,1,FALSE))),"x",IF(NOT(ISERROR(HLOOKUP(Standings!CK$3,Entries!$L18:$L18,1,FALSE))),"S",""))</f>
        <v/>
      </c>
      <c r="CL26" t="str">
        <f>IF(NOT(ISERROR(HLOOKUP(Standings!CL$3,Entries!$C18:$K18,1,FALSE))),"x",IF(NOT(ISERROR(HLOOKUP(Standings!CL$3,Entries!$L18:$L18,1,FALSE))),"S",""))</f>
        <v/>
      </c>
      <c r="CM26" t="str">
        <f>IF(NOT(ISERROR(HLOOKUP(Standings!CM$3,Entries!$C18:$K18,1,FALSE))),"x",IF(NOT(ISERROR(HLOOKUP(Standings!CM$3,Entries!$L18:$L18,1,FALSE))),"S",""))</f>
        <v/>
      </c>
      <c r="CN26" t="str">
        <f>IF(NOT(ISERROR(HLOOKUP(Standings!CN$3,Entries!$C18:$K18,1,FALSE))),"x",IF(NOT(ISERROR(HLOOKUP(Standings!CN$3,Entries!$L18:$L18,1,FALSE))),"S",""))</f>
        <v>x</v>
      </c>
      <c r="CO26" t="str">
        <f>IF(NOT(ISERROR(HLOOKUP(Standings!CO$3,Entries!$C18:$K18,1,FALSE))),"x",IF(NOT(ISERROR(HLOOKUP(Standings!CO$3,Entries!$L18:$L18,1,FALSE))),"S",""))</f>
        <v/>
      </c>
      <c r="CP26" t="str">
        <f>IF(NOT(ISERROR(HLOOKUP(Standings!CP$3,Entries!$C18:$K18,1,FALSE))),"x",IF(NOT(ISERROR(HLOOKUP(Standings!CP$3,Entries!$L18:$L18,1,FALSE))),"S",""))</f>
        <v/>
      </c>
      <c r="CQ26" t="str">
        <f>IF(NOT(ISERROR(HLOOKUP(Standings!CQ$3,Entries!$C18:$K18,1,FALSE))),"x",IF(NOT(ISERROR(HLOOKUP(Standings!CQ$3,Entries!$L18:$L18,1,FALSE))),"S",""))</f>
        <v/>
      </c>
      <c r="CR26" t="str">
        <f>IF(NOT(ISERROR(HLOOKUP(Standings!CR$3,Entries!$C18:$K18,1,FALSE))),"x",IF(NOT(ISERROR(HLOOKUP(Standings!CR$3,Entries!$L18:$L18,1,FALSE))),"S",""))</f>
        <v/>
      </c>
      <c r="CS26" t="str">
        <f>IF(NOT(ISERROR(HLOOKUP(Standings!CS$3,Entries!$C18:$K18,1,FALSE))),"x",IF(NOT(ISERROR(HLOOKUP(Standings!CS$3,Entries!$L18:$L18,1,FALSE))),"S",""))</f>
        <v/>
      </c>
      <c r="CT26" t="str">
        <f>IF(NOT(ISERROR(HLOOKUP(Standings!CT$3,Entries!$C18:$K18,1,FALSE))),"x",IF(NOT(ISERROR(HLOOKUP(Standings!CT$3,Entries!$L18:$L18,1,FALSE))),"S",""))</f>
        <v/>
      </c>
      <c r="CU26" t="str">
        <f>IF(NOT(ISERROR(HLOOKUP(Standings!CU$3,Entries!$C18:$K18,1,FALSE))),"x",IF(NOT(ISERROR(HLOOKUP(Standings!CU$3,Entries!$L18:$L18,1,FALSE))),"S",""))</f>
        <v/>
      </c>
      <c r="CV26" t="str">
        <f>IF(NOT(ISERROR(HLOOKUP(Standings!CV$3,Entries!$C18:$K18,1,FALSE))),"x",IF(NOT(ISERROR(HLOOKUP(Standings!CV$3,Entries!$L18:$L18,1,FALSE))),"S",""))</f>
        <v/>
      </c>
      <c r="CW26" t="str">
        <f>IF(NOT(ISERROR(HLOOKUP(Standings!CW$3,Entries!$C18:$K18,1,FALSE))),"x",IF(NOT(ISERROR(HLOOKUP(Standings!CW$3,Entries!$L18:$L18,1,FALSE))),"S",""))</f>
        <v/>
      </c>
      <c r="CX26" t="str">
        <f>IF(NOT(ISERROR(HLOOKUP(Standings!CX$3,Entries!$C18:$K18,1,FALSE))),"x",IF(NOT(ISERROR(HLOOKUP(Standings!CX$3,Entries!$L18:$L18,1,FALSE))),"S",""))</f>
        <v/>
      </c>
      <c r="CY26" t="str">
        <f>IF(NOT(ISERROR(HLOOKUP(Standings!CY$3,Entries!$C18:$K18,1,FALSE))),"x",IF(NOT(ISERROR(HLOOKUP(Standings!CY$3,Entries!$L18:$L18,1,FALSE))),"S",""))</f>
        <v/>
      </c>
      <c r="CZ26" t="str">
        <f>IF(NOT(ISERROR(HLOOKUP(Standings!CZ$3,Entries!$C18:$K18,1,FALSE))),"x",IF(NOT(ISERROR(HLOOKUP(Standings!CZ$3,Entries!$L18:$L18,1,FALSE))),"S",""))</f>
        <v>x</v>
      </c>
      <c r="DA26" t="str">
        <f>IF(NOT(ISERROR(HLOOKUP(Standings!DA$3,Entries!$C18:$K18,1,FALSE))),"x",IF(NOT(ISERROR(HLOOKUP(Standings!DA$3,Entries!$L18:$L18,1,FALSE))),"S",""))</f>
        <v/>
      </c>
      <c r="DB26" t="str">
        <f>IF(NOT(ISERROR(HLOOKUP(Standings!DB$3,Entries!$C18:$K18,1,FALSE))),"x",IF(NOT(ISERROR(HLOOKUP(Standings!DB$3,Entries!$L18:$L18,1,FALSE))),"S",""))</f>
        <v/>
      </c>
    </row>
    <row r="27" spans="1:106" x14ac:dyDescent="0.25">
      <c r="A27" s="18"/>
      <c r="B27">
        <v>7</v>
      </c>
      <c r="C27" t="str">
        <f>Entries!B19</f>
        <v>LaurenBullock</v>
      </c>
      <c r="D27" s="4">
        <f t="shared" si="3"/>
        <v>18</v>
      </c>
      <c r="E27" s="31">
        <f t="shared" si="4"/>
        <v>2</v>
      </c>
      <c r="F27" s="40" t="str">
        <f t="shared" si="52"/>
        <v/>
      </c>
      <c r="G27" s="41" t="str">
        <f t="shared" si="5"/>
        <v/>
      </c>
      <c r="H27" s="41" t="str">
        <f t="shared" si="6"/>
        <v/>
      </c>
      <c r="I27" s="42" t="str">
        <f t="shared" si="7"/>
        <v/>
      </c>
      <c r="J27" s="40" t="str">
        <f t="shared" si="8"/>
        <v/>
      </c>
      <c r="K27" s="41" t="str">
        <f t="shared" si="9"/>
        <v/>
      </c>
      <c r="L27" s="41" t="str">
        <f t="shared" si="10"/>
        <v/>
      </c>
      <c r="M27" s="42" t="str">
        <f t="shared" si="11"/>
        <v/>
      </c>
      <c r="N27" s="43" t="str">
        <f t="shared" si="12"/>
        <v/>
      </c>
      <c r="O27" s="41" t="str">
        <f t="shared" si="13"/>
        <v/>
      </c>
      <c r="P27" s="41" t="str">
        <f t="shared" si="14"/>
        <v/>
      </c>
      <c r="Q27" s="42">
        <f t="shared" si="15"/>
        <v>0</v>
      </c>
      <c r="R27" s="40">
        <f t="shared" si="16"/>
        <v>2</v>
      </c>
      <c r="S27" s="41" t="str">
        <f t="shared" si="17"/>
        <v/>
      </c>
      <c r="T27" s="43" t="str">
        <f t="shared" si="18"/>
        <v/>
      </c>
      <c r="U27" s="42" t="str">
        <f t="shared" si="19"/>
        <v/>
      </c>
      <c r="V27" s="40" t="str">
        <f t="shared" si="20"/>
        <v/>
      </c>
      <c r="W27" s="41" t="str">
        <f t="shared" si="21"/>
        <v/>
      </c>
      <c r="X27" s="41">
        <f t="shared" si="22"/>
        <v>0</v>
      </c>
      <c r="Y27" s="42" t="str">
        <f t="shared" si="23"/>
        <v/>
      </c>
      <c r="Z27" s="40" t="str">
        <f t="shared" si="24"/>
        <v/>
      </c>
      <c r="AA27" s="41">
        <f t="shared" si="25"/>
        <v>-1.0000000000000001E-5</v>
      </c>
      <c r="AB27" s="41" t="str">
        <f t="shared" si="26"/>
        <v/>
      </c>
      <c r="AC27" s="42" t="str">
        <f t="shared" si="27"/>
        <v/>
      </c>
      <c r="AD27" s="40" t="str">
        <f t="shared" si="28"/>
        <v/>
      </c>
      <c r="AE27" s="41">
        <f t="shared" si="29"/>
        <v>0</v>
      </c>
      <c r="AF27" s="41" t="str">
        <f t="shared" si="30"/>
        <v/>
      </c>
      <c r="AG27" s="42" t="str">
        <f t="shared" si="31"/>
        <v/>
      </c>
      <c r="AH27" s="40" t="str">
        <f t="shared" si="32"/>
        <v/>
      </c>
      <c r="AI27" s="41" t="str">
        <f t="shared" si="33"/>
        <v/>
      </c>
      <c r="AJ27" s="41" t="str">
        <f t="shared" si="34"/>
        <v/>
      </c>
      <c r="AK27" s="42" t="str">
        <f t="shared" si="35"/>
        <v/>
      </c>
      <c r="AL27" s="40">
        <f t="shared" si="36"/>
        <v>0</v>
      </c>
      <c r="AM27" s="41" t="str">
        <f t="shared" si="37"/>
        <v/>
      </c>
      <c r="AN27" s="41" t="str">
        <f t="shared" si="38"/>
        <v/>
      </c>
      <c r="AO27" s="42" t="str">
        <f t="shared" si="39"/>
        <v/>
      </c>
      <c r="AP27" s="40" t="str">
        <f t="shared" si="40"/>
        <v/>
      </c>
      <c r="AQ27" s="41" t="str">
        <f t="shared" si="41"/>
        <v/>
      </c>
      <c r="AR27" s="41" t="str">
        <f t="shared" si="42"/>
        <v/>
      </c>
      <c r="AS27" s="42" t="str">
        <f t="shared" si="43"/>
        <v/>
      </c>
      <c r="AT27" s="40" t="str">
        <f t="shared" si="44"/>
        <v/>
      </c>
      <c r="AU27" s="41" t="str">
        <f t="shared" si="45"/>
        <v/>
      </c>
      <c r="AV27" s="41" t="str">
        <f t="shared" si="46"/>
        <v/>
      </c>
      <c r="AW27" s="42" t="str">
        <f t="shared" si="47"/>
        <v/>
      </c>
      <c r="AX27" s="40" t="str">
        <f t="shared" si="48"/>
        <v/>
      </c>
      <c r="AY27" s="41" t="str">
        <f t="shared" si="49"/>
        <v/>
      </c>
      <c r="AZ27" s="41" t="str">
        <f t="shared" si="50"/>
        <v/>
      </c>
      <c r="BA27" s="42" t="str">
        <f t="shared" si="51"/>
        <v/>
      </c>
      <c r="BB27" s="37" t="s">
        <v>106</v>
      </c>
      <c r="BC27" s="21"/>
      <c r="BD27" s="21"/>
      <c r="BG27" t="str">
        <f>IF(NOT(ISERROR(HLOOKUP(Standings!BG$3,Entries!$C19:$K19,1,FALSE))),"x",IF(NOT(ISERROR(HLOOKUP(Standings!BG$3,Entries!$L19:$L19,1,FALSE))),"S",""))</f>
        <v/>
      </c>
      <c r="BH27" t="str">
        <f>IF(NOT(ISERROR(HLOOKUP(Standings!BH$3,Entries!$C19:$K19,1,FALSE))),"x",IF(NOT(ISERROR(HLOOKUP(Standings!BH$3,Entries!$L19:$L19,1,FALSE))),"S",""))</f>
        <v/>
      </c>
      <c r="BI27" t="str">
        <f>IF(NOT(ISERROR(HLOOKUP(Standings!BI$3,Entries!$C19:$K19,1,FALSE))),"x",IF(NOT(ISERROR(HLOOKUP(Standings!BI$3,Entries!$L19:$L19,1,FALSE))),"S",""))</f>
        <v/>
      </c>
      <c r="BJ27" t="str">
        <f>IF(NOT(ISERROR(HLOOKUP(Standings!BJ$3,Entries!$C19:$K19,1,FALSE))),"x",IF(NOT(ISERROR(HLOOKUP(Standings!BJ$3,Entries!$L19:$L19,1,FALSE))),"S",""))</f>
        <v/>
      </c>
      <c r="BK27" t="str">
        <f>IF(NOT(ISERROR(HLOOKUP(Standings!BK$3,Entries!$C19:$K19,1,FALSE))),"x",IF(NOT(ISERROR(HLOOKUP(Standings!BK$3,Entries!$L19:$L19,1,FALSE))),"S",""))</f>
        <v/>
      </c>
      <c r="BL27" t="str">
        <f>IF(NOT(ISERROR(HLOOKUP(Standings!BL$3,Entries!$C19:$K19,1,FALSE))),"x",IF(NOT(ISERROR(HLOOKUP(Standings!BL$3,Entries!$L19:$L19,1,FALSE))),"S",""))</f>
        <v/>
      </c>
      <c r="BM27" t="str">
        <f>IF(NOT(ISERROR(HLOOKUP(Standings!BM$3,Entries!$C19:$K19,1,FALSE))),"x",IF(NOT(ISERROR(HLOOKUP(Standings!BM$3,Entries!$L19:$L19,1,FALSE))),"S",""))</f>
        <v/>
      </c>
      <c r="BN27" t="str">
        <f>IF(NOT(ISERROR(HLOOKUP(Standings!BN$3,Entries!$C19:$K19,1,FALSE))),"x",IF(NOT(ISERROR(HLOOKUP(Standings!BN$3,Entries!$L19:$L19,1,FALSE))),"S",""))</f>
        <v/>
      </c>
      <c r="BO27" t="str">
        <f>IF(NOT(ISERROR(HLOOKUP(Standings!BO$3,Entries!$C19:$K19,1,FALSE))),"x",IF(NOT(ISERROR(HLOOKUP(Standings!BO$3,Entries!$L19:$L19,1,FALSE))),"S",""))</f>
        <v/>
      </c>
      <c r="BP27" t="str">
        <f>IF(NOT(ISERROR(HLOOKUP(Standings!BP$3,Entries!$C19:$K19,1,FALSE))),"x",IF(NOT(ISERROR(HLOOKUP(Standings!BP$3,Entries!$L19:$L19,1,FALSE))),"S",""))</f>
        <v/>
      </c>
      <c r="BQ27" t="str">
        <f>IF(NOT(ISERROR(HLOOKUP(Standings!BQ$3,Entries!$C19:$K19,1,FALSE))),"x",IF(NOT(ISERROR(HLOOKUP(Standings!BQ$3,Entries!$L19:$L19,1,FALSE))),"S",""))</f>
        <v/>
      </c>
      <c r="BR27" t="str">
        <f>IF(NOT(ISERROR(HLOOKUP(Standings!BR$3,Entries!$C19:$K19,1,FALSE))),"x",IF(NOT(ISERROR(HLOOKUP(Standings!BR$3,Entries!$L19:$L19,1,FALSE))),"S",""))</f>
        <v>x</v>
      </c>
      <c r="BS27" t="str">
        <f>IF(NOT(ISERROR(HLOOKUP(Standings!BS$3,Entries!$C19:$K19,1,FALSE))),"x",IF(NOT(ISERROR(HLOOKUP(Standings!BS$3,Entries!$L19:$L19,1,FALSE))),"S",""))</f>
        <v>x</v>
      </c>
      <c r="BT27" t="str">
        <f>IF(NOT(ISERROR(HLOOKUP(Standings!BT$3,Entries!$C19:$K19,1,FALSE))),"x",IF(NOT(ISERROR(HLOOKUP(Standings!BT$3,Entries!$L19:$L19,1,FALSE))),"S",""))</f>
        <v/>
      </c>
      <c r="BU27" t="str">
        <f>IF(NOT(ISERROR(HLOOKUP(Standings!BU$3,Entries!$C19:$K19,1,FALSE))),"x",IF(NOT(ISERROR(HLOOKUP(Standings!BU$3,Entries!$L19:$L19,1,FALSE))),"S",""))</f>
        <v/>
      </c>
      <c r="BV27" t="str">
        <f>IF(NOT(ISERROR(HLOOKUP(Standings!BV$3,Entries!$C19:$K19,1,FALSE))),"x",IF(NOT(ISERROR(HLOOKUP(Standings!BV$3,Entries!$L19:$L19,1,FALSE))),"S",""))</f>
        <v/>
      </c>
      <c r="BW27" t="str">
        <f>IF(NOT(ISERROR(HLOOKUP(Standings!BW$3,Entries!$C19:$K19,1,FALSE))),"x",IF(NOT(ISERROR(HLOOKUP(Standings!BW$3,Entries!$L19:$L19,1,FALSE))),"S",""))</f>
        <v/>
      </c>
      <c r="BX27" t="str">
        <f>IF(NOT(ISERROR(HLOOKUP(Standings!BX$3,Entries!$C19:$K19,1,FALSE))),"x",IF(NOT(ISERROR(HLOOKUP(Standings!BX$3,Entries!$L19:$L19,1,FALSE))),"S",""))</f>
        <v/>
      </c>
      <c r="BY27" t="str">
        <f>IF(NOT(ISERROR(HLOOKUP(Standings!BY$3,Entries!$C19:$K19,1,FALSE))),"x",IF(NOT(ISERROR(HLOOKUP(Standings!BY$3,Entries!$L19:$L19,1,FALSE))),"S",""))</f>
        <v>x</v>
      </c>
      <c r="BZ27" t="str">
        <f>IF(NOT(ISERROR(HLOOKUP(Standings!BZ$3,Entries!$C19:$K19,1,FALSE))),"x",IF(NOT(ISERROR(HLOOKUP(Standings!BZ$3,Entries!$L19:$L19,1,FALSE))),"S",""))</f>
        <v/>
      </c>
      <c r="CA27" t="str">
        <f>IF(NOT(ISERROR(HLOOKUP(Standings!CA$3,Entries!$C19:$K19,1,FALSE))),"x",IF(NOT(ISERROR(HLOOKUP(Standings!CA$3,Entries!$L19:$L19,1,FALSE))),"S",""))</f>
        <v/>
      </c>
      <c r="CB27" t="str">
        <f>IF(NOT(ISERROR(HLOOKUP(Standings!CB$3,Entries!$C19:$K19,1,FALSE))),"x",IF(NOT(ISERROR(HLOOKUP(Standings!CB$3,Entries!$L19:$L19,1,FALSE))),"S",""))</f>
        <v>S</v>
      </c>
      <c r="CC27" t="str">
        <f>IF(NOT(ISERROR(HLOOKUP(Standings!CC$3,Entries!$C19:$K19,1,FALSE))),"x",IF(NOT(ISERROR(HLOOKUP(Standings!CC$3,Entries!$L19:$L19,1,FALSE))),"S",""))</f>
        <v/>
      </c>
      <c r="CD27" t="str">
        <f>IF(NOT(ISERROR(HLOOKUP(Standings!CD$3,Entries!$C19:$K19,1,FALSE))),"x",IF(NOT(ISERROR(HLOOKUP(Standings!CD$3,Entries!$L19:$L19,1,FALSE))),"S",""))</f>
        <v/>
      </c>
      <c r="CE27" t="str">
        <f>IF(NOT(ISERROR(HLOOKUP(Standings!CE$3,Entries!$C19:$K19,1,FALSE))),"x",IF(NOT(ISERROR(HLOOKUP(Standings!CE$3,Entries!$L19:$L19,1,FALSE))),"S",""))</f>
        <v/>
      </c>
      <c r="CF27" t="str">
        <f>IF(NOT(ISERROR(HLOOKUP(Standings!CF$3,Entries!$C19:$K19,1,FALSE))),"x",IF(NOT(ISERROR(HLOOKUP(Standings!CF$3,Entries!$L19:$L19,1,FALSE))),"S",""))</f>
        <v>x</v>
      </c>
      <c r="CG27" t="str">
        <f>IF(NOT(ISERROR(HLOOKUP(Standings!CG$3,Entries!$C19:$K19,1,FALSE))),"x",IF(NOT(ISERROR(HLOOKUP(Standings!CG$3,Entries!$L19:$L19,1,FALSE))),"S",""))</f>
        <v/>
      </c>
      <c r="CH27" t="str">
        <f>IF(NOT(ISERROR(HLOOKUP(Standings!CH$3,Entries!$C19:$K19,1,FALSE))),"x",IF(NOT(ISERROR(HLOOKUP(Standings!CH$3,Entries!$L19:$L19,1,FALSE))),"S",""))</f>
        <v/>
      </c>
      <c r="CI27" t="str">
        <f>IF(NOT(ISERROR(HLOOKUP(Standings!CI$3,Entries!$C19:$K19,1,FALSE))),"x",IF(NOT(ISERROR(HLOOKUP(Standings!CI$3,Entries!$L19:$L19,1,FALSE))),"S",""))</f>
        <v/>
      </c>
      <c r="CJ27" t="str">
        <f>IF(NOT(ISERROR(HLOOKUP(Standings!CJ$3,Entries!$C19:$K19,1,FALSE))),"x",IF(NOT(ISERROR(HLOOKUP(Standings!CJ$3,Entries!$L19:$L19,1,FALSE))),"S",""))</f>
        <v/>
      </c>
      <c r="CK27" t="str">
        <f>IF(NOT(ISERROR(HLOOKUP(Standings!CK$3,Entries!$C19:$K19,1,FALSE))),"x",IF(NOT(ISERROR(HLOOKUP(Standings!CK$3,Entries!$L19:$L19,1,FALSE))),"S",""))</f>
        <v/>
      </c>
      <c r="CL27" t="str">
        <f>IF(NOT(ISERROR(HLOOKUP(Standings!CL$3,Entries!$C19:$K19,1,FALSE))),"x",IF(NOT(ISERROR(HLOOKUP(Standings!CL$3,Entries!$L19:$L19,1,FALSE))),"S",""))</f>
        <v/>
      </c>
      <c r="CM27" t="str">
        <f>IF(NOT(ISERROR(HLOOKUP(Standings!CM$3,Entries!$C19:$K19,1,FALSE))),"x",IF(NOT(ISERROR(HLOOKUP(Standings!CM$3,Entries!$L19:$L19,1,FALSE))),"S",""))</f>
        <v>x</v>
      </c>
      <c r="CN27" t="str">
        <f>IF(NOT(ISERROR(HLOOKUP(Standings!CN$3,Entries!$C19:$K19,1,FALSE))),"x",IF(NOT(ISERROR(HLOOKUP(Standings!CN$3,Entries!$L19:$L19,1,FALSE))),"S",""))</f>
        <v/>
      </c>
      <c r="CO27" t="str">
        <f>IF(NOT(ISERROR(HLOOKUP(Standings!CO$3,Entries!$C19:$K19,1,FALSE))),"x",IF(NOT(ISERROR(HLOOKUP(Standings!CO$3,Entries!$L19:$L19,1,FALSE))),"S",""))</f>
        <v/>
      </c>
      <c r="CP27" t="str">
        <f>IF(NOT(ISERROR(HLOOKUP(Standings!CP$3,Entries!$C19:$K19,1,FALSE))),"x",IF(NOT(ISERROR(HLOOKUP(Standings!CP$3,Entries!$L19:$L19,1,FALSE))),"S",""))</f>
        <v/>
      </c>
      <c r="CQ27" t="str">
        <f>IF(NOT(ISERROR(HLOOKUP(Standings!CQ$3,Entries!$C19:$K19,1,FALSE))),"x",IF(NOT(ISERROR(HLOOKUP(Standings!CQ$3,Entries!$L19:$L19,1,FALSE))),"S",""))</f>
        <v/>
      </c>
      <c r="CR27" t="str">
        <f>IF(NOT(ISERROR(HLOOKUP(Standings!CR$3,Entries!$C19:$K19,1,FALSE))),"x",IF(NOT(ISERROR(HLOOKUP(Standings!CR$3,Entries!$L19:$L19,1,FALSE))),"S",""))</f>
        <v/>
      </c>
      <c r="CS27" t="str">
        <f>IF(NOT(ISERROR(HLOOKUP(Standings!CS$3,Entries!$C19:$K19,1,FALSE))),"x",IF(NOT(ISERROR(HLOOKUP(Standings!CS$3,Entries!$L19:$L19,1,FALSE))),"S",""))</f>
        <v/>
      </c>
      <c r="CT27" t="str">
        <f>IF(NOT(ISERROR(HLOOKUP(Standings!CT$3,Entries!$C19:$K19,1,FALSE))),"x",IF(NOT(ISERROR(HLOOKUP(Standings!CT$3,Entries!$L19:$L19,1,FALSE))),"S",""))</f>
        <v/>
      </c>
      <c r="CU27" t="str">
        <f>IF(NOT(ISERROR(HLOOKUP(Standings!CU$3,Entries!$C19:$K19,1,FALSE))),"x",IF(NOT(ISERROR(HLOOKUP(Standings!CU$3,Entries!$L19:$L19,1,FALSE))),"S",""))</f>
        <v/>
      </c>
      <c r="CV27" t="str">
        <f>IF(NOT(ISERROR(HLOOKUP(Standings!CV$3,Entries!$C19:$K19,1,FALSE))),"x",IF(NOT(ISERROR(HLOOKUP(Standings!CV$3,Entries!$L19:$L19,1,FALSE))),"S",""))</f>
        <v/>
      </c>
      <c r="CW27" t="str">
        <f>IF(NOT(ISERROR(HLOOKUP(Standings!CW$3,Entries!$C19:$K19,1,FALSE))),"x",IF(NOT(ISERROR(HLOOKUP(Standings!CW$3,Entries!$L19:$L19,1,FALSE))),"S",""))</f>
        <v/>
      </c>
      <c r="CX27" t="str">
        <f>IF(NOT(ISERROR(HLOOKUP(Standings!CX$3,Entries!$C19:$K19,1,FALSE))),"x",IF(NOT(ISERROR(HLOOKUP(Standings!CX$3,Entries!$L19:$L19,1,FALSE))),"S",""))</f>
        <v/>
      </c>
      <c r="CY27" t="str">
        <f>IF(NOT(ISERROR(HLOOKUP(Standings!CY$3,Entries!$C19:$K19,1,FALSE))),"x",IF(NOT(ISERROR(HLOOKUP(Standings!CY$3,Entries!$L19:$L19,1,FALSE))),"S",""))</f>
        <v/>
      </c>
      <c r="CZ27" t="str">
        <f>IF(NOT(ISERROR(HLOOKUP(Standings!CZ$3,Entries!$C19:$K19,1,FALSE))),"x",IF(NOT(ISERROR(HLOOKUP(Standings!CZ$3,Entries!$L19:$L19,1,FALSE))),"S",""))</f>
        <v/>
      </c>
      <c r="DA27" t="str">
        <f>IF(NOT(ISERROR(HLOOKUP(Standings!DA$3,Entries!$C19:$K19,1,FALSE))),"x",IF(NOT(ISERROR(HLOOKUP(Standings!DA$3,Entries!$L19:$L19,1,FALSE))),"S",""))</f>
        <v/>
      </c>
      <c r="DB27" t="str">
        <f>IF(NOT(ISERROR(HLOOKUP(Standings!DB$3,Entries!$C19:$K19,1,FALSE))),"x",IF(NOT(ISERROR(HLOOKUP(Standings!DB$3,Entries!$L19:$L19,1,FALSE))),"S",""))</f>
        <v/>
      </c>
    </row>
    <row r="28" spans="1:106" x14ac:dyDescent="0.25">
      <c r="B28">
        <v>71</v>
      </c>
      <c r="C28" t="str">
        <f>Entries!B20</f>
        <v>WillBullock</v>
      </c>
      <c r="D28" s="4">
        <f t="shared" si="3"/>
        <v>99</v>
      </c>
      <c r="E28" s="31">
        <f t="shared" si="4"/>
        <v>-1</v>
      </c>
      <c r="F28" s="40" t="str">
        <f t="shared" si="52"/>
        <v/>
      </c>
      <c r="G28" s="41" t="str">
        <f t="shared" si="5"/>
        <v/>
      </c>
      <c r="H28" s="41" t="str">
        <f t="shared" si="6"/>
        <v/>
      </c>
      <c r="I28" s="42">
        <f t="shared" si="7"/>
        <v>0</v>
      </c>
      <c r="J28" s="40">
        <f t="shared" si="8"/>
        <v>1</v>
      </c>
      <c r="K28" s="41" t="str">
        <f t="shared" si="9"/>
        <v/>
      </c>
      <c r="L28" s="41" t="str">
        <f t="shared" si="10"/>
        <v/>
      </c>
      <c r="M28" s="42" t="str">
        <f t="shared" si="11"/>
        <v/>
      </c>
      <c r="N28" s="43" t="str">
        <f t="shared" si="12"/>
        <v/>
      </c>
      <c r="O28" s="41" t="str">
        <f t="shared" si="13"/>
        <v/>
      </c>
      <c r="P28" s="41" t="str">
        <f t="shared" si="14"/>
        <v/>
      </c>
      <c r="Q28" s="42" t="str">
        <f t="shared" si="15"/>
        <v/>
      </c>
      <c r="R28" s="40">
        <f t="shared" si="16"/>
        <v>-2.0000100000000001</v>
      </c>
      <c r="S28" s="41" t="str">
        <f t="shared" si="17"/>
        <v/>
      </c>
      <c r="T28" s="43">
        <f t="shared" si="18"/>
        <v>0</v>
      </c>
      <c r="U28" s="42" t="str">
        <f t="shared" si="19"/>
        <v/>
      </c>
      <c r="V28" s="40" t="str">
        <f t="shared" si="20"/>
        <v/>
      </c>
      <c r="W28" s="41" t="str">
        <f t="shared" si="21"/>
        <v/>
      </c>
      <c r="X28" s="41" t="str">
        <f t="shared" si="22"/>
        <v/>
      </c>
      <c r="Y28" s="42">
        <f t="shared" si="23"/>
        <v>0</v>
      </c>
      <c r="Z28" s="40" t="str">
        <f t="shared" si="24"/>
        <v/>
      </c>
      <c r="AA28" s="41">
        <f t="shared" si="25"/>
        <v>0</v>
      </c>
      <c r="AB28" s="41" t="str">
        <f t="shared" si="26"/>
        <v/>
      </c>
      <c r="AC28" s="42" t="str">
        <f t="shared" si="27"/>
        <v/>
      </c>
      <c r="AD28" s="40" t="str">
        <f t="shared" si="28"/>
        <v/>
      </c>
      <c r="AE28" s="41">
        <f t="shared" si="29"/>
        <v>0</v>
      </c>
      <c r="AF28" s="41">
        <f t="shared" si="30"/>
        <v>0</v>
      </c>
      <c r="AG28" s="42" t="str">
        <f t="shared" si="31"/>
        <v/>
      </c>
      <c r="AH28" s="40" t="str">
        <f t="shared" si="32"/>
        <v/>
      </c>
      <c r="AI28" s="41" t="str">
        <f t="shared" si="33"/>
        <v/>
      </c>
      <c r="AJ28" s="41" t="str">
        <f t="shared" si="34"/>
        <v/>
      </c>
      <c r="AK28" s="42" t="str">
        <f t="shared" si="35"/>
        <v/>
      </c>
      <c r="AL28" s="40" t="str">
        <f t="shared" si="36"/>
        <v/>
      </c>
      <c r="AM28" s="41">
        <f t="shared" si="37"/>
        <v>0</v>
      </c>
      <c r="AN28" s="41" t="str">
        <f t="shared" si="38"/>
        <v/>
      </c>
      <c r="AO28" s="42" t="str">
        <f t="shared" si="39"/>
        <v/>
      </c>
      <c r="AP28" s="40" t="str">
        <f t="shared" si="40"/>
        <v/>
      </c>
      <c r="AQ28" s="41" t="str">
        <f t="shared" si="41"/>
        <v/>
      </c>
      <c r="AR28" s="41" t="str">
        <f t="shared" si="42"/>
        <v/>
      </c>
      <c r="AS28" s="42" t="str">
        <f t="shared" si="43"/>
        <v/>
      </c>
      <c r="AT28" s="40" t="str">
        <f t="shared" si="44"/>
        <v/>
      </c>
      <c r="AU28" s="41" t="str">
        <f t="shared" si="45"/>
        <v/>
      </c>
      <c r="AV28" s="41" t="str">
        <f t="shared" si="46"/>
        <v/>
      </c>
      <c r="AW28" s="42" t="str">
        <f t="shared" si="47"/>
        <v/>
      </c>
      <c r="AX28" s="40" t="str">
        <f t="shared" si="48"/>
        <v/>
      </c>
      <c r="AY28" s="41">
        <f t="shared" si="49"/>
        <v>0</v>
      </c>
      <c r="AZ28" s="41" t="str">
        <f t="shared" si="50"/>
        <v/>
      </c>
      <c r="BA28" s="42" t="str">
        <f t="shared" si="51"/>
        <v/>
      </c>
      <c r="BB28" s="37" t="s">
        <v>106</v>
      </c>
      <c r="BC28" s="21"/>
      <c r="BD28" s="21"/>
      <c r="BG28" t="str">
        <f>IF(NOT(ISERROR(HLOOKUP(Standings!BG$3,Entries!$C20:$K20,1,FALSE))),"x",IF(NOT(ISERROR(HLOOKUP(Standings!BG$3,Entries!$L20:$L20,1,FALSE))),"S",""))</f>
        <v/>
      </c>
      <c r="BH28" t="str">
        <f>IF(NOT(ISERROR(HLOOKUP(Standings!BH$3,Entries!$C20:$K20,1,FALSE))),"x",IF(NOT(ISERROR(HLOOKUP(Standings!BH$3,Entries!$L20:$L20,1,FALSE))),"S",""))</f>
        <v/>
      </c>
      <c r="BI28" t="str">
        <f>IF(NOT(ISERROR(HLOOKUP(Standings!BI$3,Entries!$C20:$K20,1,FALSE))),"x",IF(NOT(ISERROR(HLOOKUP(Standings!BI$3,Entries!$L20:$L20,1,FALSE))),"S",""))</f>
        <v/>
      </c>
      <c r="BJ28" t="str">
        <f>IF(NOT(ISERROR(HLOOKUP(Standings!BJ$3,Entries!$C20:$K20,1,FALSE))),"x",IF(NOT(ISERROR(HLOOKUP(Standings!BJ$3,Entries!$L20:$L20,1,FALSE))),"S",""))</f>
        <v>x</v>
      </c>
      <c r="BK28" t="str">
        <f>IF(NOT(ISERROR(HLOOKUP(Standings!BK$3,Entries!$C20:$K20,1,FALSE))),"x",IF(NOT(ISERROR(HLOOKUP(Standings!BK$3,Entries!$L20:$L20,1,FALSE))),"S",""))</f>
        <v>x</v>
      </c>
      <c r="BL28" t="str">
        <f>IF(NOT(ISERROR(HLOOKUP(Standings!BL$3,Entries!$C20:$K20,1,FALSE))),"x",IF(NOT(ISERROR(HLOOKUP(Standings!BL$3,Entries!$L20:$L20,1,FALSE))),"S",""))</f>
        <v/>
      </c>
      <c r="BM28" t="str">
        <f>IF(NOT(ISERROR(HLOOKUP(Standings!BM$3,Entries!$C20:$K20,1,FALSE))),"x",IF(NOT(ISERROR(HLOOKUP(Standings!BM$3,Entries!$L20:$L20,1,FALSE))),"S",""))</f>
        <v/>
      </c>
      <c r="BN28" t="str">
        <f>IF(NOT(ISERROR(HLOOKUP(Standings!BN$3,Entries!$C20:$K20,1,FALSE))),"x",IF(NOT(ISERROR(HLOOKUP(Standings!BN$3,Entries!$L20:$L20,1,FALSE))),"S",""))</f>
        <v/>
      </c>
      <c r="BO28" t="str">
        <f>IF(NOT(ISERROR(HLOOKUP(Standings!BO$3,Entries!$C20:$K20,1,FALSE))),"x",IF(NOT(ISERROR(HLOOKUP(Standings!BO$3,Entries!$L20:$L20,1,FALSE))),"S",""))</f>
        <v/>
      </c>
      <c r="BP28" t="str">
        <f>IF(NOT(ISERROR(HLOOKUP(Standings!BP$3,Entries!$C20:$K20,1,FALSE))),"x",IF(NOT(ISERROR(HLOOKUP(Standings!BP$3,Entries!$L20:$L20,1,FALSE))),"S",""))</f>
        <v/>
      </c>
      <c r="BQ28" t="str">
        <f>IF(NOT(ISERROR(HLOOKUP(Standings!BQ$3,Entries!$C20:$K20,1,FALSE))),"x",IF(NOT(ISERROR(HLOOKUP(Standings!BQ$3,Entries!$L20:$L20,1,FALSE))),"S",""))</f>
        <v/>
      </c>
      <c r="BR28" t="str">
        <f>IF(NOT(ISERROR(HLOOKUP(Standings!BR$3,Entries!$C20:$K20,1,FALSE))),"x",IF(NOT(ISERROR(HLOOKUP(Standings!BR$3,Entries!$L20:$L20,1,FALSE))),"S",""))</f>
        <v/>
      </c>
      <c r="BS28" t="str">
        <f>IF(NOT(ISERROR(HLOOKUP(Standings!BS$3,Entries!$C20:$K20,1,FALSE))),"x",IF(NOT(ISERROR(HLOOKUP(Standings!BS$3,Entries!$L20:$L20,1,FALSE))),"S",""))</f>
        <v>S</v>
      </c>
      <c r="BT28" t="str">
        <f>IF(NOT(ISERROR(HLOOKUP(Standings!BT$3,Entries!$C20:$K20,1,FALSE))),"x",IF(NOT(ISERROR(HLOOKUP(Standings!BT$3,Entries!$L20:$L20,1,FALSE))),"S",""))</f>
        <v/>
      </c>
      <c r="BU28" t="str">
        <f>IF(NOT(ISERROR(HLOOKUP(Standings!BU$3,Entries!$C20:$K20,1,FALSE))),"x",IF(NOT(ISERROR(HLOOKUP(Standings!BU$3,Entries!$L20:$L20,1,FALSE))),"S",""))</f>
        <v>x</v>
      </c>
      <c r="BV28" t="str">
        <f>IF(NOT(ISERROR(HLOOKUP(Standings!BV$3,Entries!$C20:$K20,1,FALSE))),"x",IF(NOT(ISERROR(HLOOKUP(Standings!BV$3,Entries!$L20:$L20,1,FALSE))),"S",""))</f>
        <v/>
      </c>
      <c r="BW28" t="str">
        <f>IF(NOT(ISERROR(HLOOKUP(Standings!BW$3,Entries!$C20:$K20,1,FALSE))),"x",IF(NOT(ISERROR(HLOOKUP(Standings!BW$3,Entries!$L20:$L20,1,FALSE))),"S",""))</f>
        <v/>
      </c>
      <c r="BX28" t="str">
        <f>IF(NOT(ISERROR(HLOOKUP(Standings!BX$3,Entries!$C20:$K20,1,FALSE))),"x",IF(NOT(ISERROR(HLOOKUP(Standings!BX$3,Entries!$L20:$L20,1,FALSE))),"S",""))</f>
        <v/>
      </c>
      <c r="BY28" t="str">
        <f>IF(NOT(ISERROR(HLOOKUP(Standings!BY$3,Entries!$C20:$K20,1,FALSE))),"x",IF(NOT(ISERROR(HLOOKUP(Standings!BY$3,Entries!$L20:$L20,1,FALSE))),"S",""))</f>
        <v/>
      </c>
      <c r="BZ28" t="str">
        <f>IF(NOT(ISERROR(HLOOKUP(Standings!BZ$3,Entries!$C20:$K20,1,FALSE))),"x",IF(NOT(ISERROR(HLOOKUP(Standings!BZ$3,Entries!$L20:$L20,1,FALSE))),"S",""))</f>
        <v>x</v>
      </c>
      <c r="CA28" t="str">
        <f>IF(NOT(ISERROR(HLOOKUP(Standings!CA$3,Entries!$C20:$K20,1,FALSE))),"x",IF(NOT(ISERROR(HLOOKUP(Standings!CA$3,Entries!$L20:$L20,1,FALSE))),"S",""))</f>
        <v/>
      </c>
      <c r="CB28" t="str">
        <f>IF(NOT(ISERROR(HLOOKUP(Standings!CB$3,Entries!$C20:$K20,1,FALSE))),"x",IF(NOT(ISERROR(HLOOKUP(Standings!CB$3,Entries!$L20:$L20,1,FALSE))),"S",""))</f>
        <v>x</v>
      </c>
      <c r="CC28" t="str">
        <f>IF(NOT(ISERROR(HLOOKUP(Standings!CC$3,Entries!$C20:$K20,1,FALSE))),"x",IF(NOT(ISERROR(HLOOKUP(Standings!CC$3,Entries!$L20:$L20,1,FALSE))),"S",""))</f>
        <v/>
      </c>
      <c r="CD28" t="str">
        <f>IF(NOT(ISERROR(HLOOKUP(Standings!CD$3,Entries!$C20:$K20,1,FALSE))),"x",IF(NOT(ISERROR(HLOOKUP(Standings!CD$3,Entries!$L20:$L20,1,FALSE))),"S",""))</f>
        <v/>
      </c>
      <c r="CE28" t="str">
        <f>IF(NOT(ISERROR(HLOOKUP(Standings!CE$3,Entries!$C20:$K20,1,FALSE))),"x",IF(NOT(ISERROR(HLOOKUP(Standings!CE$3,Entries!$L20:$L20,1,FALSE))),"S",""))</f>
        <v/>
      </c>
      <c r="CF28" t="str">
        <f>IF(NOT(ISERROR(HLOOKUP(Standings!CF$3,Entries!$C20:$K20,1,FALSE))),"x",IF(NOT(ISERROR(HLOOKUP(Standings!CF$3,Entries!$L20:$L20,1,FALSE))),"S",""))</f>
        <v>x</v>
      </c>
      <c r="CG28" t="str">
        <f>IF(NOT(ISERROR(HLOOKUP(Standings!CG$3,Entries!$C20:$K20,1,FALSE))),"x",IF(NOT(ISERROR(HLOOKUP(Standings!CG$3,Entries!$L20:$L20,1,FALSE))),"S",""))</f>
        <v>x</v>
      </c>
      <c r="CH28" t="str">
        <f>IF(NOT(ISERROR(HLOOKUP(Standings!CH$3,Entries!$C20:$K20,1,FALSE))),"x",IF(NOT(ISERROR(HLOOKUP(Standings!CH$3,Entries!$L20:$L20,1,FALSE))),"S",""))</f>
        <v/>
      </c>
      <c r="CI28" t="str">
        <f>IF(NOT(ISERROR(HLOOKUP(Standings!CI$3,Entries!$C20:$K20,1,FALSE))),"x",IF(NOT(ISERROR(HLOOKUP(Standings!CI$3,Entries!$L20:$L20,1,FALSE))),"S",""))</f>
        <v/>
      </c>
      <c r="CJ28" t="str">
        <f>IF(NOT(ISERROR(HLOOKUP(Standings!CJ$3,Entries!$C20:$K20,1,FALSE))),"x",IF(NOT(ISERROR(HLOOKUP(Standings!CJ$3,Entries!$L20:$L20,1,FALSE))),"S",""))</f>
        <v/>
      </c>
      <c r="CK28" t="str">
        <f>IF(NOT(ISERROR(HLOOKUP(Standings!CK$3,Entries!$C20:$K20,1,FALSE))),"x",IF(NOT(ISERROR(HLOOKUP(Standings!CK$3,Entries!$L20:$L20,1,FALSE))),"S",""))</f>
        <v/>
      </c>
      <c r="CL28" t="str">
        <f>IF(NOT(ISERROR(HLOOKUP(Standings!CL$3,Entries!$C20:$K20,1,FALSE))),"x",IF(NOT(ISERROR(HLOOKUP(Standings!CL$3,Entries!$L20:$L20,1,FALSE))),"S",""))</f>
        <v/>
      </c>
      <c r="CM28" t="str">
        <f>IF(NOT(ISERROR(HLOOKUP(Standings!CM$3,Entries!$C20:$K20,1,FALSE))),"x",IF(NOT(ISERROR(HLOOKUP(Standings!CM$3,Entries!$L20:$L20,1,FALSE))),"S",""))</f>
        <v/>
      </c>
      <c r="CN28" t="str">
        <f>IF(NOT(ISERROR(HLOOKUP(Standings!CN$3,Entries!$C20:$K20,1,FALSE))),"x",IF(NOT(ISERROR(HLOOKUP(Standings!CN$3,Entries!$L20:$L20,1,FALSE))),"S",""))</f>
        <v>x</v>
      </c>
      <c r="CO28" t="str">
        <f>IF(NOT(ISERROR(HLOOKUP(Standings!CO$3,Entries!$C20:$K20,1,FALSE))),"x",IF(NOT(ISERROR(HLOOKUP(Standings!CO$3,Entries!$L20:$L20,1,FALSE))),"S",""))</f>
        <v/>
      </c>
      <c r="CP28" t="str">
        <f>IF(NOT(ISERROR(HLOOKUP(Standings!CP$3,Entries!$C20:$K20,1,FALSE))),"x",IF(NOT(ISERROR(HLOOKUP(Standings!CP$3,Entries!$L20:$L20,1,FALSE))),"S",""))</f>
        <v/>
      </c>
      <c r="CQ28" t="str">
        <f>IF(NOT(ISERROR(HLOOKUP(Standings!CQ$3,Entries!$C20:$K20,1,FALSE))),"x",IF(NOT(ISERROR(HLOOKUP(Standings!CQ$3,Entries!$L20:$L20,1,FALSE))),"S",""))</f>
        <v/>
      </c>
      <c r="CR28" t="str">
        <f>IF(NOT(ISERROR(HLOOKUP(Standings!CR$3,Entries!$C20:$K20,1,FALSE))),"x",IF(NOT(ISERROR(HLOOKUP(Standings!CR$3,Entries!$L20:$L20,1,FALSE))),"S",""))</f>
        <v/>
      </c>
      <c r="CS28" t="str">
        <f>IF(NOT(ISERROR(HLOOKUP(Standings!CS$3,Entries!$C20:$K20,1,FALSE))),"x",IF(NOT(ISERROR(HLOOKUP(Standings!CS$3,Entries!$L20:$L20,1,FALSE))),"S",""))</f>
        <v/>
      </c>
      <c r="CT28" t="str">
        <f>IF(NOT(ISERROR(HLOOKUP(Standings!CT$3,Entries!$C20:$K20,1,FALSE))),"x",IF(NOT(ISERROR(HLOOKUP(Standings!CT$3,Entries!$L20:$L20,1,FALSE))),"S",""))</f>
        <v/>
      </c>
      <c r="CU28" t="str">
        <f>IF(NOT(ISERROR(HLOOKUP(Standings!CU$3,Entries!$C20:$K20,1,FALSE))),"x",IF(NOT(ISERROR(HLOOKUP(Standings!CU$3,Entries!$L20:$L20,1,FALSE))),"S",""))</f>
        <v/>
      </c>
      <c r="CV28" t="str">
        <f>IF(NOT(ISERROR(HLOOKUP(Standings!CV$3,Entries!$C20:$K20,1,FALSE))),"x",IF(NOT(ISERROR(HLOOKUP(Standings!CV$3,Entries!$L20:$L20,1,FALSE))),"S",""))</f>
        <v/>
      </c>
      <c r="CW28" t="str">
        <f>IF(NOT(ISERROR(HLOOKUP(Standings!CW$3,Entries!$C20:$K20,1,FALSE))),"x",IF(NOT(ISERROR(HLOOKUP(Standings!CW$3,Entries!$L20:$L20,1,FALSE))),"S",""))</f>
        <v/>
      </c>
      <c r="CX28" t="str">
        <f>IF(NOT(ISERROR(HLOOKUP(Standings!CX$3,Entries!$C20:$K20,1,FALSE))),"x",IF(NOT(ISERROR(HLOOKUP(Standings!CX$3,Entries!$L20:$L20,1,FALSE))),"S",""))</f>
        <v/>
      </c>
      <c r="CY28" t="str">
        <f>IF(NOT(ISERROR(HLOOKUP(Standings!CY$3,Entries!$C20:$K20,1,FALSE))),"x",IF(NOT(ISERROR(HLOOKUP(Standings!CY$3,Entries!$L20:$L20,1,FALSE))),"S",""))</f>
        <v/>
      </c>
      <c r="CZ28" t="str">
        <f>IF(NOT(ISERROR(HLOOKUP(Standings!CZ$3,Entries!$C20:$K20,1,FALSE))),"x",IF(NOT(ISERROR(HLOOKUP(Standings!CZ$3,Entries!$L20:$L20,1,FALSE))),"S",""))</f>
        <v>x</v>
      </c>
      <c r="DA28" t="str">
        <f>IF(NOT(ISERROR(HLOOKUP(Standings!DA$3,Entries!$C20:$K20,1,FALSE))),"x",IF(NOT(ISERROR(HLOOKUP(Standings!DA$3,Entries!$L20:$L20,1,FALSE))),"S",""))</f>
        <v/>
      </c>
      <c r="DB28" t="str">
        <f>IF(NOT(ISERROR(HLOOKUP(Standings!DB$3,Entries!$C20:$K20,1,FALSE))),"x",IF(NOT(ISERROR(HLOOKUP(Standings!DB$3,Entries!$L20:$L20,1,FALSE))),"S",""))</f>
        <v/>
      </c>
    </row>
    <row r="29" spans="1:106" x14ac:dyDescent="0.25">
      <c r="B29">
        <v>71</v>
      </c>
      <c r="C29" t="str">
        <f>Entries!B21</f>
        <v>JohnBullock1</v>
      </c>
      <c r="D29" s="4">
        <f t="shared" si="3"/>
        <v>18</v>
      </c>
      <c r="E29" s="31">
        <f t="shared" si="4"/>
        <v>2</v>
      </c>
      <c r="F29" s="40" t="str">
        <f t="shared" si="52"/>
        <v/>
      </c>
      <c r="G29" s="41" t="str">
        <f t="shared" si="5"/>
        <v/>
      </c>
      <c r="H29" s="41" t="str">
        <f t="shared" si="6"/>
        <v/>
      </c>
      <c r="I29" s="42" t="str">
        <f t="shared" si="7"/>
        <v/>
      </c>
      <c r="J29" s="40" t="str">
        <f t="shared" si="8"/>
        <v/>
      </c>
      <c r="K29" s="41" t="str">
        <f t="shared" si="9"/>
        <v/>
      </c>
      <c r="L29" s="41">
        <f t="shared" si="10"/>
        <v>0</v>
      </c>
      <c r="M29" s="42" t="str">
        <f t="shared" si="11"/>
        <v/>
      </c>
      <c r="N29" s="43" t="str">
        <f t="shared" si="12"/>
        <v/>
      </c>
      <c r="O29" s="41">
        <f t="shared" si="13"/>
        <v>0</v>
      </c>
      <c r="P29" s="41" t="str">
        <f t="shared" si="14"/>
        <v/>
      </c>
      <c r="Q29" s="42" t="str">
        <f t="shared" si="15"/>
        <v/>
      </c>
      <c r="R29" s="40">
        <f t="shared" si="16"/>
        <v>2</v>
      </c>
      <c r="S29" s="41" t="str">
        <f t="shared" si="17"/>
        <v/>
      </c>
      <c r="T29" s="43" t="str">
        <f t="shared" si="18"/>
        <v/>
      </c>
      <c r="U29" s="42" t="str">
        <f t="shared" si="19"/>
        <v/>
      </c>
      <c r="V29" s="40" t="str">
        <f t="shared" si="20"/>
        <v/>
      </c>
      <c r="W29" s="41" t="str">
        <f t="shared" si="21"/>
        <v/>
      </c>
      <c r="X29" s="41" t="str">
        <f t="shared" si="22"/>
        <v/>
      </c>
      <c r="Y29" s="42" t="str">
        <f t="shared" si="23"/>
        <v/>
      </c>
      <c r="Z29" s="40">
        <f t="shared" si="24"/>
        <v>-1.0000000000000001E-5</v>
      </c>
      <c r="AA29" s="41">
        <f t="shared" si="25"/>
        <v>0</v>
      </c>
      <c r="AB29" s="41" t="str">
        <f t="shared" si="26"/>
        <v/>
      </c>
      <c r="AC29" s="42" t="str">
        <f t="shared" si="27"/>
        <v/>
      </c>
      <c r="AD29" s="40" t="str">
        <f t="shared" si="28"/>
        <v/>
      </c>
      <c r="AE29" s="41" t="str">
        <f t="shared" si="29"/>
        <v/>
      </c>
      <c r="AF29" s="41" t="str">
        <f t="shared" si="30"/>
        <v/>
      </c>
      <c r="AG29" s="42" t="str">
        <f t="shared" si="31"/>
        <v/>
      </c>
      <c r="AH29" s="40" t="str">
        <f t="shared" si="32"/>
        <v/>
      </c>
      <c r="AI29" s="41" t="str">
        <f t="shared" si="33"/>
        <v/>
      </c>
      <c r="AJ29" s="41" t="str">
        <f t="shared" si="34"/>
        <v/>
      </c>
      <c r="AK29" s="42" t="str">
        <f t="shared" si="35"/>
        <v/>
      </c>
      <c r="AL29" s="40">
        <f t="shared" si="36"/>
        <v>0</v>
      </c>
      <c r="AM29" s="41" t="str">
        <f t="shared" si="37"/>
        <v/>
      </c>
      <c r="AN29" s="41" t="str">
        <f t="shared" si="38"/>
        <v/>
      </c>
      <c r="AO29" s="42" t="str">
        <f t="shared" si="39"/>
        <v/>
      </c>
      <c r="AP29" s="40" t="str">
        <f t="shared" si="40"/>
        <v/>
      </c>
      <c r="AQ29" s="41" t="str">
        <f t="shared" si="41"/>
        <v/>
      </c>
      <c r="AR29" s="41" t="str">
        <f t="shared" si="42"/>
        <v/>
      </c>
      <c r="AS29" s="42" t="str">
        <f t="shared" si="43"/>
        <v/>
      </c>
      <c r="AT29" s="40" t="str">
        <f t="shared" si="44"/>
        <v/>
      </c>
      <c r="AU29" s="41" t="str">
        <f t="shared" si="45"/>
        <v/>
      </c>
      <c r="AV29" s="41" t="str">
        <f t="shared" si="46"/>
        <v/>
      </c>
      <c r="AW29" s="42" t="str">
        <f t="shared" si="47"/>
        <v/>
      </c>
      <c r="AX29" s="40" t="str">
        <f t="shared" si="48"/>
        <v/>
      </c>
      <c r="AY29" s="41" t="str">
        <f t="shared" si="49"/>
        <v/>
      </c>
      <c r="AZ29" s="41" t="str">
        <f t="shared" si="50"/>
        <v/>
      </c>
      <c r="BA29" s="42" t="str">
        <f t="shared" si="51"/>
        <v/>
      </c>
      <c r="BB29" s="37" t="s">
        <v>106</v>
      </c>
      <c r="BC29" s="21"/>
      <c r="BD29" s="21"/>
      <c r="BG29" t="str">
        <f>IF(NOT(ISERROR(HLOOKUP(Standings!BG$3,Entries!$C21:$K21,1,FALSE))),"x",IF(NOT(ISERROR(HLOOKUP(Standings!BG$3,Entries!$L21:$L21,1,FALSE))),"S",""))</f>
        <v/>
      </c>
      <c r="BH29" t="str">
        <f>IF(NOT(ISERROR(HLOOKUP(Standings!BH$3,Entries!$C21:$K21,1,FALSE))),"x",IF(NOT(ISERROR(HLOOKUP(Standings!BH$3,Entries!$L21:$L21,1,FALSE))),"S",""))</f>
        <v/>
      </c>
      <c r="BI29" t="str">
        <f>IF(NOT(ISERROR(HLOOKUP(Standings!BI$3,Entries!$C21:$K21,1,FALSE))),"x",IF(NOT(ISERROR(HLOOKUP(Standings!BI$3,Entries!$L21:$L21,1,FALSE))),"S",""))</f>
        <v/>
      </c>
      <c r="BJ29" t="str">
        <f>IF(NOT(ISERROR(HLOOKUP(Standings!BJ$3,Entries!$C21:$K21,1,FALSE))),"x",IF(NOT(ISERROR(HLOOKUP(Standings!BJ$3,Entries!$L21:$L21,1,FALSE))),"S",""))</f>
        <v/>
      </c>
      <c r="BK29" t="str">
        <f>IF(NOT(ISERROR(HLOOKUP(Standings!BK$3,Entries!$C21:$K21,1,FALSE))),"x",IF(NOT(ISERROR(HLOOKUP(Standings!BK$3,Entries!$L21:$L21,1,FALSE))),"S",""))</f>
        <v/>
      </c>
      <c r="BL29" t="str">
        <f>IF(NOT(ISERROR(HLOOKUP(Standings!BL$3,Entries!$C21:$K21,1,FALSE))),"x",IF(NOT(ISERROR(HLOOKUP(Standings!BL$3,Entries!$L21:$L21,1,FALSE))),"S",""))</f>
        <v/>
      </c>
      <c r="BM29" t="str">
        <f>IF(NOT(ISERROR(HLOOKUP(Standings!BM$3,Entries!$C21:$K21,1,FALSE))),"x",IF(NOT(ISERROR(HLOOKUP(Standings!BM$3,Entries!$L21:$L21,1,FALSE))),"S",""))</f>
        <v>x</v>
      </c>
      <c r="BN29" t="str">
        <f>IF(NOT(ISERROR(HLOOKUP(Standings!BN$3,Entries!$C21:$K21,1,FALSE))),"x",IF(NOT(ISERROR(HLOOKUP(Standings!BN$3,Entries!$L21:$L21,1,FALSE))),"S",""))</f>
        <v/>
      </c>
      <c r="BO29" t="str">
        <f>IF(NOT(ISERROR(HLOOKUP(Standings!BO$3,Entries!$C21:$K21,1,FALSE))),"x",IF(NOT(ISERROR(HLOOKUP(Standings!BO$3,Entries!$L21:$L21,1,FALSE))),"S",""))</f>
        <v/>
      </c>
      <c r="BP29" t="str">
        <f>IF(NOT(ISERROR(HLOOKUP(Standings!BP$3,Entries!$C21:$K21,1,FALSE))),"x",IF(NOT(ISERROR(HLOOKUP(Standings!BP$3,Entries!$L21:$L21,1,FALSE))),"S",""))</f>
        <v>x</v>
      </c>
      <c r="BQ29" t="str">
        <f>IF(NOT(ISERROR(HLOOKUP(Standings!BQ$3,Entries!$C21:$K21,1,FALSE))),"x",IF(NOT(ISERROR(HLOOKUP(Standings!BQ$3,Entries!$L21:$L21,1,FALSE))),"S",""))</f>
        <v/>
      </c>
      <c r="BR29" t="str">
        <f>IF(NOT(ISERROR(HLOOKUP(Standings!BR$3,Entries!$C21:$K21,1,FALSE))),"x",IF(NOT(ISERROR(HLOOKUP(Standings!BR$3,Entries!$L21:$L21,1,FALSE))),"S",""))</f>
        <v/>
      </c>
      <c r="BS29" t="str">
        <f>IF(NOT(ISERROR(HLOOKUP(Standings!BS$3,Entries!$C21:$K21,1,FALSE))),"x",IF(NOT(ISERROR(HLOOKUP(Standings!BS$3,Entries!$L21:$L21,1,FALSE))),"S",""))</f>
        <v>x</v>
      </c>
      <c r="BT29" t="str">
        <f>IF(NOT(ISERROR(HLOOKUP(Standings!BT$3,Entries!$C21:$K21,1,FALSE))),"x",IF(NOT(ISERROR(HLOOKUP(Standings!BT$3,Entries!$L21:$L21,1,FALSE))),"S",""))</f>
        <v/>
      </c>
      <c r="BU29" t="str">
        <f>IF(NOT(ISERROR(HLOOKUP(Standings!BU$3,Entries!$C21:$K21,1,FALSE))),"x",IF(NOT(ISERROR(HLOOKUP(Standings!BU$3,Entries!$L21:$L21,1,FALSE))),"S",""))</f>
        <v/>
      </c>
      <c r="BV29" t="str">
        <f>IF(NOT(ISERROR(HLOOKUP(Standings!BV$3,Entries!$C21:$K21,1,FALSE))),"x",IF(NOT(ISERROR(HLOOKUP(Standings!BV$3,Entries!$L21:$L21,1,FALSE))),"S",""))</f>
        <v/>
      </c>
      <c r="BW29" t="str">
        <f>IF(NOT(ISERROR(HLOOKUP(Standings!BW$3,Entries!$C21:$K21,1,FALSE))),"x",IF(NOT(ISERROR(HLOOKUP(Standings!BW$3,Entries!$L21:$L21,1,FALSE))),"S",""))</f>
        <v/>
      </c>
      <c r="BX29" t="str">
        <f>IF(NOT(ISERROR(HLOOKUP(Standings!BX$3,Entries!$C21:$K21,1,FALSE))),"x",IF(NOT(ISERROR(HLOOKUP(Standings!BX$3,Entries!$L21:$L21,1,FALSE))),"S",""))</f>
        <v/>
      </c>
      <c r="BY29" t="str">
        <f>IF(NOT(ISERROR(HLOOKUP(Standings!BY$3,Entries!$C21:$K21,1,FALSE))),"x",IF(NOT(ISERROR(HLOOKUP(Standings!BY$3,Entries!$L21:$L21,1,FALSE))),"S",""))</f>
        <v/>
      </c>
      <c r="BZ29" t="str">
        <f>IF(NOT(ISERROR(HLOOKUP(Standings!BZ$3,Entries!$C21:$K21,1,FALSE))),"x",IF(NOT(ISERROR(HLOOKUP(Standings!BZ$3,Entries!$L21:$L21,1,FALSE))),"S",""))</f>
        <v/>
      </c>
      <c r="CA29" t="str">
        <f>IF(NOT(ISERROR(HLOOKUP(Standings!CA$3,Entries!$C21:$K21,1,FALSE))),"x",IF(NOT(ISERROR(HLOOKUP(Standings!CA$3,Entries!$L21:$L21,1,FALSE))),"S",""))</f>
        <v>S</v>
      </c>
      <c r="CB29" t="str">
        <f>IF(NOT(ISERROR(HLOOKUP(Standings!CB$3,Entries!$C21:$K21,1,FALSE))),"x",IF(NOT(ISERROR(HLOOKUP(Standings!CB$3,Entries!$L21:$L21,1,FALSE))),"S",""))</f>
        <v>x</v>
      </c>
      <c r="CC29" t="str">
        <f>IF(NOT(ISERROR(HLOOKUP(Standings!CC$3,Entries!$C21:$K21,1,FALSE))),"x",IF(NOT(ISERROR(HLOOKUP(Standings!CC$3,Entries!$L21:$L21,1,FALSE))),"S",""))</f>
        <v/>
      </c>
      <c r="CD29" t="str">
        <f>IF(NOT(ISERROR(HLOOKUP(Standings!CD$3,Entries!$C21:$K21,1,FALSE))),"x",IF(NOT(ISERROR(HLOOKUP(Standings!CD$3,Entries!$L21:$L21,1,FALSE))),"S",""))</f>
        <v/>
      </c>
      <c r="CE29" t="str">
        <f>IF(NOT(ISERROR(HLOOKUP(Standings!CE$3,Entries!$C21:$K21,1,FALSE))),"x",IF(NOT(ISERROR(HLOOKUP(Standings!CE$3,Entries!$L21:$L21,1,FALSE))),"S",""))</f>
        <v/>
      </c>
      <c r="CF29" t="str">
        <f>IF(NOT(ISERROR(HLOOKUP(Standings!CF$3,Entries!$C21:$K21,1,FALSE))),"x",IF(NOT(ISERROR(HLOOKUP(Standings!CF$3,Entries!$L21:$L21,1,FALSE))),"S",""))</f>
        <v/>
      </c>
      <c r="CG29" t="str">
        <f>IF(NOT(ISERROR(HLOOKUP(Standings!CG$3,Entries!$C21:$K21,1,FALSE))),"x",IF(NOT(ISERROR(HLOOKUP(Standings!CG$3,Entries!$L21:$L21,1,FALSE))),"S",""))</f>
        <v/>
      </c>
      <c r="CH29" t="str">
        <f>IF(NOT(ISERROR(HLOOKUP(Standings!CH$3,Entries!$C21:$K21,1,FALSE))),"x",IF(NOT(ISERROR(HLOOKUP(Standings!CH$3,Entries!$L21:$L21,1,FALSE))),"S",""))</f>
        <v/>
      </c>
      <c r="CI29" t="str">
        <f>IF(NOT(ISERROR(HLOOKUP(Standings!CI$3,Entries!$C21:$K21,1,FALSE))),"x",IF(NOT(ISERROR(HLOOKUP(Standings!CI$3,Entries!$L21:$L21,1,FALSE))),"S",""))</f>
        <v/>
      </c>
      <c r="CJ29" t="str">
        <f>IF(NOT(ISERROR(HLOOKUP(Standings!CJ$3,Entries!$C21:$K21,1,FALSE))),"x",IF(NOT(ISERROR(HLOOKUP(Standings!CJ$3,Entries!$L21:$L21,1,FALSE))),"S",""))</f>
        <v/>
      </c>
      <c r="CK29" t="str">
        <f>IF(NOT(ISERROR(HLOOKUP(Standings!CK$3,Entries!$C21:$K21,1,FALSE))),"x",IF(NOT(ISERROR(HLOOKUP(Standings!CK$3,Entries!$L21:$L21,1,FALSE))),"S",""))</f>
        <v/>
      </c>
      <c r="CL29" t="str">
        <f>IF(NOT(ISERROR(HLOOKUP(Standings!CL$3,Entries!$C21:$K21,1,FALSE))),"x",IF(NOT(ISERROR(HLOOKUP(Standings!CL$3,Entries!$L21:$L21,1,FALSE))),"S",""))</f>
        <v/>
      </c>
      <c r="CM29" t="str">
        <f>IF(NOT(ISERROR(HLOOKUP(Standings!CM$3,Entries!$C21:$K21,1,FALSE))),"x",IF(NOT(ISERROR(HLOOKUP(Standings!CM$3,Entries!$L21:$L21,1,FALSE))),"S",""))</f>
        <v>x</v>
      </c>
      <c r="CN29" t="str">
        <f>IF(NOT(ISERROR(HLOOKUP(Standings!CN$3,Entries!$C21:$K21,1,FALSE))),"x",IF(NOT(ISERROR(HLOOKUP(Standings!CN$3,Entries!$L21:$L21,1,FALSE))),"S",""))</f>
        <v/>
      </c>
      <c r="CO29" t="str">
        <f>IF(NOT(ISERROR(HLOOKUP(Standings!CO$3,Entries!$C21:$K21,1,FALSE))),"x",IF(NOT(ISERROR(HLOOKUP(Standings!CO$3,Entries!$L21:$L21,1,FALSE))),"S",""))</f>
        <v/>
      </c>
      <c r="CP29" t="str">
        <f>IF(NOT(ISERROR(HLOOKUP(Standings!CP$3,Entries!$C21:$K21,1,FALSE))),"x",IF(NOT(ISERROR(HLOOKUP(Standings!CP$3,Entries!$L21:$L21,1,FALSE))),"S",""))</f>
        <v/>
      </c>
      <c r="CQ29" t="str">
        <f>IF(NOT(ISERROR(HLOOKUP(Standings!CQ$3,Entries!$C21:$K21,1,FALSE))),"x",IF(NOT(ISERROR(HLOOKUP(Standings!CQ$3,Entries!$L21:$L21,1,FALSE))),"S",""))</f>
        <v/>
      </c>
      <c r="CR29" t="str">
        <f>IF(NOT(ISERROR(HLOOKUP(Standings!CR$3,Entries!$C21:$K21,1,FALSE))),"x",IF(NOT(ISERROR(HLOOKUP(Standings!CR$3,Entries!$L21:$L21,1,FALSE))),"S",""))</f>
        <v/>
      </c>
      <c r="CS29" t="str">
        <f>IF(NOT(ISERROR(HLOOKUP(Standings!CS$3,Entries!$C21:$K21,1,FALSE))),"x",IF(NOT(ISERROR(HLOOKUP(Standings!CS$3,Entries!$L21:$L21,1,FALSE))),"S",""))</f>
        <v/>
      </c>
      <c r="CT29" t="str">
        <f>IF(NOT(ISERROR(HLOOKUP(Standings!CT$3,Entries!$C21:$K21,1,FALSE))),"x",IF(NOT(ISERROR(HLOOKUP(Standings!CT$3,Entries!$L21:$L21,1,FALSE))),"S",""))</f>
        <v/>
      </c>
      <c r="CU29" t="str">
        <f>IF(NOT(ISERROR(HLOOKUP(Standings!CU$3,Entries!$C21:$K21,1,FALSE))),"x",IF(NOT(ISERROR(HLOOKUP(Standings!CU$3,Entries!$L21:$L21,1,FALSE))),"S",""))</f>
        <v/>
      </c>
      <c r="CV29" t="str">
        <f>IF(NOT(ISERROR(HLOOKUP(Standings!CV$3,Entries!$C21:$K21,1,FALSE))),"x",IF(NOT(ISERROR(HLOOKUP(Standings!CV$3,Entries!$L21:$L21,1,FALSE))),"S",""))</f>
        <v/>
      </c>
      <c r="CW29" t="str">
        <f>IF(NOT(ISERROR(HLOOKUP(Standings!CW$3,Entries!$C21:$K21,1,FALSE))),"x",IF(NOT(ISERROR(HLOOKUP(Standings!CW$3,Entries!$L21:$L21,1,FALSE))),"S",""))</f>
        <v/>
      </c>
      <c r="CX29" t="str">
        <f>IF(NOT(ISERROR(HLOOKUP(Standings!CX$3,Entries!$C21:$K21,1,FALSE))),"x",IF(NOT(ISERROR(HLOOKUP(Standings!CX$3,Entries!$L21:$L21,1,FALSE))),"S",""))</f>
        <v/>
      </c>
      <c r="CY29" t="str">
        <f>IF(NOT(ISERROR(HLOOKUP(Standings!CY$3,Entries!$C21:$K21,1,FALSE))),"x",IF(NOT(ISERROR(HLOOKUP(Standings!CY$3,Entries!$L21:$L21,1,FALSE))),"S",""))</f>
        <v/>
      </c>
      <c r="CZ29" t="str">
        <f>IF(NOT(ISERROR(HLOOKUP(Standings!CZ$3,Entries!$C21:$K21,1,FALSE))),"x",IF(NOT(ISERROR(HLOOKUP(Standings!CZ$3,Entries!$L21:$L21,1,FALSE))),"S",""))</f>
        <v/>
      </c>
      <c r="DA29" t="str">
        <f>IF(NOT(ISERROR(HLOOKUP(Standings!DA$3,Entries!$C21:$K21,1,FALSE))),"x",IF(NOT(ISERROR(HLOOKUP(Standings!DA$3,Entries!$L21:$L21,1,FALSE))),"S",""))</f>
        <v/>
      </c>
      <c r="DB29" t="str">
        <f>IF(NOT(ISERROR(HLOOKUP(Standings!DB$3,Entries!$C21:$K21,1,FALSE))),"x",IF(NOT(ISERROR(HLOOKUP(Standings!DB$3,Entries!$L21:$L21,1,FALSE))),"S",""))</f>
        <v/>
      </c>
    </row>
    <row r="30" spans="1:106" x14ac:dyDescent="0.25">
      <c r="A30" s="18"/>
      <c r="B30">
        <v>40</v>
      </c>
      <c r="C30" t="str">
        <f>Entries!B22</f>
        <v>JohnBullock2</v>
      </c>
      <c r="D30" s="4">
        <f t="shared" si="3"/>
        <v>55</v>
      </c>
      <c r="E30" s="31">
        <f t="shared" si="4"/>
        <v>0</v>
      </c>
      <c r="F30" s="40" t="str">
        <f t="shared" si="52"/>
        <v/>
      </c>
      <c r="G30" s="41">
        <f t="shared" si="5"/>
        <v>0</v>
      </c>
      <c r="H30" s="41" t="str">
        <f t="shared" si="6"/>
        <v/>
      </c>
      <c r="I30" s="42" t="str">
        <f t="shared" si="7"/>
        <v/>
      </c>
      <c r="J30" s="40" t="str">
        <f t="shared" si="8"/>
        <v/>
      </c>
      <c r="K30" s="41" t="str">
        <f t="shared" si="9"/>
        <v/>
      </c>
      <c r="L30" s="41" t="str">
        <f t="shared" si="10"/>
        <v/>
      </c>
      <c r="M30" s="42" t="str">
        <f t="shared" si="11"/>
        <v/>
      </c>
      <c r="N30" s="43" t="str">
        <f t="shared" si="12"/>
        <v/>
      </c>
      <c r="O30" s="41" t="str">
        <f t="shared" si="13"/>
        <v/>
      </c>
      <c r="P30" s="41" t="str">
        <f t="shared" si="14"/>
        <v/>
      </c>
      <c r="Q30" s="42">
        <f t="shared" si="15"/>
        <v>0</v>
      </c>
      <c r="R30" s="40" t="str">
        <f t="shared" si="16"/>
        <v/>
      </c>
      <c r="S30" s="41" t="str">
        <f t="shared" si="17"/>
        <v/>
      </c>
      <c r="T30" s="43" t="str">
        <f t="shared" si="18"/>
        <v/>
      </c>
      <c r="U30" s="42" t="str">
        <f t="shared" si="19"/>
        <v/>
      </c>
      <c r="V30" s="40">
        <f t="shared" si="20"/>
        <v>0</v>
      </c>
      <c r="W30" s="41" t="str">
        <f t="shared" si="21"/>
        <v/>
      </c>
      <c r="X30" s="41" t="str">
        <f t="shared" si="22"/>
        <v/>
      </c>
      <c r="Y30" s="42" t="str">
        <f t="shared" si="23"/>
        <v/>
      </c>
      <c r="Z30" s="40" t="str">
        <f t="shared" si="24"/>
        <v/>
      </c>
      <c r="AA30" s="41" t="str">
        <f t="shared" si="25"/>
        <v/>
      </c>
      <c r="AB30" s="41" t="str">
        <f t="shared" si="26"/>
        <v/>
      </c>
      <c r="AC30" s="42" t="str">
        <f t="shared" si="27"/>
        <v/>
      </c>
      <c r="AD30" s="40" t="str">
        <f t="shared" si="28"/>
        <v/>
      </c>
      <c r="AE30" s="41" t="str">
        <f t="shared" si="29"/>
        <v/>
      </c>
      <c r="AF30" s="41" t="str">
        <f t="shared" si="30"/>
        <v/>
      </c>
      <c r="AG30" s="42" t="str">
        <f t="shared" si="31"/>
        <v/>
      </c>
      <c r="AH30" s="40" t="str">
        <f t="shared" si="32"/>
        <v/>
      </c>
      <c r="AI30" s="41" t="str">
        <f t="shared" si="33"/>
        <v/>
      </c>
      <c r="AJ30" s="41" t="str">
        <f t="shared" si="34"/>
        <v/>
      </c>
      <c r="AK30" s="42" t="str">
        <f t="shared" si="35"/>
        <v/>
      </c>
      <c r="AL30" s="40" t="str">
        <f t="shared" si="36"/>
        <v/>
      </c>
      <c r="AM30" s="41" t="str">
        <f t="shared" si="37"/>
        <v/>
      </c>
      <c r="AN30" s="41" t="str">
        <f t="shared" si="38"/>
        <v/>
      </c>
      <c r="AO30" s="42" t="str">
        <f t="shared" si="39"/>
        <v/>
      </c>
      <c r="AP30" s="40" t="str">
        <f t="shared" si="40"/>
        <v/>
      </c>
      <c r="AQ30" s="41" t="str">
        <f t="shared" si="41"/>
        <v/>
      </c>
      <c r="AR30" s="41" t="str">
        <f t="shared" si="42"/>
        <v/>
      </c>
      <c r="AS30" s="42" t="str">
        <f t="shared" si="43"/>
        <v/>
      </c>
      <c r="AT30" s="40">
        <f t="shared" si="44"/>
        <v>-1.0000000000000001E-5</v>
      </c>
      <c r="AU30" s="41">
        <f t="shared" si="45"/>
        <v>0</v>
      </c>
      <c r="AV30" s="41">
        <f t="shared" si="46"/>
        <v>0</v>
      </c>
      <c r="AW30" s="42" t="str">
        <f t="shared" si="47"/>
        <v/>
      </c>
      <c r="AX30" s="40">
        <f t="shared" si="48"/>
        <v>0</v>
      </c>
      <c r="AY30" s="41" t="str">
        <f t="shared" si="49"/>
        <v/>
      </c>
      <c r="AZ30" s="41" t="str">
        <f t="shared" si="50"/>
        <v/>
      </c>
      <c r="BA30" s="42" t="str">
        <f t="shared" si="51"/>
        <v/>
      </c>
      <c r="BB30" s="37" t="s">
        <v>106</v>
      </c>
      <c r="BD30" s="21"/>
      <c r="BG30" t="str">
        <f>IF(NOT(ISERROR(HLOOKUP(Standings!BG$3,Entries!$C22:$K22,1,FALSE))),"x",IF(NOT(ISERROR(HLOOKUP(Standings!BG$3,Entries!$L22:$L22,1,FALSE))),"S",""))</f>
        <v/>
      </c>
      <c r="BH30" t="str">
        <f>IF(NOT(ISERROR(HLOOKUP(Standings!BH$3,Entries!$C22:$K22,1,FALSE))),"x",IF(NOT(ISERROR(HLOOKUP(Standings!BH$3,Entries!$L22:$L22,1,FALSE))),"S",""))</f>
        <v>x</v>
      </c>
      <c r="BI30" t="str">
        <f>IF(NOT(ISERROR(HLOOKUP(Standings!BI$3,Entries!$C22:$K22,1,FALSE))),"x",IF(NOT(ISERROR(HLOOKUP(Standings!BI$3,Entries!$L22:$L22,1,FALSE))),"S",""))</f>
        <v/>
      </c>
      <c r="BJ30" t="str">
        <f>IF(NOT(ISERROR(HLOOKUP(Standings!BJ$3,Entries!$C22:$K22,1,FALSE))),"x",IF(NOT(ISERROR(HLOOKUP(Standings!BJ$3,Entries!$L22:$L22,1,FALSE))),"S",""))</f>
        <v/>
      </c>
      <c r="BK30" t="str">
        <f>IF(NOT(ISERROR(HLOOKUP(Standings!BK$3,Entries!$C22:$K22,1,FALSE))),"x",IF(NOT(ISERROR(HLOOKUP(Standings!BK$3,Entries!$L22:$L22,1,FALSE))),"S",""))</f>
        <v/>
      </c>
      <c r="BL30" t="str">
        <f>IF(NOT(ISERROR(HLOOKUP(Standings!BL$3,Entries!$C22:$K22,1,FALSE))),"x",IF(NOT(ISERROR(HLOOKUP(Standings!BL$3,Entries!$L22:$L22,1,FALSE))),"S",""))</f>
        <v/>
      </c>
      <c r="BM30" t="str">
        <f>IF(NOT(ISERROR(HLOOKUP(Standings!BM$3,Entries!$C22:$K22,1,FALSE))),"x",IF(NOT(ISERROR(HLOOKUP(Standings!BM$3,Entries!$L22:$L22,1,FALSE))),"S",""))</f>
        <v/>
      </c>
      <c r="BN30" t="str">
        <f>IF(NOT(ISERROR(HLOOKUP(Standings!BN$3,Entries!$C22:$K22,1,FALSE))),"x",IF(NOT(ISERROR(HLOOKUP(Standings!BN$3,Entries!$L22:$L22,1,FALSE))),"S",""))</f>
        <v/>
      </c>
      <c r="BO30" t="str">
        <f>IF(NOT(ISERROR(HLOOKUP(Standings!BO$3,Entries!$C22:$K22,1,FALSE))),"x",IF(NOT(ISERROR(HLOOKUP(Standings!BO$3,Entries!$L22:$L22,1,FALSE))),"S",""))</f>
        <v/>
      </c>
      <c r="BP30" t="str">
        <f>IF(NOT(ISERROR(HLOOKUP(Standings!BP$3,Entries!$C22:$K22,1,FALSE))),"x",IF(NOT(ISERROR(HLOOKUP(Standings!BP$3,Entries!$L22:$L22,1,FALSE))),"S",""))</f>
        <v/>
      </c>
      <c r="BQ30" t="str">
        <f>IF(NOT(ISERROR(HLOOKUP(Standings!BQ$3,Entries!$C22:$K22,1,FALSE))),"x",IF(NOT(ISERROR(HLOOKUP(Standings!BQ$3,Entries!$L22:$L22,1,FALSE))),"S",""))</f>
        <v/>
      </c>
      <c r="BR30" t="str">
        <f>IF(NOT(ISERROR(HLOOKUP(Standings!BR$3,Entries!$C22:$K22,1,FALSE))),"x",IF(NOT(ISERROR(HLOOKUP(Standings!BR$3,Entries!$L22:$L22,1,FALSE))),"S",""))</f>
        <v>x</v>
      </c>
      <c r="BS30" t="str">
        <f>IF(NOT(ISERROR(HLOOKUP(Standings!BS$3,Entries!$C22:$K22,1,FALSE))),"x",IF(NOT(ISERROR(HLOOKUP(Standings!BS$3,Entries!$L22:$L22,1,FALSE))),"S",""))</f>
        <v/>
      </c>
      <c r="BT30" t="str">
        <f>IF(NOT(ISERROR(HLOOKUP(Standings!BT$3,Entries!$C22:$K22,1,FALSE))),"x",IF(NOT(ISERROR(HLOOKUP(Standings!BT$3,Entries!$L22:$L22,1,FALSE))),"S",""))</f>
        <v/>
      </c>
      <c r="BU30" t="str">
        <f>IF(NOT(ISERROR(HLOOKUP(Standings!BU$3,Entries!$C22:$K22,1,FALSE))),"x",IF(NOT(ISERROR(HLOOKUP(Standings!BU$3,Entries!$L22:$L22,1,FALSE))),"S",""))</f>
        <v/>
      </c>
      <c r="BV30" t="str">
        <f>IF(NOT(ISERROR(HLOOKUP(Standings!BV$3,Entries!$C22:$K22,1,FALSE))),"x",IF(NOT(ISERROR(HLOOKUP(Standings!BV$3,Entries!$L22:$L22,1,FALSE))),"S",""))</f>
        <v/>
      </c>
      <c r="BW30" t="str">
        <f>IF(NOT(ISERROR(HLOOKUP(Standings!BW$3,Entries!$C22:$K22,1,FALSE))),"x",IF(NOT(ISERROR(HLOOKUP(Standings!BW$3,Entries!$L22:$L22,1,FALSE))),"S",""))</f>
        <v>x</v>
      </c>
      <c r="BX30" t="str">
        <f>IF(NOT(ISERROR(HLOOKUP(Standings!BX$3,Entries!$C22:$K22,1,FALSE))),"x",IF(NOT(ISERROR(HLOOKUP(Standings!BX$3,Entries!$L22:$L22,1,FALSE))),"S",""))</f>
        <v/>
      </c>
      <c r="BY30" t="str">
        <f>IF(NOT(ISERROR(HLOOKUP(Standings!BY$3,Entries!$C22:$K22,1,FALSE))),"x",IF(NOT(ISERROR(HLOOKUP(Standings!BY$3,Entries!$L22:$L22,1,FALSE))),"S",""))</f>
        <v/>
      </c>
      <c r="BZ30" t="str">
        <f>IF(NOT(ISERROR(HLOOKUP(Standings!BZ$3,Entries!$C22:$K22,1,FALSE))),"x",IF(NOT(ISERROR(HLOOKUP(Standings!BZ$3,Entries!$L22:$L22,1,FALSE))),"S",""))</f>
        <v/>
      </c>
      <c r="CA30" t="str">
        <f>IF(NOT(ISERROR(HLOOKUP(Standings!CA$3,Entries!$C22:$K22,1,FALSE))),"x",IF(NOT(ISERROR(HLOOKUP(Standings!CA$3,Entries!$L22:$L22,1,FALSE))),"S",""))</f>
        <v/>
      </c>
      <c r="CB30" t="str">
        <f>IF(NOT(ISERROR(HLOOKUP(Standings!CB$3,Entries!$C22:$K22,1,FALSE))),"x",IF(NOT(ISERROR(HLOOKUP(Standings!CB$3,Entries!$L22:$L22,1,FALSE))),"S",""))</f>
        <v/>
      </c>
      <c r="CC30" t="str">
        <f>IF(NOT(ISERROR(HLOOKUP(Standings!CC$3,Entries!$C22:$K22,1,FALSE))),"x",IF(NOT(ISERROR(HLOOKUP(Standings!CC$3,Entries!$L22:$L22,1,FALSE))),"S",""))</f>
        <v/>
      </c>
      <c r="CD30" t="str">
        <f>IF(NOT(ISERROR(HLOOKUP(Standings!CD$3,Entries!$C22:$K22,1,FALSE))),"x",IF(NOT(ISERROR(HLOOKUP(Standings!CD$3,Entries!$L22:$L22,1,FALSE))),"S",""))</f>
        <v/>
      </c>
      <c r="CE30" t="str">
        <f>IF(NOT(ISERROR(HLOOKUP(Standings!CE$3,Entries!$C22:$K22,1,FALSE))),"x",IF(NOT(ISERROR(HLOOKUP(Standings!CE$3,Entries!$L22:$L22,1,FALSE))),"S",""))</f>
        <v/>
      </c>
      <c r="CF30" t="str">
        <f>IF(NOT(ISERROR(HLOOKUP(Standings!CF$3,Entries!$C22:$K22,1,FALSE))),"x",IF(NOT(ISERROR(HLOOKUP(Standings!CF$3,Entries!$L22:$L22,1,FALSE))),"S",""))</f>
        <v/>
      </c>
      <c r="CG30" t="str">
        <f>IF(NOT(ISERROR(HLOOKUP(Standings!CG$3,Entries!$C22:$K22,1,FALSE))),"x",IF(NOT(ISERROR(HLOOKUP(Standings!CG$3,Entries!$L22:$L22,1,FALSE))),"S",""))</f>
        <v/>
      </c>
      <c r="CH30" t="str">
        <f>IF(NOT(ISERROR(HLOOKUP(Standings!CH$3,Entries!$C22:$K22,1,FALSE))),"x",IF(NOT(ISERROR(HLOOKUP(Standings!CH$3,Entries!$L22:$L22,1,FALSE))),"S",""))</f>
        <v/>
      </c>
      <c r="CI30" t="str">
        <f>IF(NOT(ISERROR(HLOOKUP(Standings!CI$3,Entries!$C22:$K22,1,FALSE))),"x",IF(NOT(ISERROR(HLOOKUP(Standings!CI$3,Entries!$L22:$L22,1,FALSE))),"S",""))</f>
        <v/>
      </c>
      <c r="CJ30" t="str">
        <f>IF(NOT(ISERROR(HLOOKUP(Standings!CJ$3,Entries!$C22:$K22,1,FALSE))),"x",IF(NOT(ISERROR(HLOOKUP(Standings!CJ$3,Entries!$L22:$L22,1,FALSE))),"S",""))</f>
        <v/>
      </c>
      <c r="CK30" t="str">
        <f>IF(NOT(ISERROR(HLOOKUP(Standings!CK$3,Entries!$C22:$K22,1,FALSE))),"x",IF(NOT(ISERROR(HLOOKUP(Standings!CK$3,Entries!$L22:$L22,1,FALSE))),"S",""))</f>
        <v/>
      </c>
      <c r="CL30" t="str">
        <f>IF(NOT(ISERROR(HLOOKUP(Standings!CL$3,Entries!$C22:$K22,1,FALSE))),"x",IF(NOT(ISERROR(HLOOKUP(Standings!CL$3,Entries!$L22:$L22,1,FALSE))),"S",""))</f>
        <v/>
      </c>
      <c r="CM30" t="str">
        <f>IF(NOT(ISERROR(HLOOKUP(Standings!CM$3,Entries!$C22:$K22,1,FALSE))),"x",IF(NOT(ISERROR(HLOOKUP(Standings!CM$3,Entries!$L22:$L22,1,FALSE))),"S",""))</f>
        <v/>
      </c>
      <c r="CN30" t="str">
        <f>IF(NOT(ISERROR(HLOOKUP(Standings!CN$3,Entries!$C22:$K22,1,FALSE))),"x",IF(NOT(ISERROR(HLOOKUP(Standings!CN$3,Entries!$L22:$L22,1,FALSE))),"S",""))</f>
        <v/>
      </c>
      <c r="CO30" t="str">
        <f>IF(NOT(ISERROR(HLOOKUP(Standings!CO$3,Entries!$C22:$K22,1,FALSE))),"x",IF(NOT(ISERROR(HLOOKUP(Standings!CO$3,Entries!$L22:$L22,1,FALSE))),"S",""))</f>
        <v/>
      </c>
      <c r="CP30" t="str">
        <f>IF(NOT(ISERROR(HLOOKUP(Standings!CP$3,Entries!$C22:$K22,1,FALSE))),"x",IF(NOT(ISERROR(HLOOKUP(Standings!CP$3,Entries!$L22:$L22,1,FALSE))),"S",""))</f>
        <v/>
      </c>
      <c r="CQ30" t="str">
        <f>IF(NOT(ISERROR(HLOOKUP(Standings!CQ$3,Entries!$C22:$K22,1,FALSE))),"x",IF(NOT(ISERROR(HLOOKUP(Standings!CQ$3,Entries!$L22:$L22,1,FALSE))),"S",""))</f>
        <v/>
      </c>
      <c r="CR30" t="str">
        <f>IF(NOT(ISERROR(HLOOKUP(Standings!CR$3,Entries!$C22:$K22,1,FALSE))),"x",IF(NOT(ISERROR(HLOOKUP(Standings!CR$3,Entries!$L22:$L22,1,FALSE))),"S",""))</f>
        <v/>
      </c>
      <c r="CS30" t="str">
        <f>IF(NOT(ISERROR(HLOOKUP(Standings!CS$3,Entries!$C22:$K22,1,FALSE))),"x",IF(NOT(ISERROR(HLOOKUP(Standings!CS$3,Entries!$L22:$L22,1,FALSE))),"S",""))</f>
        <v/>
      </c>
      <c r="CT30" t="str">
        <f>IF(NOT(ISERROR(HLOOKUP(Standings!CT$3,Entries!$C22:$K22,1,FALSE))),"x",IF(NOT(ISERROR(HLOOKUP(Standings!CT$3,Entries!$L22:$L22,1,FALSE))),"S",""))</f>
        <v/>
      </c>
      <c r="CU30" t="str">
        <f>IF(NOT(ISERROR(HLOOKUP(Standings!CU$3,Entries!$C22:$K22,1,FALSE))),"x",IF(NOT(ISERROR(HLOOKUP(Standings!CU$3,Entries!$L22:$L22,1,FALSE))),"S",""))</f>
        <v>S</v>
      </c>
      <c r="CV30" t="str">
        <f>IF(NOT(ISERROR(HLOOKUP(Standings!CV$3,Entries!$C22:$K22,1,FALSE))),"x",IF(NOT(ISERROR(HLOOKUP(Standings!CV$3,Entries!$L22:$L22,1,FALSE))),"S",""))</f>
        <v>x</v>
      </c>
      <c r="CW30" t="str">
        <f>IF(NOT(ISERROR(HLOOKUP(Standings!CW$3,Entries!$C22:$K22,1,FALSE))),"x",IF(NOT(ISERROR(HLOOKUP(Standings!CW$3,Entries!$L22:$L22,1,FALSE))),"S",""))</f>
        <v>x</v>
      </c>
      <c r="CX30" t="str">
        <f>IF(NOT(ISERROR(HLOOKUP(Standings!CX$3,Entries!$C22:$K22,1,FALSE))),"x",IF(NOT(ISERROR(HLOOKUP(Standings!CX$3,Entries!$L22:$L22,1,FALSE))),"S",""))</f>
        <v/>
      </c>
      <c r="CY30" t="str">
        <f>IF(NOT(ISERROR(HLOOKUP(Standings!CY$3,Entries!$C22:$K22,1,FALSE))),"x",IF(NOT(ISERROR(HLOOKUP(Standings!CY$3,Entries!$L22:$L22,1,FALSE))),"S",""))</f>
        <v>x</v>
      </c>
      <c r="CZ30" t="str">
        <f>IF(NOT(ISERROR(HLOOKUP(Standings!CZ$3,Entries!$C22:$K22,1,FALSE))),"x",IF(NOT(ISERROR(HLOOKUP(Standings!CZ$3,Entries!$L22:$L22,1,FALSE))),"S",""))</f>
        <v/>
      </c>
      <c r="DA30" t="str">
        <f>IF(NOT(ISERROR(HLOOKUP(Standings!DA$3,Entries!$C22:$K22,1,FALSE))),"x",IF(NOT(ISERROR(HLOOKUP(Standings!DA$3,Entries!$L22:$L22,1,FALSE))),"S",""))</f>
        <v/>
      </c>
      <c r="DB30" t="str">
        <f>IF(NOT(ISERROR(HLOOKUP(Standings!DB$3,Entries!$C22:$K22,1,FALSE))),"x",IF(NOT(ISERROR(HLOOKUP(Standings!DB$3,Entries!$L22:$L22,1,FALSE))),"S",""))</f>
        <v/>
      </c>
    </row>
    <row r="31" spans="1:106" x14ac:dyDescent="0.25">
      <c r="A31" s="18"/>
      <c r="B31">
        <v>59</v>
      </c>
      <c r="C31" t="str">
        <f>Entries!B23</f>
        <v>AinsleyBullock</v>
      </c>
      <c r="D31" s="4">
        <f t="shared" si="3"/>
        <v>2</v>
      </c>
      <c r="E31" s="31">
        <f t="shared" si="4"/>
        <v>5</v>
      </c>
      <c r="F31" s="40">
        <f t="shared" si="52"/>
        <v>2</v>
      </c>
      <c r="G31" s="41" t="str">
        <f t="shared" si="5"/>
        <v/>
      </c>
      <c r="H31" s="41" t="str">
        <f t="shared" si="6"/>
        <v/>
      </c>
      <c r="I31" s="42" t="str">
        <f t="shared" si="7"/>
        <v/>
      </c>
      <c r="J31" s="40">
        <f t="shared" si="8"/>
        <v>1</v>
      </c>
      <c r="K31" s="41">
        <f t="shared" si="9"/>
        <v>-1.0000000000000001E-5</v>
      </c>
      <c r="L31" s="41" t="str">
        <f t="shared" si="10"/>
        <v/>
      </c>
      <c r="M31" s="42" t="str">
        <f t="shared" si="11"/>
        <v/>
      </c>
      <c r="N31" s="43" t="str">
        <f t="shared" si="12"/>
        <v/>
      </c>
      <c r="O31" s="41" t="str">
        <f t="shared" si="13"/>
        <v/>
      </c>
      <c r="P31" s="41" t="str">
        <f t="shared" si="14"/>
        <v/>
      </c>
      <c r="Q31" s="42" t="str">
        <f t="shared" si="15"/>
        <v/>
      </c>
      <c r="R31" s="40">
        <f t="shared" si="16"/>
        <v>2</v>
      </c>
      <c r="S31" s="41" t="str">
        <f t="shared" si="17"/>
        <v/>
      </c>
      <c r="T31" s="43" t="str">
        <f t="shared" si="18"/>
        <v/>
      </c>
      <c r="U31" s="42" t="str">
        <f t="shared" si="19"/>
        <v/>
      </c>
      <c r="V31" s="40" t="str">
        <f t="shared" si="20"/>
        <v/>
      </c>
      <c r="W31" s="41" t="str">
        <f t="shared" si="21"/>
        <v/>
      </c>
      <c r="X31" s="41" t="str">
        <f t="shared" si="22"/>
        <v/>
      </c>
      <c r="Y31" s="42">
        <f t="shared" si="23"/>
        <v>0</v>
      </c>
      <c r="Z31" s="40" t="str">
        <f t="shared" si="24"/>
        <v/>
      </c>
      <c r="AA31" s="41">
        <f t="shared" si="25"/>
        <v>0</v>
      </c>
      <c r="AB31" s="41" t="str">
        <f t="shared" si="26"/>
        <v/>
      </c>
      <c r="AC31" s="42" t="str">
        <f t="shared" si="27"/>
        <v/>
      </c>
      <c r="AD31" s="40" t="str">
        <f t="shared" si="28"/>
        <v/>
      </c>
      <c r="AE31" s="41" t="str">
        <f t="shared" si="29"/>
        <v/>
      </c>
      <c r="AF31" s="41" t="str">
        <f t="shared" si="30"/>
        <v/>
      </c>
      <c r="AG31" s="42" t="str">
        <f t="shared" si="31"/>
        <v/>
      </c>
      <c r="AH31" s="40" t="str">
        <f t="shared" si="32"/>
        <v/>
      </c>
      <c r="AI31" s="41" t="str">
        <f t="shared" si="33"/>
        <v/>
      </c>
      <c r="AJ31" s="41">
        <f t="shared" si="34"/>
        <v>0</v>
      </c>
      <c r="AK31" s="42" t="str">
        <f t="shared" si="35"/>
        <v/>
      </c>
      <c r="AL31" s="40" t="str">
        <f t="shared" si="36"/>
        <v/>
      </c>
      <c r="AM31" s="41" t="str">
        <f t="shared" si="37"/>
        <v/>
      </c>
      <c r="AN31" s="41" t="str">
        <f t="shared" si="38"/>
        <v/>
      </c>
      <c r="AO31" s="42" t="str">
        <f t="shared" si="39"/>
        <v/>
      </c>
      <c r="AP31" s="40" t="str">
        <f t="shared" si="40"/>
        <v/>
      </c>
      <c r="AQ31" s="41">
        <f t="shared" si="41"/>
        <v>0</v>
      </c>
      <c r="AR31" s="41" t="str">
        <f t="shared" si="42"/>
        <v/>
      </c>
      <c r="AS31" s="42" t="str">
        <f t="shared" si="43"/>
        <v/>
      </c>
      <c r="AT31" s="40" t="str">
        <f t="shared" si="44"/>
        <v/>
      </c>
      <c r="AU31" s="41" t="str">
        <f t="shared" si="45"/>
        <v/>
      </c>
      <c r="AV31" s="41" t="str">
        <f t="shared" si="46"/>
        <v/>
      </c>
      <c r="AW31" s="42" t="str">
        <f t="shared" si="47"/>
        <v/>
      </c>
      <c r="AX31" s="40" t="str">
        <f t="shared" si="48"/>
        <v/>
      </c>
      <c r="AY31" s="41" t="str">
        <f t="shared" si="49"/>
        <v/>
      </c>
      <c r="AZ31" s="41">
        <f t="shared" si="50"/>
        <v>0</v>
      </c>
      <c r="BA31" s="42" t="str">
        <f t="shared" si="51"/>
        <v/>
      </c>
      <c r="BB31" s="37" t="s">
        <v>106</v>
      </c>
      <c r="BC31" s="21"/>
      <c r="BD31" s="21"/>
      <c r="BG31" t="str">
        <f>IF(NOT(ISERROR(HLOOKUP(Standings!BG$3,Entries!$C23:$K23,1,FALSE))),"x",IF(NOT(ISERROR(HLOOKUP(Standings!BG$3,Entries!$L23:$L23,1,FALSE))),"S",""))</f>
        <v>x</v>
      </c>
      <c r="BH31" t="str">
        <f>IF(NOT(ISERROR(HLOOKUP(Standings!BH$3,Entries!$C23:$K23,1,FALSE))),"x",IF(NOT(ISERROR(HLOOKUP(Standings!BH$3,Entries!$L23:$L23,1,FALSE))),"S",""))</f>
        <v/>
      </c>
      <c r="BI31" t="str">
        <f>IF(NOT(ISERROR(HLOOKUP(Standings!BI$3,Entries!$C23:$K23,1,FALSE))),"x",IF(NOT(ISERROR(HLOOKUP(Standings!BI$3,Entries!$L23:$L23,1,FALSE))),"S",""))</f>
        <v/>
      </c>
      <c r="BJ31" t="str">
        <f>IF(NOT(ISERROR(HLOOKUP(Standings!BJ$3,Entries!$C23:$K23,1,FALSE))),"x",IF(NOT(ISERROR(HLOOKUP(Standings!BJ$3,Entries!$L23:$L23,1,FALSE))),"S",""))</f>
        <v/>
      </c>
      <c r="BK31" t="str">
        <f>IF(NOT(ISERROR(HLOOKUP(Standings!BK$3,Entries!$C23:$K23,1,FALSE))),"x",IF(NOT(ISERROR(HLOOKUP(Standings!BK$3,Entries!$L23:$L23,1,FALSE))),"S",""))</f>
        <v>x</v>
      </c>
      <c r="BL31" t="str">
        <f>IF(NOT(ISERROR(HLOOKUP(Standings!BL$3,Entries!$C23:$K23,1,FALSE))),"x",IF(NOT(ISERROR(HLOOKUP(Standings!BL$3,Entries!$L23:$L23,1,FALSE))),"S",""))</f>
        <v>S</v>
      </c>
      <c r="BM31" t="str">
        <f>IF(NOT(ISERROR(HLOOKUP(Standings!BM$3,Entries!$C23:$K23,1,FALSE))),"x",IF(NOT(ISERROR(HLOOKUP(Standings!BM$3,Entries!$L23:$L23,1,FALSE))),"S",""))</f>
        <v/>
      </c>
      <c r="BN31" t="str">
        <f>IF(NOT(ISERROR(HLOOKUP(Standings!BN$3,Entries!$C23:$K23,1,FALSE))),"x",IF(NOT(ISERROR(HLOOKUP(Standings!BN$3,Entries!$L23:$L23,1,FALSE))),"S",""))</f>
        <v/>
      </c>
      <c r="BO31" t="str">
        <f>IF(NOT(ISERROR(HLOOKUP(Standings!BO$3,Entries!$C23:$K23,1,FALSE))),"x",IF(NOT(ISERROR(HLOOKUP(Standings!BO$3,Entries!$L23:$L23,1,FALSE))),"S",""))</f>
        <v/>
      </c>
      <c r="BP31" t="str">
        <f>IF(NOT(ISERROR(HLOOKUP(Standings!BP$3,Entries!$C23:$K23,1,FALSE))),"x",IF(NOT(ISERROR(HLOOKUP(Standings!BP$3,Entries!$L23:$L23,1,FALSE))),"S",""))</f>
        <v/>
      </c>
      <c r="BQ31" t="str">
        <f>IF(NOT(ISERROR(HLOOKUP(Standings!BQ$3,Entries!$C23:$K23,1,FALSE))),"x",IF(NOT(ISERROR(HLOOKUP(Standings!BQ$3,Entries!$L23:$L23,1,FALSE))),"S",""))</f>
        <v/>
      </c>
      <c r="BR31" t="str">
        <f>IF(NOT(ISERROR(HLOOKUP(Standings!BR$3,Entries!$C23:$K23,1,FALSE))),"x",IF(NOT(ISERROR(HLOOKUP(Standings!BR$3,Entries!$L23:$L23,1,FALSE))),"S",""))</f>
        <v/>
      </c>
      <c r="BS31" t="str">
        <f>IF(NOT(ISERROR(HLOOKUP(Standings!BS$3,Entries!$C23:$K23,1,FALSE))),"x",IF(NOT(ISERROR(HLOOKUP(Standings!BS$3,Entries!$L23:$L23,1,FALSE))),"S",""))</f>
        <v>x</v>
      </c>
      <c r="BT31" t="str">
        <f>IF(NOT(ISERROR(HLOOKUP(Standings!BT$3,Entries!$C23:$K23,1,FALSE))),"x",IF(NOT(ISERROR(HLOOKUP(Standings!BT$3,Entries!$L23:$L23,1,FALSE))),"S",""))</f>
        <v/>
      </c>
      <c r="BU31" t="str">
        <f>IF(NOT(ISERROR(HLOOKUP(Standings!BU$3,Entries!$C23:$K23,1,FALSE))),"x",IF(NOT(ISERROR(HLOOKUP(Standings!BU$3,Entries!$L23:$L23,1,FALSE))),"S",""))</f>
        <v/>
      </c>
      <c r="BV31" t="str">
        <f>IF(NOT(ISERROR(HLOOKUP(Standings!BV$3,Entries!$C23:$K23,1,FALSE))),"x",IF(NOT(ISERROR(HLOOKUP(Standings!BV$3,Entries!$L23:$L23,1,FALSE))),"S",""))</f>
        <v/>
      </c>
      <c r="BW31" t="str">
        <f>IF(NOT(ISERROR(HLOOKUP(Standings!BW$3,Entries!$C23:$K23,1,FALSE))),"x",IF(NOT(ISERROR(HLOOKUP(Standings!BW$3,Entries!$L23:$L23,1,FALSE))),"S",""))</f>
        <v/>
      </c>
      <c r="BX31" t="str">
        <f>IF(NOT(ISERROR(HLOOKUP(Standings!BX$3,Entries!$C23:$K23,1,FALSE))),"x",IF(NOT(ISERROR(HLOOKUP(Standings!BX$3,Entries!$L23:$L23,1,FALSE))),"S",""))</f>
        <v/>
      </c>
      <c r="BY31" t="str">
        <f>IF(NOT(ISERROR(HLOOKUP(Standings!BY$3,Entries!$C23:$K23,1,FALSE))),"x",IF(NOT(ISERROR(HLOOKUP(Standings!BY$3,Entries!$L23:$L23,1,FALSE))),"S",""))</f>
        <v/>
      </c>
      <c r="BZ31" t="str">
        <f>IF(NOT(ISERROR(HLOOKUP(Standings!BZ$3,Entries!$C23:$K23,1,FALSE))),"x",IF(NOT(ISERROR(HLOOKUP(Standings!BZ$3,Entries!$L23:$L23,1,FALSE))),"S",""))</f>
        <v>x</v>
      </c>
      <c r="CA31" t="str">
        <f>IF(NOT(ISERROR(HLOOKUP(Standings!CA$3,Entries!$C23:$K23,1,FALSE))),"x",IF(NOT(ISERROR(HLOOKUP(Standings!CA$3,Entries!$L23:$L23,1,FALSE))),"S",""))</f>
        <v/>
      </c>
      <c r="CB31" t="str">
        <f>IF(NOT(ISERROR(HLOOKUP(Standings!CB$3,Entries!$C23:$K23,1,FALSE))),"x",IF(NOT(ISERROR(HLOOKUP(Standings!CB$3,Entries!$L23:$L23,1,FALSE))),"S",""))</f>
        <v>x</v>
      </c>
      <c r="CC31" t="str">
        <f>IF(NOT(ISERROR(HLOOKUP(Standings!CC$3,Entries!$C23:$K23,1,FALSE))),"x",IF(NOT(ISERROR(HLOOKUP(Standings!CC$3,Entries!$L23:$L23,1,FALSE))),"S",""))</f>
        <v/>
      </c>
      <c r="CD31" t="str">
        <f>IF(NOT(ISERROR(HLOOKUP(Standings!CD$3,Entries!$C23:$K23,1,FALSE))),"x",IF(NOT(ISERROR(HLOOKUP(Standings!CD$3,Entries!$L23:$L23,1,FALSE))),"S",""))</f>
        <v/>
      </c>
      <c r="CE31" t="str">
        <f>IF(NOT(ISERROR(HLOOKUP(Standings!CE$3,Entries!$C23:$K23,1,FALSE))),"x",IF(NOT(ISERROR(HLOOKUP(Standings!CE$3,Entries!$L23:$L23,1,FALSE))),"S",""))</f>
        <v/>
      </c>
      <c r="CF31" t="str">
        <f>IF(NOT(ISERROR(HLOOKUP(Standings!CF$3,Entries!$C23:$K23,1,FALSE))),"x",IF(NOT(ISERROR(HLOOKUP(Standings!CF$3,Entries!$L23:$L23,1,FALSE))),"S",""))</f>
        <v/>
      </c>
      <c r="CG31" t="str">
        <f>IF(NOT(ISERROR(HLOOKUP(Standings!CG$3,Entries!$C23:$K23,1,FALSE))),"x",IF(NOT(ISERROR(HLOOKUP(Standings!CG$3,Entries!$L23:$L23,1,FALSE))),"S",""))</f>
        <v/>
      </c>
      <c r="CH31" t="str">
        <f>IF(NOT(ISERROR(HLOOKUP(Standings!CH$3,Entries!$C23:$K23,1,FALSE))),"x",IF(NOT(ISERROR(HLOOKUP(Standings!CH$3,Entries!$L23:$L23,1,FALSE))),"S",""))</f>
        <v/>
      </c>
      <c r="CI31" t="str">
        <f>IF(NOT(ISERROR(HLOOKUP(Standings!CI$3,Entries!$C23:$K23,1,FALSE))),"x",IF(NOT(ISERROR(HLOOKUP(Standings!CI$3,Entries!$L23:$L23,1,FALSE))),"S",""))</f>
        <v/>
      </c>
      <c r="CJ31" t="str">
        <f>IF(NOT(ISERROR(HLOOKUP(Standings!CJ$3,Entries!$C23:$K23,1,FALSE))),"x",IF(NOT(ISERROR(HLOOKUP(Standings!CJ$3,Entries!$L23:$L23,1,FALSE))),"S",""))</f>
        <v/>
      </c>
      <c r="CK31" t="str">
        <f>IF(NOT(ISERROR(HLOOKUP(Standings!CK$3,Entries!$C23:$K23,1,FALSE))),"x",IF(NOT(ISERROR(HLOOKUP(Standings!CK$3,Entries!$L23:$L23,1,FALSE))),"S",""))</f>
        <v>x</v>
      </c>
      <c r="CL31" t="str">
        <f>IF(NOT(ISERROR(HLOOKUP(Standings!CL$3,Entries!$C23:$K23,1,FALSE))),"x",IF(NOT(ISERROR(HLOOKUP(Standings!CL$3,Entries!$L23:$L23,1,FALSE))),"S",""))</f>
        <v/>
      </c>
      <c r="CM31" t="str">
        <f>IF(NOT(ISERROR(HLOOKUP(Standings!CM$3,Entries!$C23:$K23,1,FALSE))),"x",IF(NOT(ISERROR(HLOOKUP(Standings!CM$3,Entries!$L23:$L23,1,FALSE))),"S",""))</f>
        <v/>
      </c>
      <c r="CN31" t="str">
        <f>IF(NOT(ISERROR(HLOOKUP(Standings!CN$3,Entries!$C23:$K23,1,FALSE))),"x",IF(NOT(ISERROR(HLOOKUP(Standings!CN$3,Entries!$L23:$L23,1,FALSE))),"S",""))</f>
        <v/>
      </c>
      <c r="CO31" t="str">
        <f>IF(NOT(ISERROR(HLOOKUP(Standings!CO$3,Entries!$C23:$K23,1,FALSE))),"x",IF(NOT(ISERROR(HLOOKUP(Standings!CO$3,Entries!$L23:$L23,1,FALSE))),"S",""))</f>
        <v/>
      </c>
      <c r="CP31" t="str">
        <f>IF(NOT(ISERROR(HLOOKUP(Standings!CP$3,Entries!$C23:$K23,1,FALSE))),"x",IF(NOT(ISERROR(HLOOKUP(Standings!CP$3,Entries!$L23:$L23,1,FALSE))),"S",""))</f>
        <v/>
      </c>
      <c r="CQ31" t="str">
        <f>IF(NOT(ISERROR(HLOOKUP(Standings!CQ$3,Entries!$C23:$K23,1,FALSE))),"x",IF(NOT(ISERROR(HLOOKUP(Standings!CQ$3,Entries!$L23:$L23,1,FALSE))),"S",""))</f>
        <v/>
      </c>
      <c r="CR31" t="str">
        <f>IF(NOT(ISERROR(HLOOKUP(Standings!CR$3,Entries!$C23:$K23,1,FALSE))),"x",IF(NOT(ISERROR(HLOOKUP(Standings!CR$3,Entries!$L23:$L23,1,FALSE))),"S",""))</f>
        <v>x</v>
      </c>
      <c r="CS31" t="str">
        <f>IF(NOT(ISERROR(HLOOKUP(Standings!CS$3,Entries!$C23:$K23,1,FALSE))),"x",IF(NOT(ISERROR(HLOOKUP(Standings!CS$3,Entries!$L23:$L23,1,FALSE))),"S",""))</f>
        <v/>
      </c>
      <c r="CT31" t="str">
        <f>IF(NOT(ISERROR(HLOOKUP(Standings!CT$3,Entries!$C23:$K23,1,FALSE))),"x",IF(NOT(ISERROR(HLOOKUP(Standings!CT$3,Entries!$L23:$L23,1,FALSE))),"S",""))</f>
        <v/>
      </c>
      <c r="CU31" t="str">
        <f>IF(NOT(ISERROR(HLOOKUP(Standings!CU$3,Entries!$C23:$K23,1,FALSE))),"x",IF(NOT(ISERROR(HLOOKUP(Standings!CU$3,Entries!$L23:$L23,1,FALSE))),"S",""))</f>
        <v/>
      </c>
      <c r="CV31" t="str">
        <f>IF(NOT(ISERROR(HLOOKUP(Standings!CV$3,Entries!$C23:$K23,1,FALSE))),"x",IF(NOT(ISERROR(HLOOKUP(Standings!CV$3,Entries!$L23:$L23,1,FALSE))),"S",""))</f>
        <v/>
      </c>
      <c r="CW31" t="str">
        <f>IF(NOT(ISERROR(HLOOKUP(Standings!CW$3,Entries!$C23:$K23,1,FALSE))),"x",IF(NOT(ISERROR(HLOOKUP(Standings!CW$3,Entries!$L23:$L23,1,FALSE))),"S",""))</f>
        <v/>
      </c>
      <c r="CX31" t="str">
        <f>IF(NOT(ISERROR(HLOOKUP(Standings!CX$3,Entries!$C23:$K23,1,FALSE))),"x",IF(NOT(ISERROR(HLOOKUP(Standings!CX$3,Entries!$L23:$L23,1,FALSE))),"S",""))</f>
        <v/>
      </c>
      <c r="CY31" t="str">
        <f>IF(NOT(ISERROR(HLOOKUP(Standings!CY$3,Entries!$C23:$K23,1,FALSE))),"x",IF(NOT(ISERROR(HLOOKUP(Standings!CY$3,Entries!$L23:$L23,1,FALSE))),"S",""))</f>
        <v/>
      </c>
      <c r="CZ31" t="str">
        <f>IF(NOT(ISERROR(HLOOKUP(Standings!CZ$3,Entries!$C23:$K23,1,FALSE))),"x",IF(NOT(ISERROR(HLOOKUP(Standings!CZ$3,Entries!$L23:$L23,1,FALSE))),"S",""))</f>
        <v/>
      </c>
      <c r="DA31" t="str">
        <f>IF(NOT(ISERROR(HLOOKUP(Standings!DA$3,Entries!$C23:$K23,1,FALSE))),"x",IF(NOT(ISERROR(HLOOKUP(Standings!DA$3,Entries!$L23:$L23,1,FALSE))),"S",""))</f>
        <v>x</v>
      </c>
      <c r="DB31" t="str">
        <f>IF(NOT(ISERROR(HLOOKUP(Standings!DB$3,Entries!$C23:$K23,1,FALSE))),"x",IF(NOT(ISERROR(HLOOKUP(Standings!DB$3,Entries!$L23:$L23,1,FALSE))),"S",""))</f>
        <v/>
      </c>
    </row>
    <row r="32" spans="1:106" x14ac:dyDescent="0.25">
      <c r="A32" s="18"/>
      <c r="B32">
        <v>3</v>
      </c>
      <c r="C32" t="str">
        <f>Entries!B24</f>
        <v>John Falck #2</v>
      </c>
      <c r="D32" s="4">
        <f t="shared" si="3"/>
        <v>8</v>
      </c>
      <c r="E32" s="31">
        <f t="shared" si="4"/>
        <v>3</v>
      </c>
      <c r="F32" s="40">
        <f t="shared" si="52"/>
        <v>2</v>
      </c>
      <c r="G32" s="41" t="str">
        <f t="shared" si="5"/>
        <v/>
      </c>
      <c r="H32" s="41" t="str">
        <f t="shared" si="6"/>
        <v/>
      </c>
      <c r="I32" s="42" t="str">
        <f t="shared" si="7"/>
        <v/>
      </c>
      <c r="J32" s="40">
        <f t="shared" si="8"/>
        <v>1</v>
      </c>
      <c r="K32" s="41" t="str">
        <f t="shared" si="9"/>
        <v/>
      </c>
      <c r="L32" s="41" t="str">
        <f t="shared" si="10"/>
        <v/>
      </c>
      <c r="M32" s="42" t="str">
        <f t="shared" si="11"/>
        <v/>
      </c>
      <c r="N32" s="43" t="str">
        <f t="shared" si="12"/>
        <v/>
      </c>
      <c r="O32" s="41" t="str">
        <f t="shared" si="13"/>
        <v/>
      </c>
      <c r="P32" s="41" t="str">
        <f t="shared" si="14"/>
        <v/>
      </c>
      <c r="Q32" s="42" t="str">
        <f t="shared" si="15"/>
        <v/>
      </c>
      <c r="R32" s="40" t="str">
        <f t="shared" si="16"/>
        <v/>
      </c>
      <c r="S32" s="41" t="str">
        <f t="shared" si="17"/>
        <v/>
      </c>
      <c r="T32" s="43" t="str">
        <f t="shared" si="18"/>
        <v/>
      </c>
      <c r="U32" s="42" t="str">
        <f t="shared" si="19"/>
        <v/>
      </c>
      <c r="V32" s="40" t="str">
        <f t="shared" si="20"/>
        <v/>
      </c>
      <c r="W32" s="41" t="str">
        <f t="shared" si="21"/>
        <v/>
      </c>
      <c r="X32" s="41" t="str">
        <f t="shared" si="22"/>
        <v/>
      </c>
      <c r="Y32" s="42" t="str">
        <f t="shared" si="23"/>
        <v/>
      </c>
      <c r="Z32" s="40" t="str">
        <f t="shared" si="24"/>
        <v/>
      </c>
      <c r="AA32" s="41">
        <f t="shared" si="25"/>
        <v>0</v>
      </c>
      <c r="AB32" s="41" t="str">
        <f t="shared" si="26"/>
        <v/>
      </c>
      <c r="AC32" s="42" t="str">
        <f t="shared" si="27"/>
        <v/>
      </c>
      <c r="AD32" s="40" t="str">
        <f t="shared" si="28"/>
        <v/>
      </c>
      <c r="AE32" s="41" t="str">
        <f t="shared" si="29"/>
        <v/>
      </c>
      <c r="AF32" s="41" t="str">
        <f t="shared" si="30"/>
        <v/>
      </c>
      <c r="AG32" s="42" t="str">
        <f t="shared" si="31"/>
        <v/>
      </c>
      <c r="AH32" s="40" t="str">
        <f t="shared" si="32"/>
        <v/>
      </c>
      <c r="AI32" s="41" t="str">
        <f t="shared" si="33"/>
        <v/>
      </c>
      <c r="AJ32" s="41" t="str">
        <f t="shared" si="34"/>
        <v/>
      </c>
      <c r="AK32" s="42" t="str">
        <f t="shared" si="35"/>
        <v/>
      </c>
      <c r="AL32" s="40">
        <f t="shared" si="36"/>
        <v>-1.0000000000000001E-5</v>
      </c>
      <c r="AM32" s="41" t="str">
        <f t="shared" si="37"/>
        <v/>
      </c>
      <c r="AN32" s="41">
        <f t="shared" si="38"/>
        <v>0</v>
      </c>
      <c r="AO32" s="42" t="str">
        <f t="shared" si="39"/>
        <v/>
      </c>
      <c r="AP32" s="40" t="str">
        <f t="shared" si="40"/>
        <v/>
      </c>
      <c r="AQ32" s="41" t="str">
        <f t="shared" si="41"/>
        <v/>
      </c>
      <c r="AR32" s="41">
        <f t="shared" si="42"/>
        <v>0</v>
      </c>
      <c r="AS32" s="42" t="str">
        <f t="shared" si="43"/>
        <v/>
      </c>
      <c r="AT32" s="40" t="str">
        <f t="shared" si="44"/>
        <v/>
      </c>
      <c r="AU32" s="41" t="str">
        <f t="shared" si="45"/>
        <v/>
      </c>
      <c r="AV32" s="41" t="str">
        <f t="shared" si="46"/>
        <v/>
      </c>
      <c r="AW32" s="42" t="str">
        <f t="shared" si="47"/>
        <v/>
      </c>
      <c r="AX32" s="40">
        <f t="shared" si="48"/>
        <v>0</v>
      </c>
      <c r="AY32" s="41" t="str">
        <f t="shared" si="49"/>
        <v/>
      </c>
      <c r="AZ32" s="41" t="str">
        <f t="shared" si="50"/>
        <v/>
      </c>
      <c r="BA32" s="42" t="str">
        <f t="shared" si="51"/>
        <v/>
      </c>
      <c r="BB32" s="37" t="s">
        <v>106</v>
      </c>
      <c r="BC32" s="21"/>
      <c r="BD32" s="21"/>
      <c r="BG32" t="str">
        <f>IF(NOT(ISERROR(HLOOKUP(Standings!BG$3,Entries!$C24:$K24,1,FALSE))),"x",IF(NOT(ISERROR(HLOOKUP(Standings!BG$3,Entries!$L24:$L24,1,FALSE))),"S",""))</f>
        <v>x</v>
      </c>
      <c r="BH32" t="str">
        <f>IF(NOT(ISERROR(HLOOKUP(Standings!BH$3,Entries!$C24:$K24,1,FALSE))),"x",IF(NOT(ISERROR(HLOOKUP(Standings!BH$3,Entries!$L24:$L24,1,FALSE))),"S",""))</f>
        <v/>
      </c>
      <c r="BI32" t="str">
        <f>IF(NOT(ISERROR(HLOOKUP(Standings!BI$3,Entries!$C24:$K24,1,FALSE))),"x",IF(NOT(ISERROR(HLOOKUP(Standings!BI$3,Entries!$L24:$L24,1,FALSE))),"S",""))</f>
        <v/>
      </c>
      <c r="BJ32" t="str">
        <f>IF(NOT(ISERROR(HLOOKUP(Standings!BJ$3,Entries!$C24:$K24,1,FALSE))),"x",IF(NOT(ISERROR(HLOOKUP(Standings!BJ$3,Entries!$L24:$L24,1,FALSE))),"S",""))</f>
        <v/>
      </c>
      <c r="BK32" t="str">
        <f>IF(NOT(ISERROR(HLOOKUP(Standings!BK$3,Entries!$C24:$K24,1,FALSE))),"x",IF(NOT(ISERROR(HLOOKUP(Standings!BK$3,Entries!$L24:$L24,1,FALSE))),"S",""))</f>
        <v>x</v>
      </c>
      <c r="BL32" t="str">
        <f>IF(NOT(ISERROR(HLOOKUP(Standings!BL$3,Entries!$C24:$K24,1,FALSE))),"x",IF(NOT(ISERROR(HLOOKUP(Standings!BL$3,Entries!$L24:$L24,1,FALSE))),"S",""))</f>
        <v/>
      </c>
      <c r="BM32" t="str">
        <f>IF(NOT(ISERROR(HLOOKUP(Standings!BM$3,Entries!$C24:$K24,1,FALSE))),"x",IF(NOT(ISERROR(HLOOKUP(Standings!BM$3,Entries!$L24:$L24,1,FALSE))),"S",""))</f>
        <v/>
      </c>
      <c r="BN32" t="str">
        <f>IF(NOT(ISERROR(HLOOKUP(Standings!BN$3,Entries!$C24:$K24,1,FALSE))),"x",IF(NOT(ISERROR(HLOOKUP(Standings!BN$3,Entries!$L24:$L24,1,FALSE))),"S",""))</f>
        <v/>
      </c>
      <c r="BO32" t="str">
        <f>IF(NOT(ISERROR(HLOOKUP(Standings!BO$3,Entries!$C24:$K24,1,FALSE))),"x",IF(NOT(ISERROR(HLOOKUP(Standings!BO$3,Entries!$L24:$L24,1,FALSE))),"S",""))</f>
        <v/>
      </c>
      <c r="BP32" t="str">
        <f>IF(NOT(ISERROR(HLOOKUP(Standings!BP$3,Entries!$C24:$K24,1,FALSE))),"x",IF(NOT(ISERROR(HLOOKUP(Standings!BP$3,Entries!$L24:$L24,1,FALSE))),"S",""))</f>
        <v/>
      </c>
      <c r="BQ32" t="str">
        <f>IF(NOT(ISERROR(HLOOKUP(Standings!BQ$3,Entries!$C24:$K24,1,FALSE))),"x",IF(NOT(ISERROR(HLOOKUP(Standings!BQ$3,Entries!$L24:$L24,1,FALSE))),"S",""))</f>
        <v/>
      </c>
      <c r="BR32" t="str">
        <f>IF(NOT(ISERROR(HLOOKUP(Standings!BR$3,Entries!$C24:$K24,1,FALSE))),"x",IF(NOT(ISERROR(HLOOKUP(Standings!BR$3,Entries!$L24:$L24,1,FALSE))),"S",""))</f>
        <v/>
      </c>
      <c r="BS32" t="str">
        <f>IF(NOT(ISERROR(HLOOKUP(Standings!BS$3,Entries!$C24:$K24,1,FALSE))),"x",IF(NOT(ISERROR(HLOOKUP(Standings!BS$3,Entries!$L24:$L24,1,FALSE))),"S",""))</f>
        <v/>
      </c>
      <c r="BT32" t="str">
        <f>IF(NOT(ISERROR(HLOOKUP(Standings!BT$3,Entries!$C24:$K24,1,FALSE))),"x",IF(NOT(ISERROR(HLOOKUP(Standings!BT$3,Entries!$L24:$L24,1,FALSE))),"S",""))</f>
        <v/>
      </c>
      <c r="BU32" t="str">
        <f>IF(NOT(ISERROR(HLOOKUP(Standings!BU$3,Entries!$C24:$K24,1,FALSE))),"x",IF(NOT(ISERROR(HLOOKUP(Standings!BU$3,Entries!$L24:$L24,1,FALSE))),"S",""))</f>
        <v/>
      </c>
      <c r="BV32" t="str">
        <f>IF(NOT(ISERROR(HLOOKUP(Standings!BV$3,Entries!$C24:$K24,1,FALSE))),"x",IF(NOT(ISERROR(HLOOKUP(Standings!BV$3,Entries!$L24:$L24,1,FALSE))),"S",""))</f>
        <v/>
      </c>
      <c r="BW32" t="str">
        <f>IF(NOT(ISERROR(HLOOKUP(Standings!BW$3,Entries!$C24:$K24,1,FALSE))),"x",IF(NOT(ISERROR(HLOOKUP(Standings!BW$3,Entries!$L24:$L24,1,FALSE))),"S",""))</f>
        <v/>
      </c>
      <c r="BX32" t="str">
        <f>IF(NOT(ISERROR(HLOOKUP(Standings!BX$3,Entries!$C24:$K24,1,FALSE))),"x",IF(NOT(ISERROR(HLOOKUP(Standings!BX$3,Entries!$L24:$L24,1,FALSE))),"S",""))</f>
        <v/>
      </c>
      <c r="BY32" t="str">
        <f>IF(NOT(ISERROR(HLOOKUP(Standings!BY$3,Entries!$C24:$K24,1,FALSE))),"x",IF(NOT(ISERROR(HLOOKUP(Standings!BY$3,Entries!$L24:$L24,1,FALSE))),"S",""))</f>
        <v/>
      </c>
      <c r="BZ32" t="str">
        <f>IF(NOT(ISERROR(HLOOKUP(Standings!BZ$3,Entries!$C24:$K24,1,FALSE))),"x",IF(NOT(ISERROR(HLOOKUP(Standings!BZ$3,Entries!$L24:$L24,1,FALSE))),"S",""))</f>
        <v/>
      </c>
      <c r="CA32" t="str">
        <f>IF(NOT(ISERROR(HLOOKUP(Standings!CA$3,Entries!$C24:$K24,1,FALSE))),"x",IF(NOT(ISERROR(HLOOKUP(Standings!CA$3,Entries!$L24:$L24,1,FALSE))),"S",""))</f>
        <v/>
      </c>
      <c r="CB32" t="str">
        <f>IF(NOT(ISERROR(HLOOKUP(Standings!CB$3,Entries!$C24:$K24,1,FALSE))),"x",IF(NOT(ISERROR(HLOOKUP(Standings!CB$3,Entries!$L24:$L24,1,FALSE))),"S",""))</f>
        <v>x</v>
      </c>
      <c r="CC32" t="str">
        <f>IF(NOT(ISERROR(HLOOKUP(Standings!CC$3,Entries!$C24:$K24,1,FALSE))),"x",IF(NOT(ISERROR(HLOOKUP(Standings!CC$3,Entries!$L24:$L24,1,FALSE))),"S",""))</f>
        <v/>
      </c>
      <c r="CD32" t="str">
        <f>IF(NOT(ISERROR(HLOOKUP(Standings!CD$3,Entries!$C24:$K24,1,FALSE))),"x",IF(NOT(ISERROR(HLOOKUP(Standings!CD$3,Entries!$L24:$L24,1,FALSE))),"S",""))</f>
        <v/>
      </c>
      <c r="CE32" t="str">
        <f>IF(NOT(ISERROR(HLOOKUP(Standings!CE$3,Entries!$C24:$K24,1,FALSE))),"x",IF(NOT(ISERROR(HLOOKUP(Standings!CE$3,Entries!$L24:$L24,1,FALSE))),"S",""))</f>
        <v/>
      </c>
      <c r="CF32" t="str">
        <f>IF(NOT(ISERROR(HLOOKUP(Standings!CF$3,Entries!$C24:$K24,1,FALSE))),"x",IF(NOT(ISERROR(HLOOKUP(Standings!CF$3,Entries!$L24:$L24,1,FALSE))),"S",""))</f>
        <v/>
      </c>
      <c r="CG32" t="str">
        <f>IF(NOT(ISERROR(HLOOKUP(Standings!CG$3,Entries!$C24:$K24,1,FALSE))),"x",IF(NOT(ISERROR(HLOOKUP(Standings!CG$3,Entries!$L24:$L24,1,FALSE))),"S",""))</f>
        <v/>
      </c>
      <c r="CH32" t="str">
        <f>IF(NOT(ISERROR(HLOOKUP(Standings!CH$3,Entries!$C24:$K24,1,FALSE))),"x",IF(NOT(ISERROR(HLOOKUP(Standings!CH$3,Entries!$L24:$L24,1,FALSE))),"S",""))</f>
        <v/>
      </c>
      <c r="CI32" t="str">
        <f>IF(NOT(ISERROR(HLOOKUP(Standings!CI$3,Entries!$C24:$K24,1,FALSE))),"x",IF(NOT(ISERROR(HLOOKUP(Standings!CI$3,Entries!$L24:$L24,1,FALSE))),"S",""))</f>
        <v/>
      </c>
      <c r="CJ32" t="str">
        <f>IF(NOT(ISERROR(HLOOKUP(Standings!CJ$3,Entries!$C24:$K24,1,FALSE))),"x",IF(NOT(ISERROR(HLOOKUP(Standings!CJ$3,Entries!$L24:$L24,1,FALSE))),"S",""))</f>
        <v/>
      </c>
      <c r="CK32" t="str">
        <f>IF(NOT(ISERROR(HLOOKUP(Standings!CK$3,Entries!$C24:$K24,1,FALSE))),"x",IF(NOT(ISERROR(HLOOKUP(Standings!CK$3,Entries!$L24:$L24,1,FALSE))),"S",""))</f>
        <v/>
      </c>
      <c r="CL32" t="str">
        <f>IF(NOT(ISERROR(HLOOKUP(Standings!CL$3,Entries!$C24:$K24,1,FALSE))),"x",IF(NOT(ISERROR(HLOOKUP(Standings!CL$3,Entries!$L24:$L24,1,FALSE))),"S",""))</f>
        <v/>
      </c>
      <c r="CM32" t="str">
        <f>IF(NOT(ISERROR(HLOOKUP(Standings!CM$3,Entries!$C24:$K24,1,FALSE))),"x",IF(NOT(ISERROR(HLOOKUP(Standings!CM$3,Entries!$L24:$L24,1,FALSE))),"S",""))</f>
        <v>S</v>
      </c>
      <c r="CN32" t="str">
        <f>IF(NOT(ISERROR(HLOOKUP(Standings!CN$3,Entries!$C24:$K24,1,FALSE))),"x",IF(NOT(ISERROR(HLOOKUP(Standings!CN$3,Entries!$L24:$L24,1,FALSE))),"S",""))</f>
        <v/>
      </c>
      <c r="CO32" t="str">
        <f>IF(NOT(ISERROR(HLOOKUP(Standings!CO$3,Entries!$C24:$K24,1,FALSE))),"x",IF(NOT(ISERROR(HLOOKUP(Standings!CO$3,Entries!$L24:$L24,1,FALSE))),"S",""))</f>
        <v>x</v>
      </c>
      <c r="CP32" t="str">
        <f>IF(NOT(ISERROR(HLOOKUP(Standings!CP$3,Entries!$C24:$K24,1,FALSE))),"x",IF(NOT(ISERROR(HLOOKUP(Standings!CP$3,Entries!$L24:$L24,1,FALSE))),"S",""))</f>
        <v/>
      </c>
      <c r="CQ32" t="str">
        <f>IF(NOT(ISERROR(HLOOKUP(Standings!CQ$3,Entries!$C24:$K24,1,FALSE))),"x",IF(NOT(ISERROR(HLOOKUP(Standings!CQ$3,Entries!$L24:$L24,1,FALSE))),"S",""))</f>
        <v/>
      </c>
      <c r="CR32" t="str">
        <f>IF(NOT(ISERROR(HLOOKUP(Standings!CR$3,Entries!$C24:$K24,1,FALSE))),"x",IF(NOT(ISERROR(HLOOKUP(Standings!CR$3,Entries!$L24:$L24,1,FALSE))),"S",""))</f>
        <v/>
      </c>
      <c r="CS32" t="str">
        <f>IF(NOT(ISERROR(HLOOKUP(Standings!CS$3,Entries!$C24:$K24,1,FALSE))),"x",IF(NOT(ISERROR(HLOOKUP(Standings!CS$3,Entries!$L24:$L24,1,FALSE))),"S",""))</f>
        <v>x</v>
      </c>
      <c r="CT32" t="str">
        <f>IF(NOT(ISERROR(HLOOKUP(Standings!CT$3,Entries!$C24:$K24,1,FALSE))),"x",IF(NOT(ISERROR(HLOOKUP(Standings!CT$3,Entries!$L24:$L24,1,FALSE))),"S",""))</f>
        <v/>
      </c>
      <c r="CU32" t="str">
        <f>IF(NOT(ISERROR(HLOOKUP(Standings!CU$3,Entries!$C24:$K24,1,FALSE))),"x",IF(NOT(ISERROR(HLOOKUP(Standings!CU$3,Entries!$L24:$L24,1,FALSE))),"S",""))</f>
        <v/>
      </c>
      <c r="CV32" t="str">
        <f>IF(NOT(ISERROR(HLOOKUP(Standings!CV$3,Entries!$C24:$K24,1,FALSE))),"x",IF(NOT(ISERROR(HLOOKUP(Standings!CV$3,Entries!$L24:$L24,1,FALSE))),"S",""))</f>
        <v/>
      </c>
      <c r="CW32" t="str">
        <f>IF(NOT(ISERROR(HLOOKUP(Standings!CW$3,Entries!$C24:$K24,1,FALSE))),"x",IF(NOT(ISERROR(HLOOKUP(Standings!CW$3,Entries!$L24:$L24,1,FALSE))),"S",""))</f>
        <v/>
      </c>
      <c r="CX32" t="str">
        <f>IF(NOT(ISERROR(HLOOKUP(Standings!CX$3,Entries!$C24:$K24,1,FALSE))),"x",IF(NOT(ISERROR(HLOOKUP(Standings!CX$3,Entries!$L24:$L24,1,FALSE))),"S",""))</f>
        <v/>
      </c>
      <c r="CY32" t="str">
        <f>IF(NOT(ISERROR(HLOOKUP(Standings!CY$3,Entries!$C24:$K24,1,FALSE))),"x",IF(NOT(ISERROR(HLOOKUP(Standings!CY$3,Entries!$L24:$L24,1,FALSE))),"S",""))</f>
        <v>x</v>
      </c>
      <c r="CZ32" t="str">
        <f>IF(NOT(ISERROR(HLOOKUP(Standings!CZ$3,Entries!$C24:$K24,1,FALSE))),"x",IF(NOT(ISERROR(HLOOKUP(Standings!CZ$3,Entries!$L24:$L24,1,FALSE))),"S",""))</f>
        <v/>
      </c>
      <c r="DA32" t="str">
        <f>IF(NOT(ISERROR(HLOOKUP(Standings!DA$3,Entries!$C24:$K24,1,FALSE))),"x",IF(NOT(ISERROR(HLOOKUP(Standings!DA$3,Entries!$L24:$L24,1,FALSE))),"S",""))</f>
        <v/>
      </c>
      <c r="DB32" t="str">
        <f>IF(NOT(ISERROR(HLOOKUP(Standings!DB$3,Entries!$C24:$K24,1,FALSE))),"x",IF(NOT(ISERROR(HLOOKUP(Standings!DB$3,Entries!$L24:$L24,1,FALSE))),"S",""))</f>
        <v/>
      </c>
    </row>
    <row r="33" spans="1:106" x14ac:dyDescent="0.25">
      <c r="A33" s="18"/>
      <c r="B33">
        <v>41</v>
      </c>
      <c r="C33" t="str">
        <f>Entries!B25</f>
        <v>Tim Armbrustmacher1</v>
      </c>
      <c r="D33" s="4">
        <f t="shared" si="3"/>
        <v>55</v>
      </c>
      <c r="E33" s="31">
        <f t="shared" si="4"/>
        <v>0</v>
      </c>
      <c r="F33" s="40" t="str">
        <f t="shared" si="52"/>
        <v/>
      </c>
      <c r="G33" s="41" t="str">
        <f t="shared" si="5"/>
        <v/>
      </c>
      <c r="H33" s="41" t="str">
        <f t="shared" si="6"/>
        <v/>
      </c>
      <c r="I33" s="42" t="str">
        <f t="shared" si="7"/>
        <v/>
      </c>
      <c r="J33" s="40" t="str">
        <f t="shared" si="8"/>
        <v/>
      </c>
      <c r="K33" s="41">
        <f t="shared" si="9"/>
        <v>0</v>
      </c>
      <c r="L33" s="41" t="str">
        <f t="shared" si="10"/>
        <v/>
      </c>
      <c r="M33" s="42" t="str">
        <f t="shared" si="11"/>
        <v/>
      </c>
      <c r="N33" s="43" t="str">
        <f t="shared" si="12"/>
        <v/>
      </c>
      <c r="O33" s="41">
        <f t="shared" si="13"/>
        <v>0</v>
      </c>
      <c r="P33" s="41" t="str">
        <f t="shared" si="14"/>
        <v/>
      </c>
      <c r="Q33" s="42" t="str">
        <f t="shared" si="15"/>
        <v/>
      </c>
      <c r="R33" s="40" t="str">
        <f t="shared" si="16"/>
        <v/>
      </c>
      <c r="S33" s="41" t="str">
        <f t="shared" si="17"/>
        <v/>
      </c>
      <c r="T33" s="43" t="str">
        <f t="shared" si="18"/>
        <v/>
      </c>
      <c r="U33" s="42" t="str">
        <f t="shared" si="19"/>
        <v/>
      </c>
      <c r="V33" s="40" t="str">
        <f t="shared" si="20"/>
        <v/>
      </c>
      <c r="W33" s="41" t="str">
        <f t="shared" si="21"/>
        <v/>
      </c>
      <c r="X33" s="41" t="str">
        <f t="shared" si="22"/>
        <v/>
      </c>
      <c r="Y33" s="42">
        <f t="shared" si="23"/>
        <v>0</v>
      </c>
      <c r="Z33" s="40" t="str">
        <f t="shared" si="24"/>
        <v/>
      </c>
      <c r="AA33" s="41" t="str">
        <f t="shared" si="25"/>
        <v/>
      </c>
      <c r="AB33" s="41" t="str">
        <f t="shared" si="26"/>
        <v/>
      </c>
      <c r="AC33" s="42" t="str">
        <f t="shared" si="27"/>
        <v/>
      </c>
      <c r="AD33" s="40" t="str">
        <f t="shared" si="28"/>
        <v/>
      </c>
      <c r="AE33" s="41">
        <f t="shared" si="29"/>
        <v>0</v>
      </c>
      <c r="AF33" s="41" t="str">
        <f t="shared" si="30"/>
        <v/>
      </c>
      <c r="AG33" s="42" t="str">
        <f t="shared" si="31"/>
        <v/>
      </c>
      <c r="AH33" s="40" t="str">
        <f t="shared" si="32"/>
        <v/>
      </c>
      <c r="AI33" s="41" t="str">
        <f t="shared" si="33"/>
        <v/>
      </c>
      <c r="AJ33" s="41" t="str">
        <f t="shared" si="34"/>
        <v/>
      </c>
      <c r="AK33" s="42">
        <f t="shared" si="35"/>
        <v>0</v>
      </c>
      <c r="AL33" s="40">
        <f t="shared" si="36"/>
        <v>0</v>
      </c>
      <c r="AM33" s="41" t="str">
        <f t="shared" si="37"/>
        <v/>
      </c>
      <c r="AN33" s="41" t="str">
        <f t="shared" si="38"/>
        <v/>
      </c>
      <c r="AO33" s="42" t="str">
        <f t="shared" si="39"/>
        <v/>
      </c>
      <c r="AP33" s="40" t="str">
        <f t="shared" si="40"/>
        <v/>
      </c>
      <c r="AQ33" s="41" t="str">
        <f t="shared" si="41"/>
        <v/>
      </c>
      <c r="AR33" s="41" t="str">
        <f t="shared" si="42"/>
        <v/>
      </c>
      <c r="AS33" s="42" t="str">
        <f t="shared" si="43"/>
        <v/>
      </c>
      <c r="AT33" s="40" t="str">
        <f t="shared" si="44"/>
        <v/>
      </c>
      <c r="AU33" s="41" t="str">
        <f t="shared" si="45"/>
        <v/>
      </c>
      <c r="AV33" s="41" t="str">
        <f t="shared" si="46"/>
        <v/>
      </c>
      <c r="AW33" s="42" t="str">
        <f t="shared" si="47"/>
        <v/>
      </c>
      <c r="AX33" s="40">
        <f t="shared" si="48"/>
        <v>-1.0000000000000001E-5</v>
      </c>
      <c r="AY33" s="41" t="str">
        <f t="shared" si="49"/>
        <v/>
      </c>
      <c r="AZ33" s="41" t="str">
        <f t="shared" si="50"/>
        <v/>
      </c>
      <c r="BA33" s="42" t="str">
        <f t="shared" si="51"/>
        <v/>
      </c>
      <c r="BB33" s="37" t="s">
        <v>106</v>
      </c>
      <c r="BC33" s="21"/>
      <c r="BD33" s="21"/>
      <c r="BG33" t="str">
        <f>IF(NOT(ISERROR(HLOOKUP(Standings!BG$3,Entries!$C25:$K25,1,FALSE))),"x",IF(NOT(ISERROR(HLOOKUP(Standings!BG$3,Entries!$L25:$L25,1,FALSE))),"S",""))</f>
        <v/>
      </c>
      <c r="BH33" t="str">
        <f>IF(NOT(ISERROR(HLOOKUP(Standings!BH$3,Entries!$C25:$K25,1,FALSE))),"x",IF(NOT(ISERROR(HLOOKUP(Standings!BH$3,Entries!$L25:$L25,1,FALSE))),"S",""))</f>
        <v/>
      </c>
      <c r="BI33" t="str">
        <f>IF(NOT(ISERROR(HLOOKUP(Standings!BI$3,Entries!$C25:$K25,1,FALSE))),"x",IF(NOT(ISERROR(HLOOKUP(Standings!BI$3,Entries!$L25:$L25,1,FALSE))),"S",""))</f>
        <v/>
      </c>
      <c r="BJ33" t="str">
        <f>IF(NOT(ISERROR(HLOOKUP(Standings!BJ$3,Entries!$C25:$K25,1,FALSE))),"x",IF(NOT(ISERROR(HLOOKUP(Standings!BJ$3,Entries!$L25:$L25,1,FALSE))),"S",""))</f>
        <v/>
      </c>
      <c r="BK33" t="str">
        <f>IF(NOT(ISERROR(HLOOKUP(Standings!BK$3,Entries!$C25:$K25,1,FALSE))),"x",IF(NOT(ISERROR(HLOOKUP(Standings!BK$3,Entries!$L25:$L25,1,FALSE))),"S",""))</f>
        <v/>
      </c>
      <c r="BL33" t="str">
        <f>IF(NOT(ISERROR(HLOOKUP(Standings!BL$3,Entries!$C25:$K25,1,FALSE))),"x",IF(NOT(ISERROR(HLOOKUP(Standings!BL$3,Entries!$L25:$L25,1,FALSE))),"S",""))</f>
        <v>x</v>
      </c>
      <c r="BM33" t="str">
        <f>IF(NOT(ISERROR(HLOOKUP(Standings!BM$3,Entries!$C25:$K25,1,FALSE))),"x",IF(NOT(ISERROR(HLOOKUP(Standings!BM$3,Entries!$L25:$L25,1,FALSE))),"S",""))</f>
        <v/>
      </c>
      <c r="BN33" t="str">
        <f>IF(NOT(ISERROR(HLOOKUP(Standings!BN$3,Entries!$C25:$K25,1,FALSE))),"x",IF(NOT(ISERROR(HLOOKUP(Standings!BN$3,Entries!$L25:$L25,1,FALSE))),"S",""))</f>
        <v/>
      </c>
      <c r="BO33" t="str">
        <f>IF(NOT(ISERROR(HLOOKUP(Standings!BO$3,Entries!$C25:$K25,1,FALSE))),"x",IF(NOT(ISERROR(HLOOKUP(Standings!BO$3,Entries!$L25:$L25,1,FALSE))),"S",""))</f>
        <v/>
      </c>
      <c r="BP33" t="str">
        <f>IF(NOT(ISERROR(HLOOKUP(Standings!BP$3,Entries!$C25:$K25,1,FALSE))),"x",IF(NOT(ISERROR(HLOOKUP(Standings!BP$3,Entries!$L25:$L25,1,FALSE))),"S",""))</f>
        <v>x</v>
      </c>
      <c r="BQ33" t="str">
        <f>IF(NOT(ISERROR(HLOOKUP(Standings!BQ$3,Entries!$C25:$K25,1,FALSE))),"x",IF(NOT(ISERROR(HLOOKUP(Standings!BQ$3,Entries!$L25:$L25,1,FALSE))),"S",""))</f>
        <v/>
      </c>
      <c r="BR33" t="str">
        <f>IF(NOT(ISERROR(HLOOKUP(Standings!BR$3,Entries!$C25:$K25,1,FALSE))),"x",IF(NOT(ISERROR(HLOOKUP(Standings!BR$3,Entries!$L25:$L25,1,FALSE))),"S",""))</f>
        <v/>
      </c>
      <c r="BS33" t="str">
        <f>IF(NOT(ISERROR(HLOOKUP(Standings!BS$3,Entries!$C25:$K25,1,FALSE))),"x",IF(NOT(ISERROR(HLOOKUP(Standings!BS$3,Entries!$L25:$L25,1,FALSE))),"S",""))</f>
        <v/>
      </c>
      <c r="BT33" t="str">
        <f>IF(NOT(ISERROR(HLOOKUP(Standings!BT$3,Entries!$C25:$K25,1,FALSE))),"x",IF(NOT(ISERROR(HLOOKUP(Standings!BT$3,Entries!$L25:$L25,1,FALSE))),"S",""))</f>
        <v/>
      </c>
      <c r="BU33" t="str">
        <f>IF(NOT(ISERROR(HLOOKUP(Standings!BU$3,Entries!$C25:$K25,1,FALSE))),"x",IF(NOT(ISERROR(HLOOKUP(Standings!BU$3,Entries!$L25:$L25,1,FALSE))),"S",""))</f>
        <v/>
      </c>
      <c r="BV33" t="str">
        <f>IF(NOT(ISERROR(HLOOKUP(Standings!BV$3,Entries!$C25:$K25,1,FALSE))),"x",IF(NOT(ISERROR(HLOOKUP(Standings!BV$3,Entries!$L25:$L25,1,FALSE))),"S",""))</f>
        <v/>
      </c>
      <c r="BW33" t="str">
        <f>IF(NOT(ISERROR(HLOOKUP(Standings!BW$3,Entries!$C25:$K25,1,FALSE))),"x",IF(NOT(ISERROR(HLOOKUP(Standings!BW$3,Entries!$L25:$L25,1,FALSE))),"S",""))</f>
        <v/>
      </c>
      <c r="BX33" t="str">
        <f>IF(NOT(ISERROR(HLOOKUP(Standings!BX$3,Entries!$C25:$K25,1,FALSE))),"x",IF(NOT(ISERROR(HLOOKUP(Standings!BX$3,Entries!$L25:$L25,1,FALSE))),"S",""))</f>
        <v/>
      </c>
      <c r="BY33" t="str">
        <f>IF(NOT(ISERROR(HLOOKUP(Standings!BY$3,Entries!$C25:$K25,1,FALSE))),"x",IF(NOT(ISERROR(HLOOKUP(Standings!BY$3,Entries!$L25:$L25,1,FALSE))),"S",""))</f>
        <v/>
      </c>
      <c r="BZ33" t="str">
        <f>IF(NOT(ISERROR(HLOOKUP(Standings!BZ$3,Entries!$C25:$K25,1,FALSE))),"x",IF(NOT(ISERROR(HLOOKUP(Standings!BZ$3,Entries!$L25:$L25,1,FALSE))),"S",""))</f>
        <v>x</v>
      </c>
      <c r="CA33" t="str">
        <f>IF(NOT(ISERROR(HLOOKUP(Standings!CA$3,Entries!$C25:$K25,1,FALSE))),"x",IF(NOT(ISERROR(HLOOKUP(Standings!CA$3,Entries!$L25:$L25,1,FALSE))),"S",""))</f>
        <v/>
      </c>
      <c r="CB33" t="str">
        <f>IF(NOT(ISERROR(HLOOKUP(Standings!CB$3,Entries!$C25:$K25,1,FALSE))),"x",IF(NOT(ISERROR(HLOOKUP(Standings!CB$3,Entries!$L25:$L25,1,FALSE))),"S",""))</f>
        <v/>
      </c>
      <c r="CC33" t="str">
        <f>IF(NOT(ISERROR(HLOOKUP(Standings!CC$3,Entries!$C25:$K25,1,FALSE))),"x",IF(NOT(ISERROR(HLOOKUP(Standings!CC$3,Entries!$L25:$L25,1,FALSE))),"S",""))</f>
        <v/>
      </c>
      <c r="CD33" t="str">
        <f>IF(NOT(ISERROR(HLOOKUP(Standings!CD$3,Entries!$C25:$K25,1,FALSE))),"x",IF(NOT(ISERROR(HLOOKUP(Standings!CD$3,Entries!$L25:$L25,1,FALSE))),"S",""))</f>
        <v/>
      </c>
      <c r="CE33" t="str">
        <f>IF(NOT(ISERROR(HLOOKUP(Standings!CE$3,Entries!$C25:$K25,1,FALSE))),"x",IF(NOT(ISERROR(HLOOKUP(Standings!CE$3,Entries!$L25:$L25,1,FALSE))),"S",""))</f>
        <v/>
      </c>
      <c r="CF33" t="str">
        <f>IF(NOT(ISERROR(HLOOKUP(Standings!CF$3,Entries!$C25:$K25,1,FALSE))),"x",IF(NOT(ISERROR(HLOOKUP(Standings!CF$3,Entries!$L25:$L25,1,FALSE))),"S",""))</f>
        <v>x</v>
      </c>
      <c r="CG33" t="str">
        <f>IF(NOT(ISERROR(HLOOKUP(Standings!CG$3,Entries!$C25:$K25,1,FALSE))),"x",IF(NOT(ISERROR(HLOOKUP(Standings!CG$3,Entries!$L25:$L25,1,FALSE))),"S",""))</f>
        <v/>
      </c>
      <c r="CH33" t="str">
        <f>IF(NOT(ISERROR(HLOOKUP(Standings!CH$3,Entries!$C25:$K25,1,FALSE))),"x",IF(NOT(ISERROR(HLOOKUP(Standings!CH$3,Entries!$L25:$L25,1,FALSE))),"S",""))</f>
        <v/>
      </c>
      <c r="CI33" t="str">
        <f>IF(NOT(ISERROR(HLOOKUP(Standings!CI$3,Entries!$C25:$K25,1,FALSE))),"x",IF(NOT(ISERROR(HLOOKUP(Standings!CI$3,Entries!$L25:$L25,1,FALSE))),"S",""))</f>
        <v/>
      </c>
      <c r="CJ33" t="str">
        <f>IF(NOT(ISERROR(HLOOKUP(Standings!CJ$3,Entries!$C25:$K25,1,FALSE))),"x",IF(NOT(ISERROR(HLOOKUP(Standings!CJ$3,Entries!$L25:$L25,1,FALSE))),"S",""))</f>
        <v/>
      </c>
      <c r="CK33" t="str">
        <f>IF(NOT(ISERROR(HLOOKUP(Standings!CK$3,Entries!$C25:$K25,1,FALSE))),"x",IF(NOT(ISERROR(HLOOKUP(Standings!CK$3,Entries!$L25:$L25,1,FALSE))),"S",""))</f>
        <v/>
      </c>
      <c r="CL33" t="str">
        <f>IF(NOT(ISERROR(HLOOKUP(Standings!CL$3,Entries!$C25:$K25,1,FALSE))),"x",IF(NOT(ISERROR(HLOOKUP(Standings!CL$3,Entries!$L25:$L25,1,FALSE))),"S",""))</f>
        <v>x</v>
      </c>
      <c r="CM33" t="str">
        <f>IF(NOT(ISERROR(HLOOKUP(Standings!CM$3,Entries!$C25:$K25,1,FALSE))),"x",IF(NOT(ISERROR(HLOOKUP(Standings!CM$3,Entries!$L25:$L25,1,FALSE))),"S",""))</f>
        <v>x</v>
      </c>
      <c r="CN33" t="str">
        <f>IF(NOT(ISERROR(HLOOKUP(Standings!CN$3,Entries!$C25:$K25,1,FALSE))),"x",IF(NOT(ISERROR(HLOOKUP(Standings!CN$3,Entries!$L25:$L25,1,FALSE))),"S",""))</f>
        <v/>
      </c>
      <c r="CO33" t="str">
        <f>IF(NOT(ISERROR(HLOOKUP(Standings!CO$3,Entries!$C25:$K25,1,FALSE))),"x",IF(NOT(ISERROR(HLOOKUP(Standings!CO$3,Entries!$L25:$L25,1,FALSE))),"S",""))</f>
        <v/>
      </c>
      <c r="CP33" t="str">
        <f>IF(NOT(ISERROR(HLOOKUP(Standings!CP$3,Entries!$C25:$K25,1,FALSE))),"x",IF(NOT(ISERROR(HLOOKUP(Standings!CP$3,Entries!$L25:$L25,1,FALSE))),"S",""))</f>
        <v/>
      </c>
      <c r="CQ33" t="str">
        <f>IF(NOT(ISERROR(HLOOKUP(Standings!CQ$3,Entries!$C25:$K25,1,FALSE))),"x",IF(NOT(ISERROR(HLOOKUP(Standings!CQ$3,Entries!$L25:$L25,1,FALSE))),"S",""))</f>
        <v/>
      </c>
      <c r="CR33" t="str">
        <f>IF(NOT(ISERROR(HLOOKUP(Standings!CR$3,Entries!$C25:$K25,1,FALSE))),"x",IF(NOT(ISERROR(HLOOKUP(Standings!CR$3,Entries!$L25:$L25,1,FALSE))),"S",""))</f>
        <v/>
      </c>
      <c r="CS33" t="str">
        <f>IF(NOT(ISERROR(HLOOKUP(Standings!CS$3,Entries!$C25:$K25,1,FALSE))),"x",IF(NOT(ISERROR(HLOOKUP(Standings!CS$3,Entries!$L25:$L25,1,FALSE))),"S",""))</f>
        <v/>
      </c>
      <c r="CT33" t="str">
        <f>IF(NOT(ISERROR(HLOOKUP(Standings!CT$3,Entries!$C25:$K25,1,FALSE))),"x",IF(NOT(ISERROR(HLOOKUP(Standings!CT$3,Entries!$L25:$L25,1,FALSE))),"S",""))</f>
        <v/>
      </c>
      <c r="CU33" t="str">
        <f>IF(NOT(ISERROR(HLOOKUP(Standings!CU$3,Entries!$C25:$K25,1,FALSE))),"x",IF(NOT(ISERROR(HLOOKUP(Standings!CU$3,Entries!$L25:$L25,1,FALSE))),"S",""))</f>
        <v/>
      </c>
      <c r="CV33" t="str">
        <f>IF(NOT(ISERROR(HLOOKUP(Standings!CV$3,Entries!$C25:$K25,1,FALSE))),"x",IF(NOT(ISERROR(HLOOKUP(Standings!CV$3,Entries!$L25:$L25,1,FALSE))),"S",""))</f>
        <v/>
      </c>
      <c r="CW33" t="str">
        <f>IF(NOT(ISERROR(HLOOKUP(Standings!CW$3,Entries!$C25:$K25,1,FALSE))),"x",IF(NOT(ISERROR(HLOOKUP(Standings!CW$3,Entries!$L25:$L25,1,FALSE))),"S",""))</f>
        <v/>
      </c>
      <c r="CX33" t="str">
        <f>IF(NOT(ISERROR(HLOOKUP(Standings!CX$3,Entries!$C25:$K25,1,FALSE))),"x",IF(NOT(ISERROR(HLOOKUP(Standings!CX$3,Entries!$L25:$L25,1,FALSE))),"S",""))</f>
        <v/>
      </c>
      <c r="CY33" t="str">
        <f>IF(NOT(ISERROR(HLOOKUP(Standings!CY$3,Entries!$C25:$K25,1,FALSE))),"x",IF(NOT(ISERROR(HLOOKUP(Standings!CY$3,Entries!$L25:$L25,1,FALSE))),"S",""))</f>
        <v>S</v>
      </c>
      <c r="CZ33" t="str">
        <f>IF(NOT(ISERROR(HLOOKUP(Standings!CZ$3,Entries!$C25:$K25,1,FALSE))),"x",IF(NOT(ISERROR(HLOOKUP(Standings!CZ$3,Entries!$L25:$L25,1,FALSE))),"S",""))</f>
        <v/>
      </c>
      <c r="DA33" t="str">
        <f>IF(NOT(ISERROR(HLOOKUP(Standings!DA$3,Entries!$C25:$K25,1,FALSE))),"x",IF(NOT(ISERROR(HLOOKUP(Standings!DA$3,Entries!$L25:$L25,1,FALSE))),"S",""))</f>
        <v/>
      </c>
      <c r="DB33" t="str">
        <f>IF(NOT(ISERROR(HLOOKUP(Standings!DB$3,Entries!$C25:$K25,1,FALSE))),"x",IF(NOT(ISERROR(HLOOKUP(Standings!DB$3,Entries!$L25:$L25,1,FALSE))),"S",""))</f>
        <v/>
      </c>
    </row>
    <row r="34" spans="1:106" x14ac:dyDescent="0.25">
      <c r="A34" s="18"/>
      <c r="B34">
        <v>4</v>
      </c>
      <c r="C34" t="str">
        <f>Entries!B26</f>
        <v>Tim Armbrustmacher2</v>
      </c>
      <c r="D34" s="4">
        <f t="shared" si="3"/>
        <v>55</v>
      </c>
      <c r="E34" s="31">
        <f t="shared" si="4"/>
        <v>0</v>
      </c>
      <c r="F34" s="40">
        <f t="shared" si="52"/>
        <v>2</v>
      </c>
      <c r="G34" s="41" t="str">
        <f t="shared" si="5"/>
        <v/>
      </c>
      <c r="H34" s="41" t="str">
        <f t="shared" si="6"/>
        <v/>
      </c>
      <c r="I34" s="42" t="str">
        <f t="shared" si="7"/>
        <v/>
      </c>
      <c r="J34" s="40" t="str">
        <f t="shared" si="8"/>
        <v/>
      </c>
      <c r="K34" s="41" t="str">
        <f t="shared" si="9"/>
        <v/>
      </c>
      <c r="L34" s="41">
        <f t="shared" si="10"/>
        <v>0</v>
      </c>
      <c r="M34" s="42" t="str">
        <f t="shared" si="11"/>
        <v/>
      </c>
      <c r="N34" s="43" t="str">
        <f t="shared" si="12"/>
        <v/>
      </c>
      <c r="O34" s="41" t="str">
        <f t="shared" si="13"/>
        <v/>
      </c>
      <c r="P34" s="41" t="str">
        <f t="shared" si="14"/>
        <v/>
      </c>
      <c r="Q34" s="42" t="str">
        <f t="shared" si="15"/>
        <v/>
      </c>
      <c r="R34" s="40">
        <f t="shared" si="16"/>
        <v>-2.0000100000000001</v>
      </c>
      <c r="S34" s="41" t="str">
        <f t="shared" si="17"/>
        <v/>
      </c>
      <c r="T34" s="43" t="str">
        <f t="shared" si="18"/>
        <v/>
      </c>
      <c r="U34" s="42" t="str">
        <f t="shared" si="19"/>
        <v/>
      </c>
      <c r="V34" s="40" t="str">
        <f t="shared" si="20"/>
        <v/>
      </c>
      <c r="W34" s="41" t="str">
        <f t="shared" si="21"/>
        <v/>
      </c>
      <c r="X34" s="41" t="str">
        <f t="shared" si="22"/>
        <v/>
      </c>
      <c r="Y34" s="42" t="str">
        <f t="shared" si="23"/>
        <v/>
      </c>
      <c r="Z34" s="40" t="str">
        <f t="shared" si="24"/>
        <v/>
      </c>
      <c r="AA34" s="41">
        <f t="shared" si="25"/>
        <v>0</v>
      </c>
      <c r="AB34" s="41" t="str">
        <f t="shared" si="26"/>
        <v/>
      </c>
      <c r="AC34" s="42" t="str">
        <f t="shared" si="27"/>
        <v/>
      </c>
      <c r="AD34" s="40" t="str">
        <f t="shared" si="28"/>
        <v/>
      </c>
      <c r="AE34" s="41" t="str">
        <f t="shared" si="29"/>
        <v/>
      </c>
      <c r="AF34" s="41" t="str">
        <f t="shared" si="30"/>
        <v/>
      </c>
      <c r="AG34" s="42" t="str">
        <f t="shared" si="31"/>
        <v/>
      </c>
      <c r="AH34" s="40" t="str">
        <f t="shared" si="32"/>
        <v/>
      </c>
      <c r="AI34" s="41" t="str">
        <f t="shared" si="33"/>
        <v/>
      </c>
      <c r="AJ34" s="41" t="str">
        <f t="shared" si="34"/>
        <v/>
      </c>
      <c r="AK34" s="42" t="str">
        <f t="shared" si="35"/>
        <v/>
      </c>
      <c r="AL34" s="40" t="str">
        <f t="shared" si="36"/>
        <v/>
      </c>
      <c r="AM34" s="41">
        <f t="shared" si="37"/>
        <v>0</v>
      </c>
      <c r="AN34" s="41" t="str">
        <f t="shared" si="38"/>
        <v/>
      </c>
      <c r="AO34" s="42" t="str">
        <f t="shared" si="39"/>
        <v/>
      </c>
      <c r="AP34" s="40" t="str">
        <f t="shared" si="40"/>
        <v/>
      </c>
      <c r="AQ34" s="41" t="str">
        <f t="shared" si="41"/>
        <v/>
      </c>
      <c r="AR34" s="41" t="str">
        <f t="shared" si="42"/>
        <v/>
      </c>
      <c r="AS34" s="42" t="str">
        <f t="shared" si="43"/>
        <v/>
      </c>
      <c r="AT34" s="40" t="str">
        <f t="shared" si="44"/>
        <v/>
      </c>
      <c r="AU34" s="41" t="str">
        <f t="shared" si="45"/>
        <v/>
      </c>
      <c r="AV34" s="41" t="str">
        <f t="shared" si="46"/>
        <v/>
      </c>
      <c r="AW34" s="42" t="str">
        <f t="shared" si="47"/>
        <v/>
      </c>
      <c r="AX34" s="40">
        <f t="shared" si="48"/>
        <v>0</v>
      </c>
      <c r="AY34" s="41" t="str">
        <f t="shared" si="49"/>
        <v/>
      </c>
      <c r="AZ34" s="41" t="str">
        <f t="shared" si="50"/>
        <v/>
      </c>
      <c r="BA34" s="42" t="str">
        <f t="shared" si="51"/>
        <v/>
      </c>
      <c r="BB34" s="37" t="s">
        <v>106</v>
      </c>
      <c r="BD34" s="21"/>
      <c r="BG34" t="str">
        <f>IF(NOT(ISERROR(HLOOKUP(Standings!BG$3,Entries!$C26:$K26,1,FALSE))),"x",IF(NOT(ISERROR(HLOOKUP(Standings!BG$3,Entries!$L26:$L26,1,FALSE))),"S",""))</f>
        <v>x</v>
      </c>
      <c r="BH34" t="str">
        <f>IF(NOT(ISERROR(HLOOKUP(Standings!BH$3,Entries!$C26:$K26,1,FALSE))),"x",IF(NOT(ISERROR(HLOOKUP(Standings!BH$3,Entries!$L26:$L26,1,FALSE))),"S",""))</f>
        <v/>
      </c>
      <c r="BI34" t="str">
        <f>IF(NOT(ISERROR(HLOOKUP(Standings!BI$3,Entries!$C26:$K26,1,FALSE))),"x",IF(NOT(ISERROR(HLOOKUP(Standings!BI$3,Entries!$L26:$L26,1,FALSE))),"S",""))</f>
        <v/>
      </c>
      <c r="BJ34" t="str">
        <f>IF(NOT(ISERROR(HLOOKUP(Standings!BJ$3,Entries!$C26:$K26,1,FALSE))),"x",IF(NOT(ISERROR(HLOOKUP(Standings!BJ$3,Entries!$L26:$L26,1,FALSE))),"S",""))</f>
        <v/>
      </c>
      <c r="BK34" t="str">
        <f>IF(NOT(ISERROR(HLOOKUP(Standings!BK$3,Entries!$C26:$K26,1,FALSE))),"x",IF(NOT(ISERROR(HLOOKUP(Standings!BK$3,Entries!$L26:$L26,1,FALSE))),"S",""))</f>
        <v/>
      </c>
      <c r="BL34" t="str">
        <f>IF(NOT(ISERROR(HLOOKUP(Standings!BL$3,Entries!$C26:$K26,1,FALSE))),"x",IF(NOT(ISERROR(HLOOKUP(Standings!BL$3,Entries!$L26:$L26,1,FALSE))),"S",""))</f>
        <v/>
      </c>
      <c r="BM34" t="str">
        <f>IF(NOT(ISERROR(HLOOKUP(Standings!BM$3,Entries!$C26:$K26,1,FALSE))),"x",IF(NOT(ISERROR(HLOOKUP(Standings!BM$3,Entries!$L26:$L26,1,FALSE))),"S",""))</f>
        <v>x</v>
      </c>
      <c r="BN34" t="str">
        <f>IF(NOT(ISERROR(HLOOKUP(Standings!BN$3,Entries!$C26:$K26,1,FALSE))),"x",IF(NOT(ISERROR(HLOOKUP(Standings!BN$3,Entries!$L26:$L26,1,FALSE))),"S",""))</f>
        <v/>
      </c>
      <c r="BO34" t="str">
        <f>IF(NOT(ISERROR(HLOOKUP(Standings!BO$3,Entries!$C26:$K26,1,FALSE))),"x",IF(NOT(ISERROR(HLOOKUP(Standings!BO$3,Entries!$L26:$L26,1,FALSE))),"S",""))</f>
        <v/>
      </c>
      <c r="BP34" t="str">
        <f>IF(NOT(ISERROR(HLOOKUP(Standings!BP$3,Entries!$C26:$K26,1,FALSE))),"x",IF(NOT(ISERROR(HLOOKUP(Standings!BP$3,Entries!$L26:$L26,1,FALSE))),"S",""))</f>
        <v/>
      </c>
      <c r="BQ34" t="str">
        <f>IF(NOT(ISERROR(HLOOKUP(Standings!BQ$3,Entries!$C26:$K26,1,FALSE))),"x",IF(NOT(ISERROR(HLOOKUP(Standings!BQ$3,Entries!$L26:$L26,1,FALSE))),"S",""))</f>
        <v/>
      </c>
      <c r="BR34" t="str">
        <f>IF(NOT(ISERROR(HLOOKUP(Standings!BR$3,Entries!$C26:$K26,1,FALSE))),"x",IF(NOT(ISERROR(HLOOKUP(Standings!BR$3,Entries!$L26:$L26,1,FALSE))),"S",""))</f>
        <v/>
      </c>
      <c r="BS34" t="str">
        <f>IF(NOT(ISERROR(HLOOKUP(Standings!BS$3,Entries!$C26:$K26,1,FALSE))),"x",IF(NOT(ISERROR(HLOOKUP(Standings!BS$3,Entries!$L26:$L26,1,FALSE))),"S",""))</f>
        <v>S</v>
      </c>
      <c r="BT34" t="str">
        <f>IF(NOT(ISERROR(HLOOKUP(Standings!BT$3,Entries!$C26:$K26,1,FALSE))),"x",IF(NOT(ISERROR(HLOOKUP(Standings!BT$3,Entries!$L26:$L26,1,FALSE))),"S",""))</f>
        <v/>
      </c>
      <c r="BU34" t="str">
        <f>IF(NOT(ISERROR(HLOOKUP(Standings!BU$3,Entries!$C26:$K26,1,FALSE))),"x",IF(NOT(ISERROR(HLOOKUP(Standings!BU$3,Entries!$L26:$L26,1,FALSE))),"S",""))</f>
        <v/>
      </c>
      <c r="BV34" t="str">
        <f>IF(NOT(ISERROR(HLOOKUP(Standings!BV$3,Entries!$C26:$K26,1,FALSE))),"x",IF(NOT(ISERROR(HLOOKUP(Standings!BV$3,Entries!$L26:$L26,1,FALSE))),"S",""))</f>
        <v/>
      </c>
      <c r="BW34" t="str">
        <f>IF(NOT(ISERROR(HLOOKUP(Standings!BW$3,Entries!$C26:$K26,1,FALSE))),"x",IF(NOT(ISERROR(HLOOKUP(Standings!BW$3,Entries!$L26:$L26,1,FALSE))),"S",""))</f>
        <v/>
      </c>
      <c r="BX34" t="str">
        <f>IF(NOT(ISERROR(HLOOKUP(Standings!BX$3,Entries!$C26:$K26,1,FALSE))),"x",IF(NOT(ISERROR(HLOOKUP(Standings!BX$3,Entries!$L26:$L26,1,FALSE))),"S",""))</f>
        <v/>
      </c>
      <c r="BY34" t="str">
        <f>IF(NOT(ISERROR(HLOOKUP(Standings!BY$3,Entries!$C26:$K26,1,FALSE))),"x",IF(NOT(ISERROR(HLOOKUP(Standings!BY$3,Entries!$L26:$L26,1,FALSE))),"S",""))</f>
        <v/>
      </c>
      <c r="BZ34" t="str">
        <f>IF(NOT(ISERROR(HLOOKUP(Standings!BZ$3,Entries!$C26:$K26,1,FALSE))),"x",IF(NOT(ISERROR(HLOOKUP(Standings!BZ$3,Entries!$L26:$L26,1,FALSE))),"S",""))</f>
        <v/>
      </c>
      <c r="CA34" t="str">
        <f>IF(NOT(ISERROR(HLOOKUP(Standings!CA$3,Entries!$C26:$K26,1,FALSE))),"x",IF(NOT(ISERROR(HLOOKUP(Standings!CA$3,Entries!$L26:$L26,1,FALSE))),"S",""))</f>
        <v/>
      </c>
      <c r="CB34" t="str">
        <f>IF(NOT(ISERROR(HLOOKUP(Standings!CB$3,Entries!$C26:$K26,1,FALSE))),"x",IF(NOT(ISERROR(HLOOKUP(Standings!CB$3,Entries!$L26:$L26,1,FALSE))),"S",""))</f>
        <v>x</v>
      </c>
      <c r="CC34" t="str">
        <f>IF(NOT(ISERROR(HLOOKUP(Standings!CC$3,Entries!$C26:$K26,1,FALSE))),"x",IF(NOT(ISERROR(HLOOKUP(Standings!CC$3,Entries!$L26:$L26,1,FALSE))),"S",""))</f>
        <v/>
      </c>
      <c r="CD34" t="str">
        <f>IF(NOT(ISERROR(HLOOKUP(Standings!CD$3,Entries!$C26:$K26,1,FALSE))),"x",IF(NOT(ISERROR(HLOOKUP(Standings!CD$3,Entries!$L26:$L26,1,FALSE))),"S",""))</f>
        <v/>
      </c>
      <c r="CE34" t="str">
        <f>IF(NOT(ISERROR(HLOOKUP(Standings!CE$3,Entries!$C26:$K26,1,FALSE))),"x",IF(NOT(ISERROR(HLOOKUP(Standings!CE$3,Entries!$L26:$L26,1,FALSE))),"S",""))</f>
        <v/>
      </c>
      <c r="CF34" t="str">
        <f>IF(NOT(ISERROR(HLOOKUP(Standings!CF$3,Entries!$C26:$K26,1,FALSE))),"x",IF(NOT(ISERROR(HLOOKUP(Standings!CF$3,Entries!$L26:$L26,1,FALSE))),"S",""))</f>
        <v/>
      </c>
      <c r="CG34" t="str">
        <f>IF(NOT(ISERROR(HLOOKUP(Standings!CG$3,Entries!$C26:$K26,1,FALSE))),"x",IF(NOT(ISERROR(HLOOKUP(Standings!CG$3,Entries!$L26:$L26,1,FALSE))),"S",""))</f>
        <v/>
      </c>
      <c r="CH34" t="str">
        <f>IF(NOT(ISERROR(HLOOKUP(Standings!CH$3,Entries!$C26:$K26,1,FALSE))),"x",IF(NOT(ISERROR(HLOOKUP(Standings!CH$3,Entries!$L26:$L26,1,FALSE))),"S",""))</f>
        <v/>
      </c>
      <c r="CI34" t="str">
        <f>IF(NOT(ISERROR(HLOOKUP(Standings!CI$3,Entries!$C26:$K26,1,FALSE))),"x",IF(NOT(ISERROR(HLOOKUP(Standings!CI$3,Entries!$L26:$L26,1,FALSE))),"S",""))</f>
        <v/>
      </c>
      <c r="CJ34" t="str">
        <f>IF(NOT(ISERROR(HLOOKUP(Standings!CJ$3,Entries!$C26:$K26,1,FALSE))),"x",IF(NOT(ISERROR(HLOOKUP(Standings!CJ$3,Entries!$L26:$L26,1,FALSE))),"S",""))</f>
        <v/>
      </c>
      <c r="CK34" t="str">
        <f>IF(NOT(ISERROR(HLOOKUP(Standings!CK$3,Entries!$C26:$K26,1,FALSE))),"x",IF(NOT(ISERROR(HLOOKUP(Standings!CK$3,Entries!$L26:$L26,1,FALSE))),"S",""))</f>
        <v/>
      </c>
      <c r="CL34" t="str">
        <f>IF(NOT(ISERROR(HLOOKUP(Standings!CL$3,Entries!$C26:$K26,1,FALSE))),"x",IF(NOT(ISERROR(HLOOKUP(Standings!CL$3,Entries!$L26:$L26,1,FALSE))),"S",""))</f>
        <v/>
      </c>
      <c r="CM34" t="str">
        <f>IF(NOT(ISERROR(HLOOKUP(Standings!CM$3,Entries!$C26:$K26,1,FALSE))),"x",IF(NOT(ISERROR(HLOOKUP(Standings!CM$3,Entries!$L26:$L26,1,FALSE))),"S",""))</f>
        <v/>
      </c>
      <c r="CN34" t="str">
        <f>IF(NOT(ISERROR(HLOOKUP(Standings!CN$3,Entries!$C26:$K26,1,FALSE))),"x",IF(NOT(ISERROR(HLOOKUP(Standings!CN$3,Entries!$L26:$L26,1,FALSE))),"S",""))</f>
        <v>x</v>
      </c>
      <c r="CO34" t="str">
        <f>IF(NOT(ISERROR(HLOOKUP(Standings!CO$3,Entries!$C26:$K26,1,FALSE))),"x",IF(NOT(ISERROR(HLOOKUP(Standings!CO$3,Entries!$L26:$L26,1,FALSE))),"S",""))</f>
        <v/>
      </c>
      <c r="CP34" t="str">
        <f>IF(NOT(ISERROR(HLOOKUP(Standings!CP$3,Entries!$C26:$K26,1,FALSE))),"x",IF(NOT(ISERROR(HLOOKUP(Standings!CP$3,Entries!$L26:$L26,1,FALSE))),"S",""))</f>
        <v/>
      </c>
      <c r="CQ34" t="str">
        <f>IF(NOT(ISERROR(HLOOKUP(Standings!CQ$3,Entries!$C26:$K26,1,FALSE))),"x",IF(NOT(ISERROR(HLOOKUP(Standings!CQ$3,Entries!$L26:$L26,1,FALSE))),"S",""))</f>
        <v/>
      </c>
      <c r="CR34" t="str">
        <f>IF(NOT(ISERROR(HLOOKUP(Standings!CR$3,Entries!$C26:$K26,1,FALSE))),"x",IF(NOT(ISERROR(HLOOKUP(Standings!CR$3,Entries!$L26:$L26,1,FALSE))),"S",""))</f>
        <v/>
      </c>
      <c r="CS34" t="str">
        <f>IF(NOT(ISERROR(HLOOKUP(Standings!CS$3,Entries!$C26:$K26,1,FALSE))),"x",IF(NOT(ISERROR(HLOOKUP(Standings!CS$3,Entries!$L26:$L26,1,FALSE))),"S",""))</f>
        <v/>
      </c>
      <c r="CT34" t="str">
        <f>IF(NOT(ISERROR(HLOOKUP(Standings!CT$3,Entries!$C26:$K26,1,FALSE))),"x",IF(NOT(ISERROR(HLOOKUP(Standings!CT$3,Entries!$L26:$L26,1,FALSE))),"S",""))</f>
        <v/>
      </c>
      <c r="CU34" t="str">
        <f>IF(NOT(ISERROR(HLOOKUP(Standings!CU$3,Entries!$C26:$K26,1,FALSE))),"x",IF(NOT(ISERROR(HLOOKUP(Standings!CU$3,Entries!$L26:$L26,1,FALSE))),"S",""))</f>
        <v/>
      </c>
      <c r="CV34" t="str">
        <f>IF(NOT(ISERROR(HLOOKUP(Standings!CV$3,Entries!$C26:$K26,1,FALSE))),"x",IF(NOT(ISERROR(HLOOKUP(Standings!CV$3,Entries!$L26:$L26,1,FALSE))),"S",""))</f>
        <v/>
      </c>
      <c r="CW34" t="str">
        <f>IF(NOT(ISERROR(HLOOKUP(Standings!CW$3,Entries!$C26:$K26,1,FALSE))),"x",IF(NOT(ISERROR(HLOOKUP(Standings!CW$3,Entries!$L26:$L26,1,FALSE))),"S",""))</f>
        <v/>
      </c>
      <c r="CX34" t="str">
        <f>IF(NOT(ISERROR(HLOOKUP(Standings!CX$3,Entries!$C26:$K26,1,FALSE))),"x",IF(NOT(ISERROR(HLOOKUP(Standings!CX$3,Entries!$L26:$L26,1,FALSE))),"S",""))</f>
        <v/>
      </c>
      <c r="CY34" t="str">
        <f>IF(NOT(ISERROR(HLOOKUP(Standings!CY$3,Entries!$C26:$K26,1,FALSE))),"x",IF(NOT(ISERROR(HLOOKUP(Standings!CY$3,Entries!$L26:$L26,1,FALSE))),"S",""))</f>
        <v>x</v>
      </c>
      <c r="CZ34" t="str">
        <f>IF(NOT(ISERROR(HLOOKUP(Standings!CZ$3,Entries!$C26:$K26,1,FALSE))),"x",IF(NOT(ISERROR(HLOOKUP(Standings!CZ$3,Entries!$L26:$L26,1,FALSE))),"S",""))</f>
        <v/>
      </c>
      <c r="DA34" t="str">
        <f>IF(NOT(ISERROR(HLOOKUP(Standings!DA$3,Entries!$C26:$K26,1,FALSE))),"x",IF(NOT(ISERROR(HLOOKUP(Standings!DA$3,Entries!$L26:$L26,1,FALSE))),"S",""))</f>
        <v/>
      </c>
      <c r="DB34" t="str">
        <f>IF(NOT(ISERROR(HLOOKUP(Standings!DB$3,Entries!$C26:$K26,1,FALSE))),"x",IF(NOT(ISERROR(HLOOKUP(Standings!DB$3,Entries!$L26:$L26,1,FALSE))),"S",""))</f>
        <v/>
      </c>
    </row>
    <row r="35" spans="1:106" x14ac:dyDescent="0.25">
      <c r="A35" s="18"/>
      <c r="B35">
        <v>17</v>
      </c>
      <c r="C35" t="str">
        <f>Entries!B27</f>
        <v>MikePollei1</v>
      </c>
      <c r="D35" s="4">
        <f t="shared" si="3"/>
        <v>55</v>
      </c>
      <c r="E35" s="31">
        <f t="shared" si="4"/>
        <v>0</v>
      </c>
      <c r="F35" s="40" t="str">
        <f t="shared" si="52"/>
        <v/>
      </c>
      <c r="G35" s="41" t="str">
        <f t="shared" si="5"/>
        <v/>
      </c>
      <c r="H35" s="41" t="str">
        <f t="shared" si="6"/>
        <v/>
      </c>
      <c r="I35" s="42" t="str">
        <f t="shared" si="7"/>
        <v/>
      </c>
      <c r="J35" s="40" t="str">
        <f t="shared" si="8"/>
        <v/>
      </c>
      <c r="K35" s="41" t="str">
        <f t="shared" si="9"/>
        <v/>
      </c>
      <c r="L35" s="41" t="str">
        <f t="shared" si="10"/>
        <v/>
      </c>
      <c r="M35" s="42" t="str">
        <f t="shared" si="11"/>
        <v/>
      </c>
      <c r="N35" s="43" t="str">
        <f t="shared" si="12"/>
        <v/>
      </c>
      <c r="O35" s="41" t="str">
        <f t="shared" si="13"/>
        <v/>
      </c>
      <c r="P35" s="41" t="str">
        <f t="shared" si="14"/>
        <v/>
      </c>
      <c r="Q35" s="42" t="str">
        <f t="shared" si="15"/>
        <v/>
      </c>
      <c r="R35" s="40" t="str">
        <f t="shared" si="16"/>
        <v/>
      </c>
      <c r="S35" s="41" t="str">
        <f t="shared" si="17"/>
        <v/>
      </c>
      <c r="T35" s="43" t="str">
        <f t="shared" si="18"/>
        <v/>
      </c>
      <c r="U35" s="42" t="str">
        <f t="shared" si="19"/>
        <v/>
      </c>
      <c r="V35" s="40" t="str">
        <f t="shared" si="20"/>
        <v/>
      </c>
      <c r="W35" s="41" t="str">
        <f t="shared" si="21"/>
        <v/>
      </c>
      <c r="X35" s="41" t="str">
        <f t="shared" si="22"/>
        <v/>
      </c>
      <c r="Y35" s="42" t="str">
        <f t="shared" si="23"/>
        <v/>
      </c>
      <c r="Z35" s="40" t="str">
        <f t="shared" si="24"/>
        <v/>
      </c>
      <c r="AA35" s="41" t="str">
        <f t="shared" si="25"/>
        <v/>
      </c>
      <c r="AB35" s="41" t="str">
        <f t="shared" si="26"/>
        <v/>
      </c>
      <c r="AC35" s="42" t="str">
        <f t="shared" si="27"/>
        <v/>
      </c>
      <c r="AD35" s="40">
        <f t="shared" si="28"/>
        <v>-1.0000000000000001E-5</v>
      </c>
      <c r="AE35" s="41" t="str">
        <f t="shared" si="29"/>
        <v/>
      </c>
      <c r="AF35" s="41">
        <f t="shared" si="30"/>
        <v>0</v>
      </c>
      <c r="AG35" s="42" t="str">
        <f t="shared" si="31"/>
        <v/>
      </c>
      <c r="AH35" s="40" t="str">
        <f t="shared" si="32"/>
        <v/>
      </c>
      <c r="AI35" s="41" t="str">
        <f t="shared" si="33"/>
        <v/>
      </c>
      <c r="AJ35" s="41" t="str">
        <f t="shared" si="34"/>
        <v/>
      </c>
      <c r="AK35" s="42">
        <f t="shared" si="35"/>
        <v>0</v>
      </c>
      <c r="AL35" s="40">
        <f t="shared" si="36"/>
        <v>0</v>
      </c>
      <c r="AM35" s="41">
        <f t="shared" si="37"/>
        <v>0</v>
      </c>
      <c r="AN35" s="41" t="str">
        <f t="shared" si="38"/>
        <v/>
      </c>
      <c r="AO35" s="42" t="str">
        <f t="shared" si="39"/>
        <v/>
      </c>
      <c r="AP35" s="40" t="str">
        <f t="shared" si="40"/>
        <v/>
      </c>
      <c r="AQ35" s="41" t="str">
        <f t="shared" si="41"/>
        <v/>
      </c>
      <c r="AR35" s="41">
        <f t="shared" si="42"/>
        <v>0</v>
      </c>
      <c r="AS35" s="42">
        <f t="shared" si="43"/>
        <v>0</v>
      </c>
      <c r="AT35" s="40" t="str">
        <f t="shared" si="44"/>
        <v/>
      </c>
      <c r="AU35" s="41" t="str">
        <f t="shared" si="45"/>
        <v/>
      </c>
      <c r="AV35" s="41" t="str">
        <f t="shared" si="46"/>
        <v/>
      </c>
      <c r="AW35" s="42" t="str">
        <f t="shared" si="47"/>
        <v/>
      </c>
      <c r="AX35" s="40" t="str">
        <f t="shared" si="48"/>
        <v/>
      </c>
      <c r="AY35" s="41">
        <f t="shared" si="49"/>
        <v>0</v>
      </c>
      <c r="AZ35" s="41" t="str">
        <f t="shared" si="50"/>
        <v/>
      </c>
      <c r="BA35" s="42" t="str">
        <f t="shared" si="51"/>
        <v/>
      </c>
      <c r="BB35" s="37" t="s">
        <v>106</v>
      </c>
      <c r="BC35" s="21"/>
      <c r="BD35" s="21"/>
      <c r="BG35" t="str">
        <f>IF(NOT(ISERROR(HLOOKUP(Standings!BG$3,Entries!$C27:$K27,1,FALSE))),"x",IF(NOT(ISERROR(HLOOKUP(Standings!BG$3,Entries!$L27:$L27,1,FALSE))),"S",""))</f>
        <v/>
      </c>
      <c r="BH35" t="str">
        <f>IF(NOT(ISERROR(HLOOKUP(Standings!BH$3,Entries!$C27:$K27,1,FALSE))),"x",IF(NOT(ISERROR(HLOOKUP(Standings!BH$3,Entries!$L27:$L27,1,FALSE))),"S",""))</f>
        <v/>
      </c>
      <c r="BI35" t="str">
        <f>IF(NOT(ISERROR(HLOOKUP(Standings!BI$3,Entries!$C27:$K27,1,FALSE))),"x",IF(NOT(ISERROR(HLOOKUP(Standings!BI$3,Entries!$L27:$L27,1,FALSE))),"S",""))</f>
        <v/>
      </c>
      <c r="BJ35" t="str">
        <f>IF(NOT(ISERROR(HLOOKUP(Standings!BJ$3,Entries!$C27:$K27,1,FALSE))),"x",IF(NOT(ISERROR(HLOOKUP(Standings!BJ$3,Entries!$L27:$L27,1,FALSE))),"S",""))</f>
        <v/>
      </c>
      <c r="BK35" t="str">
        <f>IF(NOT(ISERROR(HLOOKUP(Standings!BK$3,Entries!$C27:$K27,1,FALSE))),"x",IF(NOT(ISERROR(HLOOKUP(Standings!BK$3,Entries!$L27:$L27,1,FALSE))),"S",""))</f>
        <v/>
      </c>
      <c r="BL35" t="str">
        <f>IF(NOT(ISERROR(HLOOKUP(Standings!BL$3,Entries!$C27:$K27,1,FALSE))),"x",IF(NOT(ISERROR(HLOOKUP(Standings!BL$3,Entries!$L27:$L27,1,FALSE))),"S",""))</f>
        <v/>
      </c>
      <c r="BM35" t="str">
        <f>IF(NOT(ISERROR(HLOOKUP(Standings!BM$3,Entries!$C27:$K27,1,FALSE))),"x",IF(NOT(ISERROR(HLOOKUP(Standings!BM$3,Entries!$L27:$L27,1,FALSE))),"S",""))</f>
        <v/>
      </c>
      <c r="BN35" t="str">
        <f>IF(NOT(ISERROR(HLOOKUP(Standings!BN$3,Entries!$C27:$K27,1,FALSE))),"x",IF(NOT(ISERROR(HLOOKUP(Standings!BN$3,Entries!$L27:$L27,1,FALSE))),"S",""))</f>
        <v/>
      </c>
      <c r="BO35" t="str">
        <f>IF(NOT(ISERROR(HLOOKUP(Standings!BO$3,Entries!$C27:$K27,1,FALSE))),"x",IF(NOT(ISERROR(HLOOKUP(Standings!BO$3,Entries!$L27:$L27,1,FALSE))),"S",""))</f>
        <v/>
      </c>
      <c r="BP35" t="str">
        <f>IF(NOT(ISERROR(HLOOKUP(Standings!BP$3,Entries!$C27:$K27,1,FALSE))),"x",IF(NOT(ISERROR(HLOOKUP(Standings!BP$3,Entries!$L27:$L27,1,FALSE))),"S",""))</f>
        <v/>
      </c>
      <c r="BQ35" t="str">
        <f>IF(NOT(ISERROR(HLOOKUP(Standings!BQ$3,Entries!$C27:$K27,1,FALSE))),"x",IF(NOT(ISERROR(HLOOKUP(Standings!BQ$3,Entries!$L27:$L27,1,FALSE))),"S",""))</f>
        <v/>
      </c>
      <c r="BR35" t="str">
        <f>IF(NOT(ISERROR(HLOOKUP(Standings!BR$3,Entries!$C27:$K27,1,FALSE))),"x",IF(NOT(ISERROR(HLOOKUP(Standings!BR$3,Entries!$L27:$L27,1,FALSE))),"S",""))</f>
        <v/>
      </c>
      <c r="BS35" t="str">
        <f>IF(NOT(ISERROR(HLOOKUP(Standings!BS$3,Entries!$C27:$K27,1,FALSE))),"x",IF(NOT(ISERROR(HLOOKUP(Standings!BS$3,Entries!$L27:$L27,1,FALSE))),"S",""))</f>
        <v/>
      </c>
      <c r="BT35" t="str">
        <f>IF(NOT(ISERROR(HLOOKUP(Standings!BT$3,Entries!$C27:$K27,1,FALSE))),"x",IF(NOT(ISERROR(HLOOKUP(Standings!BT$3,Entries!$L27:$L27,1,FALSE))),"S",""))</f>
        <v/>
      </c>
      <c r="BU35" t="str">
        <f>IF(NOT(ISERROR(HLOOKUP(Standings!BU$3,Entries!$C27:$K27,1,FALSE))),"x",IF(NOT(ISERROR(HLOOKUP(Standings!BU$3,Entries!$L27:$L27,1,FALSE))),"S",""))</f>
        <v/>
      </c>
      <c r="BV35" t="str">
        <f>IF(NOT(ISERROR(HLOOKUP(Standings!BV$3,Entries!$C27:$K27,1,FALSE))),"x",IF(NOT(ISERROR(HLOOKUP(Standings!BV$3,Entries!$L27:$L27,1,FALSE))),"S",""))</f>
        <v/>
      </c>
      <c r="BW35" t="str">
        <f>IF(NOT(ISERROR(HLOOKUP(Standings!BW$3,Entries!$C27:$K27,1,FALSE))),"x",IF(NOT(ISERROR(HLOOKUP(Standings!BW$3,Entries!$L27:$L27,1,FALSE))),"S",""))</f>
        <v/>
      </c>
      <c r="BX35" t="str">
        <f>IF(NOT(ISERROR(HLOOKUP(Standings!BX$3,Entries!$C27:$K27,1,FALSE))),"x",IF(NOT(ISERROR(HLOOKUP(Standings!BX$3,Entries!$L27:$L27,1,FALSE))),"S",""))</f>
        <v/>
      </c>
      <c r="BY35" t="str">
        <f>IF(NOT(ISERROR(HLOOKUP(Standings!BY$3,Entries!$C27:$K27,1,FALSE))),"x",IF(NOT(ISERROR(HLOOKUP(Standings!BY$3,Entries!$L27:$L27,1,FALSE))),"S",""))</f>
        <v/>
      </c>
      <c r="BZ35" t="str">
        <f>IF(NOT(ISERROR(HLOOKUP(Standings!BZ$3,Entries!$C27:$K27,1,FALSE))),"x",IF(NOT(ISERROR(HLOOKUP(Standings!BZ$3,Entries!$L27:$L27,1,FALSE))),"S",""))</f>
        <v/>
      </c>
      <c r="CA35" t="str">
        <f>IF(NOT(ISERROR(HLOOKUP(Standings!CA$3,Entries!$C27:$K27,1,FALSE))),"x",IF(NOT(ISERROR(HLOOKUP(Standings!CA$3,Entries!$L27:$L27,1,FALSE))),"S",""))</f>
        <v/>
      </c>
      <c r="CB35" t="str">
        <f>IF(NOT(ISERROR(HLOOKUP(Standings!CB$3,Entries!$C27:$K27,1,FALSE))),"x",IF(NOT(ISERROR(HLOOKUP(Standings!CB$3,Entries!$L27:$L27,1,FALSE))),"S",""))</f>
        <v/>
      </c>
      <c r="CC35" t="str">
        <f>IF(NOT(ISERROR(HLOOKUP(Standings!CC$3,Entries!$C27:$K27,1,FALSE))),"x",IF(NOT(ISERROR(HLOOKUP(Standings!CC$3,Entries!$L27:$L27,1,FALSE))),"S",""))</f>
        <v/>
      </c>
      <c r="CD35" t="str">
        <f>IF(NOT(ISERROR(HLOOKUP(Standings!CD$3,Entries!$C27:$K27,1,FALSE))),"x",IF(NOT(ISERROR(HLOOKUP(Standings!CD$3,Entries!$L27:$L27,1,FALSE))),"S",""))</f>
        <v/>
      </c>
      <c r="CE35" t="str">
        <f>IF(NOT(ISERROR(HLOOKUP(Standings!CE$3,Entries!$C27:$K27,1,FALSE))),"x",IF(NOT(ISERROR(HLOOKUP(Standings!CE$3,Entries!$L27:$L27,1,FALSE))),"S",""))</f>
        <v>S</v>
      </c>
      <c r="CF35" t="str">
        <f>IF(NOT(ISERROR(HLOOKUP(Standings!CF$3,Entries!$C27:$K27,1,FALSE))),"x",IF(NOT(ISERROR(HLOOKUP(Standings!CF$3,Entries!$L27:$L27,1,FALSE))),"S",""))</f>
        <v/>
      </c>
      <c r="CG35" t="str">
        <f>IF(NOT(ISERROR(HLOOKUP(Standings!CG$3,Entries!$C27:$K27,1,FALSE))),"x",IF(NOT(ISERROR(HLOOKUP(Standings!CG$3,Entries!$L27:$L27,1,FALSE))),"S",""))</f>
        <v>x</v>
      </c>
      <c r="CH35" t="str">
        <f>IF(NOT(ISERROR(HLOOKUP(Standings!CH$3,Entries!$C27:$K27,1,FALSE))),"x",IF(NOT(ISERROR(HLOOKUP(Standings!CH$3,Entries!$L27:$L27,1,FALSE))),"S",""))</f>
        <v/>
      </c>
      <c r="CI35" t="str">
        <f>IF(NOT(ISERROR(HLOOKUP(Standings!CI$3,Entries!$C27:$K27,1,FALSE))),"x",IF(NOT(ISERROR(HLOOKUP(Standings!CI$3,Entries!$L27:$L27,1,FALSE))),"S",""))</f>
        <v/>
      </c>
      <c r="CJ35" t="str">
        <f>IF(NOT(ISERROR(HLOOKUP(Standings!CJ$3,Entries!$C27:$K27,1,FALSE))),"x",IF(NOT(ISERROR(HLOOKUP(Standings!CJ$3,Entries!$L27:$L27,1,FALSE))),"S",""))</f>
        <v/>
      </c>
      <c r="CK35" t="str">
        <f>IF(NOT(ISERROR(HLOOKUP(Standings!CK$3,Entries!$C27:$K27,1,FALSE))),"x",IF(NOT(ISERROR(HLOOKUP(Standings!CK$3,Entries!$L27:$L27,1,FALSE))),"S",""))</f>
        <v/>
      </c>
      <c r="CL35" t="str">
        <f>IF(NOT(ISERROR(HLOOKUP(Standings!CL$3,Entries!$C27:$K27,1,FALSE))),"x",IF(NOT(ISERROR(HLOOKUP(Standings!CL$3,Entries!$L27:$L27,1,FALSE))),"S",""))</f>
        <v>x</v>
      </c>
      <c r="CM35" t="str">
        <f>IF(NOT(ISERROR(HLOOKUP(Standings!CM$3,Entries!$C27:$K27,1,FALSE))),"x",IF(NOT(ISERROR(HLOOKUP(Standings!CM$3,Entries!$L27:$L27,1,FALSE))),"S",""))</f>
        <v>x</v>
      </c>
      <c r="CN35" t="str">
        <f>IF(NOT(ISERROR(HLOOKUP(Standings!CN$3,Entries!$C27:$K27,1,FALSE))),"x",IF(NOT(ISERROR(HLOOKUP(Standings!CN$3,Entries!$L27:$L27,1,FALSE))),"S",""))</f>
        <v>x</v>
      </c>
      <c r="CO35" t="str">
        <f>IF(NOT(ISERROR(HLOOKUP(Standings!CO$3,Entries!$C27:$K27,1,FALSE))),"x",IF(NOT(ISERROR(HLOOKUP(Standings!CO$3,Entries!$L27:$L27,1,FALSE))),"S",""))</f>
        <v/>
      </c>
      <c r="CP35" t="str">
        <f>IF(NOT(ISERROR(HLOOKUP(Standings!CP$3,Entries!$C27:$K27,1,FALSE))),"x",IF(NOT(ISERROR(HLOOKUP(Standings!CP$3,Entries!$L27:$L27,1,FALSE))),"S",""))</f>
        <v/>
      </c>
      <c r="CQ35" t="str">
        <f>IF(NOT(ISERROR(HLOOKUP(Standings!CQ$3,Entries!$C27:$K27,1,FALSE))),"x",IF(NOT(ISERROR(HLOOKUP(Standings!CQ$3,Entries!$L27:$L27,1,FALSE))),"S",""))</f>
        <v/>
      </c>
      <c r="CR35" t="str">
        <f>IF(NOT(ISERROR(HLOOKUP(Standings!CR$3,Entries!$C27:$K27,1,FALSE))),"x",IF(NOT(ISERROR(HLOOKUP(Standings!CR$3,Entries!$L27:$L27,1,FALSE))),"S",""))</f>
        <v/>
      </c>
      <c r="CS35" t="str">
        <f>IF(NOT(ISERROR(HLOOKUP(Standings!CS$3,Entries!$C27:$K27,1,FALSE))),"x",IF(NOT(ISERROR(HLOOKUP(Standings!CS$3,Entries!$L27:$L27,1,FALSE))),"S",""))</f>
        <v>x</v>
      </c>
      <c r="CT35" t="str">
        <f>IF(NOT(ISERROR(HLOOKUP(Standings!CT$3,Entries!$C27:$K27,1,FALSE))),"x",IF(NOT(ISERROR(HLOOKUP(Standings!CT$3,Entries!$L27:$L27,1,FALSE))),"S",""))</f>
        <v>x</v>
      </c>
      <c r="CU35" t="str">
        <f>IF(NOT(ISERROR(HLOOKUP(Standings!CU$3,Entries!$C27:$K27,1,FALSE))),"x",IF(NOT(ISERROR(HLOOKUP(Standings!CU$3,Entries!$L27:$L27,1,FALSE))),"S",""))</f>
        <v/>
      </c>
      <c r="CV35" t="str">
        <f>IF(NOT(ISERROR(HLOOKUP(Standings!CV$3,Entries!$C27:$K27,1,FALSE))),"x",IF(NOT(ISERROR(HLOOKUP(Standings!CV$3,Entries!$L27:$L27,1,FALSE))),"S",""))</f>
        <v/>
      </c>
      <c r="CW35" t="str">
        <f>IF(NOT(ISERROR(HLOOKUP(Standings!CW$3,Entries!$C27:$K27,1,FALSE))),"x",IF(NOT(ISERROR(HLOOKUP(Standings!CW$3,Entries!$L27:$L27,1,FALSE))),"S",""))</f>
        <v/>
      </c>
      <c r="CX35" t="str">
        <f>IF(NOT(ISERROR(HLOOKUP(Standings!CX$3,Entries!$C27:$K27,1,FALSE))),"x",IF(NOT(ISERROR(HLOOKUP(Standings!CX$3,Entries!$L27:$L27,1,FALSE))),"S",""))</f>
        <v/>
      </c>
      <c r="CY35" t="str">
        <f>IF(NOT(ISERROR(HLOOKUP(Standings!CY$3,Entries!$C27:$K27,1,FALSE))),"x",IF(NOT(ISERROR(HLOOKUP(Standings!CY$3,Entries!$L27:$L27,1,FALSE))),"S",""))</f>
        <v/>
      </c>
      <c r="CZ35" t="str">
        <f>IF(NOT(ISERROR(HLOOKUP(Standings!CZ$3,Entries!$C27:$K27,1,FALSE))),"x",IF(NOT(ISERROR(HLOOKUP(Standings!CZ$3,Entries!$L27:$L27,1,FALSE))),"S",""))</f>
        <v>x</v>
      </c>
      <c r="DA35" t="str">
        <f>IF(NOT(ISERROR(HLOOKUP(Standings!DA$3,Entries!$C27:$K27,1,FALSE))),"x",IF(NOT(ISERROR(HLOOKUP(Standings!DA$3,Entries!$L27:$L27,1,FALSE))),"S",""))</f>
        <v/>
      </c>
      <c r="DB35" t="str">
        <f>IF(NOT(ISERROR(HLOOKUP(Standings!DB$3,Entries!$C27:$K27,1,FALSE))),"x",IF(NOT(ISERROR(HLOOKUP(Standings!DB$3,Entries!$L27:$L27,1,FALSE))),"S",""))</f>
        <v/>
      </c>
    </row>
    <row r="36" spans="1:106" x14ac:dyDescent="0.25">
      <c r="B36">
        <v>71</v>
      </c>
      <c r="C36" t="str">
        <f>Entries!B28</f>
        <v>MikePollei2</v>
      </c>
      <c r="D36" s="4">
        <f t="shared" si="3"/>
        <v>55</v>
      </c>
      <c r="E36" s="31">
        <f t="shared" si="4"/>
        <v>0</v>
      </c>
      <c r="F36" s="40" t="str">
        <f t="shared" si="52"/>
        <v/>
      </c>
      <c r="G36" s="41" t="str">
        <f t="shared" si="5"/>
        <v/>
      </c>
      <c r="H36" s="41" t="str">
        <f t="shared" si="6"/>
        <v/>
      </c>
      <c r="I36" s="42" t="str">
        <f t="shared" si="7"/>
        <v/>
      </c>
      <c r="J36" s="40" t="str">
        <f t="shared" si="8"/>
        <v/>
      </c>
      <c r="K36" s="41" t="str">
        <f t="shared" si="9"/>
        <v/>
      </c>
      <c r="L36" s="41" t="str">
        <f t="shared" si="10"/>
        <v/>
      </c>
      <c r="M36" s="42" t="str">
        <f t="shared" si="11"/>
        <v/>
      </c>
      <c r="N36" s="43" t="str">
        <f t="shared" si="12"/>
        <v/>
      </c>
      <c r="O36" s="41" t="str">
        <f t="shared" si="13"/>
        <v/>
      </c>
      <c r="P36" s="41" t="str">
        <f t="shared" si="14"/>
        <v/>
      </c>
      <c r="Q36" s="42" t="str">
        <f t="shared" si="15"/>
        <v/>
      </c>
      <c r="R36" s="40" t="str">
        <f t="shared" si="16"/>
        <v/>
      </c>
      <c r="S36" s="41" t="str">
        <f t="shared" si="17"/>
        <v/>
      </c>
      <c r="T36" s="43" t="str">
        <f t="shared" si="18"/>
        <v/>
      </c>
      <c r="U36" s="42" t="str">
        <f t="shared" si="19"/>
        <v/>
      </c>
      <c r="V36" s="40" t="str">
        <f t="shared" si="20"/>
        <v/>
      </c>
      <c r="W36" s="41">
        <f t="shared" si="21"/>
        <v>0</v>
      </c>
      <c r="X36" s="41" t="str">
        <f t="shared" si="22"/>
        <v/>
      </c>
      <c r="Y36" s="42" t="str">
        <f t="shared" si="23"/>
        <v/>
      </c>
      <c r="Z36" s="40" t="str">
        <f t="shared" si="24"/>
        <v/>
      </c>
      <c r="AA36" s="41" t="str">
        <f t="shared" si="25"/>
        <v/>
      </c>
      <c r="AB36" s="41" t="str">
        <f t="shared" si="26"/>
        <v/>
      </c>
      <c r="AC36" s="42" t="str">
        <f t="shared" si="27"/>
        <v/>
      </c>
      <c r="AD36" s="40">
        <f t="shared" si="28"/>
        <v>-1.0000000000000001E-5</v>
      </c>
      <c r="AE36" s="41" t="str">
        <f t="shared" si="29"/>
        <v/>
      </c>
      <c r="AF36" s="41" t="str">
        <f t="shared" si="30"/>
        <v/>
      </c>
      <c r="AG36" s="42" t="str">
        <f t="shared" si="31"/>
        <v/>
      </c>
      <c r="AH36" s="40" t="str">
        <f t="shared" si="32"/>
        <v/>
      </c>
      <c r="AI36" s="41" t="str">
        <f t="shared" si="33"/>
        <v/>
      </c>
      <c r="AJ36" s="41" t="str">
        <f t="shared" si="34"/>
        <v/>
      </c>
      <c r="AK36" s="42" t="str">
        <f t="shared" si="35"/>
        <v/>
      </c>
      <c r="AL36" s="40">
        <f t="shared" si="36"/>
        <v>0</v>
      </c>
      <c r="AM36" s="41" t="str">
        <f t="shared" si="37"/>
        <v/>
      </c>
      <c r="AN36" s="41" t="str">
        <f t="shared" si="38"/>
        <v/>
      </c>
      <c r="AO36" s="42" t="str">
        <f t="shared" si="39"/>
        <v/>
      </c>
      <c r="AP36" s="40">
        <f t="shared" si="40"/>
        <v>0</v>
      </c>
      <c r="AQ36" s="41" t="str">
        <f t="shared" si="41"/>
        <v/>
      </c>
      <c r="AR36" s="41">
        <f t="shared" si="42"/>
        <v>0</v>
      </c>
      <c r="AS36" s="42">
        <f t="shared" si="43"/>
        <v>0</v>
      </c>
      <c r="AT36" s="40" t="str">
        <f t="shared" si="44"/>
        <v/>
      </c>
      <c r="AU36" s="41" t="str">
        <f t="shared" si="45"/>
        <v/>
      </c>
      <c r="AV36" s="41" t="str">
        <f t="shared" si="46"/>
        <v/>
      </c>
      <c r="AW36" s="42" t="str">
        <f t="shared" si="47"/>
        <v/>
      </c>
      <c r="AX36" s="40" t="str">
        <f t="shared" si="48"/>
        <v/>
      </c>
      <c r="AY36" s="41" t="str">
        <f t="shared" si="49"/>
        <v/>
      </c>
      <c r="AZ36" s="41" t="str">
        <f t="shared" si="50"/>
        <v/>
      </c>
      <c r="BA36" s="42" t="str">
        <f t="shared" si="51"/>
        <v/>
      </c>
      <c r="BB36" s="37" t="s">
        <v>106</v>
      </c>
      <c r="BC36" s="21"/>
      <c r="BD36" s="21"/>
      <c r="BG36" t="str">
        <f>IF(NOT(ISERROR(HLOOKUP(Standings!BG$3,Entries!$C28:$K28,1,FALSE))),"x",IF(NOT(ISERROR(HLOOKUP(Standings!BG$3,Entries!$L28:$L28,1,FALSE))),"S",""))</f>
        <v/>
      </c>
      <c r="BH36" t="str">
        <f>IF(NOT(ISERROR(HLOOKUP(Standings!BH$3,Entries!$C28:$K28,1,FALSE))),"x",IF(NOT(ISERROR(HLOOKUP(Standings!BH$3,Entries!$L28:$L28,1,FALSE))),"S",""))</f>
        <v/>
      </c>
      <c r="BI36" t="str">
        <f>IF(NOT(ISERROR(HLOOKUP(Standings!BI$3,Entries!$C28:$K28,1,FALSE))),"x",IF(NOT(ISERROR(HLOOKUP(Standings!BI$3,Entries!$L28:$L28,1,FALSE))),"S",""))</f>
        <v/>
      </c>
      <c r="BJ36" t="str">
        <f>IF(NOT(ISERROR(HLOOKUP(Standings!BJ$3,Entries!$C28:$K28,1,FALSE))),"x",IF(NOT(ISERROR(HLOOKUP(Standings!BJ$3,Entries!$L28:$L28,1,FALSE))),"S",""))</f>
        <v/>
      </c>
      <c r="BK36" t="str">
        <f>IF(NOT(ISERROR(HLOOKUP(Standings!BK$3,Entries!$C28:$K28,1,FALSE))),"x",IF(NOT(ISERROR(HLOOKUP(Standings!BK$3,Entries!$L28:$L28,1,FALSE))),"S",""))</f>
        <v/>
      </c>
      <c r="BL36" t="str">
        <f>IF(NOT(ISERROR(HLOOKUP(Standings!BL$3,Entries!$C28:$K28,1,FALSE))),"x",IF(NOT(ISERROR(HLOOKUP(Standings!BL$3,Entries!$L28:$L28,1,FALSE))),"S",""))</f>
        <v/>
      </c>
      <c r="BM36" t="str">
        <f>IF(NOT(ISERROR(HLOOKUP(Standings!BM$3,Entries!$C28:$K28,1,FALSE))),"x",IF(NOT(ISERROR(HLOOKUP(Standings!BM$3,Entries!$L28:$L28,1,FALSE))),"S",""))</f>
        <v/>
      </c>
      <c r="BN36" t="str">
        <f>IF(NOT(ISERROR(HLOOKUP(Standings!BN$3,Entries!$C28:$K28,1,FALSE))),"x",IF(NOT(ISERROR(HLOOKUP(Standings!BN$3,Entries!$L28:$L28,1,FALSE))),"S",""))</f>
        <v/>
      </c>
      <c r="BO36" t="str">
        <f>IF(NOT(ISERROR(HLOOKUP(Standings!BO$3,Entries!$C28:$K28,1,FALSE))),"x",IF(NOT(ISERROR(HLOOKUP(Standings!BO$3,Entries!$L28:$L28,1,FALSE))),"S",""))</f>
        <v/>
      </c>
      <c r="BP36" t="str">
        <f>IF(NOT(ISERROR(HLOOKUP(Standings!BP$3,Entries!$C28:$K28,1,FALSE))),"x",IF(NOT(ISERROR(HLOOKUP(Standings!BP$3,Entries!$L28:$L28,1,FALSE))),"S",""))</f>
        <v/>
      </c>
      <c r="BQ36" t="str">
        <f>IF(NOT(ISERROR(HLOOKUP(Standings!BQ$3,Entries!$C28:$K28,1,FALSE))),"x",IF(NOT(ISERROR(HLOOKUP(Standings!BQ$3,Entries!$L28:$L28,1,FALSE))),"S",""))</f>
        <v/>
      </c>
      <c r="BR36" t="str">
        <f>IF(NOT(ISERROR(HLOOKUP(Standings!BR$3,Entries!$C28:$K28,1,FALSE))),"x",IF(NOT(ISERROR(HLOOKUP(Standings!BR$3,Entries!$L28:$L28,1,FALSE))),"S",""))</f>
        <v/>
      </c>
      <c r="BS36" t="str">
        <f>IF(NOT(ISERROR(HLOOKUP(Standings!BS$3,Entries!$C28:$K28,1,FALSE))),"x",IF(NOT(ISERROR(HLOOKUP(Standings!BS$3,Entries!$L28:$L28,1,FALSE))),"S",""))</f>
        <v/>
      </c>
      <c r="BT36" t="str">
        <f>IF(NOT(ISERROR(HLOOKUP(Standings!BT$3,Entries!$C28:$K28,1,FALSE))),"x",IF(NOT(ISERROR(HLOOKUP(Standings!BT$3,Entries!$L28:$L28,1,FALSE))),"S",""))</f>
        <v/>
      </c>
      <c r="BU36" t="str">
        <f>IF(NOT(ISERROR(HLOOKUP(Standings!BU$3,Entries!$C28:$K28,1,FALSE))),"x",IF(NOT(ISERROR(HLOOKUP(Standings!BU$3,Entries!$L28:$L28,1,FALSE))),"S",""))</f>
        <v/>
      </c>
      <c r="BV36" t="str">
        <f>IF(NOT(ISERROR(HLOOKUP(Standings!BV$3,Entries!$C28:$K28,1,FALSE))),"x",IF(NOT(ISERROR(HLOOKUP(Standings!BV$3,Entries!$L28:$L28,1,FALSE))),"S",""))</f>
        <v/>
      </c>
      <c r="BW36" t="str">
        <f>IF(NOT(ISERROR(HLOOKUP(Standings!BW$3,Entries!$C28:$K28,1,FALSE))),"x",IF(NOT(ISERROR(HLOOKUP(Standings!BW$3,Entries!$L28:$L28,1,FALSE))),"S",""))</f>
        <v/>
      </c>
      <c r="BX36" t="str">
        <f>IF(NOT(ISERROR(HLOOKUP(Standings!BX$3,Entries!$C28:$K28,1,FALSE))),"x",IF(NOT(ISERROR(HLOOKUP(Standings!BX$3,Entries!$L28:$L28,1,FALSE))),"S",""))</f>
        <v>x</v>
      </c>
      <c r="BY36" t="str">
        <f>IF(NOT(ISERROR(HLOOKUP(Standings!BY$3,Entries!$C28:$K28,1,FALSE))),"x",IF(NOT(ISERROR(HLOOKUP(Standings!BY$3,Entries!$L28:$L28,1,FALSE))),"S",""))</f>
        <v/>
      </c>
      <c r="BZ36" t="str">
        <f>IF(NOT(ISERROR(HLOOKUP(Standings!BZ$3,Entries!$C28:$K28,1,FALSE))),"x",IF(NOT(ISERROR(HLOOKUP(Standings!BZ$3,Entries!$L28:$L28,1,FALSE))),"S",""))</f>
        <v/>
      </c>
      <c r="CA36" t="str">
        <f>IF(NOT(ISERROR(HLOOKUP(Standings!CA$3,Entries!$C28:$K28,1,FALSE))),"x",IF(NOT(ISERROR(HLOOKUP(Standings!CA$3,Entries!$L28:$L28,1,FALSE))),"S",""))</f>
        <v/>
      </c>
      <c r="CB36" t="str">
        <f>IF(NOT(ISERROR(HLOOKUP(Standings!CB$3,Entries!$C28:$K28,1,FALSE))),"x",IF(NOT(ISERROR(HLOOKUP(Standings!CB$3,Entries!$L28:$L28,1,FALSE))),"S",""))</f>
        <v/>
      </c>
      <c r="CC36" t="str">
        <f>IF(NOT(ISERROR(HLOOKUP(Standings!CC$3,Entries!$C28:$K28,1,FALSE))),"x",IF(NOT(ISERROR(HLOOKUP(Standings!CC$3,Entries!$L28:$L28,1,FALSE))),"S",""))</f>
        <v/>
      </c>
      <c r="CD36" t="str">
        <f>IF(NOT(ISERROR(HLOOKUP(Standings!CD$3,Entries!$C28:$K28,1,FALSE))),"x",IF(NOT(ISERROR(HLOOKUP(Standings!CD$3,Entries!$L28:$L28,1,FALSE))),"S",""))</f>
        <v/>
      </c>
      <c r="CE36" t="str">
        <f>IF(NOT(ISERROR(HLOOKUP(Standings!CE$3,Entries!$C28:$K28,1,FALSE))),"x",IF(NOT(ISERROR(HLOOKUP(Standings!CE$3,Entries!$L28:$L28,1,FALSE))),"S",""))</f>
        <v>S</v>
      </c>
      <c r="CF36" t="str">
        <f>IF(NOT(ISERROR(HLOOKUP(Standings!CF$3,Entries!$C28:$K28,1,FALSE))),"x",IF(NOT(ISERROR(HLOOKUP(Standings!CF$3,Entries!$L28:$L28,1,FALSE))),"S",""))</f>
        <v/>
      </c>
      <c r="CG36" t="str">
        <f>IF(NOT(ISERROR(HLOOKUP(Standings!CG$3,Entries!$C28:$K28,1,FALSE))),"x",IF(NOT(ISERROR(HLOOKUP(Standings!CG$3,Entries!$L28:$L28,1,FALSE))),"S",""))</f>
        <v/>
      </c>
      <c r="CH36" t="str">
        <f>IF(NOT(ISERROR(HLOOKUP(Standings!CH$3,Entries!$C28:$K28,1,FALSE))),"x",IF(NOT(ISERROR(HLOOKUP(Standings!CH$3,Entries!$L28:$L28,1,FALSE))),"S",""))</f>
        <v/>
      </c>
      <c r="CI36" t="str">
        <f>IF(NOT(ISERROR(HLOOKUP(Standings!CI$3,Entries!$C28:$K28,1,FALSE))),"x",IF(NOT(ISERROR(HLOOKUP(Standings!CI$3,Entries!$L28:$L28,1,FALSE))),"S",""))</f>
        <v/>
      </c>
      <c r="CJ36" t="str">
        <f>IF(NOT(ISERROR(HLOOKUP(Standings!CJ$3,Entries!$C28:$K28,1,FALSE))),"x",IF(NOT(ISERROR(HLOOKUP(Standings!CJ$3,Entries!$L28:$L28,1,FALSE))),"S",""))</f>
        <v/>
      </c>
      <c r="CK36" t="str">
        <f>IF(NOT(ISERROR(HLOOKUP(Standings!CK$3,Entries!$C28:$K28,1,FALSE))),"x",IF(NOT(ISERROR(HLOOKUP(Standings!CK$3,Entries!$L28:$L28,1,FALSE))),"S",""))</f>
        <v/>
      </c>
      <c r="CL36" t="str">
        <f>IF(NOT(ISERROR(HLOOKUP(Standings!CL$3,Entries!$C28:$K28,1,FALSE))),"x",IF(NOT(ISERROR(HLOOKUP(Standings!CL$3,Entries!$L28:$L28,1,FALSE))),"S",""))</f>
        <v/>
      </c>
      <c r="CM36" t="str">
        <f>IF(NOT(ISERROR(HLOOKUP(Standings!CM$3,Entries!$C28:$K28,1,FALSE))),"x",IF(NOT(ISERROR(HLOOKUP(Standings!CM$3,Entries!$L28:$L28,1,FALSE))),"S",""))</f>
        <v>x</v>
      </c>
      <c r="CN36" t="str">
        <f>IF(NOT(ISERROR(HLOOKUP(Standings!CN$3,Entries!$C28:$K28,1,FALSE))),"x",IF(NOT(ISERROR(HLOOKUP(Standings!CN$3,Entries!$L28:$L28,1,FALSE))),"S",""))</f>
        <v/>
      </c>
      <c r="CO36" t="str">
        <f>IF(NOT(ISERROR(HLOOKUP(Standings!CO$3,Entries!$C28:$K28,1,FALSE))),"x",IF(NOT(ISERROR(HLOOKUP(Standings!CO$3,Entries!$L28:$L28,1,FALSE))),"S",""))</f>
        <v/>
      </c>
      <c r="CP36" t="str">
        <f>IF(NOT(ISERROR(HLOOKUP(Standings!CP$3,Entries!$C28:$K28,1,FALSE))),"x",IF(NOT(ISERROR(HLOOKUP(Standings!CP$3,Entries!$L28:$L28,1,FALSE))),"S",""))</f>
        <v/>
      </c>
      <c r="CQ36" t="str">
        <f>IF(NOT(ISERROR(HLOOKUP(Standings!CQ$3,Entries!$C28:$K28,1,FALSE))),"x",IF(NOT(ISERROR(HLOOKUP(Standings!CQ$3,Entries!$L28:$L28,1,FALSE))),"S",""))</f>
        <v>x</v>
      </c>
      <c r="CR36" t="str">
        <f>IF(NOT(ISERROR(HLOOKUP(Standings!CR$3,Entries!$C28:$K28,1,FALSE))),"x",IF(NOT(ISERROR(HLOOKUP(Standings!CR$3,Entries!$L28:$L28,1,FALSE))),"S",""))</f>
        <v/>
      </c>
      <c r="CS36" t="str">
        <f>IF(NOT(ISERROR(HLOOKUP(Standings!CS$3,Entries!$C28:$K28,1,FALSE))),"x",IF(NOT(ISERROR(HLOOKUP(Standings!CS$3,Entries!$L28:$L28,1,FALSE))),"S",""))</f>
        <v>x</v>
      </c>
      <c r="CT36" t="str">
        <f>IF(NOT(ISERROR(HLOOKUP(Standings!CT$3,Entries!$C28:$K28,1,FALSE))),"x",IF(NOT(ISERROR(HLOOKUP(Standings!CT$3,Entries!$L28:$L28,1,FALSE))),"S",""))</f>
        <v>x</v>
      </c>
      <c r="CU36" t="str">
        <f>IF(NOT(ISERROR(HLOOKUP(Standings!CU$3,Entries!$C28:$K28,1,FALSE))),"x",IF(NOT(ISERROR(HLOOKUP(Standings!CU$3,Entries!$L28:$L28,1,FALSE))),"S",""))</f>
        <v/>
      </c>
      <c r="CV36" t="str">
        <f>IF(NOT(ISERROR(HLOOKUP(Standings!CV$3,Entries!$C28:$K28,1,FALSE))),"x",IF(NOT(ISERROR(HLOOKUP(Standings!CV$3,Entries!$L28:$L28,1,FALSE))),"S",""))</f>
        <v/>
      </c>
      <c r="CW36" t="str">
        <f>IF(NOT(ISERROR(HLOOKUP(Standings!CW$3,Entries!$C28:$K28,1,FALSE))),"x",IF(NOT(ISERROR(HLOOKUP(Standings!CW$3,Entries!$L28:$L28,1,FALSE))),"S",""))</f>
        <v/>
      </c>
      <c r="CX36" t="str">
        <f>IF(NOT(ISERROR(HLOOKUP(Standings!CX$3,Entries!$C28:$K28,1,FALSE))),"x",IF(NOT(ISERROR(HLOOKUP(Standings!CX$3,Entries!$L28:$L28,1,FALSE))),"S",""))</f>
        <v/>
      </c>
      <c r="CY36" t="str">
        <f>IF(NOT(ISERROR(HLOOKUP(Standings!CY$3,Entries!$C28:$K28,1,FALSE))),"x",IF(NOT(ISERROR(HLOOKUP(Standings!CY$3,Entries!$L28:$L28,1,FALSE))),"S",""))</f>
        <v/>
      </c>
      <c r="CZ36" t="str">
        <f>IF(NOT(ISERROR(HLOOKUP(Standings!CZ$3,Entries!$C28:$K28,1,FALSE))),"x",IF(NOT(ISERROR(HLOOKUP(Standings!CZ$3,Entries!$L28:$L28,1,FALSE))),"S",""))</f>
        <v/>
      </c>
      <c r="DA36" t="str">
        <f>IF(NOT(ISERROR(HLOOKUP(Standings!DA$3,Entries!$C28:$K28,1,FALSE))),"x",IF(NOT(ISERROR(HLOOKUP(Standings!DA$3,Entries!$L28:$L28,1,FALSE))),"S",""))</f>
        <v/>
      </c>
      <c r="DB36" t="str">
        <f>IF(NOT(ISERROR(HLOOKUP(Standings!DB$3,Entries!$C28:$K28,1,FALSE))),"x",IF(NOT(ISERROR(HLOOKUP(Standings!DB$3,Entries!$L28:$L28,1,FALSE))),"S",""))</f>
        <v/>
      </c>
    </row>
    <row r="37" spans="1:106" x14ac:dyDescent="0.25">
      <c r="A37" s="18"/>
      <c r="B37">
        <v>51</v>
      </c>
      <c r="C37" t="str">
        <f>Entries!B29</f>
        <v>MichellePollei</v>
      </c>
      <c r="D37" s="4">
        <f t="shared" si="3"/>
        <v>55</v>
      </c>
      <c r="E37" s="31">
        <f t="shared" si="4"/>
        <v>0</v>
      </c>
      <c r="F37" s="40" t="str">
        <f t="shared" si="52"/>
        <v/>
      </c>
      <c r="G37" s="41" t="str">
        <f t="shared" si="5"/>
        <v/>
      </c>
      <c r="H37" s="41" t="str">
        <f t="shared" si="6"/>
        <v/>
      </c>
      <c r="I37" s="42" t="str">
        <f t="shared" si="7"/>
        <v/>
      </c>
      <c r="J37" s="40" t="str">
        <f t="shared" si="8"/>
        <v/>
      </c>
      <c r="K37" s="41" t="str">
        <f t="shared" si="9"/>
        <v/>
      </c>
      <c r="L37" s="41">
        <f t="shared" si="10"/>
        <v>0</v>
      </c>
      <c r="M37" s="42" t="str">
        <f t="shared" si="11"/>
        <v/>
      </c>
      <c r="N37" s="43" t="str">
        <f t="shared" si="12"/>
        <v/>
      </c>
      <c r="O37" s="41" t="str">
        <f t="shared" si="13"/>
        <v/>
      </c>
      <c r="P37" s="41" t="str">
        <f t="shared" si="14"/>
        <v/>
      </c>
      <c r="Q37" s="42" t="str">
        <f t="shared" si="15"/>
        <v/>
      </c>
      <c r="R37" s="40" t="str">
        <f t="shared" si="16"/>
        <v/>
      </c>
      <c r="S37" s="41" t="str">
        <f t="shared" si="17"/>
        <v/>
      </c>
      <c r="T37" s="43" t="str">
        <f t="shared" si="18"/>
        <v/>
      </c>
      <c r="U37" s="42">
        <f t="shared" si="19"/>
        <v>-1.0000000000000001E-5</v>
      </c>
      <c r="V37" s="40" t="str">
        <f t="shared" si="20"/>
        <v/>
      </c>
      <c r="W37" s="41">
        <f t="shared" si="21"/>
        <v>0</v>
      </c>
      <c r="X37" s="41" t="str">
        <f t="shared" si="22"/>
        <v/>
      </c>
      <c r="Y37" s="42" t="str">
        <f t="shared" si="23"/>
        <v/>
      </c>
      <c r="Z37" s="40" t="str">
        <f t="shared" si="24"/>
        <v/>
      </c>
      <c r="AA37" s="41" t="str">
        <f t="shared" si="25"/>
        <v/>
      </c>
      <c r="AB37" s="41" t="str">
        <f t="shared" si="26"/>
        <v/>
      </c>
      <c r="AC37" s="42" t="str">
        <f t="shared" si="27"/>
        <v/>
      </c>
      <c r="AD37" s="40" t="str">
        <f t="shared" si="28"/>
        <v/>
      </c>
      <c r="AE37" s="41" t="str">
        <f t="shared" si="29"/>
        <v/>
      </c>
      <c r="AF37" s="41" t="str">
        <f t="shared" si="30"/>
        <v/>
      </c>
      <c r="AG37" s="42" t="str">
        <f t="shared" si="31"/>
        <v/>
      </c>
      <c r="AH37" s="40" t="str">
        <f t="shared" si="32"/>
        <v/>
      </c>
      <c r="AI37" s="41" t="str">
        <f t="shared" si="33"/>
        <v/>
      </c>
      <c r="AJ37" s="41" t="str">
        <f t="shared" si="34"/>
        <v/>
      </c>
      <c r="AK37" s="42">
        <f t="shared" si="35"/>
        <v>0</v>
      </c>
      <c r="AL37" s="40" t="str">
        <f t="shared" si="36"/>
        <v/>
      </c>
      <c r="AM37" s="41">
        <f t="shared" si="37"/>
        <v>0</v>
      </c>
      <c r="AN37" s="41" t="str">
        <f t="shared" si="38"/>
        <v/>
      </c>
      <c r="AO37" s="42" t="str">
        <f t="shared" si="39"/>
        <v/>
      </c>
      <c r="AP37" s="40">
        <f t="shared" si="40"/>
        <v>0</v>
      </c>
      <c r="AQ37" s="41" t="str">
        <f t="shared" si="41"/>
        <v/>
      </c>
      <c r="AR37" s="41">
        <f t="shared" si="42"/>
        <v>0</v>
      </c>
      <c r="AS37" s="42">
        <f t="shared" si="43"/>
        <v>0</v>
      </c>
      <c r="AT37" s="40" t="str">
        <f t="shared" si="44"/>
        <v/>
      </c>
      <c r="AU37" s="41" t="str">
        <f t="shared" si="45"/>
        <v/>
      </c>
      <c r="AV37" s="41" t="str">
        <f t="shared" si="46"/>
        <v/>
      </c>
      <c r="AW37" s="42" t="str">
        <f t="shared" si="47"/>
        <v/>
      </c>
      <c r="AX37" s="40" t="str">
        <f t="shared" si="48"/>
        <v/>
      </c>
      <c r="AY37" s="41">
        <f t="shared" si="49"/>
        <v>0</v>
      </c>
      <c r="AZ37" s="41" t="str">
        <f t="shared" si="50"/>
        <v/>
      </c>
      <c r="BA37" s="42" t="str">
        <f t="shared" si="51"/>
        <v/>
      </c>
      <c r="BB37" s="37" t="s">
        <v>106</v>
      </c>
      <c r="BC37" s="21"/>
      <c r="BD37" s="21"/>
      <c r="BG37" t="str">
        <f>IF(NOT(ISERROR(HLOOKUP(Standings!BG$3,Entries!$C29:$K29,1,FALSE))),"x",IF(NOT(ISERROR(HLOOKUP(Standings!BG$3,Entries!$L29:$L29,1,FALSE))),"S",""))</f>
        <v/>
      </c>
      <c r="BH37" t="str">
        <f>IF(NOT(ISERROR(HLOOKUP(Standings!BH$3,Entries!$C29:$K29,1,FALSE))),"x",IF(NOT(ISERROR(HLOOKUP(Standings!BH$3,Entries!$L29:$L29,1,FALSE))),"S",""))</f>
        <v/>
      </c>
      <c r="BI37" t="str">
        <f>IF(NOT(ISERROR(HLOOKUP(Standings!BI$3,Entries!$C29:$K29,1,FALSE))),"x",IF(NOT(ISERROR(HLOOKUP(Standings!BI$3,Entries!$L29:$L29,1,FALSE))),"S",""))</f>
        <v/>
      </c>
      <c r="BJ37" t="str">
        <f>IF(NOT(ISERROR(HLOOKUP(Standings!BJ$3,Entries!$C29:$K29,1,FALSE))),"x",IF(NOT(ISERROR(HLOOKUP(Standings!BJ$3,Entries!$L29:$L29,1,FALSE))),"S",""))</f>
        <v/>
      </c>
      <c r="BK37" t="str">
        <f>IF(NOT(ISERROR(HLOOKUP(Standings!BK$3,Entries!$C29:$K29,1,FALSE))),"x",IF(NOT(ISERROR(HLOOKUP(Standings!BK$3,Entries!$L29:$L29,1,FALSE))),"S",""))</f>
        <v/>
      </c>
      <c r="BL37" t="str">
        <f>IF(NOT(ISERROR(HLOOKUP(Standings!BL$3,Entries!$C29:$K29,1,FALSE))),"x",IF(NOT(ISERROR(HLOOKUP(Standings!BL$3,Entries!$L29:$L29,1,FALSE))),"S",""))</f>
        <v/>
      </c>
      <c r="BM37" t="str">
        <f>IF(NOT(ISERROR(HLOOKUP(Standings!BM$3,Entries!$C29:$K29,1,FALSE))),"x",IF(NOT(ISERROR(HLOOKUP(Standings!BM$3,Entries!$L29:$L29,1,FALSE))),"S",""))</f>
        <v>x</v>
      </c>
      <c r="BN37" t="str">
        <f>IF(NOT(ISERROR(HLOOKUP(Standings!BN$3,Entries!$C29:$K29,1,FALSE))),"x",IF(NOT(ISERROR(HLOOKUP(Standings!BN$3,Entries!$L29:$L29,1,FALSE))),"S",""))</f>
        <v/>
      </c>
      <c r="BO37" t="str">
        <f>IF(NOT(ISERROR(HLOOKUP(Standings!BO$3,Entries!$C29:$K29,1,FALSE))),"x",IF(NOT(ISERROR(HLOOKUP(Standings!BO$3,Entries!$L29:$L29,1,FALSE))),"S",""))</f>
        <v/>
      </c>
      <c r="BP37" t="str">
        <f>IF(NOT(ISERROR(HLOOKUP(Standings!BP$3,Entries!$C29:$K29,1,FALSE))),"x",IF(NOT(ISERROR(HLOOKUP(Standings!BP$3,Entries!$L29:$L29,1,FALSE))),"S",""))</f>
        <v/>
      </c>
      <c r="BQ37" t="str">
        <f>IF(NOT(ISERROR(HLOOKUP(Standings!BQ$3,Entries!$C29:$K29,1,FALSE))),"x",IF(NOT(ISERROR(HLOOKUP(Standings!BQ$3,Entries!$L29:$L29,1,FALSE))),"S",""))</f>
        <v/>
      </c>
      <c r="BR37" t="str">
        <f>IF(NOT(ISERROR(HLOOKUP(Standings!BR$3,Entries!$C29:$K29,1,FALSE))),"x",IF(NOT(ISERROR(HLOOKUP(Standings!BR$3,Entries!$L29:$L29,1,FALSE))),"S",""))</f>
        <v/>
      </c>
      <c r="BS37" t="str">
        <f>IF(NOT(ISERROR(HLOOKUP(Standings!BS$3,Entries!$C29:$K29,1,FALSE))),"x",IF(NOT(ISERROR(HLOOKUP(Standings!BS$3,Entries!$L29:$L29,1,FALSE))),"S",""))</f>
        <v/>
      </c>
      <c r="BT37" t="str">
        <f>IF(NOT(ISERROR(HLOOKUP(Standings!BT$3,Entries!$C29:$K29,1,FALSE))),"x",IF(NOT(ISERROR(HLOOKUP(Standings!BT$3,Entries!$L29:$L29,1,FALSE))),"S",""))</f>
        <v/>
      </c>
      <c r="BU37" t="str">
        <f>IF(NOT(ISERROR(HLOOKUP(Standings!BU$3,Entries!$C29:$K29,1,FALSE))),"x",IF(NOT(ISERROR(HLOOKUP(Standings!BU$3,Entries!$L29:$L29,1,FALSE))),"S",""))</f>
        <v/>
      </c>
      <c r="BV37" t="str">
        <f>IF(NOT(ISERROR(HLOOKUP(Standings!BV$3,Entries!$C29:$K29,1,FALSE))),"x",IF(NOT(ISERROR(HLOOKUP(Standings!BV$3,Entries!$L29:$L29,1,FALSE))),"S",""))</f>
        <v>S</v>
      </c>
      <c r="BW37" t="str">
        <f>IF(NOT(ISERROR(HLOOKUP(Standings!BW$3,Entries!$C29:$K29,1,FALSE))),"x",IF(NOT(ISERROR(HLOOKUP(Standings!BW$3,Entries!$L29:$L29,1,FALSE))),"S",""))</f>
        <v/>
      </c>
      <c r="BX37" t="str">
        <f>IF(NOT(ISERROR(HLOOKUP(Standings!BX$3,Entries!$C29:$K29,1,FALSE))),"x",IF(NOT(ISERROR(HLOOKUP(Standings!BX$3,Entries!$L29:$L29,1,FALSE))),"S",""))</f>
        <v>x</v>
      </c>
      <c r="BY37" t="str">
        <f>IF(NOT(ISERROR(HLOOKUP(Standings!BY$3,Entries!$C29:$K29,1,FALSE))),"x",IF(NOT(ISERROR(HLOOKUP(Standings!BY$3,Entries!$L29:$L29,1,FALSE))),"S",""))</f>
        <v/>
      </c>
      <c r="BZ37" t="str">
        <f>IF(NOT(ISERROR(HLOOKUP(Standings!BZ$3,Entries!$C29:$K29,1,FALSE))),"x",IF(NOT(ISERROR(HLOOKUP(Standings!BZ$3,Entries!$L29:$L29,1,FALSE))),"S",""))</f>
        <v/>
      </c>
      <c r="CA37" t="str">
        <f>IF(NOT(ISERROR(HLOOKUP(Standings!CA$3,Entries!$C29:$K29,1,FALSE))),"x",IF(NOT(ISERROR(HLOOKUP(Standings!CA$3,Entries!$L29:$L29,1,FALSE))),"S",""))</f>
        <v/>
      </c>
      <c r="CB37" t="str">
        <f>IF(NOT(ISERROR(HLOOKUP(Standings!CB$3,Entries!$C29:$K29,1,FALSE))),"x",IF(NOT(ISERROR(HLOOKUP(Standings!CB$3,Entries!$L29:$L29,1,FALSE))),"S",""))</f>
        <v/>
      </c>
      <c r="CC37" t="str">
        <f>IF(NOT(ISERROR(HLOOKUP(Standings!CC$3,Entries!$C29:$K29,1,FALSE))),"x",IF(NOT(ISERROR(HLOOKUP(Standings!CC$3,Entries!$L29:$L29,1,FALSE))),"S",""))</f>
        <v/>
      </c>
      <c r="CD37" t="str">
        <f>IF(NOT(ISERROR(HLOOKUP(Standings!CD$3,Entries!$C29:$K29,1,FALSE))),"x",IF(NOT(ISERROR(HLOOKUP(Standings!CD$3,Entries!$L29:$L29,1,FALSE))),"S",""))</f>
        <v/>
      </c>
      <c r="CE37" t="str">
        <f>IF(NOT(ISERROR(HLOOKUP(Standings!CE$3,Entries!$C29:$K29,1,FALSE))),"x",IF(NOT(ISERROR(HLOOKUP(Standings!CE$3,Entries!$L29:$L29,1,FALSE))),"S",""))</f>
        <v/>
      </c>
      <c r="CF37" t="str">
        <f>IF(NOT(ISERROR(HLOOKUP(Standings!CF$3,Entries!$C29:$K29,1,FALSE))),"x",IF(NOT(ISERROR(HLOOKUP(Standings!CF$3,Entries!$L29:$L29,1,FALSE))),"S",""))</f>
        <v/>
      </c>
      <c r="CG37" t="str">
        <f>IF(NOT(ISERROR(HLOOKUP(Standings!CG$3,Entries!$C29:$K29,1,FALSE))),"x",IF(NOT(ISERROR(HLOOKUP(Standings!CG$3,Entries!$L29:$L29,1,FALSE))),"S",""))</f>
        <v/>
      </c>
      <c r="CH37" t="str">
        <f>IF(NOT(ISERROR(HLOOKUP(Standings!CH$3,Entries!$C29:$K29,1,FALSE))),"x",IF(NOT(ISERROR(HLOOKUP(Standings!CH$3,Entries!$L29:$L29,1,FALSE))),"S",""))</f>
        <v/>
      </c>
      <c r="CI37" t="str">
        <f>IF(NOT(ISERROR(HLOOKUP(Standings!CI$3,Entries!$C29:$K29,1,FALSE))),"x",IF(NOT(ISERROR(HLOOKUP(Standings!CI$3,Entries!$L29:$L29,1,FALSE))),"S",""))</f>
        <v/>
      </c>
      <c r="CJ37" t="str">
        <f>IF(NOT(ISERROR(HLOOKUP(Standings!CJ$3,Entries!$C29:$K29,1,FALSE))),"x",IF(NOT(ISERROR(HLOOKUP(Standings!CJ$3,Entries!$L29:$L29,1,FALSE))),"S",""))</f>
        <v/>
      </c>
      <c r="CK37" t="str">
        <f>IF(NOT(ISERROR(HLOOKUP(Standings!CK$3,Entries!$C29:$K29,1,FALSE))),"x",IF(NOT(ISERROR(HLOOKUP(Standings!CK$3,Entries!$L29:$L29,1,FALSE))),"S",""))</f>
        <v/>
      </c>
      <c r="CL37" t="str">
        <f>IF(NOT(ISERROR(HLOOKUP(Standings!CL$3,Entries!$C29:$K29,1,FALSE))),"x",IF(NOT(ISERROR(HLOOKUP(Standings!CL$3,Entries!$L29:$L29,1,FALSE))),"S",""))</f>
        <v>x</v>
      </c>
      <c r="CM37" t="str">
        <f>IF(NOT(ISERROR(HLOOKUP(Standings!CM$3,Entries!$C29:$K29,1,FALSE))),"x",IF(NOT(ISERROR(HLOOKUP(Standings!CM$3,Entries!$L29:$L29,1,FALSE))),"S",""))</f>
        <v/>
      </c>
      <c r="CN37" t="str">
        <f>IF(NOT(ISERROR(HLOOKUP(Standings!CN$3,Entries!$C29:$K29,1,FALSE))),"x",IF(NOT(ISERROR(HLOOKUP(Standings!CN$3,Entries!$L29:$L29,1,FALSE))),"S",""))</f>
        <v>x</v>
      </c>
      <c r="CO37" t="str">
        <f>IF(NOT(ISERROR(HLOOKUP(Standings!CO$3,Entries!$C29:$K29,1,FALSE))),"x",IF(NOT(ISERROR(HLOOKUP(Standings!CO$3,Entries!$L29:$L29,1,FALSE))),"S",""))</f>
        <v/>
      </c>
      <c r="CP37" t="str">
        <f>IF(NOT(ISERROR(HLOOKUP(Standings!CP$3,Entries!$C29:$K29,1,FALSE))),"x",IF(NOT(ISERROR(HLOOKUP(Standings!CP$3,Entries!$L29:$L29,1,FALSE))),"S",""))</f>
        <v/>
      </c>
      <c r="CQ37" t="str">
        <f>IF(NOT(ISERROR(HLOOKUP(Standings!CQ$3,Entries!$C29:$K29,1,FALSE))),"x",IF(NOT(ISERROR(HLOOKUP(Standings!CQ$3,Entries!$L29:$L29,1,FALSE))),"S",""))</f>
        <v>x</v>
      </c>
      <c r="CR37" t="str">
        <f>IF(NOT(ISERROR(HLOOKUP(Standings!CR$3,Entries!$C29:$K29,1,FALSE))),"x",IF(NOT(ISERROR(HLOOKUP(Standings!CR$3,Entries!$L29:$L29,1,FALSE))),"S",""))</f>
        <v/>
      </c>
      <c r="CS37" t="str">
        <f>IF(NOT(ISERROR(HLOOKUP(Standings!CS$3,Entries!$C29:$K29,1,FALSE))),"x",IF(NOT(ISERROR(HLOOKUP(Standings!CS$3,Entries!$L29:$L29,1,FALSE))),"S",""))</f>
        <v>x</v>
      </c>
      <c r="CT37" t="str">
        <f>IF(NOT(ISERROR(HLOOKUP(Standings!CT$3,Entries!$C29:$K29,1,FALSE))),"x",IF(NOT(ISERROR(HLOOKUP(Standings!CT$3,Entries!$L29:$L29,1,FALSE))),"S",""))</f>
        <v>x</v>
      </c>
      <c r="CU37" t="str">
        <f>IF(NOT(ISERROR(HLOOKUP(Standings!CU$3,Entries!$C29:$K29,1,FALSE))),"x",IF(NOT(ISERROR(HLOOKUP(Standings!CU$3,Entries!$L29:$L29,1,FALSE))),"S",""))</f>
        <v/>
      </c>
      <c r="CV37" t="str">
        <f>IF(NOT(ISERROR(HLOOKUP(Standings!CV$3,Entries!$C29:$K29,1,FALSE))),"x",IF(NOT(ISERROR(HLOOKUP(Standings!CV$3,Entries!$L29:$L29,1,FALSE))),"S",""))</f>
        <v/>
      </c>
      <c r="CW37" t="str">
        <f>IF(NOT(ISERROR(HLOOKUP(Standings!CW$3,Entries!$C29:$K29,1,FALSE))),"x",IF(NOT(ISERROR(HLOOKUP(Standings!CW$3,Entries!$L29:$L29,1,FALSE))),"S",""))</f>
        <v/>
      </c>
      <c r="CX37" t="str">
        <f>IF(NOT(ISERROR(HLOOKUP(Standings!CX$3,Entries!$C29:$K29,1,FALSE))),"x",IF(NOT(ISERROR(HLOOKUP(Standings!CX$3,Entries!$L29:$L29,1,FALSE))),"S",""))</f>
        <v/>
      </c>
      <c r="CY37" t="str">
        <f>IF(NOT(ISERROR(HLOOKUP(Standings!CY$3,Entries!$C29:$K29,1,FALSE))),"x",IF(NOT(ISERROR(HLOOKUP(Standings!CY$3,Entries!$L29:$L29,1,FALSE))),"S",""))</f>
        <v/>
      </c>
      <c r="CZ37" t="str">
        <f>IF(NOT(ISERROR(HLOOKUP(Standings!CZ$3,Entries!$C29:$K29,1,FALSE))),"x",IF(NOT(ISERROR(HLOOKUP(Standings!CZ$3,Entries!$L29:$L29,1,FALSE))),"S",""))</f>
        <v>x</v>
      </c>
      <c r="DA37" t="str">
        <f>IF(NOT(ISERROR(HLOOKUP(Standings!DA$3,Entries!$C29:$K29,1,FALSE))),"x",IF(NOT(ISERROR(HLOOKUP(Standings!DA$3,Entries!$L29:$L29,1,FALSE))),"S",""))</f>
        <v/>
      </c>
      <c r="DB37" t="str">
        <f>IF(NOT(ISERROR(HLOOKUP(Standings!DB$3,Entries!$C29:$K29,1,FALSE))),"x",IF(NOT(ISERROR(HLOOKUP(Standings!DB$3,Entries!$L29:$L29,1,FALSE))),"S",""))</f>
        <v/>
      </c>
    </row>
    <row r="38" spans="1:106" x14ac:dyDescent="0.25">
      <c r="A38" s="18"/>
      <c r="B38">
        <v>57</v>
      </c>
      <c r="C38" t="str">
        <f>Entries!B30</f>
        <v>SarahPollei</v>
      </c>
      <c r="D38" s="4">
        <f t="shared" si="3"/>
        <v>55</v>
      </c>
      <c r="E38" s="31">
        <f t="shared" si="4"/>
        <v>0</v>
      </c>
      <c r="F38" s="40" t="str">
        <f t="shared" si="52"/>
        <v/>
      </c>
      <c r="G38" s="41" t="str">
        <f t="shared" si="5"/>
        <v/>
      </c>
      <c r="H38" s="41" t="str">
        <f t="shared" si="6"/>
        <v/>
      </c>
      <c r="I38" s="42" t="str">
        <f t="shared" si="7"/>
        <v/>
      </c>
      <c r="J38" s="40" t="str">
        <f t="shared" si="8"/>
        <v/>
      </c>
      <c r="K38" s="41" t="str">
        <f t="shared" si="9"/>
        <v/>
      </c>
      <c r="L38" s="41" t="str">
        <f t="shared" si="10"/>
        <v/>
      </c>
      <c r="M38" s="42" t="str">
        <f t="shared" si="11"/>
        <v/>
      </c>
      <c r="N38" s="43" t="str">
        <f t="shared" si="12"/>
        <v/>
      </c>
      <c r="O38" s="41" t="str">
        <f t="shared" si="13"/>
        <v/>
      </c>
      <c r="P38" s="41" t="str">
        <f t="shared" si="14"/>
        <v/>
      </c>
      <c r="Q38" s="42" t="str">
        <f t="shared" si="15"/>
        <v/>
      </c>
      <c r="R38" s="40" t="str">
        <f t="shared" si="16"/>
        <v/>
      </c>
      <c r="S38" s="41" t="str">
        <f t="shared" si="17"/>
        <v/>
      </c>
      <c r="T38" s="43" t="str">
        <f t="shared" si="18"/>
        <v/>
      </c>
      <c r="U38" s="42">
        <f t="shared" si="19"/>
        <v>-1.0000000000000001E-5</v>
      </c>
      <c r="V38" s="40" t="str">
        <f t="shared" si="20"/>
        <v/>
      </c>
      <c r="W38" s="41" t="str">
        <f t="shared" si="21"/>
        <v/>
      </c>
      <c r="X38" s="41" t="str">
        <f t="shared" si="22"/>
        <v/>
      </c>
      <c r="Y38" s="42" t="str">
        <f t="shared" si="23"/>
        <v/>
      </c>
      <c r="Z38" s="40" t="str">
        <f t="shared" si="24"/>
        <v/>
      </c>
      <c r="AA38" s="41" t="str">
        <f t="shared" si="25"/>
        <v/>
      </c>
      <c r="AB38" s="41" t="str">
        <f t="shared" si="26"/>
        <v/>
      </c>
      <c r="AC38" s="42" t="str">
        <f t="shared" si="27"/>
        <v/>
      </c>
      <c r="AD38" s="40" t="str">
        <f t="shared" si="28"/>
        <v/>
      </c>
      <c r="AE38" s="41" t="str">
        <f t="shared" si="29"/>
        <v/>
      </c>
      <c r="AF38" s="41">
        <f t="shared" si="30"/>
        <v>0</v>
      </c>
      <c r="AG38" s="42" t="str">
        <f t="shared" si="31"/>
        <v/>
      </c>
      <c r="AH38" s="40" t="str">
        <f t="shared" si="32"/>
        <v/>
      </c>
      <c r="AI38" s="41" t="str">
        <f t="shared" si="33"/>
        <v/>
      </c>
      <c r="AJ38" s="41" t="str">
        <f t="shared" si="34"/>
        <v/>
      </c>
      <c r="AK38" s="42">
        <f t="shared" si="35"/>
        <v>0</v>
      </c>
      <c r="AL38" s="40" t="str">
        <f t="shared" si="36"/>
        <v/>
      </c>
      <c r="AM38" s="41">
        <f t="shared" si="37"/>
        <v>0</v>
      </c>
      <c r="AN38" s="41" t="str">
        <f t="shared" si="38"/>
        <v/>
      </c>
      <c r="AO38" s="42" t="str">
        <f t="shared" si="39"/>
        <v/>
      </c>
      <c r="AP38" s="40" t="str">
        <f t="shared" si="40"/>
        <v/>
      </c>
      <c r="AQ38" s="41" t="str">
        <f t="shared" si="41"/>
        <v/>
      </c>
      <c r="AR38" s="41">
        <f t="shared" si="42"/>
        <v>0</v>
      </c>
      <c r="AS38" s="42">
        <f t="shared" si="43"/>
        <v>0</v>
      </c>
      <c r="AT38" s="40">
        <f t="shared" si="44"/>
        <v>0</v>
      </c>
      <c r="AU38" s="41" t="str">
        <f t="shared" si="45"/>
        <v/>
      </c>
      <c r="AV38" s="41" t="str">
        <f t="shared" si="46"/>
        <v/>
      </c>
      <c r="AW38" s="42" t="str">
        <f t="shared" si="47"/>
        <v/>
      </c>
      <c r="AX38" s="40" t="str">
        <f t="shared" si="48"/>
        <v/>
      </c>
      <c r="AY38" s="41">
        <f t="shared" si="49"/>
        <v>0</v>
      </c>
      <c r="AZ38" s="41" t="str">
        <f t="shared" si="50"/>
        <v/>
      </c>
      <c r="BA38" s="42" t="str">
        <f t="shared" si="51"/>
        <v/>
      </c>
      <c r="BB38" s="37" t="s">
        <v>106</v>
      </c>
      <c r="BC38" s="21"/>
      <c r="BD38" s="21"/>
      <c r="BG38" t="str">
        <f>IF(NOT(ISERROR(HLOOKUP(Standings!BG$3,Entries!$C30:$K30,1,FALSE))),"x",IF(NOT(ISERROR(HLOOKUP(Standings!BG$3,Entries!$L30:$L30,1,FALSE))),"S",""))</f>
        <v/>
      </c>
      <c r="BH38" t="str">
        <f>IF(NOT(ISERROR(HLOOKUP(Standings!BH$3,Entries!$C30:$K30,1,FALSE))),"x",IF(NOT(ISERROR(HLOOKUP(Standings!BH$3,Entries!$L30:$L30,1,FALSE))),"S",""))</f>
        <v/>
      </c>
      <c r="BI38" t="str">
        <f>IF(NOT(ISERROR(HLOOKUP(Standings!BI$3,Entries!$C30:$K30,1,FALSE))),"x",IF(NOT(ISERROR(HLOOKUP(Standings!BI$3,Entries!$L30:$L30,1,FALSE))),"S",""))</f>
        <v/>
      </c>
      <c r="BJ38" t="str">
        <f>IF(NOT(ISERROR(HLOOKUP(Standings!BJ$3,Entries!$C30:$K30,1,FALSE))),"x",IF(NOT(ISERROR(HLOOKUP(Standings!BJ$3,Entries!$L30:$L30,1,FALSE))),"S",""))</f>
        <v/>
      </c>
      <c r="BK38" t="str">
        <f>IF(NOT(ISERROR(HLOOKUP(Standings!BK$3,Entries!$C30:$K30,1,FALSE))),"x",IF(NOT(ISERROR(HLOOKUP(Standings!BK$3,Entries!$L30:$L30,1,FALSE))),"S",""))</f>
        <v/>
      </c>
      <c r="BL38" t="str">
        <f>IF(NOT(ISERROR(HLOOKUP(Standings!BL$3,Entries!$C30:$K30,1,FALSE))),"x",IF(NOT(ISERROR(HLOOKUP(Standings!BL$3,Entries!$L30:$L30,1,FALSE))),"S",""))</f>
        <v/>
      </c>
      <c r="BM38" t="str">
        <f>IF(NOT(ISERROR(HLOOKUP(Standings!BM$3,Entries!$C30:$K30,1,FALSE))),"x",IF(NOT(ISERROR(HLOOKUP(Standings!BM$3,Entries!$L30:$L30,1,FALSE))),"S",""))</f>
        <v/>
      </c>
      <c r="BN38" t="str">
        <f>IF(NOT(ISERROR(HLOOKUP(Standings!BN$3,Entries!$C30:$K30,1,FALSE))),"x",IF(NOT(ISERROR(HLOOKUP(Standings!BN$3,Entries!$L30:$L30,1,FALSE))),"S",""))</f>
        <v/>
      </c>
      <c r="BO38" t="str">
        <f>IF(NOT(ISERROR(HLOOKUP(Standings!BO$3,Entries!$C30:$K30,1,FALSE))),"x",IF(NOT(ISERROR(HLOOKUP(Standings!BO$3,Entries!$L30:$L30,1,FALSE))),"S",""))</f>
        <v/>
      </c>
      <c r="BP38" t="str">
        <f>IF(NOT(ISERROR(HLOOKUP(Standings!BP$3,Entries!$C30:$K30,1,FALSE))),"x",IF(NOT(ISERROR(HLOOKUP(Standings!BP$3,Entries!$L30:$L30,1,FALSE))),"S",""))</f>
        <v/>
      </c>
      <c r="BQ38" t="str">
        <f>IF(NOT(ISERROR(HLOOKUP(Standings!BQ$3,Entries!$C30:$K30,1,FALSE))),"x",IF(NOT(ISERROR(HLOOKUP(Standings!BQ$3,Entries!$L30:$L30,1,FALSE))),"S",""))</f>
        <v/>
      </c>
      <c r="BR38" t="str">
        <f>IF(NOT(ISERROR(HLOOKUP(Standings!BR$3,Entries!$C30:$K30,1,FALSE))),"x",IF(NOT(ISERROR(HLOOKUP(Standings!BR$3,Entries!$L30:$L30,1,FALSE))),"S",""))</f>
        <v/>
      </c>
      <c r="BS38" t="str">
        <f>IF(NOT(ISERROR(HLOOKUP(Standings!BS$3,Entries!$C30:$K30,1,FALSE))),"x",IF(NOT(ISERROR(HLOOKUP(Standings!BS$3,Entries!$L30:$L30,1,FALSE))),"S",""))</f>
        <v/>
      </c>
      <c r="BT38" t="str">
        <f>IF(NOT(ISERROR(HLOOKUP(Standings!BT$3,Entries!$C30:$K30,1,FALSE))),"x",IF(NOT(ISERROR(HLOOKUP(Standings!BT$3,Entries!$L30:$L30,1,FALSE))),"S",""))</f>
        <v/>
      </c>
      <c r="BU38" t="str">
        <f>IF(NOT(ISERROR(HLOOKUP(Standings!BU$3,Entries!$C30:$K30,1,FALSE))),"x",IF(NOT(ISERROR(HLOOKUP(Standings!BU$3,Entries!$L30:$L30,1,FALSE))),"S",""))</f>
        <v/>
      </c>
      <c r="BV38" t="str">
        <f>IF(NOT(ISERROR(HLOOKUP(Standings!BV$3,Entries!$C30:$K30,1,FALSE))),"x",IF(NOT(ISERROR(HLOOKUP(Standings!BV$3,Entries!$L30:$L30,1,FALSE))),"S",""))</f>
        <v>S</v>
      </c>
      <c r="BW38" t="str">
        <f>IF(NOT(ISERROR(HLOOKUP(Standings!BW$3,Entries!$C30:$K30,1,FALSE))),"x",IF(NOT(ISERROR(HLOOKUP(Standings!BW$3,Entries!$L30:$L30,1,FALSE))),"S",""))</f>
        <v/>
      </c>
      <c r="BX38" t="str">
        <f>IF(NOT(ISERROR(HLOOKUP(Standings!BX$3,Entries!$C30:$K30,1,FALSE))),"x",IF(NOT(ISERROR(HLOOKUP(Standings!BX$3,Entries!$L30:$L30,1,FALSE))),"S",""))</f>
        <v/>
      </c>
      <c r="BY38" t="str">
        <f>IF(NOT(ISERROR(HLOOKUP(Standings!BY$3,Entries!$C30:$K30,1,FALSE))),"x",IF(NOT(ISERROR(HLOOKUP(Standings!BY$3,Entries!$L30:$L30,1,FALSE))),"S",""))</f>
        <v/>
      </c>
      <c r="BZ38" t="str">
        <f>IF(NOT(ISERROR(HLOOKUP(Standings!BZ$3,Entries!$C30:$K30,1,FALSE))),"x",IF(NOT(ISERROR(HLOOKUP(Standings!BZ$3,Entries!$L30:$L30,1,FALSE))),"S",""))</f>
        <v/>
      </c>
      <c r="CA38" t="str">
        <f>IF(NOT(ISERROR(HLOOKUP(Standings!CA$3,Entries!$C30:$K30,1,FALSE))),"x",IF(NOT(ISERROR(HLOOKUP(Standings!CA$3,Entries!$L30:$L30,1,FALSE))),"S",""))</f>
        <v/>
      </c>
      <c r="CB38" t="str">
        <f>IF(NOT(ISERROR(HLOOKUP(Standings!CB$3,Entries!$C30:$K30,1,FALSE))),"x",IF(NOT(ISERROR(HLOOKUP(Standings!CB$3,Entries!$L30:$L30,1,FALSE))),"S",""))</f>
        <v/>
      </c>
      <c r="CC38" t="str">
        <f>IF(NOT(ISERROR(HLOOKUP(Standings!CC$3,Entries!$C30:$K30,1,FALSE))),"x",IF(NOT(ISERROR(HLOOKUP(Standings!CC$3,Entries!$L30:$L30,1,FALSE))),"S",""))</f>
        <v/>
      </c>
      <c r="CD38" t="str">
        <f>IF(NOT(ISERROR(HLOOKUP(Standings!CD$3,Entries!$C30:$K30,1,FALSE))),"x",IF(NOT(ISERROR(HLOOKUP(Standings!CD$3,Entries!$L30:$L30,1,FALSE))),"S",""))</f>
        <v/>
      </c>
      <c r="CE38" t="str">
        <f>IF(NOT(ISERROR(HLOOKUP(Standings!CE$3,Entries!$C30:$K30,1,FALSE))),"x",IF(NOT(ISERROR(HLOOKUP(Standings!CE$3,Entries!$L30:$L30,1,FALSE))),"S",""))</f>
        <v/>
      </c>
      <c r="CF38" t="str">
        <f>IF(NOT(ISERROR(HLOOKUP(Standings!CF$3,Entries!$C30:$K30,1,FALSE))),"x",IF(NOT(ISERROR(HLOOKUP(Standings!CF$3,Entries!$L30:$L30,1,FALSE))),"S",""))</f>
        <v/>
      </c>
      <c r="CG38" t="str">
        <f>IF(NOT(ISERROR(HLOOKUP(Standings!CG$3,Entries!$C30:$K30,1,FALSE))),"x",IF(NOT(ISERROR(HLOOKUP(Standings!CG$3,Entries!$L30:$L30,1,FALSE))),"S",""))</f>
        <v>x</v>
      </c>
      <c r="CH38" t="str">
        <f>IF(NOT(ISERROR(HLOOKUP(Standings!CH$3,Entries!$C30:$K30,1,FALSE))),"x",IF(NOT(ISERROR(HLOOKUP(Standings!CH$3,Entries!$L30:$L30,1,FALSE))),"S",""))</f>
        <v/>
      </c>
      <c r="CI38" t="str">
        <f>IF(NOT(ISERROR(HLOOKUP(Standings!CI$3,Entries!$C30:$K30,1,FALSE))),"x",IF(NOT(ISERROR(HLOOKUP(Standings!CI$3,Entries!$L30:$L30,1,FALSE))),"S",""))</f>
        <v/>
      </c>
      <c r="CJ38" t="str">
        <f>IF(NOT(ISERROR(HLOOKUP(Standings!CJ$3,Entries!$C30:$K30,1,FALSE))),"x",IF(NOT(ISERROR(HLOOKUP(Standings!CJ$3,Entries!$L30:$L30,1,FALSE))),"S",""))</f>
        <v/>
      </c>
      <c r="CK38" t="str">
        <f>IF(NOT(ISERROR(HLOOKUP(Standings!CK$3,Entries!$C30:$K30,1,FALSE))),"x",IF(NOT(ISERROR(HLOOKUP(Standings!CK$3,Entries!$L30:$L30,1,FALSE))),"S",""))</f>
        <v/>
      </c>
      <c r="CL38" t="str">
        <f>IF(NOT(ISERROR(HLOOKUP(Standings!CL$3,Entries!$C30:$K30,1,FALSE))),"x",IF(NOT(ISERROR(HLOOKUP(Standings!CL$3,Entries!$L30:$L30,1,FALSE))),"S",""))</f>
        <v>x</v>
      </c>
      <c r="CM38" t="str">
        <f>IF(NOT(ISERROR(HLOOKUP(Standings!CM$3,Entries!$C30:$K30,1,FALSE))),"x",IF(NOT(ISERROR(HLOOKUP(Standings!CM$3,Entries!$L30:$L30,1,FALSE))),"S",""))</f>
        <v/>
      </c>
      <c r="CN38" t="str">
        <f>IF(NOT(ISERROR(HLOOKUP(Standings!CN$3,Entries!$C30:$K30,1,FALSE))),"x",IF(NOT(ISERROR(HLOOKUP(Standings!CN$3,Entries!$L30:$L30,1,FALSE))),"S",""))</f>
        <v>x</v>
      </c>
      <c r="CO38" t="str">
        <f>IF(NOT(ISERROR(HLOOKUP(Standings!CO$3,Entries!$C30:$K30,1,FALSE))),"x",IF(NOT(ISERROR(HLOOKUP(Standings!CO$3,Entries!$L30:$L30,1,FALSE))),"S",""))</f>
        <v/>
      </c>
      <c r="CP38" t="str">
        <f>IF(NOT(ISERROR(HLOOKUP(Standings!CP$3,Entries!$C30:$K30,1,FALSE))),"x",IF(NOT(ISERROR(HLOOKUP(Standings!CP$3,Entries!$L30:$L30,1,FALSE))),"S",""))</f>
        <v/>
      </c>
      <c r="CQ38" t="str">
        <f>IF(NOT(ISERROR(HLOOKUP(Standings!CQ$3,Entries!$C30:$K30,1,FALSE))),"x",IF(NOT(ISERROR(HLOOKUP(Standings!CQ$3,Entries!$L30:$L30,1,FALSE))),"S",""))</f>
        <v/>
      </c>
      <c r="CR38" t="str">
        <f>IF(NOT(ISERROR(HLOOKUP(Standings!CR$3,Entries!$C30:$K30,1,FALSE))),"x",IF(NOT(ISERROR(HLOOKUP(Standings!CR$3,Entries!$L30:$L30,1,FALSE))),"S",""))</f>
        <v/>
      </c>
      <c r="CS38" t="str">
        <f>IF(NOT(ISERROR(HLOOKUP(Standings!CS$3,Entries!$C30:$K30,1,FALSE))),"x",IF(NOT(ISERROR(HLOOKUP(Standings!CS$3,Entries!$L30:$L30,1,FALSE))),"S",""))</f>
        <v>x</v>
      </c>
      <c r="CT38" t="str">
        <f>IF(NOT(ISERROR(HLOOKUP(Standings!CT$3,Entries!$C30:$K30,1,FALSE))),"x",IF(NOT(ISERROR(HLOOKUP(Standings!CT$3,Entries!$L30:$L30,1,FALSE))),"S",""))</f>
        <v>x</v>
      </c>
      <c r="CU38" t="str">
        <f>IF(NOT(ISERROR(HLOOKUP(Standings!CU$3,Entries!$C30:$K30,1,FALSE))),"x",IF(NOT(ISERROR(HLOOKUP(Standings!CU$3,Entries!$L30:$L30,1,FALSE))),"S",""))</f>
        <v>x</v>
      </c>
      <c r="CV38" t="str">
        <f>IF(NOT(ISERROR(HLOOKUP(Standings!CV$3,Entries!$C30:$K30,1,FALSE))),"x",IF(NOT(ISERROR(HLOOKUP(Standings!CV$3,Entries!$L30:$L30,1,FALSE))),"S",""))</f>
        <v/>
      </c>
      <c r="CW38" t="str">
        <f>IF(NOT(ISERROR(HLOOKUP(Standings!CW$3,Entries!$C30:$K30,1,FALSE))),"x",IF(NOT(ISERROR(HLOOKUP(Standings!CW$3,Entries!$L30:$L30,1,FALSE))),"S",""))</f>
        <v/>
      </c>
      <c r="CX38" t="str">
        <f>IF(NOT(ISERROR(HLOOKUP(Standings!CX$3,Entries!$C30:$K30,1,FALSE))),"x",IF(NOT(ISERROR(HLOOKUP(Standings!CX$3,Entries!$L30:$L30,1,FALSE))),"S",""))</f>
        <v/>
      </c>
      <c r="CY38" t="str">
        <f>IF(NOT(ISERROR(HLOOKUP(Standings!CY$3,Entries!$C30:$K30,1,FALSE))),"x",IF(NOT(ISERROR(HLOOKUP(Standings!CY$3,Entries!$L30:$L30,1,FALSE))),"S",""))</f>
        <v/>
      </c>
      <c r="CZ38" t="str">
        <f>IF(NOT(ISERROR(HLOOKUP(Standings!CZ$3,Entries!$C30:$K30,1,FALSE))),"x",IF(NOT(ISERROR(HLOOKUP(Standings!CZ$3,Entries!$L30:$L30,1,FALSE))),"S",""))</f>
        <v>x</v>
      </c>
      <c r="DA38" t="str">
        <f>IF(NOT(ISERROR(HLOOKUP(Standings!DA$3,Entries!$C30:$K30,1,FALSE))),"x",IF(NOT(ISERROR(HLOOKUP(Standings!DA$3,Entries!$L30:$L30,1,FALSE))),"S",""))</f>
        <v/>
      </c>
      <c r="DB38" t="str">
        <f>IF(NOT(ISERROR(HLOOKUP(Standings!DB$3,Entries!$C30:$K30,1,FALSE))),"x",IF(NOT(ISERROR(HLOOKUP(Standings!DB$3,Entries!$L30:$L30,1,FALSE))),"S",""))</f>
        <v/>
      </c>
    </row>
    <row r="39" spans="1:106" x14ac:dyDescent="0.25">
      <c r="A39" s="18"/>
      <c r="B39">
        <v>18</v>
      </c>
      <c r="C39" t="str">
        <f>Entries!B31</f>
        <v>Sean ODonnell1</v>
      </c>
      <c r="D39" s="4">
        <f t="shared" si="3"/>
        <v>5</v>
      </c>
      <c r="E39" s="31">
        <f t="shared" si="4"/>
        <v>4</v>
      </c>
      <c r="F39" s="40" t="str">
        <f t="shared" si="52"/>
        <v/>
      </c>
      <c r="G39" s="41" t="str">
        <f t="shared" si="5"/>
        <v/>
      </c>
      <c r="H39" s="41">
        <f t="shared" si="6"/>
        <v>2</v>
      </c>
      <c r="I39" s="42" t="str">
        <f t="shared" si="7"/>
        <v/>
      </c>
      <c r="J39" s="40" t="str">
        <f t="shared" si="8"/>
        <v/>
      </c>
      <c r="K39" s="41">
        <f t="shared" si="9"/>
        <v>0</v>
      </c>
      <c r="L39" s="41" t="str">
        <f t="shared" si="10"/>
        <v/>
      </c>
      <c r="M39" s="42" t="str">
        <f t="shared" si="11"/>
        <v/>
      </c>
      <c r="N39" s="43" t="str">
        <f t="shared" si="12"/>
        <v/>
      </c>
      <c r="O39" s="41" t="str">
        <f t="shared" si="13"/>
        <v/>
      </c>
      <c r="P39" s="41" t="str">
        <f t="shared" si="14"/>
        <v/>
      </c>
      <c r="Q39" s="42">
        <f t="shared" si="15"/>
        <v>0</v>
      </c>
      <c r="R39" s="40">
        <f t="shared" si="16"/>
        <v>2</v>
      </c>
      <c r="S39" s="41" t="str">
        <f t="shared" si="17"/>
        <v/>
      </c>
      <c r="T39" s="43" t="str">
        <f t="shared" si="18"/>
        <v/>
      </c>
      <c r="U39" s="42" t="str">
        <f t="shared" si="19"/>
        <v/>
      </c>
      <c r="V39" s="40">
        <f t="shared" si="20"/>
        <v>-1.0000000000000001E-5</v>
      </c>
      <c r="W39" s="41" t="str">
        <f t="shared" si="21"/>
        <v/>
      </c>
      <c r="X39" s="41">
        <f t="shared" si="22"/>
        <v>0</v>
      </c>
      <c r="Y39" s="42">
        <f t="shared" si="23"/>
        <v>0</v>
      </c>
      <c r="Z39" s="40" t="str">
        <f t="shared" si="24"/>
        <v/>
      </c>
      <c r="AA39" s="41" t="str">
        <f t="shared" si="25"/>
        <v/>
      </c>
      <c r="AB39" s="41">
        <f t="shared" si="26"/>
        <v>0</v>
      </c>
      <c r="AC39" s="42" t="str">
        <f t="shared" si="27"/>
        <v/>
      </c>
      <c r="AD39" s="40">
        <f t="shared" si="28"/>
        <v>0</v>
      </c>
      <c r="AE39" s="41" t="str">
        <f t="shared" si="29"/>
        <v/>
      </c>
      <c r="AF39" s="41" t="str">
        <f t="shared" si="30"/>
        <v/>
      </c>
      <c r="AG39" s="42" t="str">
        <f t="shared" si="31"/>
        <v/>
      </c>
      <c r="AH39" s="40" t="str">
        <f t="shared" si="32"/>
        <v/>
      </c>
      <c r="AI39" s="41" t="str">
        <f t="shared" si="33"/>
        <v/>
      </c>
      <c r="AJ39" s="41">
        <f t="shared" si="34"/>
        <v>0</v>
      </c>
      <c r="AK39" s="42" t="str">
        <f t="shared" si="35"/>
        <v/>
      </c>
      <c r="AL39" s="40" t="str">
        <f t="shared" si="36"/>
        <v/>
      </c>
      <c r="AM39" s="41" t="str">
        <f t="shared" si="37"/>
        <v/>
      </c>
      <c r="AN39" s="41" t="str">
        <f t="shared" si="38"/>
        <v/>
      </c>
      <c r="AO39" s="42" t="str">
        <f t="shared" si="39"/>
        <v/>
      </c>
      <c r="AP39" s="40" t="str">
        <f t="shared" si="40"/>
        <v/>
      </c>
      <c r="AQ39" s="41" t="str">
        <f t="shared" si="41"/>
        <v/>
      </c>
      <c r="AR39" s="41" t="str">
        <f t="shared" si="42"/>
        <v/>
      </c>
      <c r="AS39" s="42" t="str">
        <f t="shared" si="43"/>
        <v/>
      </c>
      <c r="AT39" s="40" t="str">
        <f t="shared" si="44"/>
        <v/>
      </c>
      <c r="AU39" s="41" t="str">
        <f t="shared" si="45"/>
        <v/>
      </c>
      <c r="AV39" s="41" t="str">
        <f t="shared" si="46"/>
        <v/>
      </c>
      <c r="AW39" s="42" t="str">
        <f t="shared" si="47"/>
        <v/>
      </c>
      <c r="AX39" s="40" t="str">
        <f t="shared" si="48"/>
        <v/>
      </c>
      <c r="AY39" s="41" t="str">
        <f t="shared" si="49"/>
        <v/>
      </c>
      <c r="AZ39" s="41" t="str">
        <f t="shared" si="50"/>
        <v/>
      </c>
      <c r="BA39" s="42" t="str">
        <f t="shared" si="51"/>
        <v/>
      </c>
      <c r="BB39" s="37" t="s">
        <v>106</v>
      </c>
      <c r="BC39" s="21"/>
      <c r="BD39" s="21"/>
      <c r="BG39" t="str">
        <f>IF(NOT(ISERROR(HLOOKUP(Standings!BG$3,Entries!$C31:$K31,1,FALSE))),"x",IF(NOT(ISERROR(HLOOKUP(Standings!BG$3,Entries!$L31:$L31,1,FALSE))),"S",""))</f>
        <v/>
      </c>
      <c r="BH39" t="str">
        <f>IF(NOT(ISERROR(HLOOKUP(Standings!BH$3,Entries!$C31:$K31,1,FALSE))),"x",IF(NOT(ISERROR(HLOOKUP(Standings!BH$3,Entries!$L31:$L31,1,FALSE))),"S",""))</f>
        <v/>
      </c>
      <c r="BI39" t="str">
        <f>IF(NOT(ISERROR(HLOOKUP(Standings!BI$3,Entries!$C31:$K31,1,FALSE))),"x",IF(NOT(ISERROR(HLOOKUP(Standings!BI$3,Entries!$L31:$L31,1,FALSE))),"S",""))</f>
        <v>x</v>
      </c>
      <c r="BJ39" t="str">
        <f>IF(NOT(ISERROR(HLOOKUP(Standings!BJ$3,Entries!$C31:$K31,1,FALSE))),"x",IF(NOT(ISERROR(HLOOKUP(Standings!BJ$3,Entries!$L31:$L31,1,FALSE))),"S",""))</f>
        <v/>
      </c>
      <c r="BK39" t="str">
        <f>IF(NOT(ISERROR(HLOOKUP(Standings!BK$3,Entries!$C31:$K31,1,FALSE))),"x",IF(NOT(ISERROR(HLOOKUP(Standings!BK$3,Entries!$L31:$L31,1,FALSE))),"S",""))</f>
        <v/>
      </c>
      <c r="BL39" t="str">
        <f>IF(NOT(ISERROR(HLOOKUP(Standings!BL$3,Entries!$C31:$K31,1,FALSE))),"x",IF(NOT(ISERROR(HLOOKUP(Standings!BL$3,Entries!$L31:$L31,1,FALSE))),"S",""))</f>
        <v>x</v>
      </c>
      <c r="BM39" t="str">
        <f>IF(NOT(ISERROR(HLOOKUP(Standings!BM$3,Entries!$C31:$K31,1,FALSE))),"x",IF(NOT(ISERROR(HLOOKUP(Standings!BM$3,Entries!$L31:$L31,1,FALSE))),"S",""))</f>
        <v/>
      </c>
      <c r="BN39" t="str">
        <f>IF(NOT(ISERROR(HLOOKUP(Standings!BN$3,Entries!$C31:$K31,1,FALSE))),"x",IF(NOT(ISERROR(HLOOKUP(Standings!BN$3,Entries!$L31:$L31,1,FALSE))),"S",""))</f>
        <v/>
      </c>
      <c r="BO39" t="str">
        <f>IF(NOT(ISERROR(HLOOKUP(Standings!BO$3,Entries!$C31:$K31,1,FALSE))),"x",IF(NOT(ISERROR(HLOOKUP(Standings!BO$3,Entries!$L31:$L31,1,FALSE))),"S",""))</f>
        <v/>
      </c>
      <c r="BP39" t="str">
        <f>IF(NOT(ISERROR(HLOOKUP(Standings!BP$3,Entries!$C31:$K31,1,FALSE))),"x",IF(NOT(ISERROR(HLOOKUP(Standings!BP$3,Entries!$L31:$L31,1,FALSE))),"S",""))</f>
        <v/>
      </c>
      <c r="BQ39" t="str">
        <f>IF(NOT(ISERROR(HLOOKUP(Standings!BQ$3,Entries!$C31:$K31,1,FALSE))),"x",IF(NOT(ISERROR(HLOOKUP(Standings!BQ$3,Entries!$L31:$L31,1,FALSE))),"S",""))</f>
        <v/>
      </c>
      <c r="BR39" t="str">
        <f>IF(NOT(ISERROR(HLOOKUP(Standings!BR$3,Entries!$C31:$K31,1,FALSE))),"x",IF(NOT(ISERROR(HLOOKUP(Standings!BR$3,Entries!$L31:$L31,1,FALSE))),"S",""))</f>
        <v>x</v>
      </c>
      <c r="BS39" t="str">
        <f>IF(NOT(ISERROR(HLOOKUP(Standings!BS$3,Entries!$C31:$K31,1,FALSE))),"x",IF(NOT(ISERROR(HLOOKUP(Standings!BS$3,Entries!$L31:$L31,1,FALSE))),"S",""))</f>
        <v>x</v>
      </c>
      <c r="BT39" t="str">
        <f>IF(NOT(ISERROR(HLOOKUP(Standings!BT$3,Entries!$C31:$K31,1,FALSE))),"x",IF(NOT(ISERROR(HLOOKUP(Standings!BT$3,Entries!$L31:$L31,1,FALSE))),"S",""))</f>
        <v/>
      </c>
      <c r="BU39" t="str">
        <f>IF(NOT(ISERROR(HLOOKUP(Standings!BU$3,Entries!$C31:$K31,1,FALSE))),"x",IF(NOT(ISERROR(HLOOKUP(Standings!BU$3,Entries!$L31:$L31,1,FALSE))),"S",""))</f>
        <v/>
      </c>
      <c r="BV39" t="str">
        <f>IF(NOT(ISERROR(HLOOKUP(Standings!BV$3,Entries!$C31:$K31,1,FALSE))),"x",IF(NOT(ISERROR(HLOOKUP(Standings!BV$3,Entries!$L31:$L31,1,FALSE))),"S",""))</f>
        <v/>
      </c>
      <c r="BW39" t="str">
        <f>IF(NOT(ISERROR(HLOOKUP(Standings!BW$3,Entries!$C31:$K31,1,FALSE))),"x",IF(NOT(ISERROR(HLOOKUP(Standings!BW$3,Entries!$L31:$L31,1,FALSE))),"S",""))</f>
        <v>S</v>
      </c>
      <c r="BX39" t="str">
        <f>IF(NOT(ISERROR(HLOOKUP(Standings!BX$3,Entries!$C31:$K31,1,FALSE))),"x",IF(NOT(ISERROR(HLOOKUP(Standings!BX$3,Entries!$L31:$L31,1,FALSE))),"S",""))</f>
        <v/>
      </c>
      <c r="BY39" t="str">
        <f>IF(NOT(ISERROR(HLOOKUP(Standings!BY$3,Entries!$C31:$K31,1,FALSE))),"x",IF(NOT(ISERROR(HLOOKUP(Standings!BY$3,Entries!$L31:$L31,1,FALSE))),"S",""))</f>
        <v>x</v>
      </c>
      <c r="BZ39" t="str">
        <f>IF(NOT(ISERROR(HLOOKUP(Standings!BZ$3,Entries!$C31:$K31,1,FALSE))),"x",IF(NOT(ISERROR(HLOOKUP(Standings!BZ$3,Entries!$L31:$L31,1,FALSE))),"S",""))</f>
        <v>x</v>
      </c>
      <c r="CA39" t="str">
        <f>IF(NOT(ISERROR(HLOOKUP(Standings!CA$3,Entries!$C31:$K31,1,FALSE))),"x",IF(NOT(ISERROR(HLOOKUP(Standings!CA$3,Entries!$L31:$L31,1,FALSE))),"S",""))</f>
        <v/>
      </c>
      <c r="CB39" t="str">
        <f>IF(NOT(ISERROR(HLOOKUP(Standings!CB$3,Entries!$C31:$K31,1,FALSE))),"x",IF(NOT(ISERROR(HLOOKUP(Standings!CB$3,Entries!$L31:$L31,1,FALSE))),"S",""))</f>
        <v/>
      </c>
      <c r="CC39" t="str">
        <f>IF(NOT(ISERROR(HLOOKUP(Standings!CC$3,Entries!$C31:$K31,1,FALSE))),"x",IF(NOT(ISERROR(HLOOKUP(Standings!CC$3,Entries!$L31:$L31,1,FALSE))),"S",""))</f>
        <v>x</v>
      </c>
      <c r="CD39" t="str">
        <f>IF(NOT(ISERROR(HLOOKUP(Standings!CD$3,Entries!$C31:$K31,1,FALSE))),"x",IF(NOT(ISERROR(HLOOKUP(Standings!CD$3,Entries!$L31:$L31,1,FALSE))),"S",""))</f>
        <v/>
      </c>
      <c r="CE39" t="str">
        <f>IF(NOT(ISERROR(HLOOKUP(Standings!CE$3,Entries!$C31:$K31,1,FALSE))),"x",IF(NOT(ISERROR(HLOOKUP(Standings!CE$3,Entries!$L31:$L31,1,FALSE))),"S",""))</f>
        <v>x</v>
      </c>
      <c r="CF39" t="str">
        <f>IF(NOT(ISERROR(HLOOKUP(Standings!CF$3,Entries!$C31:$K31,1,FALSE))),"x",IF(NOT(ISERROR(HLOOKUP(Standings!CF$3,Entries!$L31:$L31,1,FALSE))),"S",""))</f>
        <v/>
      </c>
      <c r="CG39" t="str">
        <f>IF(NOT(ISERROR(HLOOKUP(Standings!CG$3,Entries!$C31:$K31,1,FALSE))),"x",IF(NOT(ISERROR(HLOOKUP(Standings!CG$3,Entries!$L31:$L31,1,FALSE))),"S",""))</f>
        <v/>
      </c>
      <c r="CH39" t="str">
        <f>IF(NOT(ISERROR(HLOOKUP(Standings!CH$3,Entries!$C31:$K31,1,FALSE))),"x",IF(NOT(ISERROR(HLOOKUP(Standings!CH$3,Entries!$L31:$L31,1,FALSE))),"S",""))</f>
        <v/>
      </c>
      <c r="CI39" t="str">
        <f>IF(NOT(ISERROR(HLOOKUP(Standings!CI$3,Entries!$C31:$K31,1,FALSE))),"x",IF(NOT(ISERROR(HLOOKUP(Standings!CI$3,Entries!$L31:$L31,1,FALSE))),"S",""))</f>
        <v/>
      </c>
      <c r="CJ39" t="str">
        <f>IF(NOT(ISERROR(HLOOKUP(Standings!CJ$3,Entries!$C31:$K31,1,FALSE))),"x",IF(NOT(ISERROR(HLOOKUP(Standings!CJ$3,Entries!$L31:$L31,1,FALSE))),"S",""))</f>
        <v/>
      </c>
      <c r="CK39" t="str">
        <f>IF(NOT(ISERROR(HLOOKUP(Standings!CK$3,Entries!$C31:$K31,1,FALSE))),"x",IF(NOT(ISERROR(HLOOKUP(Standings!CK$3,Entries!$L31:$L31,1,FALSE))),"S",""))</f>
        <v>x</v>
      </c>
      <c r="CL39" t="str">
        <f>IF(NOT(ISERROR(HLOOKUP(Standings!CL$3,Entries!$C31:$K31,1,FALSE))),"x",IF(NOT(ISERROR(HLOOKUP(Standings!CL$3,Entries!$L31:$L31,1,FALSE))),"S",""))</f>
        <v/>
      </c>
      <c r="CM39" t="str">
        <f>IF(NOT(ISERROR(HLOOKUP(Standings!CM$3,Entries!$C31:$K31,1,FALSE))),"x",IF(NOT(ISERROR(HLOOKUP(Standings!CM$3,Entries!$L31:$L31,1,FALSE))),"S",""))</f>
        <v/>
      </c>
      <c r="CN39" t="str">
        <f>IF(NOT(ISERROR(HLOOKUP(Standings!CN$3,Entries!$C31:$K31,1,FALSE))),"x",IF(NOT(ISERROR(HLOOKUP(Standings!CN$3,Entries!$L31:$L31,1,FALSE))),"S",""))</f>
        <v/>
      </c>
      <c r="CO39" t="str">
        <f>IF(NOT(ISERROR(HLOOKUP(Standings!CO$3,Entries!$C31:$K31,1,FALSE))),"x",IF(NOT(ISERROR(HLOOKUP(Standings!CO$3,Entries!$L31:$L31,1,FALSE))),"S",""))</f>
        <v/>
      </c>
      <c r="CP39" t="str">
        <f>IF(NOT(ISERROR(HLOOKUP(Standings!CP$3,Entries!$C31:$K31,1,FALSE))),"x",IF(NOT(ISERROR(HLOOKUP(Standings!CP$3,Entries!$L31:$L31,1,FALSE))),"S",""))</f>
        <v/>
      </c>
      <c r="CQ39" t="str">
        <f>IF(NOT(ISERROR(HLOOKUP(Standings!CQ$3,Entries!$C31:$K31,1,FALSE))),"x",IF(NOT(ISERROR(HLOOKUP(Standings!CQ$3,Entries!$L31:$L31,1,FALSE))),"S",""))</f>
        <v/>
      </c>
      <c r="CR39" t="str">
        <f>IF(NOT(ISERROR(HLOOKUP(Standings!CR$3,Entries!$C31:$K31,1,FALSE))),"x",IF(NOT(ISERROR(HLOOKUP(Standings!CR$3,Entries!$L31:$L31,1,FALSE))),"S",""))</f>
        <v/>
      </c>
      <c r="CS39" t="str">
        <f>IF(NOT(ISERROR(HLOOKUP(Standings!CS$3,Entries!$C31:$K31,1,FALSE))),"x",IF(NOT(ISERROR(HLOOKUP(Standings!CS$3,Entries!$L31:$L31,1,FALSE))),"S",""))</f>
        <v/>
      </c>
      <c r="CT39" t="str">
        <f>IF(NOT(ISERROR(HLOOKUP(Standings!CT$3,Entries!$C31:$K31,1,FALSE))),"x",IF(NOT(ISERROR(HLOOKUP(Standings!CT$3,Entries!$L31:$L31,1,FALSE))),"S",""))</f>
        <v/>
      </c>
      <c r="CU39" t="str">
        <f>IF(NOT(ISERROR(HLOOKUP(Standings!CU$3,Entries!$C31:$K31,1,FALSE))),"x",IF(NOT(ISERROR(HLOOKUP(Standings!CU$3,Entries!$L31:$L31,1,FALSE))),"S",""))</f>
        <v/>
      </c>
      <c r="CV39" t="str">
        <f>IF(NOT(ISERROR(HLOOKUP(Standings!CV$3,Entries!$C31:$K31,1,FALSE))),"x",IF(NOT(ISERROR(HLOOKUP(Standings!CV$3,Entries!$L31:$L31,1,FALSE))),"S",""))</f>
        <v/>
      </c>
      <c r="CW39" t="str">
        <f>IF(NOT(ISERROR(HLOOKUP(Standings!CW$3,Entries!$C31:$K31,1,FALSE))),"x",IF(NOT(ISERROR(HLOOKUP(Standings!CW$3,Entries!$L31:$L31,1,FALSE))),"S",""))</f>
        <v/>
      </c>
      <c r="CX39" t="str">
        <f>IF(NOT(ISERROR(HLOOKUP(Standings!CX$3,Entries!$C31:$K31,1,FALSE))),"x",IF(NOT(ISERROR(HLOOKUP(Standings!CX$3,Entries!$L31:$L31,1,FALSE))),"S",""))</f>
        <v/>
      </c>
      <c r="CY39" t="str">
        <f>IF(NOT(ISERROR(HLOOKUP(Standings!CY$3,Entries!$C31:$K31,1,FALSE))),"x",IF(NOT(ISERROR(HLOOKUP(Standings!CY$3,Entries!$L31:$L31,1,FALSE))),"S",""))</f>
        <v/>
      </c>
      <c r="CZ39" t="str">
        <f>IF(NOT(ISERROR(HLOOKUP(Standings!CZ$3,Entries!$C31:$K31,1,FALSE))),"x",IF(NOT(ISERROR(HLOOKUP(Standings!CZ$3,Entries!$L31:$L31,1,FALSE))),"S",""))</f>
        <v/>
      </c>
      <c r="DA39" t="str">
        <f>IF(NOT(ISERROR(HLOOKUP(Standings!DA$3,Entries!$C31:$K31,1,FALSE))),"x",IF(NOT(ISERROR(HLOOKUP(Standings!DA$3,Entries!$L31:$L31,1,FALSE))),"S",""))</f>
        <v/>
      </c>
      <c r="DB39" t="str">
        <f>IF(NOT(ISERROR(HLOOKUP(Standings!DB$3,Entries!$C31:$K31,1,FALSE))),"x",IF(NOT(ISERROR(HLOOKUP(Standings!DB$3,Entries!$L31:$L31,1,FALSE))),"S",""))</f>
        <v/>
      </c>
    </row>
    <row r="40" spans="1:106" x14ac:dyDescent="0.25">
      <c r="A40" s="18"/>
      <c r="B40">
        <v>39</v>
      </c>
      <c r="C40" t="str">
        <f>Entries!B32</f>
        <v>Sean ODonnell2</v>
      </c>
      <c r="D40" s="4">
        <f t="shared" si="3"/>
        <v>18</v>
      </c>
      <c r="E40" s="31">
        <f t="shared" si="4"/>
        <v>2</v>
      </c>
      <c r="F40" s="40" t="str">
        <f t="shared" si="52"/>
        <v/>
      </c>
      <c r="G40" s="41" t="str">
        <f t="shared" si="5"/>
        <v/>
      </c>
      <c r="H40" s="41" t="str">
        <f t="shared" si="6"/>
        <v/>
      </c>
      <c r="I40" s="42" t="str">
        <f t="shared" si="7"/>
        <v/>
      </c>
      <c r="J40" s="40" t="str">
        <f t="shared" si="8"/>
        <v/>
      </c>
      <c r="K40" s="41" t="str">
        <f t="shared" si="9"/>
        <v/>
      </c>
      <c r="L40" s="41" t="str">
        <f t="shared" si="10"/>
        <v/>
      </c>
      <c r="M40" s="42" t="str">
        <f t="shared" si="11"/>
        <v/>
      </c>
      <c r="N40" s="43" t="str">
        <f t="shared" si="12"/>
        <v/>
      </c>
      <c r="O40" s="41">
        <f t="shared" si="13"/>
        <v>0</v>
      </c>
      <c r="P40" s="41" t="str">
        <f t="shared" si="14"/>
        <v/>
      </c>
      <c r="Q40" s="42">
        <f t="shared" si="15"/>
        <v>0</v>
      </c>
      <c r="R40" s="40">
        <f t="shared" si="16"/>
        <v>2</v>
      </c>
      <c r="S40" s="41" t="str">
        <f t="shared" si="17"/>
        <v/>
      </c>
      <c r="T40" s="43" t="str">
        <f t="shared" si="18"/>
        <v/>
      </c>
      <c r="U40" s="42" t="str">
        <f t="shared" si="19"/>
        <v/>
      </c>
      <c r="V40" s="40" t="str">
        <f t="shared" si="20"/>
        <v/>
      </c>
      <c r="W40" s="41" t="str">
        <f t="shared" si="21"/>
        <v/>
      </c>
      <c r="X40" s="41" t="str">
        <f t="shared" si="22"/>
        <v/>
      </c>
      <c r="Y40" s="42" t="str">
        <f t="shared" si="23"/>
        <v/>
      </c>
      <c r="Z40" s="40">
        <f t="shared" si="24"/>
        <v>0</v>
      </c>
      <c r="AA40" s="41" t="str">
        <f t="shared" si="25"/>
        <v/>
      </c>
      <c r="AB40" s="41">
        <f t="shared" si="26"/>
        <v>0</v>
      </c>
      <c r="AC40" s="42" t="str">
        <f t="shared" si="27"/>
        <v/>
      </c>
      <c r="AD40" s="40">
        <f t="shared" si="28"/>
        <v>0</v>
      </c>
      <c r="AE40" s="41" t="str">
        <f t="shared" si="29"/>
        <v/>
      </c>
      <c r="AF40" s="41">
        <f t="shared" si="30"/>
        <v>0</v>
      </c>
      <c r="AG40" s="42" t="str">
        <f t="shared" si="31"/>
        <v/>
      </c>
      <c r="AH40" s="40">
        <f t="shared" si="32"/>
        <v>-1.0000000000000001E-5</v>
      </c>
      <c r="AI40" s="41">
        <f t="shared" si="33"/>
        <v>0</v>
      </c>
      <c r="AJ40" s="41" t="str">
        <f t="shared" si="34"/>
        <v/>
      </c>
      <c r="AK40" s="42" t="str">
        <f t="shared" si="35"/>
        <v/>
      </c>
      <c r="AL40" s="40" t="str">
        <f t="shared" si="36"/>
        <v/>
      </c>
      <c r="AM40" s="41" t="str">
        <f t="shared" si="37"/>
        <v/>
      </c>
      <c r="AN40" s="41" t="str">
        <f t="shared" si="38"/>
        <v/>
      </c>
      <c r="AO40" s="42" t="str">
        <f t="shared" si="39"/>
        <v/>
      </c>
      <c r="AP40" s="40" t="str">
        <f t="shared" si="40"/>
        <v/>
      </c>
      <c r="AQ40" s="41" t="str">
        <f t="shared" si="41"/>
        <v/>
      </c>
      <c r="AR40" s="41" t="str">
        <f t="shared" si="42"/>
        <v/>
      </c>
      <c r="AS40" s="42" t="str">
        <f t="shared" si="43"/>
        <v/>
      </c>
      <c r="AT40" s="40" t="str">
        <f t="shared" si="44"/>
        <v/>
      </c>
      <c r="AU40" s="41" t="str">
        <f t="shared" si="45"/>
        <v/>
      </c>
      <c r="AV40" s="41">
        <f t="shared" si="46"/>
        <v>0</v>
      </c>
      <c r="AW40" s="42" t="str">
        <f t="shared" si="47"/>
        <v/>
      </c>
      <c r="AX40" s="40" t="str">
        <f t="shared" si="48"/>
        <v/>
      </c>
      <c r="AY40" s="41" t="str">
        <f t="shared" si="49"/>
        <v/>
      </c>
      <c r="AZ40" s="41" t="str">
        <f t="shared" si="50"/>
        <v/>
      </c>
      <c r="BA40" s="42" t="str">
        <f t="shared" si="51"/>
        <v/>
      </c>
      <c r="BB40" s="37" t="s">
        <v>106</v>
      </c>
      <c r="BC40" s="21"/>
      <c r="BD40" s="21"/>
      <c r="BG40" t="str">
        <f>IF(NOT(ISERROR(HLOOKUP(Standings!BG$3,Entries!$C32:$K32,1,FALSE))),"x",IF(NOT(ISERROR(HLOOKUP(Standings!BG$3,Entries!$L32:$L32,1,FALSE))),"S",""))</f>
        <v/>
      </c>
      <c r="BH40" t="str">
        <f>IF(NOT(ISERROR(HLOOKUP(Standings!BH$3,Entries!$C32:$K32,1,FALSE))),"x",IF(NOT(ISERROR(HLOOKUP(Standings!BH$3,Entries!$L32:$L32,1,FALSE))),"S",""))</f>
        <v/>
      </c>
      <c r="BI40" t="str">
        <f>IF(NOT(ISERROR(HLOOKUP(Standings!BI$3,Entries!$C32:$K32,1,FALSE))),"x",IF(NOT(ISERROR(HLOOKUP(Standings!BI$3,Entries!$L32:$L32,1,FALSE))),"S",""))</f>
        <v/>
      </c>
      <c r="BJ40" t="str">
        <f>IF(NOT(ISERROR(HLOOKUP(Standings!BJ$3,Entries!$C32:$K32,1,FALSE))),"x",IF(NOT(ISERROR(HLOOKUP(Standings!BJ$3,Entries!$L32:$L32,1,FALSE))),"S",""))</f>
        <v/>
      </c>
      <c r="BK40" t="str">
        <f>IF(NOT(ISERROR(HLOOKUP(Standings!BK$3,Entries!$C32:$K32,1,FALSE))),"x",IF(NOT(ISERROR(HLOOKUP(Standings!BK$3,Entries!$L32:$L32,1,FALSE))),"S",""))</f>
        <v/>
      </c>
      <c r="BL40" t="str">
        <f>IF(NOT(ISERROR(HLOOKUP(Standings!BL$3,Entries!$C32:$K32,1,FALSE))),"x",IF(NOT(ISERROR(HLOOKUP(Standings!BL$3,Entries!$L32:$L32,1,FALSE))),"S",""))</f>
        <v/>
      </c>
      <c r="BM40" t="str">
        <f>IF(NOT(ISERROR(HLOOKUP(Standings!BM$3,Entries!$C32:$K32,1,FALSE))),"x",IF(NOT(ISERROR(HLOOKUP(Standings!BM$3,Entries!$L32:$L32,1,FALSE))),"S",""))</f>
        <v/>
      </c>
      <c r="BN40" t="str">
        <f>IF(NOT(ISERROR(HLOOKUP(Standings!BN$3,Entries!$C32:$K32,1,FALSE))),"x",IF(NOT(ISERROR(HLOOKUP(Standings!BN$3,Entries!$L32:$L32,1,FALSE))),"S",""))</f>
        <v/>
      </c>
      <c r="BO40" t="str">
        <f>IF(NOT(ISERROR(HLOOKUP(Standings!BO$3,Entries!$C32:$K32,1,FALSE))),"x",IF(NOT(ISERROR(HLOOKUP(Standings!BO$3,Entries!$L32:$L32,1,FALSE))),"S",""))</f>
        <v/>
      </c>
      <c r="BP40" t="str">
        <f>IF(NOT(ISERROR(HLOOKUP(Standings!BP$3,Entries!$C32:$K32,1,FALSE))),"x",IF(NOT(ISERROR(HLOOKUP(Standings!BP$3,Entries!$L32:$L32,1,FALSE))),"S",""))</f>
        <v>x</v>
      </c>
      <c r="BQ40" t="str">
        <f>IF(NOT(ISERROR(HLOOKUP(Standings!BQ$3,Entries!$C32:$K32,1,FALSE))),"x",IF(NOT(ISERROR(HLOOKUP(Standings!BQ$3,Entries!$L32:$L32,1,FALSE))),"S",""))</f>
        <v/>
      </c>
      <c r="BR40" t="str">
        <f>IF(NOT(ISERROR(HLOOKUP(Standings!BR$3,Entries!$C32:$K32,1,FALSE))),"x",IF(NOT(ISERROR(HLOOKUP(Standings!BR$3,Entries!$L32:$L32,1,FALSE))),"S",""))</f>
        <v>x</v>
      </c>
      <c r="BS40" t="str">
        <f>IF(NOT(ISERROR(HLOOKUP(Standings!BS$3,Entries!$C32:$K32,1,FALSE))),"x",IF(NOT(ISERROR(HLOOKUP(Standings!BS$3,Entries!$L32:$L32,1,FALSE))),"S",""))</f>
        <v>x</v>
      </c>
      <c r="BT40" t="str">
        <f>IF(NOT(ISERROR(HLOOKUP(Standings!BT$3,Entries!$C32:$K32,1,FALSE))),"x",IF(NOT(ISERROR(HLOOKUP(Standings!BT$3,Entries!$L32:$L32,1,FALSE))),"S",""))</f>
        <v/>
      </c>
      <c r="BU40" t="str">
        <f>IF(NOT(ISERROR(HLOOKUP(Standings!BU$3,Entries!$C32:$K32,1,FALSE))),"x",IF(NOT(ISERROR(HLOOKUP(Standings!BU$3,Entries!$L32:$L32,1,FALSE))),"S",""))</f>
        <v/>
      </c>
      <c r="BV40" t="str">
        <f>IF(NOT(ISERROR(HLOOKUP(Standings!BV$3,Entries!$C32:$K32,1,FALSE))),"x",IF(NOT(ISERROR(HLOOKUP(Standings!BV$3,Entries!$L32:$L32,1,FALSE))),"S",""))</f>
        <v/>
      </c>
      <c r="BW40" t="str">
        <f>IF(NOT(ISERROR(HLOOKUP(Standings!BW$3,Entries!$C32:$K32,1,FALSE))),"x",IF(NOT(ISERROR(HLOOKUP(Standings!BW$3,Entries!$L32:$L32,1,FALSE))),"S",""))</f>
        <v/>
      </c>
      <c r="BX40" t="str">
        <f>IF(NOT(ISERROR(HLOOKUP(Standings!BX$3,Entries!$C32:$K32,1,FALSE))),"x",IF(NOT(ISERROR(HLOOKUP(Standings!BX$3,Entries!$L32:$L32,1,FALSE))),"S",""))</f>
        <v/>
      </c>
      <c r="BY40" t="str">
        <f>IF(NOT(ISERROR(HLOOKUP(Standings!BY$3,Entries!$C32:$K32,1,FALSE))),"x",IF(NOT(ISERROR(HLOOKUP(Standings!BY$3,Entries!$L32:$L32,1,FALSE))),"S",""))</f>
        <v/>
      </c>
      <c r="BZ40" t="str">
        <f>IF(NOT(ISERROR(HLOOKUP(Standings!BZ$3,Entries!$C32:$K32,1,FALSE))),"x",IF(NOT(ISERROR(HLOOKUP(Standings!BZ$3,Entries!$L32:$L32,1,FALSE))),"S",""))</f>
        <v/>
      </c>
      <c r="CA40" t="str">
        <f>IF(NOT(ISERROR(HLOOKUP(Standings!CA$3,Entries!$C32:$K32,1,FALSE))),"x",IF(NOT(ISERROR(HLOOKUP(Standings!CA$3,Entries!$L32:$L32,1,FALSE))),"S",""))</f>
        <v>x</v>
      </c>
      <c r="CB40" t="str">
        <f>IF(NOT(ISERROR(HLOOKUP(Standings!CB$3,Entries!$C32:$K32,1,FALSE))),"x",IF(NOT(ISERROR(HLOOKUP(Standings!CB$3,Entries!$L32:$L32,1,FALSE))),"S",""))</f>
        <v/>
      </c>
      <c r="CC40" t="str">
        <f>IF(NOT(ISERROR(HLOOKUP(Standings!CC$3,Entries!$C32:$K32,1,FALSE))),"x",IF(NOT(ISERROR(HLOOKUP(Standings!CC$3,Entries!$L32:$L32,1,FALSE))),"S",""))</f>
        <v>x</v>
      </c>
      <c r="CD40" t="str">
        <f>IF(NOT(ISERROR(HLOOKUP(Standings!CD$3,Entries!$C32:$K32,1,FALSE))),"x",IF(NOT(ISERROR(HLOOKUP(Standings!CD$3,Entries!$L32:$L32,1,FALSE))),"S",""))</f>
        <v/>
      </c>
      <c r="CE40" t="str">
        <f>IF(NOT(ISERROR(HLOOKUP(Standings!CE$3,Entries!$C32:$K32,1,FALSE))),"x",IF(NOT(ISERROR(HLOOKUP(Standings!CE$3,Entries!$L32:$L32,1,FALSE))),"S",""))</f>
        <v>x</v>
      </c>
      <c r="CF40" t="str">
        <f>IF(NOT(ISERROR(HLOOKUP(Standings!CF$3,Entries!$C32:$K32,1,FALSE))),"x",IF(NOT(ISERROR(HLOOKUP(Standings!CF$3,Entries!$L32:$L32,1,FALSE))),"S",""))</f>
        <v/>
      </c>
      <c r="CG40" t="str">
        <f>IF(NOT(ISERROR(HLOOKUP(Standings!CG$3,Entries!$C32:$K32,1,FALSE))),"x",IF(NOT(ISERROR(HLOOKUP(Standings!CG$3,Entries!$L32:$L32,1,FALSE))),"S",""))</f>
        <v>x</v>
      </c>
      <c r="CH40" t="str">
        <f>IF(NOT(ISERROR(HLOOKUP(Standings!CH$3,Entries!$C32:$K32,1,FALSE))),"x",IF(NOT(ISERROR(HLOOKUP(Standings!CH$3,Entries!$L32:$L32,1,FALSE))),"S",""))</f>
        <v/>
      </c>
      <c r="CI40" t="str">
        <f>IF(NOT(ISERROR(HLOOKUP(Standings!CI$3,Entries!$C32:$K32,1,FALSE))),"x",IF(NOT(ISERROR(HLOOKUP(Standings!CI$3,Entries!$L32:$L32,1,FALSE))),"S",""))</f>
        <v>S</v>
      </c>
      <c r="CJ40" t="str">
        <f>IF(NOT(ISERROR(HLOOKUP(Standings!CJ$3,Entries!$C32:$K32,1,FALSE))),"x",IF(NOT(ISERROR(HLOOKUP(Standings!CJ$3,Entries!$L32:$L32,1,FALSE))),"S",""))</f>
        <v>x</v>
      </c>
      <c r="CK40" t="str">
        <f>IF(NOT(ISERROR(HLOOKUP(Standings!CK$3,Entries!$C32:$K32,1,FALSE))),"x",IF(NOT(ISERROR(HLOOKUP(Standings!CK$3,Entries!$L32:$L32,1,FALSE))),"S",""))</f>
        <v/>
      </c>
      <c r="CL40" t="str">
        <f>IF(NOT(ISERROR(HLOOKUP(Standings!CL$3,Entries!$C32:$K32,1,FALSE))),"x",IF(NOT(ISERROR(HLOOKUP(Standings!CL$3,Entries!$L32:$L32,1,FALSE))),"S",""))</f>
        <v/>
      </c>
      <c r="CM40" t="str">
        <f>IF(NOT(ISERROR(HLOOKUP(Standings!CM$3,Entries!$C32:$K32,1,FALSE))),"x",IF(NOT(ISERROR(HLOOKUP(Standings!CM$3,Entries!$L32:$L32,1,FALSE))),"S",""))</f>
        <v/>
      </c>
      <c r="CN40" t="str">
        <f>IF(NOT(ISERROR(HLOOKUP(Standings!CN$3,Entries!$C32:$K32,1,FALSE))),"x",IF(NOT(ISERROR(HLOOKUP(Standings!CN$3,Entries!$L32:$L32,1,FALSE))),"S",""))</f>
        <v/>
      </c>
      <c r="CO40" t="str">
        <f>IF(NOT(ISERROR(HLOOKUP(Standings!CO$3,Entries!$C32:$K32,1,FALSE))),"x",IF(NOT(ISERROR(HLOOKUP(Standings!CO$3,Entries!$L32:$L32,1,FALSE))),"S",""))</f>
        <v/>
      </c>
      <c r="CP40" t="str">
        <f>IF(NOT(ISERROR(HLOOKUP(Standings!CP$3,Entries!$C32:$K32,1,FALSE))),"x",IF(NOT(ISERROR(HLOOKUP(Standings!CP$3,Entries!$L32:$L32,1,FALSE))),"S",""))</f>
        <v/>
      </c>
      <c r="CQ40" t="str">
        <f>IF(NOT(ISERROR(HLOOKUP(Standings!CQ$3,Entries!$C32:$K32,1,FALSE))),"x",IF(NOT(ISERROR(HLOOKUP(Standings!CQ$3,Entries!$L32:$L32,1,FALSE))),"S",""))</f>
        <v/>
      </c>
      <c r="CR40" t="str">
        <f>IF(NOT(ISERROR(HLOOKUP(Standings!CR$3,Entries!$C32:$K32,1,FALSE))),"x",IF(NOT(ISERROR(HLOOKUP(Standings!CR$3,Entries!$L32:$L32,1,FALSE))),"S",""))</f>
        <v/>
      </c>
      <c r="CS40" t="str">
        <f>IF(NOT(ISERROR(HLOOKUP(Standings!CS$3,Entries!$C32:$K32,1,FALSE))),"x",IF(NOT(ISERROR(HLOOKUP(Standings!CS$3,Entries!$L32:$L32,1,FALSE))),"S",""))</f>
        <v/>
      </c>
      <c r="CT40" t="str">
        <f>IF(NOT(ISERROR(HLOOKUP(Standings!CT$3,Entries!$C32:$K32,1,FALSE))),"x",IF(NOT(ISERROR(HLOOKUP(Standings!CT$3,Entries!$L32:$L32,1,FALSE))),"S",""))</f>
        <v/>
      </c>
      <c r="CU40" t="str">
        <f>IF(NOT(ISERROR(HLOOKUP(Standings!CU$3,Entries!$C32:$K32,1,FALSE))),"x",IF(NOT(ISERROR(HLOOKUP(Standings!CU$3,Entries!$L32:$L32,1,FALSE))),"S",""))</f>
        <v/>
      </c>
      <c r="CV40" t="str">
        <f>IF(NOT(ISERROR(HLOOKUP(Standings!CV$3,Entries!$C32:$K32,1,FALSE))),"x",IF(NOT(ISERROR(HLOOKUP(Standings!CV$3,Entries!$L32:$L32,1,FALSE))),"S",""))</f>
        <v/>
      </c>
      <c r="CW40" t="str">
        <f>IF(NOT(ISERROR(HLOOKUP(Standings!CW$3,Entries!$C32:$K32,1,FALSE))),"x",IF(NOT(ISERROR(HLOOKUP(Standings!CW$3,Entries!$L32:$L32,1,FALSE))),"S",""))</f>
        <v>x</v>
      </c>
      <c r="CX40" t="str">
        <f>IF(NOT(ISERROR(HLOOKUP(Standings!CX$3,Entries!$C32:$K32,1,FALSE))),"x",IF(NOT(ISERROR(HLOOKUP(Standings!CX$3,Entries!$L32:$L32,1,FALSE))),"S",""))</f>
        <v/>
      </c>
      <c r="CY40" t="str">
        <f>IF(NOT(ISERROR(HLOOKUP(Standings!CY$3,Entries!$C32:$K32,1,FALSE))),"x",IF(NOT(ISERROR(HLOOKUP(Standings!CY$3,Entries!$L32:$L32,1,FALSE))),"S",""))</f>
        <v/>
      </c>
      <c r="CZ40" t="str">
        <f>IF(NOT(ISERROR(HLOOKUP(Standings!CZ$3,Entries!$C32:$K32,1,FALSE))),"x",IF(NOT(ISERROR(HLOOKUP(Standings!CZ$3,Entries!$L32:$L32,1,FALSE))),"S",""))</f>
        <v/>
      </c>
      <c r="DA40" t="str">
        <f>IF(NOT(ISERROR(HLOOKUP(Standings!DA$3,Entries!$C32:$K32,1,FALSE))),"x",IF(NOT(ISERROR(HLOOKUP(Standings!DA$3,Entries!$L32:$L32,1,FALSE))),"S",""))</f>
        <v/>
      </c>
      <c r="DB40" t="str">
        <f>IF(NOT(ISERROR(HLOOKUP(Standings!DB$3,Entries!$C32:$K32,1,FALSE))),"x",IF(NOT(ISERROR(HLOOKUP(Standings!DB$3,Entries!$L32:$L32,1,FALSE))),"S",""))</f>
        <v/>
      </c>
    </row>
    <row r="41" spans="1:106" x14ac:dyDescent="0.25">
      <c r="A41" s="18"/>
      <c r="B41">
        <v>15</v>
      </c>
      <c r="C41" t="str">
        <f>Entries!B33</f>
        <v>Cà Phê Đen Kid</v>
      </c>
      <c r="D41" s="4">
        <f t="shared" si="3"/>
        <v>55</v>
      </c>
      <c r="E41" s="31">
        <f t="shared" si="4"/>
        <v>0</v>
      </c>
      <c r="F41" s="40" t="str">
        <f t="shared" si="52"/>
        <v/>
      </c>
      <c r="G41" s="41" t="str">
        <f t="shared" si="5"/>
        <v/>
      </c>
      <c r="H41" s="41" t="str">
        <f t="shared" si="6"/>
        <v/>
      </c>
      <c r="I41" s="42" t="str">
        <f t="shared" si="7"/>
        <v/>
      </c>
      <c r="J41" s="40" t="str">
        <f t="shared" si="8"/>
        <v/>
      </c>
      <c r="K41" s="41" t="str">
        <f t="shared" si="9"/>
        <v/>
      </c>
      <c r="L41" s="41" t="str">
        <f t="shared" si="10"/>
        <v/>
      </c>
      <c r="M41" s="42" t="str">
        <f t="shared" si="11"/>
        <v/>
      </c>
      <c r="N41" s="43" t="str">
        <f t="shared" si="12"/>
        <v/>
      </c>
      <c r="O41" s="41" t="str">
        <f t="shared" si="13"/>
        <v/>
      </c>
      <c r="P41" s="41" t="str">
        <f t="shared" si="14"/>
        <v/>
      </c>
      <c r="Q41" s="42" t="str">
        <f t="shared" si="15"/>
        <v/>
      </c>
      <c r="R41" s="40" t="str">
        <f t="shared" si="16"/>
        <v/>
      </c>
      <c r="S41" s="41" t="str">
        <f t="shared" si="17"/>
        <v/>
      </c>
      <c r="T41" s="43" t="str">
        <f t="shared" si="18"/>
        <v/>
      </c>
      <c r="U41" s="42" t="str">
        <f t="shared" si="19"/>
        <v/>
      </c>
      <c r="V41" s="40" t="str">
        <f t="shared" si="20"/>
        <v/>
      </c>
      <c r="W41" s="41" t="str">
        <f t="shared" si="21"/>
        <v/>
      </c>
      <c r="X41" s="41" t="str">
        <f t="shared" si="22"/>
        <v/>
      </c>
      <c r="Y41" s="42" t="str">
        <f t="shared" si="23"/>
        <v/>
      </c>
      <c r="Z41" s="40">
        <f t="shared" si="24"/>
        <v>0</v>
      </c>
      <c r="AA41" s="41">
        <f t="shared" si="25"/>
        <v>0</v>
      </c>
      <c r="AB41" s="41" t="str">
        <f t="shared" si="26"/>
        <v/>
      </c>
      <c r="AC41" s="42" t="str">
        <f t="shared" si="27"/>
        <v/>
      </c>
      <c r="AD41" s="40" t="str">
        <f t="shared" si="28"/>
        <v/>
      </c>
      <c r="AE41" s="41" t="str">
        <f t="shared" si="29"/>
        <v/>
      </c>
      <c r="AF41" s="41" t="str">
        <f t="shared" si="30"/>
        <v/>
      </c>
      <c r="AG41" s="42">
        <f t="shared" si="31"/>
        <v>0</v>
      </c>
      <c r="AH41" s="40" t="str">
        <f t="shared" si="32"/>
        <v/>
      </c>
      <c r="AI41" s="41" t="str">
        <f t="shared" si="33"/>
        <v/>
      </c>
      <c r="AJ41" s="41" t="str">
        <f t="shared" si="34"/>
        <v/>
      </c>
      <c r="AK41" s="42" t="str">
        <f t="shared" si="35"/>
        <v/>
      </c>
      <c r="AL41" s="40" t="str">
        <f t="shared" si="36"/>
        <v/>
      </c>
      <c r="AM41" s="41" t="str">
        <f t="shared" si="37"/>
        <v/>
      </c>
      <c r="AN41" s="41" t="str">
        <f t="shared" si="38"/>
        <v/>
      </c>
      <c r="AO41" s="42" t="str">
        <f t="shared" si="39"/>
        <v/>
      </c>
      <c r="AP41" s="40" t="str">
        <f t="shared" si="40"/>
        <v/>
      </c>
      <c r="AQ41" s="41" t="str">
        <f t="shared" si="41"/>
        <v/>
      </c>
      <c r="AR41" s="41" t="str">
        <f t="shared" si="42"/>
        <v/>
      </c>
      <c r="AS41" s="42" t="str">
        <f t="shared" si="43"/>
        <v/>
      </c>
      <c r="AT41" s="40" t="str">
        <f t="shared" si="44"/>
        <v/>
      </c>
      <c r="AU41" s="41" t="str">
        <f t="shared" si="45"/>
        <v/>
      </c>
      <c r="AV41" s="41">
        <f t="shared" si="46"/>
        <v>0</v>
      </c>
      <c r="AW41" s="42" t="str">
        <f t="shared" si="47"/>
        <v/>
      </c>
      <c r="AX41" s="40" t="str">
        <f t="shared" si="48"/>
        <v/>
      </c>
      <c r="AY41" s="41">
        <f t="shared" si="49"/>
        <v>0</v>
      </c>
      <c r="AZ41" s="41" t="str">
        <f t="shared" si="50"/>
        <v/>
      </c>
      <c r="BA41" s="42" t="str">
        <f t="shared" si="51"/>
        <v/>
      </c>
      <c r="BB41" s="37" t="s">
        <v>106</v>
      </c>
      <c r="BC41" s="21"/>
      <c r="BD41" s="21"/>
      <c r="BG41" t="str">
        <f>IF(NOT(ISERROR(HLOOKUP(Standings!BG$3,Entries!$C33:$K33,1,FALSE))),"x",IF(NOT(ISERROR(HLOOKUP(Standings!BG$3,Entries!$L33:$L33,1,FALSE))),"S",""))</f>
        <v/>
      </c>
      <c r="BH41" t="str">
        <f>IF(NOT(ISERROR(HLOOKUP(Standings!BH$3,Entries!$C33:$K33,1,FALSE))),"x",IF(NOT(ISERROR(HLOOKUP(Standings!BH$3,Entries!$L33:$L33,1,FALSE))),"S",""))</f>
        <v/>
      </c>
      <c r="BI41" t="str">
        <f>IF(NOT(ISERROR(HLOOKUP(Standings!BI$3,Entries!$C33:$K33,1,FALSE))),"x",IF(NOT(ISERROR(HLOOKUP(Standings!BI$3,Entries!$L33:$L33,1,FALSE))),"S",""))</f>
        <v/>
      </c>
      <c r="BJ41" t="str">
        <f>IF(NOT(ISERROR(HLOOKUP(Standings!BJ$3,Entries!$C33:$K33,1,FALSE))),"x",IF(NOT(ISERROR(HLOOKUP(Standings!BJ$3,Entries!$L33:$L33,1,FALSE))),"S",""))</f>
        <v/>
      </c>
      <c r="BK41" t="str">
        <f>IF(NOT(ISERROR(HLOOKUP(Standings!BK$3,Entries!$C33:$K33,1,FALSE))),"x",IF(NOT(ISERROR(HLOOKUP(Standings!BK$3,Entries!$L33:$L33,1,FALSE))),"S",""))</f>
        <v/>
      </c>
      <c r="BL41" t="str">
        <f>IF(NOT(ISERROR(HLOOKUP(Standings!BL$3,Entries!$C33:$K33,1,FALSE))),"x",IF(NOT(ISERROR(HLOOKUP(Standings!BL$3,Entries!$L33:$L33,1,FALSE))),"S",""))</f>
        <v/>
      </c>
      <c r="BM41" t="str">
        <f>IF(NOT(ISERROR(HLOOKUP(Standings!BM$3,Entries!$C33:$K33,1,FALSE))),"x",IF(NOT(ISERROR(HLOOKUP(Standings!BM$3,Entries!$L33:$L33,1,FALSE))),"S",""))</f>
        <v/>
      </c>
      <c r="BN41" t="str">
        <f>IF(NOT(ISERROR(HLOOKUP(Standings!BN$3,Entries!$C33:$K33,1,FALSE))),"x",IF(NOT(ISERROR(HLOOKUP(Standings!BN$3,Entries!$L33:$L33,1,FALSE))),"S",""))</f>
        <v/>
      </c>
      <c r="BO41" t="str">
        <f>IF(NOT(ISERROR(HLOOKUP(Standings!BO$3,Entries!$C33:$K33,1,FALSE))),"x",IF(NOT(ISERROR(HLOOKUP(Standings!BO$3,Entries!$L33:$L33,1,FALSE))),"S",""))</f>
        <v/>
      </c>
      <c r="BP41" t="str">
        <f>IF(NOT(ISERROR(HLOOKUP(Standings!BP$3,Entries!$C33:$K33,1,FALSE))),"x",IF(NOT(ISERROR(HLOOKUP(Standings!BP$3,Entries!$L33:$L33,1,FALSE))),"S",""))</f>
        <v/>
      </c>
      <c r="BQ41" t="str">
        <f>IF(NOT(ISERROR(HLOOKUP(Standings!BQ$3,Entries!$C33:$K33,1,FALSE))),"x",IF(NOT(ISERROR(HLOOKUP(Standings!BQ$3,Entries!$L33:$L33,1,FALSE))),"S",""))</f>
        <v/>
      </c>
      <c r="BR41" t="str">
        <f>IF(NOT(ISERROR(HLOOKUP(Standings!BR$3,Entries!$C33:$K33,1,FALSE))),"x",IF(NOT(ISERROR(HLOOKUP(Standings!BR$3,Entries!$L33:$L33,1,FALSE))),"S",""))</f>
        <v/>
      </c>
      <c r="BS41" t="str">
        <f>IF(NOT(ISERROR(HLOOKUP(Standings!BS$3,Entries!$C33:$K33,1,FALSE))),"x",IF(NOT(ISERROR(HLOOKUP(Standings!BS$3,Entries!$L33:$L33,1,FALSE))),"S",""))</f>
        <v/>
      </c>
      <c r="BT41" t="str">
        <f>IF(NOT(ISERROR(HLOOKUP(Standings!BT$3,Entries!$C33:$K33,1,FALSE))),"x",IF(NOT(ISERROR(HLOOKUP(Standings!BT$3,Entries!$L33:$L33,1,FALSE))),"S",""))</f>
        <v/>
      </c>
      <c r="BU41" t="str">
        <f>IF(NOT(ISERROR(HLOOKUP(Standings!BU$3,Entries!$C33:$K33,1,FALSE))),"x",IF(NOT(ISERROR(HLOOKUP(Standings!BU$3,Entries!$L33:$L33,1,FALSE))),"S",""))</f>
        <v/>
      </c>
      <c r="BV41" t="str">
        <f>IF(NOT(ISERROR(HLOOKUP(Standings!BV$3,Entries!$C33:$K33,1,FALSE))),"x",IF(NOT(ISERROR(HLOOKUP(Standings!BV$3,Entries!$L33:$L33,1,FALSE))),"S",""))</f>
        <v/>
      </c>
      <c r="BW41" t="str">
        <f>IF(NOT(ISERROR(HLOOKUP(Standings!BW$3,Entries!$C33:$K33,1,FALSE))),"x",IF(NOT(ISERROR(HLOOKUP(Standings!BW$3,Entries!$L33:$L33,1,FALSE))),"S",""))</f>
        <v/>
      </c>
      <c r="BX41" t="str">
        <f>IF(NOT(ISERROR(HLOOKUP(Standings!BX$3,Entries!$C33:$K33,1,FALSE))),"x",IF(NOT(ISERROR(HLOOKUP(Standings!BX$3,Entries!$L33:$L33,1,FALSE))),"S",""))</f>
        <v/>
      </c>
      <c r="BY41" t="str">
        <f>IF(NOT(ISERROR(HLOOKUP(Standings!BY$3,Entries!$C33:$K33,1,FALSE))),"x",IF(NOT(ISERROR(HLOOKUP(Standings!BY$3,Entries!$L33:$L33,1,FALSE))),"S",""))</f>
        <v/>
      </c>
      <c r="BZ41" t="str">
        <f>IF(NOT(ISERROR(HLOOKUP(Standings!BZ$3,Entries!$C33:$K33,1,FALSE))),"x",IF(NOT(ISERROR(HLOOKUP(Standings!BZ$3,Entries!$L33:$L33,1,FALSE))),"S",""))</f>
        <v/>
      </c>
      <c r="CA41" t="str">
        <f>IF(NOT(ISERROR(HLOOKUP(Standings!CA$3,Entries!$C33:$K33,1,FALSE))),"x",IF(NOT(ISERROR(HLOOKUP(Standings!CA$3,Entries!$L33:$L33,1,FALSE))),"S",""))</f>
        <v>x</v>
      </c>
      <c r="CB41" t="str">
        <f>IF(NOT(ISERROR(HLOOKUP(Standings!CB$3,Entries!$C33:$K33,1,FALSE))),"x",IF(NOT(ISERROR(HLOOKUP(Standings!CB$3,Entries!$L33:$L33,1,FALSE))),"S",""))</f>
        <v>x</v>
      </c>
      <c r="CC41" t="str">
        <f>IF(NOT(ISERROR(HLOOKUP(Standings!CC$3,Entries!$C33:$K33,1,FALSE))),"x",IF(NOT(ISERROR(HLOOKUP(Standings!CC$3,Entries!$L33:$L33,1,FALSE))),"S",""))</f>
        <v/>
      </c>
      <c r="CD41" t="str">
        <f>IF(NOT(ISERROR(HLOOKUP(Standings!CD$3,Entries!$C33:$K33,1,FALSE))),"x",IF(NOT(ISERROR(HLOOKUP(Standings!CD$3,Entries!$L33:$L33,1,FALSE))),"S",""))</f>
        <v/>
      </c>
      <c r="CE41" t="str">
        <f>IF(NOT(ISERROR(HLOOKUP(Standings!CE$3,Entries!$C33:$K33,1,FALSE))),"x",IF(NOT(ISERROR(HLOOKUP(Standings!CE$3,Entries!$L33:$L33,1,FALSE))),"S",""))</f>
        <v/>
      </c>
      <c r="CF41" t="str">
        <f>IF(NOT(ISERROR(HLOOKUP(Standings!CF$3,Entries!$C33:$K33,1,FALSE))),"x",IF(NOT(ISERROR(HLOOKUP(Standings!CF$3,Entries!$L33:$L33,1,FALSE))),"S",""))</f>
        <v/>
      </c>
      <c r="CG41" t="str">
        <f>IF(NOT(ISERROR(HLOOKUP(Standings!CG$3,Entries!$C33:$K33,1,FALSE))),"x",IF(NOT(ISERROR(HLOOKUP(Standings!CG$3,Entries!$L33:$L33,1,FALSE))),"S",""))</f>
        <v/>
      </c>
      <c r="CH41" t="str">
        <f>IF(NOT(ISERROR(HLOOKUP(Standings!CH$3,Entries!$C33:$K33,1,FALSE))),"x",IF(NOT(ISERROR(HLOOKUP(Standings!CH$3,Entries!$L33:$L33,1,FALSE))),"S",""))</f>
        <v>x</v>
      </c>
      <c r="CI41" t="str">
        <f>IF(NOT(ISERROR(HLOOKUP(Standings!CI$3,Entries!$C33:$K33,1,FALSE))),"x",IF(NOT(ISERROR(HLOOKUP(Standings!CI$3,Entries!$L33:$L33,1,FALSE))),"S",""))</f>
        <v/>
      </c>
      <c r="CJ41" t="str">
        <f>IF(NOT(ISERROR(HLOOKUP(Standings!CJ$3,Entries!$C33:$K33,1,FALSE))),"x",IF(NOT(ISERROR(HLOOKUP(Standings!CJ$3,Entries!$L33:$L33,1,FALSE))),"S",""))</f>
        <v/>
      </c>
      <c r="CK41" t="str">
        <f>IF(NOT(ISERROR(HLOOKUP(Standings!CK$3,Entries!$C33:$K33,1,FALSE))),"x",IF(NOT(ISERROR(HLOOKUP(Standings!CK$3,Entries!$L33:$L33,1,FALSE))),"S",""))</f>
        <v/>
      </c>
      <c r="CL41" t="str">
        <f>IF(NOT(ISERROR(HLOOKUP(Standings!CL$3,Entries!$C33:$K33,1,FALSE))),"x",IF(NOT(ISERROR(HLOOKUP(Standings!CL$3,Entries!$L33:$L33,1,FALSE))),"S",""))</f>
        <v/>
      </c>
      <c r="CM41" t="str">
        <f>IF(NOT(ISERROR(HLOOKUP(Standings!CM$3,Entries!$C33:$K33,1,FALSE))),"x",IF(NOT(ISERROR(HLOOKUP(Standings!CM$3,Entries!$L33:$L33,1,FALSE))),"S",""))</f>
        <v/>
      </c>
      <c r="CN41" t="str">
        <f>IF(NOT(ISERROR(HLOOKUP(Standings!CN$3,Entries!$C33:$K33,1,FALSE))),"x",IF(NOT(ISERROR(HLOOKUP(Standings!CN$3,Entries!$L33:$L33,1,FALSE))),"S",""))</f>
        <v/>
      </c>
      <c r="CO41" t="str">
        <f>IF(NOT(ISERROR(HLOOKUP(Standings!CO$3,Entries!$C33:$K33,1,FALSE))),"x",IF(NOT(ISERROR(HLOOKUP(Standings!CO$3,Entries!$L33:$L33,1,FALSE))),"S",""))</f>
        <v/>
      </c>
      <c r="CP41" t="str">
        <f>IF(NOT(ISERROR(HLOOKUP(Standings!CP$3,Entries!$C33:$K33,1,FALSE))),"x",IF(NOT(ISERROR(HLOOKUP(Standings!CP$3,Entries!$L33:$L33,1,FALSE))),"S",""))</f>
        <v/>
      </c>
      <c r="CQ41" t="str">
        <f>IF(NOT(ISERROR(HLOOKUP(Standings!CQ$3,Entries!$C33:$K33,1,FALSE))),"x",IF(NOT(ISERROR(HLOOKUP(Standings!CQ$3,Entries!$L33:$L33,1,FALSE))),"S",""))</f>
        <v/>
      </c>
      <c r="CR41" t="str">
        <f>IF(NOT(ISERROR(HLOOKUP(Standings!CR$3,Entries!$C33:$K33,1,FALSE))),"x",IF(NOT(ISERROR(HLOOKUP(Standings!CR$3,Entries!$L33:$L33,1,FALSE))),"S",""))</f>
        <v/>
      </c>
      <c r="CS41" t="str">
        <f>IF(NOT(ISERROR(HLOOKUP(Standings!CS$3,Entries!$C33:$K33,1,FALSE))),"x",IF(NOT(ISERROR(HLOOKUP(Standings!CS$3,Entries!$L33:$L33,1,FALSE))),"S",""))</f>
        <v/>
      </c>
      <c r="CT41" t="str">
        <f>IF(NOT(ISERROR(HLOOKUP(Standings!CT$3,Entries!$C33:$K33,1,FALSE))),"x",IF(NOT(ISERROR(HLOOKUP(Standings!CT$3,Entries!$L33:$L33,1,FALSE))),"S",""))</f>
        <v/>
      </c>
      <c r="CU41" t="str">
        <f>IF(NOT(ISERROR(HLOOKUP(Standings!CU$3,Entries!$C33:$K33,1,FALSE))),"x",IF(NOT(ISERROR(HLOOKUP(Standings!CU$3,Entries!$L33:$L33,1,FALSE))),"S",""))</f>
        <v/>
      </c>
      <c r="CV41" t="str">
        <f>IF(NOT(ISERROR(HLOOKUP(Standings!CV$3,Entries!$C33:$K33,1,FALSE))),"x",IF(NOT(ISERROR(HLOOKUP(Standings!CV$3,Entries!$L33:$L33,1,FALSE))),"S",""))</f>
        <v/>
      </c>
      <c r="CW41" t="str">
        <f>IF(NOT(ISERROR(HLOOKUP(Standings!CW$3,Entries!$C33:$K33,1,FALSE))),"x",IF(NOT(ISERROR(HLOOKUP(Standings!CW$3,Entries!$L33:$L33,1,FALSE))),"S",""))</f>
        <v>x</v>
      </c>
      <c r="CX41" t="str">
        <f>IF(NOT(ISERROR(HLOOKUP(Standings!CX$3,Entries!$C33:$K33,1,FALSE))),"x",IF(NOT(ISERROR(HLOOKUP(Standings!CX$3,Entries!$L33:$L33,1,FALSE))),"S",""))</f>
        <v/>
      </c>
      <c r="CY41" t="str">
        <f>IF(NOT(ISERROR(HLOOKUP(Standings!CY$3,Entries!$C33:$K33,1,FALSE))),"x",IF(NOT(ISERROR(HLOOKUP(Standings!CY$3,Entries!$L33:$L33,1,FALSE))),"S",""))</f>
        <v/>
      </c>
      <c r="CZ41" t="str">
        <f>IF(NOT(ISERROR(HLOOKUP(Standings!CZ$3,Entries!$C33:$K33,1,FALSE))),"x",IF(NOT(ISERROR(HLOOKUP(Standings!CZ$3,Entries!$L33:$L33,1,FALSE))),"S",""))</f>
        <v>x</v>
      </c>
      <c r="DA41" t="str">
        <f>IF(NOT(ISERROR(HLOOKUP(Standings!DA$3,Entries!$C33:$K33,1,FALSE))),"x",IF(NOT(ISERROR(HLOOKUP(Standings!DA$3,Entries!$L33:$L33,1,FALSE))),"S",""))</f>
        <v/>
      </c>
      <c r="DB41" t="str">
        <f>IF(NOT(ISERROR(HLOOKUP(Standings!DB$3,Entries!$C33:$K33,1,FALSE))),"x",IF(NOT(ISERROR(HLOOKUP(Standings!DB$3,Entries!$L33:$L33,1,FALSE))),"S",""))</f>
        <v/>
      </c>
    </row>
    <row r="42" spans="1:106" x14ac:dyDescent="0.25">
      <c r="A42" s="18"/>
      <c r="B42">
        <v>20</v>
      </c>
      <c r="C42" t="str">
        <f>Entries!B34</f>
        <v>AnaTwohy1</v>
      </c>
      <c r="D42" s="4">
        <f t="shared" ref="D42:D73" si="53">IF(C42="","",RANK(E42,$E$10:$E$111))</f>
        <v>18</v>
      </c>
      <c r="E42" s="31">
        <f t="shared" ref="E42:E73" si="54">IF(C42="","",ROUND(SUM(F42:AK42),0))</f>
        <v>2</v>
      </c>
      <c r="F42" s="40" t="str">
        <f t="shared" si="52"/>
        <v/>
      </c>
      <c r="G42" s="41" t="str">
        <f t="shared" si="5"/>
        <v/>
      </c>
      <c r="H42" s="41" t="str">
        <f t="shared" si="6"/>
        <v/>
      </c>
      <c r="I42" s="42" t="str">
        <f t="shared" si="7"/>
        <v/>
      </c>
      <c r="J42" s="40" t="str">
        <f t="shared" si="8"/>
        <v/>
      </c>
      <c r="K42" s="41" t="str">
        <f t="shared" si="9"/>
        <v/>
      </c>
      <c r="L42" s="41" t="str">
        <f t="shared" si="10"/>
        <v/>
      </c>
      <c r="M42" s="42" t="str">
        <f t="shared" si="11"/>
        <v/>
      </c>
      <c r="N42" s="43" t="str">
        <f t="shared" si="12"/>
        <v/>
      </c>
      <c r="O42" s="41" t="str">
        <f t="shared" si="13"/>
        <v/>
      </c>
      <c r="P42" s="41" t="str">
        <f t="shared" si="14"/>
        <v/>
      </c>
      <c r="Q42" s="42" t="str">
        <f t="shared" si="15"/>
        <v/>
      </c>
      <c r="R42" s="40">
        <f t="shared" si="16"/>
        <v>2</v>
      </c>
      <c r="S42" s="41">
        <f t="shared" si="17"/>
        <v>-1.0000000000000001E-5</v>
      </c>
      <c r="T42" s="43" t="str">
        <f t="shared" si="18"/>
        <v/>
      </c>
      <c r="U42" s="42" t="str">
        <f t="shared" si="19"/>
        <v/>
      </c>
      <c r="V42" s="40" t="str">
        <f t="shared" si="20"/>
        <v/>
      </c>
      <c r="W42" s="41" t="str">
        <f t="shared" si="21"/>
        <v/>
      </c>
      <c r="X42" s="41" t="str">
        <f t="shared" si="22"/>
        <v/>
      </c>
      <c r="Y42" s="42" t="str">
        <f t="shared" si="23"/>
        <v/>
      </c>
      <c r="Z42" s="40" t="str">
        <f t="shared" si="24"/>
        <v/>
      </c>
      <c r="AA42" s="41" t="str">
        <f t="shared" si="25"/>
        <v/>
      </c>
      <c r="AB42" s="41" t="str">
        <f t="shared" si="26"/>
        <v/>
      </c>
      <c r="AC42" s="42" t="str">
        <f t="shared" si="27"/>
        <v/>
      </c>
      <c r="AD42" s="40">
        <f t="shared" si="28"/>
        <v>0</v>
      </c>
      <c r="AE42" s="41" t="str">
        <f t="shared" si="29"/>
        <v/>
      </c>
      <c r="AF42" s="41" t="str">
        <f t="shared" si="30"/>
        <v/>
      </c>
      <c r="AG42" s="42" t="str">
        <f t="shared" si="31"/>
        <v/>
      </c>
      <c r="AH42" s="40" t="str">
        <f t="shared" si="32"/>
        <v/>
      </c>
      <c r="AI42" s="41" t="str">
        <f t="shared" si="33"/>
        <v/>
      </c>
      <c r="AJ42" s="41" t="str">
        <f t="shared" si="34"/>
        <v/>
      </c>
      <c r="AK42" s="42" t="str">
        <f t="shared" si="35"/>
        <v/>
      </c>
      <c r="AL42" s="40" t="str">
        <f t="shared" si="36"/>
        <v/>
      </c>
      <c r="AM42" s="41" t="str">
        <f t="shared" si="37"/>
        <v/>
      </c>
      <c r="AN42" s="41" t="str">
        <f t="shared" si="38"/>
        <v/>
      </c>
      <c r="AO42" s="42" t="str">
        <f t="shared" si="39"/>
        <v/>
      </c>
      <c r="AP42" s="40">
        <f t="shared" si="40"/>
        <v>0</v>
      </c>
      <c r="AQ42" s="41" t="str">
        <f t="shared" si="41"/>
        <v/>
      </c>
      <c r="AR42" s="41" t="str">
        <f t="shared" si="42"/>
        <v/>
      </c>
      <c r="AS42" s="42" t="str">
        <f t="shared" si="43"/>
        <v/>
      </c>
      <c r="AT42" s="40" t="str">
        <f t="shared" si="44"/>
        <v/>
      </c>
      <c r="AU42" s="41" t="str">
        <f t="shared" si="45"/>
        <v/>
      </c>
      <c r="AV42" s="41" t="str">
        <f t="shared" si="46"/>
        <v/>
      </c>
      <c r="AW42" s="42" t="str">
        <f t="shared" si="47"/>
        <v/>
      </c>
      <c r="AX42" s="40" t="str">
        <f t="shared" si="48"/>
        <v/>
      </c>
      <c r="AY42" s="41" t="str">
        <f t="shared" si="49"/>
        <v/>
      </c>
      <c r="AZ42" s="41" t="str">
        <f t="shared" si="50"/>
        <v/>
      </c>
      <c r="BA42" s="42" t="str">
        <f t="shared" si="51"/>
        <v/>
      </c>
      <c r="BB42" s="37" t="s">
        <v>106</v>
      </c>
      <c r="BD42" s="21"/>
      <c r="BG42" t="str">
        <f>IF(NOT(ISERROR(HLOOKUP(Standings!BG$3,Entries!$C34:$K34,1,FALSE))),"x",IF(NOT(ISERROR(HLOOKUP(Standings!BG$3,Entries!$L34:$L34,1,FALSE))),"S",""))</f>
        <v/>
      </c>
      <c r="BH42" t="str">
        <f>IF(NOT(ISERROR(HLOOKUP(Standings!BH$3,Entries!$C34:$K34,1,FALSE))),"x",IF(NOT(ISERROR(HLOOKUP(Standings!BH$3,Entries!$L34:$L34,1,FALSE))),"S",""))</f>
        <v/>
      </c>
      <c r="BI42" t="str">
        <f>IF(NOT(ISERROR(HLOOKUP(Standings!BI$3,Entries!$C34:$K34,1,FALSE))),"x",IF(NOT(ISERROR(HLOOKUP(Standings!BI$3,Entries!$L34:$L34,1,FALSE))),"S",""))</f>
        <v/>
      </c>
      <c r="BJ42" t="str">
        <f>IF(NOT(ISERROR(HLOOKUP(Standings!BJ$3,Entries!$C34:$K34,1,FALSE))),"x",IF(NOT(ISERROR(HLOOKUP(Standings!BJ$3,Entries!$L34:$L34,1,FALSE))),"S",""))</f>
        <v/>
      </c>
      <c r="BK42" t="str">
        <f>IF(NOT(ISERROR(HLOOKUP(Standings!BK$3,Entries!$C34:$K34,1,FALSE))),"x",IF(NOT(ISERROR(HLOOKUP(Standings!BK$3,Entries!$L34:$L34,1,FALSE))),"S",""))</f>
        <v/>
      </c>
      <c r="BL42" t="str">
        <f>IF(NOT(ISERROR(HLOOKUP(Standings!BL$3,Entries!$C34:$K34,1,FALSE))),"x",IF(NOT(ISERROR(HLOOKUP(Standings!BL$3,Entries!$L34:$L34,1,FALSE))),"S",""))</f>
        <v/>
      </c>
      <c r="BM42" t="str">
        <f>IF(NOT(ISERROR(HLOOKUP(Standings!BM$3,Entries!$C34:$K34,1,FALSE))),"x",IF(NOT(ISERROR(HLOOKUP(Standings!BM$3,Entries!$L34:$L34,1,FALSE))),"S",""))</f>
        <v/>
      </c>
      <c r="BN42" t="str">
        <f>IF(NOT(ISERROR(HLOOKUP(Standings!BN$3,Entries!$C34:$K34,1,FALSE))),"x",IF(NOT(ISERROR(HLOOKUP(Standings!BN$3,Entries!$L34:$L34,1,FALSE))),"S",""))</f>
        <v/>
      </c>
      <c r="BO42" t="str">
        <f>IF(NOT(ISERROR(HLOOKUP(Standings!BO$3,Entries!$C34:$K34,1,FALSE))),"x",IF(NOT(ISERROR(HLOOKUP(Standings!BO$3,Entries!$L34:$L34,1,FALSE))),"S",""))</f>
        <v/>
      </c>
      <c r="BP42" t="str">
        <f>IF(NOT(ISERROR(HLOOKUP(Standings!BP$3,Entries!$C34:$K34,1,FALSE))),"x",IF(NOT(ISERROR(HLOOKUP(Standings!BP$3,Entries!$L34:$L34,1,FALSE))),"S",""))</f>
        <v/>
      </c>
      <c r="BQ42" t="str">
        <f>IF(NOT(ISERROR(HLOOKUP(Standings!BQ$3,Entries!$C34:$K34,1,FALSE))),"x",IF(NOT(ISERROR(HLOOKUP(Standings!BQ$3,Entries!$L34:$L34,1,FALSE))),"S",""))</f>
        <v/>
      </c>
      <c r="BR42" t="str">
        <f>IF(NOT(ISERROR(HLOOKUP(Standings!BR$3,Entries!$C34:$K34,1,FALSE))),"x",IF(NOT(ISERROR(HLOOKUP(Standings!BR$3,Entries!$L34:$L34,1,FALSE))),"S",""))</f>
        <v/>
      </c>
      <c r="BS42" t="str">
        <f>IF(NOT(ISERROR(HLOOKUP(Standings!BS$3,Entries!$C34:$K34,1,FALSE))),"x",IF(NOT(ISERROR(HLOOKUP(Standings!BS$3,Entries!$L34:$L34,1,FALSE))),"S",""))</f>
        <v>x</v>
      </c>
      <c r="BT42" t="str">
        <f>IF(NOT(ISERROR(HLOOKUP(Standings!BT$3,Entries!$C34:$K34,1,FALSE))),"x",IF(NOT(ISERROR(HLOOKUP(Standings!BT$3,Entries!$L34:$L34,1,FALSE))),"S",""))</f>
        <v>S</v>
      </c>
      <c r="BU42" t="str">
        <f>IF(NOT(ISERROR(HLOOKUP(Standings!BU$3,Entries!$C34:$K34,1,FALSE))),"x",IF(NOT(ISERROR(HLOOKUP(Standings!BU$3,Entries!$L34:$L34,1,FALSE))),"S",""))</f>
        <v/>
      </c>
      <c r="BV42" t="str">
        <f>IF(NOT(ISERROR(HLOOKUP(Standings!BV$3,Entries!$C34:$K34,1,FALSE))),"x",IF(NOT(ISERROR(HLOOKUP(Standings!BV$3,Entries!$L34:$L34,1,FALSE))),"S",""))</f>
        <v/>
      </c>
      <c r="BW42" t="str">
        <f>IF(NOT(ISERROR(HLOOKUP(Standings!BW$3,Entries!$C34:$K34,1,FALSE))),"x",IF(NOT(ISERROR(HLOOKUP(Standings!BW$3,Entries!$L34:$L34,1,FALSE))),"S",""))</f>
        <v/>
      </c>
      <c r="BX42" t="str">
        <f>IF(NOT(ISERROR(HLOOKUP(Standings!BX$3,Entries!$C34:$K34,1,FALSE))),"x",IF(NOT(ISERROR(HLOOKUP(Standings!BX$3,Entries!$L34:$L34,1,FALSE))),"S",""))</f>
        <v/>
      </c>
      <c r="BY42" t="str">
        <f>IF(NOT(ISERROR(HLOOKUP(Standings!BY$3,Entries!$C34:$K34,1,FALSE))),"x",IF(NOT(ISERROR(HLOOKUP(Standings!BY$3,Entries!$L34:$L34,1,FALSE))),"S",""))</f>
        <v/>
      </c>
      <c r="BZ42" t="str">
        <f>IF(NOT(ISERROR(HLOOKUP(Standings!BZ$3,Entries!$C34:$K34,1,FALSE))),"x",IF(NOT(ISERROR(HLOOKUP(Standings!BZ$3,Entries!$L34:$L34,1,FALSE))),"S",""))</f>
        <v/>
      </c>
      <c r="CA42" t="str">
        <f>IF(NOT(ISERROR(HLOOKUP(Standings!CA$3,Entries!$C34:$K34,1,FALSE))),"x",IF(NOT(ISERROR(HLOOKUP(Standings!CA$3,Entries!$L34:$L34,1,FALSE))),"S",""))</f>
        <v/>
      </c>
      <c r="CB42" t="str">
        <f>IF(NOT(ISERROR(HLOOKUP(Standings!CB$3,Entries!$C34:$K34,1,FALSE))),"x",IF(NOT(ISERROR(HLOOKUP(Standings!CB$3,Entries!$L34:$L34,1,FALSE))),"S",""))</f>
        <v/>
      </c>
      <c r="CC42" t="str">
        <f>IF(NOT(ISERROR(HLOOKUP(Standings!CC$3,Entries!$C34:$K34,1,FALSE))),"x",IF(NOT(ISERROR(HLOOKUP(Standings!CC$3,Entries!$L34:$L34,1,FALSE))),"S",""))</f>
        <v/>
      </c>
      <c r="CD42" t="str">
        <f>IF(NOT(ISERROR(HLOOKUP(Standings!CD$3,Entries!$C34:$K34,1,FALSE))),"x",IF(NOT(ISERROR(HLOOKUP(Standings!CD$3,Entries!$L34:$L34,1,FALSE))),"S",""))</f>
        <v/>
      </c>
      <c r="CE42" t="str">
        <f>IF(NOT(ISERROR(HLOOKUP(Standings!CE$3,Entries!$C34:$K34,1,FALSE))),"x",IF(NOT(ISERROR(HLOOKUP(Standings!CE$3,Entries!$L34:$L34,1,FALSE))),"S",""))</f>
        <v>x</v>
      </c>
      <c r="CF42" t="str">
        <f>IF(NOT(ISERROR(HLOOKUP(Standings!CF$3,Entries!$C34:$K34,1,FALSE))),"x",IF(NOT(ISERROR(HLOOKUP(Standings!CF$3,Entries!$L34:$L34,1,FALSE))),"S",""))</f>
        <v/>
      </c>
      <c r="CG42" t="str">
        <f>IF(NOT(ISERROR(HLOOKUP(Standings!CG$3,Entries!$C34:$K34,1,FALSE))),"x",IF(NOT(ISERROR(HLOOKUP(Standings!CG$3,Entries!$L34:$L34,1,FALSE))),"S",""))</f>
        <v/>
      </c>
      <c r="CH42" t="str">
        <f>IF(NOT(ISERROR(HLOOKUP(Standings!CH$3,Entries!$C34:$K34,1,FALSE))),"x",IF(NOT(ISERROR(HLOOKUP(Standings!CH$3,Entries!$L34:$L34,1,FALSE))),"S",""))</f>
        <v/>
      </c>
      <c r="CI42" t="str">
        <f>IF(NOT(ISERROR(HLOOKUP(Standings!CI$3,Entries!$C34:$K34,1,FALSE))),"x",IF(NOT(ISERROR(HLOOKUP(Standings!CI$3,Entries!$L34:$L34,1,FALSE))),"S",""))</f>
        <v/>
      </c>
      <c r="CJ42" t="str">
        <f>IF(NOT(ISERROR(HLOOKUP(Standings!CJ$3,Entries!$C34:$K34,1,FALSE))),"x",IF(NOT(ISERROR(HLOOKUP(Standings!CJ$3,Entries!$L34:$L34,1,FALSE))),"S",""))</f>
        <v/>
      </c>
      <c r="CK42" t="str">
        <f>IF(NOT(ISERROR(HLOOKUP(Standings!CK$3,Entries!$C34:$K34,1,FALSE))),"x",IF(NOT(ISERROR(HLOOKUP(Standings!CK$3,Entries!$L34:$L34,1,FALSE))),"S",""))</f>
        <v/>
      </c>
      <c r="CL42" t="str">
        <f>IF(NOT(ISERROR(HLOOKUP(Standings!CL$3,Entries!$C34:$K34,1,FALSE))),"x",IF(NOT(ISERROR(HLOOKUP(Standings!CL$3,Entries!$L34:$L34,1,FALSE))),"S",""))</f>
        <v/>
      </c>
      <c r="CM42" t="str">
        <f>IF(NOT(ISERROR(HLOOKUP(Standings!CM$3,Entries!$C34:$K34,1,FALSE))),"x",IF(NOT(ISERROR(HLOOKUP(Standings!CM$3,Entries!$L34:$L34,1,FALSE))),"S",""))</f>
        <v/>
      </c>
      <c r="CN42" t="str">
        <f>IF(NOT(ISERROR(HLOOKUP(Standings!CN$3,Entries!$C34:$K34,1,FALSE))),"x",IF(NOT(ISERROR(HLOOKUP(Standings!CN$3,Entries!$L34:$L34,1,FALSE))),"S",""))</f>
        <v/>
      </c>
      <c r="CO42" t="str">
        <f>IF(NOT(ISERROR(HLOOKUP(Standings!CO$3,Entries!$C34:$K34,1,FALSE))),"x",IF(NOT(ISERROR(HLOOKUP(Standings!CO$3,Entries!$L34:$L34,1,FALSE))),"S",""))</f>
        <v/>
      </c>
      <c r="CP42" t="str">
        <f>IF(NOT(ISERROR(HLOOKUP(Standings!CP$3,Entries!$C34:$K34,1,FALSE))),"x",IF(NOT(ISERROR(HLOOKUP(Standings!CP$3,Entries!$L34:$L34,1,FALSE))),"S",""))</f>
        <v/>
      </c>
      <c r="CQ42" t="str">
        <f>IF(NOT(ISERROR(HLOOKUP(Standings!CQ$3,Entries!$C34:$K34,1,FALSE))),"x",IF(NOT(ISERROR(HLOOKUP(Standings!CQ$3,Entries!$L34:$L34,1,FALSE))),"S",""))</f>
        <v>x</v>
      </c>
      <c r="CR42" t="str">
        <f>IF(NOT(ISERROR(HLOOKUP(Standings!CR$3,Entries!$C34:$K34,1,FALSE))),"x",IF(NOT(ISERROR(HLOOKUP(Standings!CR$3,Entries!$L34:$L34,1,FALSE))),"S",""))</f>
        <v/>
      </c>
      <c r="CS42" t="str">
        <f>IF(NOT(ISERROR(HLOOKUP(Standings!CS$3,Entries!$C34:$K34,1,FALSE))),"x",IF(NOT(ISERROR(HLOOKUP(Standings!CS$3,Entries!$L34:$L34,1,FALSE))),"S",""))</f>
        <v/>
      </c>
      <c r="CT42" t="str">
        <f>IF(NOT(ISERROR(HLOOKUP(Standings!CT$3,Entries!$C34:$K34,1,FALSE))),"x",IF(NOT(ISERROR(HLOOKUP(Standings!CT$3,Entries!$L34:$L34,1,FALSE))),"S",""))</f>
        <v/>
      </c>
      <c r="CU42" t="str">
        <f>IF(NOT(ISERROR(HLOOKUP(Standings!CU$3,Entries!$C34:$K34,1,FALSE))),"x",IF(NOT(ISERROR(HLOOKUP(Standings!CU$3,Entries!$L34:$L34,1,FALSE))),"S",""))</f>
        <v/>
      </c>
      <c r="CV42" t="str">
        <f>IF(NOT(ISERROR(HLOOKUP(Standings!CV$3,Entries!$C34:$K34,1,FALSE))),"x",IF(NOT(ISERROR(HLOOKUP(Standings!CV$3,Entries!$L34:$L34,1,FALSE))),"S",""))</f>
        <v/>
      </c>
      <c r="CW42" t="str">
        <f>IF(NOT(ISERROR(HLOOKUP(Standings!CW$3,Entries!$C34:$K34,1,FALSE))),"x",IF(NOT(ISERROR(HLOOKUP(Standings!CW$3,Entries!$L34:$L34,1,FALSE))),"S",""))</f>
        <v/>
      </c>
      <c r="CX42" t="str">
        <f>IF(NOT(ISERROR(HLOOKUP(Standings!CX$3,Entries!$C34:$K34,1,FALSE))),"x",IF(NOT(ISERROR(HLOOKUP(Standings!CX$3,Entries!$L34:$L34,1,FALSE))),"S",""))</f>
        <v/>
      </c>
      <c r="CY42" t="str">
        <f>IF(NOT(ISERROR(HLOOKUP(Standings!CY$3,Entries!$C34:$K34,1,FALSE))),"x",IF(NOT(ISERROR(HLOOKUP(Standings!CY$3,Entries!$L34:$L34,1,FALSE))),"S",""))</f>
        <v/>
      </c>
      <c r="CZ42" t="str">
        <f>IF(NOT(ISERROR(HLOOKUP(Standings!CZ$3,Entries!$C34:$K34,1,FALSE))),"x",IF(NOT(ISERROR(HLOOKUP(Standings!CZ$3,Entries!$L34:$L34,1,FALSE))),"S",""))</f>
        <v/>
      </c>
      <c r="DA42" t="str">
        <f>IF(NOT(ISERROR(HLOOKUP(Standings!DA$3,Entries!$C34:$K34,1,FALSE))),"x",IF(NOT(ISERROR(HLOOKUP(Standings!DA$3,Entries!$L34:$L34,1,FALSE))),"S",""))</f>
        <v/>
      </c>
      <c r="DB42" t="str">
        <f>IF(NOT(ISERROR(HLOOKUP(Standings!DB$3,Entries!$C34:$K34,1,FALSE))),"x",IF(NOT(ISERROR(HLOOKUP(Standings!DB$3,Entries!$L34:$L34,1,FALSE))),"S",""))</f>
        <v/>
      </c>
    </row>
    <row r="43" spans="1:106" x14ac:dyDescent="0.25">
      <c r="B43">
        <v>72</v>
      </c>
      <c r="C43" t="str">
        <f>Entries!B35</f>
        <v>AnaTwohy2</v>
      </c>
      <c r="D43" s="4">
        <f t="shared" si="53"/>
        <v>55</v>
      </c>
      <c r="E43" s="31">
        <f t="shared" si="54"/>
        <v>0</v>
      </c>
      <c r="F43" s="40" t="str">
        <f t="shared" si="52"/>
        <v/>
      </c>
      <c r="G43" s="41" t="str">
        <f t="shared" si="5"/>
        <v/>
      </c>
      <c r="H43" s="41" t="str">
        <f t="shared" si="6"/>
        <v/>
      </c>
      <c r="I43" s="42" t="str">
        <f t="shared" si="7"/>
        <v/>
      </c>
      <c r="J43" s="40" t="str">
        <f t="shared" si="8"/>
        <v/>
      </c>
      <c r="K43" s="41" t="str">
        <f t="shared" si="9"/>
        <v/>
      </c>
      <c r="L43" s="41" t="str">
        <f t="shared" si="10"/>
        <v/>
      </c>
      <c r="M43" s="42" t="str">
        <f t="shared" si="11"/>
        <v/>
      </c>
      <c r="N43" s="43">
        <f t="shared" si="12"/>
        <v>0</v>
      </c>
      <c r="O43" s="41" t="str">
        <f t="shared" si="13"/>
        <v/>
      </c>
      <c r="P43" s="41" t="str">
        <f t="shared" si="14"/>
        <v/>
      </c>
      <c r="Q43" s="42" t="str">
        <f t="shared" si="15"/>
        <v/>
      </c>
      <c r="R43" s="40" t="str">
        <f t="shared" si="16"/>
        <v/>
      </c>
      <c r="S43" s="41" t="str">
        <f t="shared" si="17"/>
        <v/>
      </c>
      <c r="T43" s="43" t="str">
        <f t="shared" si="18"/>
        <v/>
      </c>
      <c r="U43" s="42" t="str">
        <f t="shared" si="19"/>
        <v/>
      </c>
      <c r="V43" s="40" t="str">
        <f t="shared" si="20"/>
        <v/>
      </c>
      <c r="W43" s="41" t="str">
        <f t="shared" si="21"/>
        <v/>
      </c>
      <c r="X43" s="41" t="str">
        <f t="shared" si="22"/>
        <v/>
      </c>
      <c r="Y43" s="42" t="str">
        <f t="shared" si="23"/>
        <v/>
      </c>
      <c r="Z43" s="40" t="str">
        <f t="shared" si="24"/>
        <v/>
      </c>
      <c r="AA43" s="41" t="str">
        <f t="shared" si="25"/>
        <v/>
      </c>
      <c r="AB43" s="41" t="str">
        <f t="shared" si="26"/>
        <v/>
      </c>
      <c r="AC43" s="42">
        <f t="shared" si="27"/>
        <v>-1.0000000000000001E-5</v>
      </c>
      <c r="AD43" s="40" t="str">
        <f t="shared" si="28"/>
        <v/>
      </c>
      <c r="AE43" s="41" t="str">
        <f t="shared" si="29"/>
        <v/>
      </c>
      <c r="AF43" s="41" t="str">
        <f t="shared" si="30"/>
        <v/>
      </c>
      <c r="AG43" s="42" t="str">
        <f t="shared" si="31"/>
        <v/>
      </c>
      <c r="AH43" s="40" t="str">
        <f t="shared" si="32"/>
        <v/>
      </c>
      <c r="AI43" s="41" t="str">
        <f t="shared" si="33"/>
        <v/>
      </c>
      <c r="AJ43" s="41" t="str">
        <f t="shared" si="34"/>
        <v/>
      </c>
      <c r="AK43" s="42" t="str">
        <f t="shared" si="35"/>
        <v/>
      </c>
      <c r="AL43" s="40" t="str">
        <f t="shared" si="36"/>
        <v/>
      </c>
      <c r="AM43" s="41" t="str">
        <f t="shared" si="37"/>
        <v/>
      </c>
      <c r="AN43" s="41" t="str">
        <f t="shared" si="38"/>
        <v/>
      </c>
      <c r="AO43" s="42" t="str">
        <f t="shared" si="39"/>
        <v/>
      </c>
      <c r="AP43" s="40" t="str">
        <f t="shared" si="40"/>
        <v/>
      </c>
      <c r="AQ43" s="41" t="str">
        <f t="shared" si="41"/>
        <v/>
      </c>
      <c r="AR43" s="41" t="str">
        <f t="shared" si="42"/>
        <v/>
      </c>
      <c r="AS43" s="42" t="str">
        <f t="shared" si="43"/>
        <v/>
      </c>
      <c r="AT43" s="40" t="str">
        <f t="shared" si="44"/>
        <v/>
      </c>
      <c r="AU43" s="41" t="str">
        <f t="shared" si="45"/>
        <v/>
      </c>
      <c r="AV43" s="41" t="str">
        <f t="shared" si="46"/>
        <v/>
      </c>
      <c r="AW43" s="42" t="str">
        <f t="shared" si="47"/>
        <v/>
      </c>
      <c r="AX43" s="40">
        <f t="shared" si="48"/>
        <v>0</v>
      </c>
      <c r="AY43" s="41" t="str">
        <f t="shared" si="49"/>
        <v/>
      </c>
      <c r="AZ43" s="41" t="str">
        <f t="shared" si="50"/>
        <v/>
      </c>
      <c r="BA43" s="42" t="str">
        <f t="shared" si="51"/>
        <v/>
      </c>
      <c r="BB43" s="37" t="s">
        <v>106</v>
      </c>
      <c r="BG43" t="str">
        <f>IF(NOT(ISERROR(HLOOKUP(Standings!BG$3,Entries!$C35:$K35,1,FALSE))),"x",IF(NOT(ISERROR(HLOOKUP(Standings!BG$3,Entries!$L35:$L35,1,FALSE))),"S",""))</f>
        <v/>
      </c>
      <c r="BH43" t="str">
        <f>IF(NOT(ISERROR(HLOOKUP(Standings!BH$3,Entries!$C35:$K35,1,FALSE))),"x",IF(NOT(ISERROR(HLOOKUP(Standings!BH$3,Entries!$L35:$L35,1,FALSE))),"S",""))</f>
        <v/>
      </c>
      <c r="BI43" t="str">
        <f>IF(NOT(ISERROR(HLOOKUP(Standings!BI$3,Entries!$C35:$K35,1,FALSE))),"x",IF(NOT(ISERROR(HLOOKUP(Standings!BI$3,Entries!$L35:$L35,1,FALSE))),"S",""))</f>
        <v/>
      </c>
      <c r="BJ43" t="str">
        <f>IF(NOT(ISERROR(HLOOKUP(Standings!BJ$3,Entries!$C35:$K35,1,FALSE))),"x",IF(NOT(ISERROR(HLOOKUP(Standings!BJ$3,Entries!$L35:$L35,1,FALSE))),"S",""))</f>
        <v/>
      </c>
      <c r="BK43" t="str">
        <f>IF(NOT(ISERROR(HLOOKUP(Standings!BK$3,Entries!$C35:$K35,1,FALSE))),"x",IF(NOT(ISERROR(HLOOKUP(Standings!BK$3,Entries!$L35:$L35,1,FALSE))),"S",""))</f>
        <v/>
      </c>
      <c r="BL43" t="str">
        <f>IF(NOT(ISERROR(HLOOKUP(Standings!BL$3,Entries!$C35:$K35,1,FALSE))),"x",IF(NOT(ISERROR(HLOOKUP(Standings!BL$3,Entries!$L35:$L35,1,FALSE))),"S",""))</f>
        <v/>
      </c>
      <c r="BM43" t="str">
        <f>IF(NOT(ISERROR(HLOOKUP(Standings!BM$3,Entries!$C35:$K35,1,FALSE))),"x",IF(NOT(ISERROR(HLOOKUP(Standings!BM$3,Entries!$L35:$L35,1,FALSE))),"S",""))</f>
        <v/>
      </c>
      <c r="BN43" t="str">
        <f>IF(NOT(ISERROR(HLOOKUP(Standings!BN$3,Entries!$C35:$K35,1,FALSE))),"x",IF(NOT(ISERROR(HLOOKUP(Standings!BN$3,Entries!$L35:$L35,1,FALSE))),"S",""))</f>
        <v/>
      </c>
      <c r="BO43" t="str">
        <f>IF(NOT(ISERROR(HLOOKUP(Standings!BO$3,Entries!$C35:$K35,1,FALSE))),"x",IF(NOT(ISERROR(HLOOKUP(Standings!BO$3,Entries!$L35:$L35,1,FALSE))),"S",""))</f>
        <v>x</v>
      </c>
      <c r="BP43" t="str">
        <f>IF(NOT(ISERROR(HLOOKUP(Standings!BP$3,Entries!$C35:$K35,1,FALSE))),"x",IF(NOT(ISERROR(HLOOKUP(Standings!BP$3,Entries!$L35:$L35,1,FALSE))),"S",""))</f>
        <v/>
      </c>
      <c r="BQ43" t="str">
        <f>IF(NOT(ISERROR(HLOOKUP(Standings!BQ$3,Entries!$C35:$K35,1,FALSE))),"x",IF(NOT(ISERROR(HLOOKUP(Standings!BQ$3,Entries!$L35:$L35,1,FALSE))),"S",""))</f>
        <v/>
      </c>
      <c r="BR43" t="str">
        <f>IF(NOT(ISERROR(HLOOKUP(Standings!BR$3,Entries!$C35:$K35,1,FALSE))),"x",IF(NOT(ISERROR(HLOOKUP(Standings!BR$3,Entries!$L35:$L35,1,FALSE))),"S",""))</f>
        <v/>
      </c>
      <c r="BS43" t="str">
        <f>IF(NOT(ISERROR(HLOOKUP(Standings!BS$3,Entries!$C35:$K35,1,FALSE))),"x",IF(NOT(ISERROR(HLOOKUP(Standings!BS$3,Entries!$L35:$L35,1,FALSE))),"S",""))</f>
        <v/>
      </c>
      <c r="BT43" t="str">
        <f>IF(NOT(ISERROR(HLOOKUP(Standings!BT$3,Entries!$C35:$K35,1,FALSE))),"x",IF(NOT(ISERROR(HLOOKUP(Standings!BT$3,Entries!$L35:$L35,1,FALSE))),"S",""))</f>
        <v/>
      </c>
      <c r="BU43" t="str">
        <f>IF(NOT(ISERROR(HLOOKUP(Standings!BU$3,Entries!$C35:$K35,1,FALSE))),"x",IF(NOT(ISERROR(HLOOKUP(Standings!BU$3,Entries!$L35:$L35,1,FALSE))),"S",""))</f>
        <v/>
      </c>
      <c r="BV43" t="str">
        <f>IF(NOT(ISERROR(HLOOKUP(Standings!BV$3,Entries!$C35:$K35,1,FALSE))),"x",IF(NOT(ISERROR(HLOOKUP(Standings!BV$3,Entries!$L35:$L35,1,FALSE))),"S",""))</f>
        <v/>
      </c>
      <c r="BW43" t="str">
        <f>IF(NOT(ISERROR(HLOOKUP(Standings!BW$3,Entries!$C35:$K35,1,FALSE))),"x",IF(NOT(ISERROR(HLOOKUP(Standings!BW$3,Entries!$L35:$L35,1,FALSE))),"S",""))</f>
        <v/>
      </c>
      <c r="BX43" t="str">
        <f>IF(NOT(ISERROR(HLOOKUP(Standings!BX$3,Entries!$C35:$K35,1,FALSE))),"x",IF(NOT(ISERROR(HLOOKUP(Standings!BX$3,Entries!$L35:$L35,1,FALSE))),"S",""))</f>
        <v/>
      </c>
      <c r="BY43" t="str">
        <f>IF(NOT(ISERROR(HLOOKUP(Standings!BY$3,Entries!$C35:$K35,1,FALSE))),"x",IF(NOT(ISERROR(HLOOKUP(Standings!BY$3,Entries!$L35:$L35,1,FALSE))),"S",""))</f>
        <v/>
      </c>
      <c r="BZ43" t="str">
        <f>IF(NOT(ISERROR(HLOOKUP(Standings!BZ$3,Entries!$C35:$K35,1,FALSE))),"x",IF(NOT(ISERROR(HLOOKUP(Standings!BZ$3,Entries!$L35:$L35,1,FALSE))),"S",""))</f>
        <v/>
      </c>
      <c r="CA43" t="str">
        <f>IF(NOT(ISERROR(HLOOKUP(Standings!CA$3,Entries!$C35:$K35,1,FALSE))),"x",IF(NOT(ISERROR(HLOOKUP(Standings!CA$3,Entries!$L35:$L35,1,FALSE))),"S",""))</f>
        <v/>
      </c>
      <c r="CB43" t="str">
        <f>IF(NOT(ISERROR(HLOOKUP(Standings!CB$3,Entries!$C35:$K35,1,FALSE))),"x",IF(NOT(ISERROR(HLOOKUP(Standings!CB$3,Entries!$L35:$L35,1,FALSE))),"S",""))</f>
        <v/>
      </c>
      <c r="CC43" t="str">
        <f>IF(NOT(ISERROR(HLOOKUP(Standings!CC$3,Entries!$C35:$K35,1,FALSE))),"x",IF(NOT(ISERROR(HLOOKUP(Standings!CC$3,Entries!$L35:$L35,1,FALSE))),"S",""))</f>
        <v/>
      </c>
      <c r="CD43" t="str">
        <f>IF(NOT(ISERROR(HLOOKUP(Standings!CD$3,Entries!$C35:$K35,1,FALSE))),"x",IF(NOT(ISERROR(HLOOKUP(Standings!CD$3,Entries!$L35:$L35,1,FALSE))),"S",""))</f>
        <v>S</v>
      </c>
      <c r="CE43" t="str">
        <f>IF(NOT(ISERROR(HLOOKUP(Standings!CE$3,Entries!$C35:$K35,1,FALSE))),"x",IF(NOT(ISERROR(HLOOKUP(Standings!CE$3,Entries!$L35:$L35,1,FALSE))),"S",""))</f>
        <v/>
      </c>
      <c r="CF43" t="str">
        <f>IF(NOT(ISERROR(HLOOKUP(Standings!CF$3,Entries!$C35:$K35,1,FALSE))),"x",IF(NOT(ISERROR(HLOOKUP(Standings!CF$3,Entries!$L35:$L35,1,FALSE))),"S",""))</f>
        <v/>
      </c>
      <c r="CG43" t="str">
        <f>IF(NOT(ISERROR(HLOOKUP(Standings!CG$3,Entries!$C35:$K35,1,FALSE))),"x",IF(NOT(ISERROR(HLOOKUP(Standings!CG$3,Entries!$L35:$L35,1,FALSE))),"S",""))</f>
        <v/>
      </c>
      <c r="CH43" t="str">
        <f>IF(NOT(ISERROR(HLOOKUP(Standings!CH$3,Entries!$C35:$K35,1,FALSE))),"x",IF(NOT(ISERROR(HLOOKUP(Standings!CH$3,Entries!$L35:$L35,1,FALSE))),"S",""))</f>
        <v/>
      </c>
      <c r="CI43" t="str">
        <f>IF(NOT(ISERROR(HLOOKUP(Standings!CI$3,Entries!$C35:$K35,1,FALSE))),"x",IF(NOT(ISERROR(HLOOKUP(Standings!CI$3,Entries!$L35:$L35,1,FALSE))),"S",""))</f>
        <v/>
      </c>
      <c r="CJ43" t="str">
        <f>IF(NOT(ISERROR(HLOOKUP(Standings!CJ$3,Entries!$C35:$K35,1,FALSE))),"x",IF(NOT(ISERROR(HLOOKUP(Standings!CJ$3,Entries!$L35:$L35,1,FALSE))),"S",""))</f>
        <v/>
      </c>
      <c r="CK43" t="str">
        <f>IF(NOT(ISERROR(HLOOKUP(Standings!CK$3,Entries!$C35:$K35,1,FALSE))),"x",IF(NOT(ISERROR(HLOOKUP(Standings!CK$3,Entries!$L35:$L35,1,FALSE))),"S",""))</f>
        <v/>
      </c>
      <c r="CL43" t="str">
        <f>IF(NOT(ISERROR(HLOOKUP(Standings!CL$3,Entries!$C35:$K35,1,FALSE))),"x",IF(NOT(ISERROR(HLOOKUP(Standings!CL$3,Entries!$L35:$L35,1,FALSE))),"S",""))</f>
        <v/>
      </c>
      <c r="CM43" t="str">
        <f>IF(NOT(ISERROR(HLOOKUP(Standings!CM$3,Entries!$C35:$K35,1,FALSE))),"x",IF(NOT(ISERROR(HLOOKUP(Standings!CM$3,Entries!$L35:$L35,1,FALSE))),"S",""))</f>
        <v/>
      </c>
      <c r="CN43" t="str">
        <f>IF(NOT(ISERROR(HLOOKUP(Standings!CN$3,Entries!$C35:$K35,1,FALSE))),"x",IF(NOT(ISERROR(HLOOKUP(Standings!CN$3,Entries!$L35:$L35,1,FALSE))),"S",""))</f>
        <v/>
      </c>
      <c r="CO43" t="str">
        <f>IF(NOT(ISERROR(HLOOKUP(Standings!CO$3,Entries!$C35:$K35,1,FALSE))),"x",IF(NOT(ISERROR(HLOOKUP(Standings!CO$3,Entries!$L35:$L35,1,FALSE))),"S",""))</f>
        <v/>
      </c>
      <c r="CP43" t="str">
        <f>IF(NOT(ISERROR(HLOOKUP(Standings!CP$3,Entries!$C35:$K35,1,FALSE))),"x",IF(NOT(ISERROR(HLOOKUP(Standings!CP$3,Entries!$L35:$L35,1,FALSE))),"S",""))</f>
        <v/>
      </c>
      <c r="CQ43" t="str">
        <f>IF(NOT(ISERROR(HLOOKUP(Standings!CQ$3,Entries!$C35:$K35,1,FALSE))),"x",IF(NOT(ISERROR(HLOOKUP(Standings!CQ$3,Entries!$L35:$L35,1,FALSE))),"S",""))</f>
        <v/>
      </c>
      <c r="CR43" t="str">
        <f>IF(NOT(ISERROR(HLOOKUP(Standings!CR$3,Entries!$C35:$K35,1,FALSE))),"x",IF(NOT(ISERROR(HLOOKUP(Standings!CR$3,Entries!$L35:$L35,1,FALSE))),"S",""))</f>
        <v/>
      </c>
      <c r="CS43" t="str">
        <f>IF(NOT(ISERROR(HLOOKUP(Standings!CS$3,Entries!$C35:$K35,1,FALSE))),"x",IF(NOT(ISERROR(HLOOKUP(Standings!CS$3,Entries!$L35:$L35,1,FALSE))),"S",""))</f>
        <v/>
      </c>
      <c r="CT43" t="str">
        <f>IF(NOT(ISERROR(HLOOKUP(Standings!CT$3,Entries!$C35:$K35,1,FALSE))),"x",IF(NOT(ISERROR(HLOOKUP(Standings!CT$3,Entries!$L35:$L35,1,FALSE))),"S",""))</f>
        <v/>
      </c>
      <c r="CU43" t="str">
        <f>IF(NOT(ISERROR(HLOOKUP(Standings!CU$3,Entries!$C35:$K35,1,FALSE))),"x",IF(NOT(ISERROR(HLOOKUP(Standings!CU$3,Entries!$L35:$L35,1,FALSE))),"S",""))</f>
        <v/>
      </c>
      <c r="CV43" t="str">
        <f>IF(NOT(ISERROR(HLOOKUP(Standings!CV$3,Entries!$C35:$K35,1,FALSE))),"x",IF(NOT(ISERROR(HLOOKUP(Standings!CV$3,Entries!$L35:$L35,1,FALSE))),"S",""))</f>
        <v/>
      </c>
      <c r="CW43" t="str">
        <f>IF(NOT(ISERROR(HLOOKUP(Standings!CW$3,Entries!$C35:$K35,1,FALSE))),"x",IF(NOT(ISERROR(HLOOKUP(Standings!CW$3,Entries!$L35:$L35,1,FALSE))),"S",""))</f>
        <v/>
      </c>
      <c r="CX43" t="str">
        <f>IF(NOT(ISERROR(HLOOKUP(Standings!CX$3,Entries!$C35:$K35,1,FALSE))),"x",IF(NOT(ISERROR(HLOOKUP(Standings!CX$3,Entries!$L35:$L35,1,FALSE))),"S",""))</f>
        <v/>
      </c>
      <c r="CY43" t="str">
        <f>IF(NOT(ISERROR(HLOOKUP(Standings!CY$3,Entries!$C35:$K35,1,FALSE))),"x",IF(NOT(ISERROR(HLOOKUP(Standings!CY$3,Entries!$L35:$L35,1,FALSE))),"S",""))</f>
        <v>x</v>
      </c>
      <c r="CZ43" t="str">
        <f>IF(NOT(ISERROR(HLOOKUP(Standings!CZ$3,Entries!$C35:$K35,1,FALSE))),"x",IF(NOT(ISERROR(HLOOKUP(Standings!CZ$3,Entries!$L35:$L35,1,FALSE))),"S",""))</f>
        <v/>
      </c>
      <c r="DA43" t="str">
        <f>IF(NOT(ISERROR(HLOOKUP(Standings!DA$3,Entries!$C35:$K35,1,FALSE))),"x",IF(NOT(ISERROR(HLOOKUP(Standings!DA$3,Entries!$L35:$L35,1,FALSE))),"S",""))</f>
        <v/>
      </c>
      <c r="DB43" t="str">
        <f>IF(NOT(ISERROR(HLOOKUP(Standings!DB$3,Entries!$C35:$K35,1,FALSE))),"x",IF(NOT(ISERROR(HLOOKUP(Standings!DB$3,Entries!$L35:$L35,1,FALSE))),"S",""))</f>
        <v/>
      </c>
    </row>
    <row r="44" spans="1:106" x14ac:dyDescent="0.25">
      <c r="A44" s="18"/>
      <c r="B44">
        <v>16</v>
      </c>
      <c r="C44" t="str">
        <f>Entries!B36</f>
        <v>JoshTwohy1</v>
      </c>
      <c r="D44" s="4">
        <f t="shared" si="53"/>
        <v>8</v>
      </c>
      <c r="E44" s="31">
        <f t="shared" si="54"/>
        <v>3</v>
      </c>
      <c r="F44" s="40">
        <f t="shared" si="52"/>
        <v>2</v>
      </c>
      <c r="G44" s="41" t="str">
        <f t="shared" si="5"/>
        <v/>
      </c>
      <c r="H44" s="41" t="str">
        <f t="shared" si="6"/>
        <v/>
      </c>
      <c r="I44" s="42" t="str">
        <f t="shared" si="7"/>
        <v/>
      </c>
      <c r="J44" s="40">
        <f t="shared" si="8"/>
        <v>1</v>
      </c>
      <c r="K44" s="41">
        <f t="shared" si="9"/>
        <v>0</v>
      </c>
      <c r="L44" s="41" t="str">
        <f t="shared" si="10"/>
        <v/>
      </c>
      <c r="M44" s="42" t="str">
        <f t="shared" si="11"/>
        <v/>
      </c>
      <c r="N44" s="43" t="str">
        <f t="shared" si="12"/>
        <v/>
      </c>
      <c r="O44" s="41" t="str">
        <f t="shared" si="13"/>
        <v/>
      </c>
      <c r="P44" s="41" t="str">
        <f t="shared" si="14"/>
        <v/>
      </c>
      <c r="Q44" s="42" t="str">
        <f t="shared" si="15"/>
        <v/>
      </c>
      <c r="R44" s="40" t="str">
        <f t="shared" si="16"/>
        <v/>
      </c>
      <c r="S44" s="41" t="str">
        <f t="shared" si="17"/>
        <v/>
      </c>
      <c r="T44" s="43" t="str">
        <f t="shared" si="18"/>
        <v/>
      </c>
      <c r="U44" s="42" t="str">
        <f t="shared" si="19"/>
        <v/>
      </c>
      <c r="V44" s="40" t="str">
        <f t="shared" si="20"/>
        <v/>
      </c>
      <c r="W44" s="41">
        <f t="shared" si="21"/>
        <v>0</v>
      </c>
      <c r="X44" s="41" t="str">
        <f t="shared" si="22"/>
        <v/>
      </c>
      <c r="Y44" s="42" t="str">
        <f t="shared" si="23"/>
        <v/>
      </c>
      <c r="Z44" s="40">
        <f t="shared" si="24"/>
        <v>0</v>
      </c>
      <c r="AA44" s="41">
        <f t="shared" si="25"/>
        <v>0</v>
      </c>
      <c r="AB44" s="41" t="str">
        <f t="shared" si="26"/>
        <v/>
      </c>
      <c r="AC44" s="42" t="str">
        <f t="shared" si="27"/>
        <v/>
      </c>
      <c r="AD44" s="40" t="str">
        <f t="shared" si="28"/>
        <v/>
      </c>
      <c r="AE44" s="41">
        <f t="shared" si="29"/>
        <v>0</v>
      </c>
      <c r="AF44" s="41" t="str">
        <f t="shared" si="30"/>
        <v/>
      </c>
      <c r="AG44" s="42" t="str">
        <f t="shared" si="31"/>
        <v/>
      </c>
      <c r="AH44" s="40" t="str">
        <f t="shared" si="32"/>
        <v/>
      </c>
      <c r="AI44" s="41" t="str">
        <f t="shared" si="33"/>
        <v/>
      </c>
      <c r="AJ44" s="41" t="str">
        <f t="shared" si="34"/>
        <v/>
      </c>
      <c r="AK44" s="42" t="str">
        <f t="shared" si="35"/>
        <v/>
      </c>
      <c r="AL44" s="40">
        <f t="shared" si="36"/>
        <v>-1.0000000000000001E-5</v>
      </c>
      <c r="AM44" s="41" t="str">
        <f t="shared" si="37"/>
        <v/>
      </c>
      <c r="AN44" s="41" t="str">
        <f t="shared" si="38"/>
        <v/>
      </c>
      <c r="AO44" s="42" t="str">
        <f t="shared" si="39"/>
        <v/>
      </c>
      <c r="AP44" s="40" t="str">
        <f t="shared" si="40"/>
        <v/>
      </c>
      <c r="AQ44" s="41" t="str">
        <f t="shared" si="41"/>
        <v/>
      </c>
      <c r="AR44" s="41">
        <f t="shared" si="42"/>
        <v>0</v>
      </c>
      <c r="AS44" s="42" t="str">
        <f t="shared" si="43"/>
        <v/>
      </c>
      <c r="AT44" s="40" t="str">
        <f t="shared" si="44"/>
        <v/>
      </c>
      <c r="AU44" s="41" t="str">
        <f t="shared" si="45"/>
        <v/>
      </c>
      <c r="AV44" s="41" t="str">
        <f t="shared" si="46"/>
        <v/>
      </c>
      <c r="AW44" s="42" t="str">
        <f t="shared" si="47"/>
        <v/>
      </c>
      <c r="AX44" s="40" t="str">
        <f t="shared" si="48"/>
        <v/>
      </c>
      <c r="AY44" s="41">
        <f t="shared" si="49"/>
        <v>0</v>
      </c>
      <c r="AZ44" s="41" t="str">
        <f t="shared" si="50"/>
        <v/>
      </c>
      <c r="BA44" s="42" t="str">
        <f t="shared" si="51"/>
        <v/>
      </c>
      <c r="BB44" s="37" t="s">
        <v>106</v>
      </c>
      <c r="BC44" s="21"/>
      <c r="BD44" s="21"/>
      <c r="BG44" t="str">
        <f>IF(NOT(ISERROR(HLOOKUP(Standings!BG$3,Entries!$C36:$K36,1,FALSE))),"x",IF(NOT(ISERROR(HLOOKUP(Standings!BG$3,Entries!$L36:$L36,1,FALSE))),"S",""))</f>
        <v>x</v>
      </c>
      <c r="BH44" t="str">
        <f>IF(NOT(ISERROR(HLOOKUP(Standings!BH$3,Entries!$C36:$K36,1,FALSE))),"x",IF(NOT(ISERROR(HLOOKUP(Standings!BH$3,Entries!$L36:$L36,1,FALSE))),"S",""))</f>
        <v/>
      </c>
      <c r="BI44" t="str">
        <f>IF(NOT(ISERROR(HLOOKUP(Standings!BI$3,Entries!$C36:$K36,1,FALSE))),"x",IF(NOT(ISERROR(HLOOKUP(Standings!BI$3,Entries!$L36:$L36,1,FALSE))),"S",""))</f>
        <v/>
      </c>
      <c r="BJ44" t="str">
        <f>IF(NOT(ISERROR(HLOOKUP(Standings!BJ$3,Entries!$C36:$K36,1,FALSE))),"x",IF(NOT(ISERROR(HLOOKUP(Standings!BJ$3,Entries!$L36:$L36,1,FALSE))),"S",""))</f>
        <v/>
      </c>
      <c r="BK44" t="str">
        <f>IF(NOT(ISERROR(HLOOKUP(Standings!BK$3,Entries!$C36:$K36,1,FALSE))),"x",IF(NOT(ISERROR(HLOOKUP(Standings!BK$3,Entries!$L36:$L36,1,FALSE))),"S",""))</f>
        <v>x</v>
      </c>
      <c r="BL44" t="str">
        <f>IF(NOT(ISERROR(HLOOKUP(Standings!BL$3,Entries!$C36:$K36,1,FALSE))),"x",IF(NOT(ISERROR(HLOOKUP(Standings!BL$3,Entries!$L36:$L36,1,FALSE))),"S",""))</f>
        <v>x</v>
      </c>
      <c r="BM44" t="str">
        <f>IF(NOT(ISERROR(HLOOKUP(Standings!BM$3,Entries!$C36:$K36,1,FALSE))),"x",IF(NOT(ISERROR(HLOOKUP(Standings!BM$3,Entries!$L36:$L36,1,FALSE))),"S",""))</f>
        <v/>
      </c>
      <c r="BN44" t="str">
        <f>IF(NOT(ISERROR(HLOOKUP(Standings!BN$3,Entries!$C36:$K36,1,FALSE))),"x",IF(NOT(ISERROR(HLOOKUP(Standings!BN$3,Entries!$L36:$L36,1,FALSE))),"S",""))</f>
        <v/>
      </c>
      <c r="BO44" t="str">
        <f>IF(NOT(ISERROR(HLOOKUP(Standings!BO$3,Entries!$C36:$K36,1,FALSE))),"x",IF(NOT(ISERROR(HLOOKUP(Standings!BO$3,Entries!$L36:$L36,1,FALSE))),"S",""))</f>
        <v/>
      </c>
      <c r="BP44" t="str">
        <f>IF(NOT(ISERROR(HLOOKUP(Standings!BP$3,Entries!$C36:$K36,1,FALSE))),"x",IF(NOT(ISERROR(HLOOKUP(Standings!BP$3,Entries!$L36:$L36,1,FALSE))),"S",""))</f>
        <v/>
      </c>
      <c r="BQ44" t="str">
        <f>IF(NOT(ISERROR(HLOOKUP(Standings!BQ$3,Entries!$C36:$K36,1,FALSE))),"x",IF(NOT(ISERROR(HLOOKUP(Standings!BQ$3,Entries!$L36:$L36,1,FALSE))),"S",""))</f>
        <v/>
      </c>
      <c r="BR44" t="str">
        <f>IF(NOT(ISERROR(HLOOKUP(Standings!BR$3,Entries!$C36:$K36,1,FALSE))),"x",IF(NOT(ISERROR(HLOOKUP(Standings!BR$3,Entries!$L36:$L36,1,FALSE))),"S",""))</f>
        <v/>
      </c>
      <c r="BS44" t="str">
        <f>IF(NOT(ISERROR(HLOOKUP(Standings!BS$3,Entries!$C36:$K36,1,FALSE))),"x",IF(NOT(ISERROR(HLOOKUP(Standings!BS$3,Entries!$L36:$L36,1,FALSE))),"S",""))</f>
        <v/>
      </c>
      <c r="BT44" t="str">
        <f>IF(NOT(ISERROR(HLOOKUP(Standings!BT$3,Entries!$C36:$K36,1,FALSE))),"x",IF(NOT(ISERROR(HLOOKUP(Standings!BT$3,Entries!$L36:$L36,1,FALSE))),"S",""))</f>
        <v/>
      </c>
      <c r="BU44" t="str">
        <f>IF(NOT(ISERROR(HLOOKUP(Standings!BU$3,Entries!$C36:$K36,1,FALSE))),"x",IF(NOT(ISERROR(HLOOKUP(Standings!BU$3,Entries!$L36:$L36,1,FALSE))),"S",""))</f>
        <v/>
      </c>
      <c r="BV44" t="str">
        <f>IF(NOT(ISERROR(HLOOKUP(Standings!BV$3,Entries!$C36:$K36,1,FALSE))),"x",IF(NOT(ISERROR(HLOOKUP(Standings!BV$3,Entries!$L36:$L36,1,FALSE))),"S",""))</f>
        <v/>
      </c>
      <c r="BW44" t="str">
        <f>IF(NOT(ISERROR(HLOOKUP(Standings!BW$3,Entries!$C36:$K36,1,FALSE))),"x",IF(NOT(ISERROR(HLOOKUP(Standings!BW$3,Entries!$L36:$L36,1,FALSE))),"S",""))</f>
        <v/>
      </c>
      <c r="BX44" t="str">
        <f>IF(NOT(ISERROR(HLOOKUP(Standings!BX$3,Entries!$C36:$K36,1,FALSE))),"x",IF(NOT(ISERROR(HLOOKUP(Standings!BX$3,Entries!$L36:$L36,1,FALSE))),"S",""))</f>
        <v>x</v>
      </c>
      <c r="BY44" t="str">
        <f>IF(NOT(ISERROR(HLOOKUP(Standings!BY$3,Entries!$C36:$K36,1,FALSE))),"x",IF(NOT(ISERROR(HLOOKUP(Standings!BY$3,Entries!$L36:$L36,1,FALSE))),"S",""))</f>
        <v/>
      </c>
      <c r="BZ44" t="str">
        <f>IF(NOT(ISERROR(HLOOKUP(Standings!BZ$3,Entries!$C36:$K36,1,FALSE))),"x",IF(NOT(ISERROR(HLOOKUP(Standings!BZ$3,Entries!$L36:$L36,1,FALSE))),"S",""))</f>
        <v/>
      </c>
      <c r="CA44" t="str">
        <f>IF(NOT(ISERROR(HLOOKUP(Standings!CA$3,Entries!$C36:$K36,1,FALSE))),"x",IF(NOT(ISERROR(HLOOKUP(Standings!CA$3,Entries!$L36:$L36,1,FALSE))),"S",""))</f>
        <v>x</v>
      </c>
      <c r="CB44" t="str">
        <f>IF(NOT(ISERROR(HLOOKUP(Standings!CB$3,Entries!$C36:$K36,1,FALSE))),"x",IF(NOT(ISERROR(HLOOKUP(Standings!CB$3,Entries!$L36:$L36,1,FALSE))),"S",""))</f>
        <v>x</v>
      </c>
      <c r="CC44" t="str">
        <f>IF(NOT(ISERROR(HLOOKUP(Standings!CC$3,Entries!$C36:$K36,1,FALSE))),"x",IF(NOT(ISERROR(HLOOKUP(Standings!CC$3,Entries!$L36:$L36,1,FALSE))),"S",""))</f>
        <v/>
      </c>
      <c r="CD44" t="str">
        <f>IF(NOT(ISERROR(HLOOKUP(Standings!CD$3,Entries!$C36:$K36,1,FALSE))),"x",IF(NOT(ISERROR(HLOOKUP(Standings!CD$3,Entries!$L36:$L36,1,FALSE))),"S",""))</f>
        <v/>
      </c>
      <c r="CE44" t="str">
        <f>IF(NOT(ISERROR(HLOOKUP(Standings!CE$3,Entries!$C36:$K36,1,FALSE))),"x",IF(NOT(ISERROR(HLOOKUP(Standings!CE$3,Entries!$L36:$L36,1,FALSE))),"S",""))</f>
        <v/>
      </c>
      <c r="CF44" t="str">
        <f>IF(NOT(ISERROR(HLOOKUP(Standings!CF$3,Entries!$C36:$K36,1,FALSE))),"x",IF(NOT(ISERROR(HLOOKUP(Standings!CF$3,Entries!$L36:$L36,1,FALSE))),"S",""))</f>
        <v>x</v>
      </c>
      <c r="CG44" t="str">
        <f>IF(NOT(ISERROR(HLOOKUP(Standings!CG$3,Entries!$C36:$K36,1,FALSE))),"x",IF(NOT(ISERROR(HLOOKUP(Standings!CG$3,Entries!$L36:$L36,1,FALSE))),"S",""))</f>
        <v/>
      </c>
      <c r="CH44" t="str">
        <f>IF(NOT(ISERROR(HLOOKUP(Standings!CH$3,Entries!$C36:$K36,1,FALSE))),"x",IF(NOT(ISERROR(HLOOKUP(Standings!CH$3,Entries!$L36:$L36,1,FALSE))),"S",""))</f>
        <v/>
      </c>
      <c r="CI44" t="str">
        <f>IF(NOT(ISERROR(HLOOKUP(Standings!CI$3,Entries!$C36:$K36,1,FALSE))),"x",IF(NOT(ISERROR(HLOOKUP(Standings!CI$3,Entries!$L36:$L36,1,FALSE))),"S",""))</f>
        <v/>
      </c>
      <c r="CJ44" t="str">
        <f>IF(NOT(ISERROR(HLOOKUP(Standings!CJ$3,Entries!$C36:$K36,1,FALSE))),"x",IF(NOT(ISERROR(HLOOKUP(Standings!CJ$3,Entries!$L36:$L36,1,FALSE))),"S",""))</f>
        <v/>
      </c>
      <c r="CK44" t="str">
        <f>IF(NOT(ISERROR(HLOOKUP(Standings!CK$3,Entries!$C36:$K36,1,FALSE))),"x",IF(NOT(ISERROR(HLOOKUP(Standings!CK$3,Entries!$L36:$L36,1,FALSE))),"S",""))</f>
        <v/>
      </c>
      <c r="CL44" t="str">
        <f>IF(NOT(ISERROR(HLOOKUP(Standings!CL$3,Entries!$C36:$K36,1,FALSE))),"x",IF(NOT(ISERROR(HLOOKUP(Standings!CL$3,Entries!$L36:$L36,1,FALSE))),"S",""))</f>
        <v/>
      </c>
      <c r="CM44" t="str">
        <f>IF(NOT(ISERROR(HLOOKUP(Standings!CM$3,Entries!$C36:$K36,1,FALSE))),"x",IF(NOT(ISERROR(HLOOKUP(Standings!CM$3,Entries!$L36:$L36,1,FALSE))),"S",""))</f>
        <v>S</v>
      </c>
      <c r="CN44" t="str">
        <f>IF(NOT(ISERROR(HLOOKUP(Standings!CN$3,Entries!$C36:$K36,1,FALSE))),"x",IF(NOT(ISERROR(HLOOKUP(Standings!CN$3,Entries!$L36:$L36,1,FALSE))),"S",""))</f>
        <v/>
      </c>
      <c r="CO44" t="str">
        <f>IF(NOT(ISERROR(HLOOKUP(Standings!CO$3,Entries!$C36:$K36,1,FALSE))),"x",IF(NOT(ISERROR(HLOOKUP(Standings!CO$3,Entries!$L36:$L36,1,FALSE))),"S",""))</f>
        <v/>
      </c>
      <c r="CP44" t="str">
        <f>IF(NOT(ISERROR(HLOOKUP(Standings!CP$3,Entries!$C36:$K36,1,FALSE))),"x",IF(NOT(ISERROR(HLOOKUP(Standings!CP$3,Entries!$L36:$L36,1,FALSE))),"S",""))</f>
        <v/>
      </c>
      <c r="CQ44" t="str">
        <f>IF(NOT(ISERROR(HLOOKUP(Standings!CQ$3,Entries!$C36:$K36,1,FALSE))),"x",IF(NOT(ISERROR(HLOOKUP(Standings!CQ$3,Entries!$L36:$L36,1,FALSE))),"S",""))</f>
        <v/>
      </c>
      <c r="CR44" t="str">
        <f>IF(NOT(ISERROR(HLOOKUP(Standings!CR$3,Entries!$C36:$K36,1,FALSE))),"x",IF(NOT(ISERROR(HLOOKUP(Standings!CR$3,Entries!$L36:$L36,1,FALSE))),"S",""))</f>
        <v/>
      </c>
      <c r="CS44" t="str">
        <f>IF(NOT(ISERROR(HLOOKUP(Standings!CS$3,Entries!$C36:$K36,1,FALSE))),"x",IF(NOT(ISERROR(HLOOKUP(Standings!CS$3,Entries!$L36:$L36,1,FALSE))),"S",""))</f>
        <v>x</v>
      </c>
      <c r="CT44" t="str">
        <f>IF(NOT(ISERROR(HLOOKUP(Standings!CT$3,Entries!$C36:$K36,1,FALSE))),"x",IF(NOT(ISERROR(HLOOKUP(Standings!CT$3,Entries!$L36:$L36,1,FALSE))),"S",""))</f>
        <v/>
      </c>
      <c r="CU44" t="str">
        <f>IF(NOT(ISERROR(HLOOKUP(Standings!CU$3,Entries!$C36:$K36,1,FALSE))),"x",IF(NOT(ISERROR(HLOOKUP(Standings!CU$3,Entries!$L36:$L36,1,FALSE))),"S",""))</f>
        <v/>
      </c>
      <c r="CV44" t="str">
        <f>IF(NOT(ISERROR(HLOOKUP(Standings!CV$3,Entries!$C36:$K36,1,FALSE))),"x",IF(NOT(ISERROR(HLOOKUP(Standings!CV$3,Entries!$L36:$L36,1,FALSE))),"S",""))</f>
        <v/>
      </c>
      <c r="CW44" t="str">
        <f>IF(NOT(ISERROR(HLOOKUP(Standings!CW$3,Entries!$C36:$K36,1,FALSE))),"x",IF(NOT(ISERROR(HLOOKUP(Standings!CW$3,Entries!$L36:$L36,1,FALSE))),"S",""))</f>
        <v/>
      </c>
      <c r="CX44" t="str">
        <f>IF(NOT(ISERROR(HLOOKUP(Standings!CX$3,Entries!$C36:$K36,1,FALSE))),"x",IF(NOT(ISERROR(HLOOKUP(Standings!CX$3,Entries!$L36:$L36,1,FALSE))),"S",""))</f>
        <v/>
      </c>
      <c r="CY44" t="str">
        <f>IF(NOT(ISERROR(HLOOKUP(Standings!CY$3,Entries!$C36:$K36,1,FALSE))),"x",IF(NOT(ISERROR(HLOOKUP(Standings!CY$3,Entries!$L36:$L36,1,FALSE))),"S",""))</f>
        <v/>
      </c>
      <c r="CZ44" t="str">
        <f>IF(NOT(ISERROR(HLOOKUP(Standings!CZ$3,Entries!$C36:$K36,1,FALSE))),"x",IF(NOT(ISERROR(HLOOKUP(Standings!CZ$3,Entries!$L36:$L36,1,FALSE))),"S",""))</f>
        <v>x</v>
      </c>
      <c r="DA44" t="str">
        <f>IF(NOT(ISERROR(HLOOKUP(Standings!DA$3,Entries!$C36:$K36,1,FALSE))),"x",IF(NOT(ISERROR(HLOOKUP(Standings!DA$3,Entries!$L36:$L36,1,FALSE))),"S",""))</f>
        <v/>
      </c>
      <c r="DB44" t="str">
        <f>IF(NOT(ISERROR(HLOOKUP(Standings!DB$3,Entries!$C36:$K36,1,FALSE))),"x",IF(NOT(ISERROR(HLOOKUP(Standings!DB$3,Entries!$L36:$L36,1,FALSE))),"S",""))</f>
        <v/>
      </c>
    </row>
    <row r="45" spans="1:106" x14ac:dyDescent="0.25">
      <c r="A45" s="18"/>
      <c r="B45">
        <v>12</v>
      </c>
      <c r="C45" t="str">
        <f>Entries!B37</f>
        <v>JoshTwohy2</v>
      </c>
      <c r="D45" s="4">
        <f t="shared" si="53"/>
        <v>55</v>
      </c>
      <c r="E45" s="31">
        <f t="shared" si="54"/>
        <v>0</v>
      </c>
      <c r="F45" s="40" t="str">
        <f t="shared" si="52"/>
        <v/>
      </c>
      <c r="G45" s="41" t="str">
        <f t="shared" si="5"/>
        <v/>
      </c>
      <c r="H45" s="41" t="str">
        <f t="shared" si="6"/>
        <v/>
      </c>
      <c r="I45" s="42" t="str">
        <f t="shared" si="7"/>
        <v/>
      </c>
      <c r="J45" s="40" t="str">
        <f t="shared" si="8"/>
        <v/>
      </c>
      <c r="K45" s="41" t="str">
        <f t="shared" si="9"/>
        <v/>
      </c>
      <c r="L45" s="41" t="str">
        <f t="shared" si="10"/>
        <v/>
      </c>
      <c r="M45" s="42" t="str">
        <f t="shared" si="11"/>
        <v/>
      </c>
      <c r="N45" s="43" t="str">
        <f t="shared" si="12"/>
        <v/>
      </c>
      <c r="O45" s="41" t="str">
        <f t="shared" si="13"/>
        <v/>
      </c>
      <c r="P45" s="41" t="str">
        <f t="shared" si="14"/>
        <v/>
      </c>
      <c r="Q45" s="42" t="str">
        <f t="shared" si="15"/>
        <v/>
      </c>
      <c r="R45" s="40" t="str">
        <f t="shared" si="16"/>
        <v/>
      </c>
      <c r="S45" s="41" t="str">
        <f t="shared" si="17"/>
        <v/>
      </c>
      <c r="T45" s="43" t="str">
        <f t="shared" si="18"/>
        <v/>
      </c>
      <c r="U45" s="42" t="str">
        <f t="shared" si="19"/>
        <v/>
      </c>
      <c r="V45" s="40" t="str">
        <f t="shared" si="20"/>
        <v/>
      </c>
      <c r="W45" s="41" t="str">
        <f t="shared" si="21"/>
        <v/>
      </c>
      <c r="X45" s="41" t="str">
        <f t="shared" si="22"/>
        <v/>
      </c>
      <c r="Y45" s="42" t="str">
        <f t="shared" si="23"/>
        <v/>
      </c>
      <c r="Z45" s="40" t="str">
        <f t="shared" si="24"/>
        <v/>
      </c>
      <c r="AA45" s="41" t="str">
        <f t="shared" si="25"/>
        <v/>
      </c>
      <c r="AB45" s="41" t="str">
        <f t="shared" si="26"/>
        <v/>
      </c>
      <c r="AC45" s="42" t="str">
        <f t="shared" si="27"/>
        <v/>
      </c>
      <c r="AD45" s="40">
        <f t="shared" si="28"/>
        <v>-1.0000000000000001E-5</v>
      </c>
      <c r="AE45" s="41" t="str">
        <f t="shared" si="29"/>
        <v/>
      </c>
      <c r="AF45" s="41" t="str">
        <f t="shared" si="30"/>
        <v/>
      </c>
      <c r="AG45" s="42" t="str">
        <f t="shared" si="31"/>
        <v/>
      </c>
      <c r="AH45" s="40">
        <f t="shared" si="32"/>
        <v>0</v>
      </c>
      <c r="AI45" s="41" t="str">
        <f t="shared" si="33"/>
        <v/>
      </c>
      <c r="AJ45" s="41" t="str">
        <f t="shared" si="34"/>
        <v/>
      </c>
      <c r="AK45" s="42" t="str">
        <f t="shared" si="35"/>
        <v/>
      </c>
      <c r="AL45" s="40">
        <f t="shared" si="36"/>
        <v>0</v>
      </c>
      <c r="AM45" s="41" t="str">
        <f t="shared" si="37"/>
        <v/>
      </c>
      <c r="AN45" s="41" t="str">
        <f t="shared" si="38"/>
        <v/>
      </c>
      <c r="AO45" s="42" t="str">
        <f t="shared" si="39"/>
        <v/>
      </c>
      <c r="AP45" s="40" t="str">
        <f t="shared" si="40"/>
        <v/>
      </c>
      <c r="AQ45" s="41" t="str">
        <f t="shared" si="41"/>
        <v/>
      </c>
      <c r="AR45" s="41" t="str">
        <f t="shared" si="42"/>
        <v/>
      </c>
      <c r="AS45" s="42" t="str">
        <f t="shared" si="43"/>
        <v/>
      </c>
      <c r="AT45" s="40" t="str">
        <f t="shared" si="44"/>
        <v/>
      </c>
      <c r="AU45" s="41" t="str">
        <f t="shared" si="45"/>
        <v/>
      </c>
      <c r="AV45" s="41" t="str">
        <f t="shared" si="46"/>
        <v/>
      </c>
      <c r="AW45" s="42" t="str">
        <f t="shared" si="47"/>
        <v/>
      </c>
      <c r="AX45" s="40" t="str">
        <f t="shared" si="48"/>
        <v/>
      </c>
      <c r="AY45" s="41" t="str">
        <f t="shared" si="49"/>
        <v/>
      </c>
      <c r="AZ45" s="41" t="str">
        <f t="shared" si="50"/>
        <v/>
      </c>
      <c r="BA45" s="42" t="str">
        <f t="shared" si="51"/>
        <v/>
      </c>
      <c r="BB45" s="37" t="s">
        <v>106</v>
      </c>
      <c r="BD45" s="21"/>
      <c r="BG45" t="str">
        <f>IF(NOT(ISERROR(HLOOKUP(Standings!BG$3,Entries!$C37:$K37,1,FALSE))),"x",IF(NOT(ISERROR(HLOOKUP(Standings!BG$3,Entries!$L37:$L37,1,FALSE))),"S",""))</f>
        <v/>
      </c>
      <c r="BH45" t="str">
        <f>IF(NOT(ISERROR(HLOOKUP(Standings!BH$3,Entries!$C37:$K37,1,FALSE))),"x",IF(NOT(ISERROR(HLOOKUP(Standings!BH$3,Entries!$L37:$L37,1,FALSE))),"S",""))</f>
        <v/>
      </c>
      <c r="BI45" t="str">
        <f>IF(NOT(ISERROR(HLOOKUP(Standings!BI$3,Entries!$C37:$K37,1,FALSE))),"x",IF(NOT(ISERROR(HLOOKUP(Standings!BI$3,Entries!$L37:$L37,1,FALSE))),"S",""))</f>
        <v/>
      </c>
      <c r="BJ45" t="str">
        <f>IF(NOT(ISERROR(HLOOKUP(Standings!BJ$3,Entries!$C37:$K37,1,FALSE))),"x",IF(NOT(ISERROR(HLOOKUP(Standings!BJ$3,Entries!$L37:$L37,1,FALSE))),"S",""))</f>
        <v/>
      </c>
      <c r="BK45" t="str">
        <f>IF(NOT(ISERROR(HLOOKUP(Standings!BK$3,Entries!$C37:$K37,1,FALSE))),"x",IF(NOT(ISERROR(HLOOKUP(Standings!BK$3,Entries!$L37:$L37,1,FALSE))),"S",""))</f>
        <v/>
      </c>
      <c r="BL45" t="str">
        <f>IF(NOT(ISERROR(HLOOKUP(Standings!BL$3,Entries!$C37:$K37,1,FALSE))),"x",IF(NOT(ISERROR(HLOOKUP(Standings!BL$3,Entries!$L37:$L37,1,FALSE))),"S",""))</f>
        <v/>
      </c>
      <c r="BM45" t="str">
        <f>IF(NOT(ISERROR(HLOOKUP(Standings!BM$3,Entries!$C37:$K37,1,FALSE))),"x",IF(NOT(ISERROR(HLOOKUP(Standings!BM$3,Entries!$L37:$L37,1,FALSE))),"S",""))</f>
        <v/>
      </c>
      <c r="BN45" t="str">
        <f>IF(NOT(ISERROR(HLOOKUP(Standings!BN$3,Entries!$C37:$K37,1,FALSE))),"x",IF(NOT(ISERROR(HLOOKUP(Standings!BN$3,Entries!$L37:$L37,1,FALSE))),"S",""))</f>
        <v/>
      </c>
      <c r="BO45" t="str">
        <f>IF(NOT(ISERROR(HLOOKUP(Standings!BO$3,Entries!$C37:$K37,1,FALSE))),"x",IF(NOT(ISERROR(HLOOKUP(Standings!BO$3,Entries!$L37:$L37,1,FALSE))),"S",""))</f>
        <v/>
      </c>
      <c r="BP45" t="str">
        <f>IF(NOT(ISERROR(HLOOKUP(Standings!BP$3,Entries!$C37:$K37,1,FALSE))),"x",IF(NOT(ISERROR(HLOOKUP(Standings!BP$3,Entries!$L37:$L37,1,FALSE))),"S",""))</f>
        <v/>
      </c>
      <c r="BQ45" t="str">
        <f>IF(NOT(ISERROR(HLOOKUP(Standings!BQ$3,Entries!$C37:$K37,1,FALSE))),"x",IF(NOT(ISERROR(HLOOKUP(Standings!BQ$3,Entries!$L37:$L37,1,FALSE))),"S",""))</f>
        <v/>
      </c>
      <c r="BR45" t="str">
        <f>IF(NOT(ISERROR(HLOOKUP(Standings!BR$3,Entries!$C37:$K37,1,FALSE))),"x",IF(NOT(ISERROR(HLOOKUP(Standings!BR$3,Entries!$L37:$L37,1,FALSE))),"S",""))</f>
        <v/>
      </c>
      <c r="BS45" t="str">
        <f>IF(NOT(ISERROR(HLOOKUP(Standings!BS$3,Entries!$C37:$K37,1,FALSE))),"x",IF(NOT(ISERROR(HLOOKUP(Standings!BS$3,Entries!$L37:$L37,1,FALSE))),"S",""))</f>
        <v/>
      </c>
      <c r="BT45" t="str">
        <f>IF(NOT(ISERROR(HLOOKUP(Standings!BT$3,Entries!$C37:$K37,1,FALSE))),"x",IF(NOT(ISERROR(HLOOKUP(Standings!BT$3,Entries!$L37:$L37,1,FALSE))),"S",""))</f>
        <v/>
      </c>
      <c r="BU45" t="str">
        <f>IF(NOT(ISERROR(HLOOKUP(Standings!BU$3,Entries!$C37:$K37,1,FALSE))),"x",IF(NOT(ISERROR(HLOOKUP(Standings!BU$3,Entries!$L37:$L37,1,FALSE))),"S",""))</f>
        <v/>
      </c>
      <c r="BV45" t="str">
        <f>IF(NOT(ISERROR(HLOOKUP(Standings!BV$3,Entries!$C37:$K37,1,FALSE))),"x",IF(NOT(ISERROR(HLOOKUP(Standings!BV$3,Entries!$L37:$L37,1,FALSE))),"S",""))</f>
        <v/>
      </c>
      <c r="BW45" t="str">
        <f>IF(NOT(ISERROR(HLOOKUP(Standings!BW$3,Entries!$C37:$K37,1,FALSE))),"x",IF(NOT(ISERROR(HLOOKUP(Standings!BW$3,Entries!$L37:$L37,1,FALSE))),"S",""))</f>
        <v/>
      </c>
      <c r="BX45" t="str">
        <f>IF(NOT(ISERROR(HLOOKUP(Standings!BX$3,Entries!$C37:$K37,1,FALSE))),"x",IF(NOT(ISERROR(HLOOKUP(Standings!BX$3,Entries!$L37:$L37,1,FALSE))),"S",""))</f>
        <v/>
      </c>
      <c r="BY45" t="str">
        <f>IF(NOT(ISERROR(HLOOKUP(Standings!BY$3,Entries!$C37:$K37,1,FALSE))),"x",IF(NOT(ISERROR(HLOOKUP(Standings!BY$3,Entries!$L37:$L37,1,FALSE))),"S",""))</f>
        <v/>
      </c>
      <c r="BZ45" t="str">
        <f>IF(NOT(ISERROR(HLOOKUP(Standings!BZ$3,Entries!$C37:$K37,1,FALSE))),"x",IF(NOT(ISERROR(HLOOKUP(Standings!BZ$3,Entries!$L37:$L37,1,FALSE))),"S",""))</f>
        <v/>
      </c>
      <c r="CA45" t="str">
        <f>IF(NOT(ISERROR(HLOOKUP(Standings!CA$3,Entries!$C37:$K37,1,FALSE))),"x",IF(NOT(ISERROR(HLOOKUP(Standings!CA$3,Entries!$L37:$L37,1,FALSE))),"S",""))</f>
        <v/>
      </c>
      <c r="CB45" t="str">
        <f>IF(NOT(ISERROR(HLOOKUP(Standings!CB$3,Entries!$C37:$K37,1,FALSE))),"x",IF(NOT(ISERROR(HLOOKUP(Standings!CB$3,Entries!$L37:$L37,1,FALSE))),"S",""))</f>
        <v/>
      </c>
      <c r="CC45" t="str">
        <f>IF(NOT(ISERROR(HLOOKUP(Standings!CC$3,Entries!$C37:$K37,1,FALSE))),"x",IF(NOT(ISERROR(HLOOKUP(Standings!CC$3,Entries!$L37:$L37,1,FALSE))),"S",""))</f>
        <v/>
      </c>
      <c r="CD45" t="str">
        <f>IF(NOT(ISERROR(HLOOKUP(Standings!CD$3,Entries!$C37:$K37,1,FALSE))),"x",IF(NOT(ISERROR(HLOOKUP(Standings!CD$3,Entries!$L37:$L37,1,FALSE))),"S",""))</f>
        <v/>
      </c>
      <c r="CE45" t="str">
        <f>IF(NOT(ISERROR(HLOOKUP(Standings!CE$3,Entries!$C37:$K37,1,FALSE))),"x",IF(NOT(ISERROR(HLOOKUP(Standings!CE$3,Entries!$L37:$L37,1,FALSE))),"S",""))</f>
        <v>S</v>
      </c>
      <c r="CF45" t="str">
        <f>IF(NOT(ISERROR(HLOOKUP(Standings!CF$3,Entries!$C37:$K37,1,FALSE))),"x",IF(NOT(ISERROR(HLOOKUP(Standings!CF$3,Entries!$L37:$L37,1,FALSE))),"S",""))</f>
        <v/>
      </c>
      <c r="CG45" t="str">
        <f>IF(NOT(ISERROR(HLOOKUP(Standings!CG$3,Entries!$C37:$K37,1,FALSE))),"x",IF(NOT(ISERROR(HLOOKUP(Standings!CG$3,Entries!$L37:$L37,1,FALSE))),"S",""))</f>
        <v/>
      </c>
      <c r="CH45" t="str">
        <f>IF(NOT(ISERROR(HLOOKUP(Standings!CH$3,Entries!$C37:$K37,1,FALSE))),"x",IF(NOT(ISERROR(HLOOKUP(Standings!CH$3,Entries!$L37:$L37,1,FALSE))),"S",""))</f>
        <v/>
      </c>
      <c r="CI45" t="str">
        <f>IF(NOT(ISERROR(HLOOKUP(Standings!CI$3,Entries!$C37:$K37,1,FALSE))),"x",IF(NOT(ISERROR(HLOOKUP(Standings!CI$3,Entries!$L37:$L37,1,FALSE))),"S",""))</f>
        <v>x</v>
      </c>
      <c r="CJ45" t="str">
        <f>IF(NOT(ISERROR(HLOOKUP(Standings!CJ$3,Entries!$C37:$K37,1,FALSE))),"x",IF(NOT(ISERROR(HLOOKUP(Standings!CJ$3,Entries!$L37:$L37,1,FALSE))),"S",""))</f>
        <v/>
      </c>
      <c r="CK45" t="str">
        <f>IF(NOT(ISERROR(HLOOKUP(Standings!CK$3,Entries!$C37:$K37,1,FALSE))),"x",IF(NOT(ISERROR(HLOOKUP(Standings!CK$3,Entries!$L37:$L37,1,FALSE))),"S",""))</f>
        <v/>
      </c>
      <c r="CL45" t="str">
        <f>IF(NOT(ISERROR(HLOOKUP(Standings!CL$3,Entries!$C37:$K37,1,FALSE))),"x",IF(NOT(ISERROR(HLOOKUP(Standings!CL$3,Entries!$L37:$L37,1,FALSE))),"S",""))</f>
        <v/>
      </c>
      <c r="CM45" t="str">
        <f>IF(NOT(ISERROR(HLOOKUP(Standings!CM$3,Entries!$C37:$K37,1,FALSE))),"x",IF(NOT(ISERROR(HLOOKUP(Standings!CM$3,Entries!$L37:$L37,1,FALSE))),"S",""))</f>
        <v>x</v>
      </c>
      <c r="CN45" t="str">
        <f>IF(NOT(ISERROR(HLOOKUP(Standings!CN$3,Entries!$C37:$K37,1,FALSE))),"x",IF(NOT(ISERROR(HLOOKUP(Standings!CN$3,Entries!$L37:$L37,1,FALSE))),"S",""))</f>
        <v/>
      </c>
      <c r="CO45" t="str">
        <f>IF(NOT(ISERROR(HLOOKUP(Standings!CO$3,Entries!$C37:$K37,1,FALSE))),"x",IF(NOT(ISERROR(HLOOKUP(Standings!CO$3,Entries!$L37:$L37,1,FALSE))),"S",""))</f>
        <v/>
      </c>
      <c r="CP45" t="str">
        <f>IF(NOT(ISERROR(HLOOKUP(Standings!CP$3,Entries!$C37:$K37,1,FALSE))),"x",IF(NOT(ISERROR(HLOOKUP(Standings!CP$3,Entries!$L37:$L37,1,FALSE))),"S",""))</f>
        <v/>
      </c>
      <c r="CQ45" t="str">
        <f>IF(NOT(ISERROR(HLOOKUP(Standings!CQ$3,Entries!$C37:$K37,1,FALSE))),"x",IF(NOT(ISERROR(HLOOKUP(Standings!CQ$3,Entries!$L37:$L37,1,FALSE))),"S",""))</f>
        <v/>
      </c>
      <c r="CR45" t="str">
        <f>IF(NOT(ISERROR(HLOOKUP(Standings!CR$3,Entries!$C37:$K37,1,FALSE))),"x",IF(NOT(ISERROR(HLOOKUP(Standings!CR$3,Entries!$L37:$L37,1,FALSE))),"S",""))</f>
        <v/>
      </c>
      <c r="CS45" t="str">
        <f>IF(NOT(ISERROR(HLOOKUP(Standings!CS$3,Entries!$C37:$K37,1,FALSE))),"x",IF(NOT(ISERROR(HLOOKUP(Standings!CS$3,Entries!$L37:$L37,1,FALSE))),"S",""))</f>
        <v/>
      </c>
      <c r="CT45" t="str">
        <f>IF(NOT(ISERROR(HLOOKUP(Standings!CT$3,Entries!$C37:$K37,1,FALSE))),"x",IF(NOT(ISERROR(HLOOKUP(Standings!CT$3,Entries!$L37:$L37,1,FALSE))),"S",""))</f>
        <v/>
      </c>
      <c r="CU45" t="str">
        <f>IF(NOT(ISERROR(HLOOKUP(Standings!CU$3,Entries!$C37:$K37,1,FALSE))),"x",IF(NOT(ISERROR(HLOOKUP(Standings!CU$3,Entries!$L37:$L37,1,FALSE))),"S",""))</f>
        <v/>
      </c>
      <c r="CV45" t="str">
        <f>IF(NOT(ISERROR(HLOOKUP(Standings!CV$3,Entries!$C37:$K37,1,FALSE))),"x",IF(NOT(ISERROR(HLOOKUP(Standings!CV$3,Entries!$L37:$L37,1,FALSE))),"S",""))</f>
        <v/>
      </c>
      <c r="CW45" t="str">
        <f>IF(NOT(ISERROR(HLOOKUP(Standings!CW$3,Entries!$C37:$K37,1,FALSE))),"x",IF(NOT(ISERROR(HLOOKUP(Standings!CW$3,Entries!$L37:$L37,1,FALSE))),"S",""))</f>
        <v/>
      </c>
      <c r="CX45" t="str">
        <f>IF(NOT(ISERROR(HLOOKUP(Standings!CX$3,Entries!$C37:$K37,1,FALSE))),"x",IF(NOT(ISERROR(HLOOKUP(Standings!CX$3,Entries!$L37:$L37,1,FALSE))),"S",""))</f>
        <v/>
      </c>
      <c r="CY45" t="str">
        <f>IF(NOT(ISERROR(HLOOKUP(Standings!CY$3,Entries!$C37:$K37,1,FALSE))),"x",IF(NOT(ISERROR(HLOOKUP(Standings!CY$3,Entries!$L37:$L37,1,FALSE))),"S",""))</f>
        <v/>
      </c>
      <c r="CZ45" t="str">
        <f>IF(NOT(ISERROR(HLOOKUP(Standings!CZ$3,Entries!$C37:$K37,1,FALSE))),"x",IF(NOT(ISERROR(HLOOKUP(Standings!CZ$3,Entries!$L37:$L37,1,FALSE))),"S",""))</f>
        <v/>
      </c>
      <c r="DA45" t="str">
        <f>IF(NOT(ISERROR(HLOOKUP(Standings!DA$3,Entries!$C37:$K37,1,FALSE))),"x",IF(NOT(ISERROR(HLOOKUP(Standings!DA$3,Entries!$L37:$L37,1,FALSE))),"S",""))</f>
        <v/>
      </c>
      <c r="DB45" t="str">
        <f>IF(NOT(ISERROR(HLOOKUP(Standings!DB$3,Entries!$C37:$K37,1,FALSE))),"x",IF(NOT(ISERROR(HLOOKUP(Standings!DB$3,Entries!$L37:$L37,1,FALSE))),"S",""))</f>
        <v/>
      </c>
    </row>
    <row r="46" spans="1:106" x14ac:dyDescent="0.25">
      <c r="A46" s="18"/>
      <c r="B46">
        <v>5</v>
      </c>
      <c r="C46" t="str">
        <f>Entries!B38</f>
        <v>WillTwohy1</v>
      </c>
      <c r="D46" s="4">
        <f t="shared" si="53"/>
        <v>55</v>
      </c>
      <c r="E46" s="31">
        <f t="shared" si="54"/>
        <v>0</v>
      </c>
      <c r="F46" s="40" t="str">
        <f t="shared" si="52"/>
        <v/>
      </c>
      <c r="G46" s="41" t="str">
        <f t="shared" si="5"/>
        <v/>
      </c>
      <c r="H46" s="41" t="str">
        <f t="shared" si="6"/>
        <v/>
      </c>
      <c r="I46" s="42" t="str">
        <f t="shared" si="7"/>
        <v/>
      </c>
      <c r="J46" s="40" t="str">
        <f t="shared" si="8"/>
        <v/>
      </c>
      <c r="K46" s="41" t="str">
        <f t="shared" si="9"/>
        <v/>
      </c>
      <c r="L46" s="41" t="str">
        <f t="shared" si="10"/>
        <v/>
      </c>
      <c r="M46" s="42" t="str">
        <f t="shared" si="11"/>
        <v/>
      </c>
      <c r="N46" s="43" t="str">
        <f t="shared" si="12"/>
        <v/>
      </c>
      <c r="O46" s="41" t="str">
        <f t="shared" si="13"/>
        <v/>
      </c>
      <c r="P46" s="41" t="str">
        <f t="shared" si="14"/>
        <v/>
      </c>
      <c r="Q46" s="42" t="str">
        <f t="shared" si="15"/>
        <v/>
      </c>
      <c r="R46" s="40" t="str">
        <f t="shared" si="16"/>
        <v/>
      </c>
      <c r="S46" s="41" t="str">
        <f t="shared" si="17"/>
        <v/>
      </c>
      <c r="T46" s="43" t="str">
        <f t="shared" si="18"/>
        <v/>
      </c>
      <c r="U46" s="42" t="str">
        <f t="shared" si="19"/>
        <v/>
      </c>
      <c r="V46" s="40">
        <f t="shared" si="20"/>
        <v>-1.0000000000000001E-5</v>
      </c>
      <c r="W46" s="41" t="str">
        <f t="shared" si="21"/>
        <v/>
      </c>
      <c r="X46" s="41" t="str">
        <f t="shared" si="22"/>
        <v/>
      </c>
      <c r="Y46" s="42" t="str">
        <f t="shared" si="23"/>
        <v/>
      </c>
      <c r="Z46" s="40">
        <f t="shared" si="24"/>
        <v>0</v>
      </c>
      <c r="AA46" s="41" t="str">
        <f t="shared" si="25"/>
        <v/>
      </c>
      <c r="AB46" s="41" t="str">
        <f t="shared" si="26"/>
        <v/>
      </c>
      <c r="AC46" s="42" t="str">
        <f t="shared" si="27"/>
        <v/>
      </c>
      <c r="AD46" s="40">
        <f t="shared" si="28"/>
        <v>0</v>
      </c>
      <c r="AE46" s="41" t="str">
        <f t="shared" si="29"/>
        <v/>
      </c>
      <c r="AF46" s="41" t="str">
        <f t="shared" si="30"/>
        <v/>
      </c>
      <c r="AG46" s="42">
        <f t="shared" si="31"/>
        <v>0</v>
      </c>
      <c r="AH46" s="40" t="str">
        <f t="shared" si="32"/>
        <v/>
      </c>
      <c r="AI46" s="41" t="str">
        <f t="shared" si="33"/>
        <v/>
      </c>
      <c r="AJ46" s="41" t="str">
        <f t="shared" si="34"/>
        <v/>
      </c>
      <c r="AK46" s="42" t="str">
        <f t="shared" si="35"/>
        <v/>
      </c>
      <c r="AL46" s="40">
        <f t="shared" si="36"/>
        <v>0</v>
      </c>
      <c r="AM46" s="41" t="str">
        <f t="shared" si="37"/>
        <v/>
      </c>
      <c r="AN46" s="41" t="str">
        <f t="shared" si="38"/>
        <v/>
      </c>
      <c r="AO46" s="42" t="str">
        <f t="shared" si="39"/>
        <v/>
      </c>
      <c r="AP46" s="40" t="str">
        <f t="shared" si="40"/>
        <v/>
      </c>
      <c r="AQ46" s="41" t="str">
        <f t="shared" si="41"/>
        <v/>
      </c>
      <c r="AR46" s="41" t="str">
        <f t="shared" si="42"/>
        <v/>
      </c>
      <c r="AS46" s="42" t="str">
        <f t="shared" si="43"/>
        <v/>
      </c>
      <c r="AT46" s="40" t="str">
        <f t="shared" si="44"/>
        <v/>
      </c>
      <c r="AU46" s="41" t="str">
        <f t="shared" si="45"/>
        <v/>
      </c>
      <c r="AV46" s="41" t="str">
        <f t="shared" si="46"/>
        <v/>
      </c>
      <c r="AW46" s="42" t="str">
        <f t="shared" si="47"/>
        <v/>
      </c>
      <c r="AX46" s="40" t="str">
        <f t="shared" si="48"/>
        <v/>
      </c>
      <c r="AY46" s="41" t="str">
        <f t="shared" si="49"/>
        <v/>
      </c>
      <c r="AZ46" s="41" t="str">
        <f t="shared" si="50"/>
        <v/>
      </c>
      <c r="BA46" s="42" t="str">
        <f t="shared" si="51"/>
        <v/>
      </c>
      <c r="BB46" s="37" t="s">
        <v>106</v>
      </c>
      <c r="BC46" s="21"/>
      <c r="BD46" s="21"/>
      <c r="BG46" t="str">
        <f>IF(NOT(ISERROR(HLOOKUP(Standings!BG$3,Entries!$C38:$K38,1,FALSE))),"x",IF(NOT(ISERROR(HLOOKUP(Standings!BG$3,Entries!$L38:$L38,1,FALSE))),"S",""))</f>
        <v/>
      </c>
      <c r="BH46" t="str">
        <f>IF(NOT(ISERROR(HLOOKUP(Standings!BH$3,Entries!$C38:$K38,1,FALSE))),"x",IF(NOT(ISERROR(HLOOKUP(Standings!BH$3,Entries!$L38:$L38,1,FALSE))),"S",""))</f>
        <v/>
      </c>
      <c r="BI46" t="str">
        <f>IF(NOT(ISERROR(HLOOKUP(Standings!BI$3,Entries!$C38:$K38,1,FALSE))),"x",IF(NOT(ISERROR(HLOOKUP(Standings!BI$3,Entries!$L38:$L38,1,FALSE))),"S",""))</f>
        <v/>
      </c>
      <c r="BJ46" t="str">
        <f>IF(NOT(ISERROR(HLOOKUP(Standings!BJ$3,Entries!$C38:$K38,1,FALSE))),"x",IF(NOT(ISERROR(HLOOKUP(Standings!BJ$3,Entries!$L38:$L38,1,FALSE))),"S",""))</f>
        <v/>
      </c>
      <c r="BK46" t="str">
        <f>IF(NOT(ISERROR(HLOOKUP(Standings!BK$3,Entries!$C38:$K38,1,FALSE))),"x",IF(NOT(ISERROR(HLOOKUP(Standings!BK$3,Entries!$L38:$L38,1,FALSE))),"S",""))</f>
        <v/>
      </c>
      <c r="BL46" t="str">
        <f>IF(NOT(ISERROR(HLOOKUP(Standings!BL$3,Entries!$C38:$K38,1,FALSE))),"x",IF(NOT(ISERROR(HLOOKUP(Standings!BL$3,Entries!$L38:$L38,1,FALSE))),"S",""))</f>
        <v/>
      </c>
      <c r="BM46" t="str">
        <f>IF(NOT(ISERROR(HLOOKUP(Standings!BM$3,Entries!$C38:$K38,1,FALSE))),"x",IF(NOT(ISERROR(HLOOKUP(Standings!BM$3,Entries!$L38:$L38,1,FALSE))),"S",""))</f>
        <v/>
      </c>
      <c r="BN46" t="str">
        <f>IF(NOT(ISERROR(HLOOKUP(Standings!BN$3,Entries!$C38:$K38,1,FALSE))),"x",IF(NOT(ISERROR(HLOOKUP(Standings!BN$3,Entries!$L38:$L38,1,FALSE))),"S",""))</f>
        <v/>
      </c>
      <c r="BO46" t="str">
        <f>IF(NOT(ISERROR(HLOOKUP(Standings!BO$3,Entries!$C38:$K38,1,FALSE))),"x",IF(NOT(ISERROR(HLOOKUP(Standings!BO$3,Entries!$L38:$L38,1,FALSE))),"S",""))</f>
        <v/>
      </c>
      <c r="BP46" t="str">
        <f>IF(NOT(ISERROR(HLOOKUP(Standings!BP$3,Entries!$C38:$K38,1,FALSE))),"x",IF(NOT(ISERROR(HLOOKUP(Standings!BP$3,Entries!$L38:$L38,1,FALSE))),"S",""))</f>
        <v/>
      </c>
      <c r="BQ46" t="str">
        <f>IF(NOT(ISERROR(HLOOKUP(Standings!BQ$3,Entries!$C38:$K38,1,FALSE))),"x",IF(NOT(ISERROR(HLOOKUP(Standings!BQ$3,Entries!$L38:$L38,1,FALSE))),"S",""))</f>
        <v/>
      </c>
      <c r="BR46" t="str">
        <f>IF(NOT(ISERROR(HLOOKUP(Standings!BR$3,Entries!$C38:$K38,1,FALSE))),"x",IF(NOT(ISERROR(HLOOKUP(Standings!BR$3,Entries!$L38:$L38,1,FALSE))),"S",""))</f>
        <v/>
      </c>
      <c r="BS46" t="str">
        <f>IF(NOT(ISERROR(HLOOKUP(Standings!BS$3,Entries!$C38:$K38,1,FALSE))),"x",IF(NOT(ISERROR(HLOOKUP(Standings!BS$3,Entries!$L38:$L38,1,FALSE))),"S",""))</f>
        <v/>
      </c>
      <c r="BT46" t="str">
        <f>IF(NOT(ISERROR(HLOOKUP(Standings!BT$3,Entries!$C38:$K38,1,FALSE))),"x",IF(NOT(ISERROR(HLOOKUP(Standings!BT$3,Entries!$L38:$L38,1,FALSE))),"S",""))</f>
        <v/>
      </c>
      <c r="BU46" t="str">
        <f>IF(NOT(ISERROR(HLOOKUP(Standings!BU$3,Entries!$C38:$K38,1,FALSE))),"x",IF(NOT(ISERROR(HLOOKUP(Standings!BU$3,Entries!$L38:$L38,1,FALSE))),"S",""))</f>
        <v/>
      </c>
      <c r="BV46" t="str">
        <f>IF(NOT(ISERROR(HLOOKUP(Standings!BV$3,Entries!$C38:$K38,1,FALSE))),"x",IF(NOT(ISERROR(HLOOKUP(Standings!BV$3,Entries!$L38:$L38,1,FALSE))),"S",""))</f>
        <v/>
      </c>
      <c r="BW46" t="str">
        <f>IF(NOT(ISERROR(HLOOKUP(Standings!BW$3,Entries!$C38:$K38,1,FALSE))),"x",IF(NOT(ISERROR(HLOOKUP(Standings!BW$3,Entries!$L38:$L38,1,FALSE))),"S",""))</f>
        <v>S</v>
      </c>
      <c r="BX46" t="str">
        <f>IF(NOT(ISERROR(HLOOKUP(Standings!BX$3,Entries!$C38:$K38,1,FALSE))),"x",IF(NOT(ISERROR(HLOOKUP(Standings!BX$3,Entries!$L38:$L38,1,FALSE))),"S",""))</f>
        <v/>
      </c>
      <c r="BY46" t="str">
        <f>IF(NOT(ISERROR(HLOOKUP(Standings!BY$3,Entries!$C38:$K38,1,FALSE))),"x",IF(NOT(ISERROR(HLOOKUP(Standings!BY$3,Entries!$L38:$L38,1,FALSE))),"S",""))</f>
        <v/>
      </c>
      <c r="BZ46" t="str">
        <f>IF(NOT(ISERROR(HLOOKUP(Standings!BZ$3,Entries!$C38:$K38,1,FALSE))),"x",IF(NOT(ISERROR(HLOOKUP(Standings!BZ$3,Entries!$L38:$L38,1,FALSE))),"S",""))</f>
        <v/>
      </c>
      <c r="CA46" t="str">
        <f>IF(NOT(ISERROR(HLOOKUP(Standings!CA$3,Entries!$C38:$K38,1,FALSE))),"x",IF(NOT(ISERROR(HLOOKUP(Standings!CA$3,Entries!$L38:$L38,1,FALSE))),"S",""))</f>
        <v>x</v>
      </c>
      <c r="CB46" t="str">
        <f>IF(NOT(ISERROR(HLOOKUP(Standings!CB$3,Entries!$C38:$K38,1,FALSE))),"x",IF(NOT(ISERROR(HLOOKUP(Standings!CB$3,Entries!$L38:$L38,1,FALSE))),"S",""))</f>
        <v/>
      </c>
      <c r="CC46" t="str">
        <f>IF(NOT(ISERROR(HLOOKUP(Standings!CC$3,Entries!$C38:$K38,1,FALSE))),"x",IF(NOT(ISERROR(HLOOKUP(Standings!CC$3,Entries!$L38:$L38,1,FALSE))),"S",""))</f>
        <v/>
      </c>
      <c r="CD46" t="str">
        <f>IF(NOT(ISERROR(HLOOKUP(Standings!CD$3,Entries!$C38:$K38,1,FALSE))),"x",IF(NOT(ISERROR(HLOOKUP(Standings!CD$3,Entries!$L38:$L38,1,FALSE))),"S",""))</f>
        <v/>
      </c>
      <c r="CE46" t="str">
        <f>IF(NOT(ISERROR(HLOOKUP(Standings!CE$3,Entries!$C38:$K38,1,FALSE))),"x",IF(NOT(ISERROR(HLOOKUP(Standings!CE$3,Entries!$L38:$L38,1,FALSE))),"S",""))</f>
        <v>x</v>
      </c>
      <c r="CF46" t="str">
        <f>IF(NOT(ISERROR(HLOOKUP(Standings!CF$3,Entries!$C38:$K38,1,FALSE))),"x",IF(NOT(ISERROR(HLOOKUP(Standings!CF$3,Entries!$L38:$L38,1,FALSE))),"S",""))</f>
        <v/>
      </c>
      <c r="CG46" t="str">
        <f>IF(NOT(ISERROR(HLOOKUP(Standings!CG$3,Entries!$C38:$K38,1,FALSE))),"x",IF(NOT(ISERROR(HLOOKUP(Standings!CG$3,Entries!$L38:$L38,1,FALSE))),"S",""))</f>
        <v/>
      </c>
      <c r="CH46" t="str">
        <f>IF(NOT(ISERROR(HLOOKUP(Standings!CH$3,Entries!$C38:$K38,1,FALSE))),"x",IF(NOT(ISERROR(HLOOKUP(Standings!CH$3,Entries!$L38:$L38,1,FALSE))),"S",""))</f>
        <v>x</v>
      </c>
      <c r="CI46" t="str">
        <f>IF(NOT(ISERROR(HLOOKUP(Standings!CI$3,Entries!$C38:$K38,1,FALSE))),"x",IF(NOT(ISERROR(HLOOKUP(Standings!CI$3,Entries!$L38:$L38,1,FALSE))),"S",""))</f>
        <v/>
      </c>
      <c r="CJ46" t="str">
        <f>IF(NOT(ISERROR(HLOOKUP(Standings!CJ$3,Entries!$C38:$K38,1,FALSE))),"x",IF(NOT(ISERROR(HLOOKUP(Standings!CJ$3,Entries!$L38:$L38,1,FALSE))),"S",""))</f>
        <v/>
      </c>
      <c r="CK46" t="str">
        <f>IF(NOT(ISERROR(HLOOKUP(Standings!CK$3,Entries!$C38:$K38,1,FALSE))),"x",IF(NOT(ISERROR(HLOOKUP(Standings!CK$3,Entries!$L38:$L38,1,FALSE))),"S",""))</f>
        <v/>
      </c>
      <c r="CL46" t="str">
        <f>IF(NOT(ISERROR(HLOOKUP(Standings!CL$3,Entries!$C38:$K38,1,FALSE))),"x",IF(NOT(ISERROR(HLOOKUP(Standings!CL$3,Entries!$L38:$L38,1,FALSE))),"S",""))</f>
        <v/>
      </c>
      <c r="CM46" t="str">
        <f>IF(NOT(ISERROR(HLOOKUP(Standings!CM$3,Entries!$C38:$K38,1,FALSE))),"x",IF(NOT(ISERROR(HLOOKUP(Standings!CM$3,Entries!$L38:$L38,1,FALSE))),"S",""))</f>
        <v>x</v>
      </c>
      <c r="CN46" t="str">
        <f>IF(NOT(ISERROR(HLOOKUP(Standings!CN$3,Entries!$C38:$K38,1,FALSE))),"x",IF(NOT(ISERROR(HLOOKUP(Standings!CN$3,Entries!$L38:$L38,1,FALSE))),"S",""))</f>
        <v/>
      </c>
      <c r="CO46" t="str">
        <f>IF(NOT(ISERROR(HLOOKUP(Standings!CO$3,Entries!$C38:$K38,1,FALSE))),"x",IF(NOT(ISERROR(HLOOKUP(Standings!CO$3,Entries!$L38:$L38,1,FALSE))),"S",""))</f>
        <v/>
      </c>
      <c r="CP46" t="str">
        <f>IF(NOT(ISERROR(HLOOKUP(Standings!CP$3,Entries!$C38:$K38,1,FALSE))),"x",IF(NOT(ISERROR(HLOOKUP(Standings!CP$3,Entries!$L38:$L38,1,FALSE))),"S",""))</f>
        <v/>
      </c>
      <c r="CQ46" t="str">
        <f>IF(NOT(ISERROR(HLOOKUP(Standings!CQ$3,Entries!$C38:$K38,1,FALSE))),"x",IF(NOT(ISERROR(HLOOKUP(Standings!CQ$3,Entries!$L38:$L38,1,FALSE))),"S",""))</f>
        <v/>
      </c>
      <c r="CR46" t="str">
        <f>IF(NOT(ISERROR(HLOOKUP(Standings!CR$3,Entries!$C38:$K38,1,FALSE))),"x",IF(NOT(ISERROR(HLOOKUP(Standings!CR$3,Entries!$L38:$L38,1,FALSE))),"S",""))</f>
        <v/>
      </c>
      <c r="CS46" t="str">
        <f>IF(NOT(ISERROR(HLOOKUP(Standings!CS$3,Entries!$C38:$K38,1,FALSE))),"x",IF(NOT(ISERROR(HLOOKUP(Standings!CS$3,Entries!$L38:$L38,1,FALSE))),"S",""))</f>
        <v/>
      </c>
      <c r="CT46" t="str">
        <f>IF(NOT(ISERROR(HLOOKUP(Standings!CT$3,Entries!$C38:$K38,1,FALSE))),"x",IF(NOT(ISERROR(HLOOKUP(Standings!CT$3,Entries!$L38:$L38,1,FALSE))),"S",""))</f>
        <v/>
      </c>
      <c r="CU46" t="str">
        <f>IF(NOT(ISERROR(HLOOKUP(Standings!CU$3,Entries!$C38:$K38,1,FALSE))),"x",IF(NOT(ISERROR(HLOOKUP(Standings!CU$3,Entries!$L38:$L38,1,FALSE))),"S",""))</f>
        <v/>
      </c>
      <c r="CV46" t="str">
        <f>IF(NOT(ISERROR(HLOOKUP(Standings!CV$3,Entries!$C38:$K38,1,FALSE))),"x",IF(NOT(ISERROR(HLOOKUP(Standings!CV$3,Entries!$L38:$L38,1,FALSE))),"S",""))</f>
        <v/>
      </c>
      <c r="CW46" t="str">
        <f>IF(NOT(ISERROR(HLOOKUP(Standings!CW$3,Entries!$C38:$K38,1,FALSE))),"x",IF(NOT(ISERROR(HLOOKUP(Standings!CW$3,Entries!$L38:$L38,1,FALSE))),"S",""))</f>
        <v/>
      </c>
      <c r="CX46" t="str">
        <f>IF(NOT(ISERROR(HLOOKUP(Standings!CX$3,Entries!$C38:$K38,1,FALSE))),"x",IF(NOT(ISERROR(HLOOKUP(Standings!CX$3,Entries!$L38:$L38,1,FALSE))),"S",""))</f>
        <v/>
      </c>
      <c r="CY46" t="str">
        <f>IF(NOT(ISERROR(HLOOKUP(Standings!CY$3,Entries!$C38:$K38,1,FALSE))),"x",IF(NOT(ISERROR(HLOOKUP(Standings!CY$3,Entries!$L38:$L38,1,FALSE))),"S",""))</f>
        <v/>
      </c>
      <c r="CZ46" t="str">
        <f>IF(NOT(ISERROR(HLOOKUP(Standings!CZ$3,Entries!$C38:$K38,1,FALSE))),"x",IF(NOT(ISERROR(HLOOKUP(Standings!CZ$3,Entries!$L38:$L38,1,FALSE))),"S",""))</f>
        <v/>
      </c>
      <c r="DA46" t="str">
        <f>IF(NOT(ISERROR(HLOOKUP(Standings!DA$3,Entries!$C38:$K38,1,FALSE))),"x",IF(NOT(ISERROR(HLOOKUP(Standings!DA$3,Entries!$L38:$L38,1,FALSE))),"S",""))</f>
        <v/>
      </c>
      <c r="DB46" t="str">
        <f>IF(NOT(ISERROR(HLOOKUP(Standings!DB$3,Entries!$C38:$K38,1,FALSE))),"x",IF(NOT(ISERROR(HLOOKUP(Standings!DB$3,Entries!$L38:$L38,1,FALSE))),"S",""))</f>
        <v/>
      </c>
    </row>
    <row r="47" spans="1:106" x14ac:dyDescent="0.25">
      <c r="B47">
        <v>71</v>
      </c>
      <c r="C47" t="str">
        <f>Entries!B39</f>
        <v>WillTwohy2</v>
      </c>
      <c r="D47" s="4">
        <f t="shared" si="53"/>
        <v>51</v>
      </c>
      <c r="E47" s="31">
        <f t="shared" si="54"/>
        <v>1</v>
      </c>
      <c r="F47" s="40">
        <f t="shared" si="52"/>
        <v>2</v>
      </c>
      <c r="G47" s="41" t="str">
        <f t="shared" si="5"/>
        <v/>
      </c>
      <c r="H47" s="41" t="str">
        <f t="shared" si="6"/>
        <v/>
      </c>
      <c r="I47" s="42" t="str">
        <f t="shared" si="7"/>
        <v/>
      </c>
      <c r="J47" s="40">
        <f t="shared" si="8"/>
        <v>-1.0000100000000001</v>
      </c>
      <c r="K47" s="41" t="str">
        <f t="shared" si="9"/>
        <v/>
      </c>
      <c r="L47" s="41" t="str">
        <f t="shared" si="10"/>
        <v/>
      </c>
      <c r="M47" s="42" t="str">
        <f t="shared" si="11"/>
        <v/>
      </c>
      <c r="N47" s="43" t="str">
        <f t="shared" si="12"/>
        <v/>
      </c>
      <c r="O47" s="41" t="str">
        <f t="shared" si="13"/>
        <v/>
      </c>
      <c r="P47" s="41" t="str">
        <f t="shared" si="14"/>
        <v/>
      </c>
      <c r="Q47" s="42" t="str">
        <f t="shared" si="15"/>
        <v/>
      </c>
      <c r="R47" s="40" t="str">
        <f t="shared" si="16"/>
        <v/>
      </c>
      <c r="S47" s="41" t="str">
        <f t="shared" si="17"/>
        <v/>
      </c>
      <c r="T47" s="43" t="str">
        <f t="shared" si="18"/>
        <v/>
      </c>
      <c r="U47" s="42" t="str">
        <f t="shared" si="19"/>
        <v/>
      </c>
      <c r="V47" s="40" t="str">
        <f t="shared" si="20"/>
        <v/>
      </c>
      <c r="W47" s="41" t="str">
        <f t="shared" si="21"/>
        <v/>
      </c>
      <c r="X47" s="41" t="str">
        <f t="shared" si="22"/>
        <v/>
      </c>
      <c r="Y47" s="42" t="str">
        <f t="shared" si="23"/>
        <v/>
      </c>
      <c r="Z47" s="40" t="str">
        <f t="shared" si="24"/>
        <v/>
      </c>
      <c r="AA47" s="41" t="str">
        <f t="shared" si="25"/>
        <v/>
      </c>
      <c r="AB47" s="41" t="str">
        <f t="shared" si="26"/>
        <v/>
      </c>
      <c r="AC47" s="42" t="str">
        <f t="shared" si="27"/>
        <v/>
      </c>
      <c r="AD47" s="40" t="str">
        <f t="shared" si="28"/>
        <v/>
      </c>
      <c r="AE47" s="41" t="str">
        <f t="shared" si="29"/>
        <v/>
      </c>
      <c r="AF47" s="41" t="str">
        <f t="shared" si="30"/>
        <v/>
      </c>
      <c r="AG47" s="42" t="str">
        <f t="shared" si="31"/>
        <v/>
      </c>
      <c r="AH47" s="40">
        <f t="shared" si="32"/>
        <v>0</v>
      </c>
      <c r="AI47" s="41">
        <f t="shared" si="33"/>
        <v>0</v>
      </c>
      <c r="AJ47" s="41" t="str">
        <f t="shared" si="34"/>
        <v/>
      </c>
      <c r="AK47" s="42">
        <f t="shared" si="35"/>
        <v>0</v>
      </c>
      <c r="AL47" s="40" t="str">
        <f t="shared" si="36"/>
        <v/>
      </c>
      <c r="AM47" s="41" t="str">
        <f t="shared" si="37"/>
        <v/>
      </c>
      <c r="AN47" s="41" t="str">
        <f t="shared" si="38"/>
        <v/>
      </c>
      <c r="AO47" s="42" t="str">
        <f t="shared" si="39"/>
        <v/>
      </c>
      <c r="AP47" s="40" t="str">
        <f t="shared" si="40"/>
        <v/>
      </c>
      <c r="AQ47" s="41" t="str">
        <f t="shared" si="41"/>
        <v/>
      </c>
      <c r="AR47" s="41" t="str">
        <f t="shared" si="42"/>
        <v/>
      </c>
      <c r="AS47" s="42" t="str">
        <f t="shared" si="43"/>
        <v/>
      </c>
      <c r="AT47" s="40" t="str">
        <f t="shared" si="44"/>
        <v/>
      </c>
      <c r="AU47" s="41" t="str">
        <f t="shared" si="45"/>
        <v/>
      </c>
      <c r="AV47" s="41" t="str">
        <f t="shared" si="46"/>
        <v/>
      </c>
      <c r="AW47" s="42" t="str">
        <f t="shared" si="47"/>
        <v/>
      </c>
      <c r="AX47" s="40" t="str">
        <f t="shared" si="48"/>
        <v/>
      </c>
      <c r="AY47" s="41" t="str">
        <f t="shared" si="49"/>
        <v/>
      </c>
      <c r="AZ47" s="41" t="str">
        <f t="shared" si="50"/>
        <v/>
      </c>
      <c r="BA47" s="42" t="str">
        <f t="shared" si="51"/>
        <v/>
      </c>
      <c r="BB47" s="37" t="s">
        <v>106</v>
      </c>
      <c r="BC47" s="21"/>
      <c r="BD47" s="21"/>
      <c r="BG47" t="str">
        <f>IF(NOT(ISERROR(HLOOKUP(Standings!BG$3,Entries!$C39:$K39,1,FALSE))),"x",IF(NOT(ISERROR(HLOOKUP(Standings!BG$3,Entries!$L39:$L39,1,FALSE))),"S",""))</f>
        <v>x</v>
      </c>
      <c r="BH47" t="str">
        <f>IF(NOT(ISERROR(HLOOKUP(Standings!BH$3,Entries!$C39:$K39,1,FALSE))),"x",IF(NOT(ISERROR(HLOOKUP(Standings!BH$3,Entries!$L39:$L39,1,FALSE))),"S",""))</f>
        <v/>
      </c>
      <c r="BI47" t="str">
        <f>IF(NOT(ISERROR(HLOOKUP(Standings!BI$3,Entries!$C39:$K39,1,FALSE))),"x",IF(NOT(ISERROR(HLOOKUP(Standings!BI$3,Entries!$L39:$L39,1,FALSE))),"S",""))</f>
        <v/>
      </c>
      <c r="BJ47" t="str">
        <f>IF(NOT(ISERROR(HLOOKUP(Standings!BJ$3,Entries!$C39:$K39,1,FALSE))),"x",IF(NOT(ISERROR(HLOOKUP(Standings!BJ$3,Entries!$L39:$L39,1,FALSE))),"S",""))</f>
        <v/>
      </c>
      <c r="BK47" t="str">
        <f>IF(NOT(ISERROR(HLOOKUP(Standings!BK$3,Entries!$C39:$K39,1,FALSE))),"x",IF(NOT(ISERROR(HLOOKUP(Standings!BK$3,Entries!$L39:$L39,1,FALSE))),"S",""))</f>
        <v>S</v>
      </c>
      <c r="BL47" t="str">
        <f>IF(NOT(ISERROR(HLOOKUP(Standings!BL$3,Entries!$C39:$K39,1,FALSE))),"x",IF(NOT(ISERROR(HLOOKUP(Standings!BL$3,Entries!$L39:$L39,1,FALSE))),"S",""))</f>
        <v/>
      </c>
      <c r="BM47" t="str">
        <f>IF(NOT(ISERROR(HLOOKUP(Standings!BM$3,Entries!$C39:$K39,1,FALSE))),"x",IF(NOT(ISERROR(HLOOKUP(Standings!BM$3,Entries!$L39:$L39,1,FALSE))),"S",""))</f>
        <v/>
      </c>
      <c r="BN47" t="str">
        <f>IF(NOT(ISERROR(HLOOKUP(Standings!BN$3,Entries!$C39:$K39,1,FALSE))),"x",IF(NOT(ISERROR(HLOOKUP(Standings!BN$3,Entries!$L39:$L39,1,FALSE))),"S",""))</f>
        <v/>
      </c>
      <c r="BO47" t="str">
        <f>IF(NOT(ISERROR(HLOOKUP(Standings!BO$3,Entries!$C39:$K39,1,FALSE))),"x",IF(NOT(ISERROR(HLOOKUP(Standings!BO$3,Entries!$L39:$L39,1,FALSE))),"S",""))</f>
        <v/>
      </c>
      <c r="BP47" t="str">
        <f>IF(NOT(ISERROR(HLOOKUP(Standings!BP$3,Entries!$C39:$K39,1,FALSE))),"x",IF(NOT(ISERROR(HLOOKUP(Standings!BP$3,Entries!$L39:$L39,1,FALSE))),"S",""))</f>
        <v/>
      </c>
      <c r="BQ47" t="str">
        <f>IF(NOT(ISERROR(HLOOKUP(Standings!BQ$3,Entries!$C39:$K39,1,FALSE))),"x",IF(NOT(ISERROR(HLOOKUP(Standings!BQ$3,Entries!$L39:$L39,1,FALSE))),"S",""))</f>
        <v/>
      </c>
      <c r="BR47" t="str">
        <f>IF(NOT(ISERROR(HLOOKUP(Standings!BR$3,Entries!$C39:$K39,1,FALSE))),"x",IF(NOT(ISERROR(HLOOKUP(Standings!BR$3,Entries!$L39:$L39,1,FALSE))),"S",""))</f>
        <v/>
      </c>
      <c r="BS47" t="str">
        <f>IF(NOT(ISERROR(HLOOKUP(Standings!BS$3,Entries!$C39:$K39,1,FALSE))),"x",IF(NOT(ISERROR(HLOOKUP(Standings!BS$3,Entries!$L39:$L39,1,FALSE))),"S",""))</f>
        <v/>
      </c>
      <c r="BT47" t="str">
        <f>IF(NOT(ISERROR(HLOOKUP(Standings!BT$3,Entries!$C39:$K39,1,FALSE))),"x",IF(NOT(ISERROR(HLOOKUP(Standings!BT$3,Entries!$L39:$L39,1,FALSE))),"S",""))</f>
        <v/>
      </c>
      <c r="BU47" t="str">
        <f>IF(NOT(ISERROR(HLOOKUP(Standings!BU$3,Entries!$C39:$K39,1,FALSE))),"x",IF(NOT(ISERROR(HLOOKUP(Standings!BU$3,Entries!$L39:$L39,1,FALSE))),"S",""))</f>
        <v/>
      </c>
      <c r="BV47" t="str">
        <f>IF(NOT(ISERROR(HLOOKUP(Standings!BV$3,Entries!$C39:$K39,1,FALSE))),"x",IF(NOT(ISERROR(HLOOKUP(Standings!BV$3,Entries!$L39:$L39,1,FALSE))),"S",""))</f>
        <v/>
      </c>
      <c r="BW47" t="str">
        <f>IF(NOT(ISERROR(HLOOKUP(Standings!BW$3,Entries!$C39:$K39,1,FALSE))),"x",IF(NOT(ISERROR(HLOOKUP(Standings!BW$3,Entries!$L39:$L39,1,FALSE))),"S",""))</f>
        <v/>
      </c>
      <c r="BX47" t="str">
        <f>IF(NOT(ISERROR(HLOOKUP(Standings!BX$3,Entries!$C39:$K39,1,FALSE))),"x",IF(NOT(ISERROR(HLOOKUP(Standings!BX$3,Entries!$L39:$L39,1,FALSE))),"S",""))</f>
        <v/>
      </c>
      <c r="BY47" t="str">
        <f>IF(NOT(ISERROR(HLOOKUP(Standings!BY$3,Entries!$C39:$K39,1,FALSE))),"x",IF(NOT(ISERROR(HLOOKUP(Standings!BY$3,Entries!$L39:$L39,1,FALSE))),"S",""))</f>
        <v/>
      </c>
      <c r="BZ47" t="str">
        <f>IF(NOT(ISERROR(HLOOKUP(Standings!BZ$3,Entries!$C39:$K39,1,FALSE))),"x",IF(NOT(ISERROR(HLOOKUP(Standings!BZ$3,Entries!$L39:$L39,1,FALSE))),"S",""))</f>
        <v/>
      </c>
      <c r="CA47" t="str">
        <f>IF(NOT(ISERROR(HLOOKUP(Standings!CA$3,Entries!$C39:$K39,1,FALSE))),"x",IF(NOT(ISERROR(HLOOKUP(Standings!CA$3,Entries!$L39:$L39,1,FALSE))),"S",""))</f>
        <v/>
      </c>
      <c r="CB47" t="str">
        <f>IF(NOT(ISERROR(HLOOKUP(Standings!CB$3,Entries!$C39:$K39,1,FALSE))),"x",IF(NOT(ISERROR(HLOOKUP(Standings!CB$3,Entries!$L39:$L39,1,FALSE))),"S",""))</f>
        <v/>
      </c>
      <c r="CC47" t="str">
        <f>IF(NOT(ISERROR(HLOOKUP(Standings!CC$3,Entries!$C39:$K39,1,FALSE))),"x",IF(NOT(ISERROR(HLOOKUP(Standings!CC$3,Entries!$L39:$L39,1,FALSE))),"S",""))</f>
        <v/>
      </c>
      <c r="CD47" t="str">
        <f>IF(NOT(ISERROR(HLOOKUP(Standings!CD$3,Entries!$C39:$K39,1,FALSE))),"x",IF(NOT(ISERROR(HLOOKUP(Standings!CD$3,Entries!$L39:$L39,1,FALSE))),"S",""))</f>
        <v/>
      </c>
      <c r="CE47" t="str">
        <f>IF(NOT(ISERROR(HLOOKUP(Standings!CE$3,Entries!$C39:$K39,1,FALSE))),"x",IF(NOT(ISERROR(HLOOKUP(Standings!CE$3,Entries!$L39:$L39,1,FALSE))),"S",""))</f>
        <v/>
      </c>
      <c r="CF47" t="str">
        <f>IF(NOT(ISERROR(HLOOKUP(Standings!CF$3,Entries!$C39:$K39,1,FALSE))),"x",IF(NOT(ISERROR(HLOOKUP(Standings!CF$3,Entries!$L39:$L39,1,FALSE))),"S",""))</f>
        <v/>
      </c>
      <c r="CG47" t="str">
        <f>IF(NOT(ISERROR(HLOOKUP(Standings!CG$3,Entries!$C39:$K39,1,FALSE))),"x",IF(NOT(ISERROR(HLOOKUP(Standings!CG$3,Entries!$L39:$L39,1,FALSE))),"S",""))</f>
        <v/>
      </c>
      <c r="CH47" t="str">
        <f>IF(NOT(ISERROR(HLOOKUP(Standings!CH$3,Entries!$C39:$K39,1,FALSE))),"x",IF(NOT(ISERROR(HLOOKUP(Standings!CH$3,Entries!$L39:$L39,1,FALSE))),"S",""))</f>
        <v/>
      </c>
      <c r="CI47" t="str">
        <f>IF(NOT(ISERROR(HLOOKUP(Standings!CI$3,Entries!$C39:$K39,1,FALSE))),"x",IF(NOT(ISERROR(HLOOKUP(Standings!CI$3,Entries!$L39:$L39,1,FALSE))),"S",""))</f>
        <v>x</v>
      </c>
      <c r="CJ47" t="str">
        <f>IF(NOT(ISERROR(HLOOKUP(Standings!CJ$3,Entries!$C39:$K39,1,FALSE))),"x",IF(NOT(ISERROR(HLOOKUP(Standings!CJ$3,Entries!$L39:$L39,1,FALSE))),"S",""))</f>
        <v>x</v>
      </c>
      <c r="CK47" t="str">
        <f>IF(NOT(ISERROR(HLOOKUP(Standings!CK$3,Entries!$C39:$K39,1,FALSE))),"x",IF(NOT(ISERROR(HLOOKUP(Standings!CK$3,Entries!$L39:$L39,1,FALSE))),"S",""))</f>
        <v/>
      </c>
      <c r="CL47" t="str">
        <f>IF(NOT(ISERROR(HLOOKUP(Standings!CL$3,Entries!$C39:$K39,1,FALSE))),"x",IF(NOT(ISERROR(HLOOKUP(Standings!CL$3,Entries!$L39:$L39,1,FALSE))),"S",""))</f>
        <v>x</v>
      </c>
      <c r="CM47" t="str">
        <f>IF(NOT(ISERROR(HLOOKUP(Standings!CM$3,Entries!$C39:$K39,1,FALSE))),"x",IF(NOT(ISERROR(HLOOKUP(Standings!CM$3,Entries!$L39:$L39,1,FALSE))),"S",""))</f>
        <v/>
      </c>
      <c r="CN47" t="str">
        <f>IF(NOT(ISERROR(HLOOKUP(Standings!CN$3,Entries!$C39:$K39,1,FALSE))),"x",IF(NOT(ISERROR(HLOOKUP(Standings!CN$3,Entries!$L39:$L39,1,FALSE))),"S",""))</f>
        <v/>
      </c>
      <c r="CO47" t="str">
        <f>IF(NOT(ISERROR(HLOOKUP(Standings!CO$3,Entries!$C39:$K39,1,FALSE))),"x",IF(NOT(ISERROR(HLOOKUP(Standings!CO$3,Entries!$L39:$L39,1,FALSE))),"S",""))</f>
        <v/>
      </c>
      <c r="CP47" t="str">
        <f>IF(NOT(ISERROR(HLOOKUP(Standings!CP$3,Entries!$C39:$K39,1,FALSE))),"x",IF(NOT(ISERROR(HLOOKUP(Standings!CP$3,Entries!$L39:$L39,1,FALSE))),"S",""))</f>
        <v/>
      </c>
      <c r="CQ47" t="str">
        <f>IF(NOT(ISERROR(HLOOKUP(Standings!CQ$3,Entries!$C39:$K39,1,FALSE))),"x",IF(NOT(ISERROR(HLOOKUP(Standings!CQ$3,Entries!$L39:$L39,1,FALSE))),"S",""))</f>
        <v/>
      </c>
      <c r="CR47" t="str">
        <f>IF(NOT(ISERROR(HLOOKUP(Standings!CR$3,Entries!$C39:$K39,1,FALSE))),"x",IF(NOT(ISERROR(HLOOKUP(Standings!CR$3,Entries!$L39:$L39,1,FALSE))),"S",""))</f>
        <v/>
      </c>
      <c r="CS47" t="str">
        <f>IF(NOT(ISERROR(HLOOKUP(Standings!CS$3,Entries!$C39:$K39,1,FALSE))),"x",IF(NOT(ISERROR(HLOOKUP(Standings!CS$3,Entries!$L39:$L39,1,FALSE))),"S",""))</f>
        <v/>
      </c>
      <c r="CT47" t="str">
        <f>IF(NOT(ISERROR(HLOOKUP(Standings!CT$3,Entries!$C39:$K39,1,FALSE))),"x",IF(NOT(ISERROR(HLOOKUP(Standings!CT$3,Entries!$L39:$L39,1,FALSE))),"S",""))</f>
        <v/>
      </c>
      <c r="CU47" t="str">
        <f>IF(NOT(ISERROR(HLOOKUP(Standings!CU$3,Entries!$C39:$K39,1,FALSE))),"x",IF(NOT(ISERROR(HLOOKUP(Standings!CU$3,Entries!$L39:$L39,1,FALSE))),"S",""))</f>
        <v/>
      </c>
      <c r="CV47" t="str">
        <f>IF(NOT(ISERROR(HLOOKUP(Standings!CV$3,Entries!$C39:$K39,1,FALSE))),"x",IF(NOT(ISERROR(HLOOKUP(Standings!CV$3,Entries!$L39:$L39,1,FALSE))),"S",""))</f>
        <v/>
      </c>
      <c r="CW47" t="str">
        <f>IF(NOT(ISERROR(HLOOKUP(Standings!CW$3,Entries!$C39:$K39,1,FALSE))),"x",IF(NOT(ISERROR(HLOOKUP(Standings!CW$3,Entries!$L39:$L39,1,FALSE))),"S",""))</f>
        <v/>
      </c>
      <c r="CX47" t="str">
        <f>IF(NOT(ISERROR(HLOOKUP(Standings!CX$3,Entries!$C39:$K39,1,FALSE))),"x",IF(NOT(ISERROR(HLOOKUP(Standings!CX$3,Entries!$L39:$L39,1,FALSE))),"S",""))</f>
        <v/>
      </c>
      <c r="CY47" t="str">
        <f>IF(NOT(ISERROR(HLOOKUP(Standings!CY$3,Entries!$C39:$K39,1,FALSE))),"x",IF(NOT(ISERROR(HLOOKUP(Standings!CY$3,Entries!$L39:$L39,1,FALSE))),"S",""))</f>
        <v/>
      </c>
      <c r="CZ47" t="str">
        <f>IF(NOT(ISERROR(HLOOKUP(Standings!CZ$3,Entries!$C39:$K39,1,FALSE))),"x",IF(NOT(ISERROR(HLOOKUP(Standings!CZ$3,Entries!$L39:$L39,1,FALSE))),"S",""))</f>
        <v/>
      </c>
      <c r="DA47" t="str">
        <f>IF(NOT(ISERROR(HLOOKUP(Standings!DA$3,Entries!$C39:$K39,1,FALSE))),"x",IF(NOT(ISERROR(HLOOKUP(Standings!DA$3,Entries!$L39:$L39,1,FALSE))),"S",""))</f>
        <v/>
      </c>
      <c r="DB47" t="str">
        <f>IF(NOT(ISERROR(HLOOKUP(Standings!DB$3,Entries!$C39:$K39,1,FALSE))),"x",IF(NOT(ISERROR(HLOOKUP(Standings!DB$3,Entries!$L39:$L39,1,FALSE))),"S",""))</f>
        <v/>
      </c>
    </row>
    <row r="48" spans="1:106" x14ac:dyDescent="0.25">
      <c r="B48">
        <v>71</v>
      </c>
      <c r="C48" t="str">
        <f>Entries!B40</f>
        <v>Niedermaier_1A</v>
      </c>
      <c r="D48" s="4">
        <f t="shared" si="53"/>
        <v>55</v>
      </c>
      <c r="E48" s="31">
        <f t="shared" si="54"/>
        <v>0</v>
      </c>
      <c r="F48" s="40" t="str">
        <f t="shared" si="52"/>
        <v/>
      </c>
      <c r="G48" s="41" t="str">
        <f t="shared" si="5"/>
        <v/>
      </c>
      <c r="H48" s="41" t="str">
        <f t="shared" si="6"/>
        <v/>
      </c>
      <c r="I48" s="42" t="str">
        <f t="shared" si="7"/>
        <v/>
      </c>
      <c r="J48" s="40" t="str">
        <f t="shared" si="8"/>
        <v/>
      </c>
      <c r="K48" s="41" t="str">
        <f t="shared" si="9"/>
        <v/>
      </c>
      <c r="L48" s="41" t="str">
        <f t="shared" si="10"/>
        <v/>
      </c>
      <c r="M48" s="42" t="str">
        <f t="shared" si="11"/>
        <v/>
      </c>
      <c r="N48" s="43">
        <f t="shared" si="12"/>
        <v>-1.0000000000000001E-5</v>
      </c>
      <c r="O48" s="41" t="str">
        <f t="shared" si="13"/>
        <v/>
      </c>
      <c r="P48" s="41" t="str">
        <f t="shared" si="14"/>
        <v/>
      </c>
      <c r="Q48" s="42" t="str">
        <f t="shared" si="15"/>
        <v/>
      </c>
      <c r="R48" s="40" t="str">
        <f t="shared" si="16"/>
        <v/>
      </c>
      <c r="S48" s="41" t="str">
        <f t="shared" si="17"/>
        <v/>
      </c>
      <c r="T48" s="43" t="str">
        <f t="shared" si="18"/>
        <v/>
      </c>
      <c r="U48" s="42" t="str">
        <f t="shared" si="19"/>
        <v/>
      </c>
      <c r="V48" s="40" t="str">
        <f t="shared" si="20"/>
        <v/>
      </c>
      <c r="W48" s="41" t="str">
        <f t="shared" si="21"/>
        <v/>
      </c>
      <c r="X48" s="41" t="str">
        <f t="shared" si="22"/>
        <v/>
      </c>
      <c r="Y48" s="42" t="str">
        <f t="shared" si="23"/>
        <v/>
      </c>
      <c r="Z48" s="40" t="str">
        <f t="shared" si="24"/>
        <v/>
      </c>
      <c r="AA48" s="41" t="str">
        <f t="shared" si="25"/>
        <v/>
      </c>
      <c r="AB48" s="41" t="str">
        <f t="shared" si="26"/>
        <v/>
      </c>
      <c r="AC48" s="42" t="str">
        <f t="shared" si="27"/>
        <v/>
      </c>
      <c r="AD48" s="40" t="str">
        <f t="shared" si="28"/>
        <v/>
      </c>
      <c r="AE48" s="41" t="str">
        <f t="shared" si="29"/>
        <v/>
      </c>
      <c r="AF48" s="41" t="str">
        <f t="shared" si="30"/>
        <v/>
      </c>
      <c r="AG48" s="42" t="str">
        <f t="shared" si="31"/>
        <v/>
      </c>
      <c r="AH48" s="40">
        <f t="shared" si="32"/>
        <v>0</v>
      </c>
      <c r="AI48" s="41" t="str">
        <f t="shared" si="33"/>
        <v/>
      </c>
      <c r="AJ48" s="41" t="str">
        <f t="shared" si="34"/>
        <v/>
      </c>
      <c r="AK48" s="42" t="str">
        <f t="shared" si="35"/>
        <v/>
      </c>
      <c r="AL48" s="40">
        <f t="shared" si="36"/>
        <v>0</v>
      </c>
      <c r="AM48" s="41" t="str">
        <f t="shared" si="37"/>
        <v/>
      </c>
      <c r="AN48" s="41" t="str">
        <f t="shared" si="38"/>
        <v/>
      </c>
      <c r="AO48" s="42" t="str">
        <f t="shared" si="39"/>
        <v/>
      </c>
      <c r="AP48" s="40" t="str">
        <f t="shared" si="40"/>
        <v/>
      </c>
      <c r="AQ48" s="41" t="str">
        <f t="shared" si="41"/>
        <v/>
      </c>
      <c r="AR48" s="41" t="str">
        <f t="shared" si="42"/>
        <v/>
      </c>
      <c r="AS48" s="42" t="str">
        <f t="shared" si="43"/>
        <v/>
      </c>
      <c r="AT48" s="40" t="str">
        <f t="shared" si="44"/>
        <v/>
      </c>
      <c r="AU48" s="41" t="str">
        <f t="shared" si="45"/>
        <v/>
      </c>
      <c r="AV48" s="41" t="str">
        <f t="shared" si="46"/>
        <v/>
      </c>
      <c r="AW48" s="42" t="str">
        <f t="shared" si="47"/>
        <v/>
      </c>
      <c r="AX48" s="40" t="str">
        <f t="shared" si="48"/>
        <v/>
      </c>
      <c r="AY48" s="41">
        <f t="shared" si="49"/>
        <v>0</v>
      </c>
      <c r="AZ48" s="41" t="str">
        <f t="shared" si="50"/>
        <v/>
      </c>
      <c r="BA48" s="42" t="str">
        <f t="shared" si="51"/>
        <v/>
      </c>
      <c r="BB48" s="37" t="s">
        <v>106</v>
      </c>
      <c r="BC48" s="21"/>
      <c r="BD48" s="21"/>
      <c r="BG48" t="str">
        <f>IF(NOT(ISERROR(HLOOKUP(Standings!BG$3,Entries!$C40:$K40,1,FALSE))),"x",IF(NOT(ISERROR(HLOOKUP(Standings!BG$3,Entries!$L40:$L40,1,FALSE))),"S",""))</f>
        <v/>
      </c>
      <c r="BH48" t="str">
        <f>IF(NOT(ISERROR(HLOOKUP(Standings!BH$3,Entries!$C40:$K40,1,FALSE))),"x",IF(NOT(ISERROR(HLOOKUP(Standings!BH$3,Entries!$L40:$L40,1,FALSE))),"S",""))</f>
        <v/>
      </c>
      <c r="BI48" t="str">
        <f>IF(NOT(ISERROR(HLOOKUP(Standings!BI$3,Entries!$C40:$K40,1,FALSE))),"x",IF(NOT(ISERROR(HLOOKUP(Standings!BI$3,Entries!$L40:$L40,1,FALSE))),"S",""))</f>
        <v/>
      </c>
      <c r="BJ48" t="str">
        <f>IF(NOT(ISERROR(HLOOKUP(Standings!BJ$3,Entries!$C40:$K40,1,FALSE))),"x",IF(NOT(ISERROR(HLOOKUP(Standings!BJ$3,Entries!$L40:$L40,1,FALSE))),"S",""))</f>
        <v/>
      </c>
      <c r="BK48" t="str">
        <f>IF(NOT(ISERROR(HLOOKUP(Standings!BK$3,Entries!$C40:$K40,1,FALSE))),"x",IF(NOT(ISERROR(HLOOKUP(Standings!BK$3,Entries!$L40:$L40,1,FALSE))),"S",""))</f>
        <v/>
      </c>
      <c r="BL48" t="str">
        <f>IF(NOT(ISERROR(HLOOKUP(Standings!BL$3,Entries!$C40:$K40,1,FALSE))),"x",IF(NOT(ISERROR(HLOOKUP(Standings!BL$3,Entries!$L40:$L40,1,FALSE))),"S",""))</f>
        <v/>
      </c>
      <c r="BM48" t="str">
        <f>IF(NOT(ISERROR(HLOOKUP(Standings!BM$3,Entries!$C40:$K40,1,FALSE))),"x",IF(NOT(ISERROR(HLOOKUP(Standings!BM$3,Entries!$L40:$L40,1,FALSE))),"S",""))</f>
        <v/>
      </c>
      <c r="BN48" t="str">
        <f>IF(NOT(ISERROR(HLOOKUP(Standings!BN$3,Entries!$C40:$K40,1,FALSE))),"x",IF(NOT(ISERROR(HLOOKUP(Standings!BN$3,Entries!$L40:$L40,1,FALSE))),"S",""))</f>
        <v/>
      </c>
      <c r="BO48" t="str">
        <f>IF(NOT(ISERROR(HLOOKUP(Standings!BO$3,Entries!$C40:$K40,1,FALSE))),"x",IF(NOT(ISERROR(HLOOKUP(Standings!BO$3,Entries!$L40:$L40,1,FALSE))),"S",""))</f>
        <v>S</v>
      </c>
      <c r="BP48" t="str">
        <f>IF(NOT(ISERROR(HLOOKUP(Standings!BP$3,Entries!$C40:$K40,1,FALSE))),"x",IF(NOT(ISERROR(HLOOKUP(Standings!BP$3,Entries!$L40:$L40,1,FALSE))),"S",""))</f>
        <v/>
      </c>
      <c r="BQ48" t="str">
        <f>IF(NOT(ISERROR(HLOOKUP(Standings!BQ$3,Entries!$C40:$K40,1,FALSE))),"x",IF(NOT(ISERROR(HLOOKUP(Standings!BQ$3,Entries!$L40:$L40,1,FALSE))),"S",""))</f>
        <v/>
      </c>
      <c r="BR48" t="str">
        <f>IF(NOT(ISERROR(HLOOKUP(Standings!BR$3,Entries!$C40:$K40,1,FALSE))),"x",IF(NOT(ISERROR(HLOOKUP(Standings!BR$3,Entries!$L40:$L40,1,FALSE))),"S",""))</f>
        <v/>
      </c>
      <c r="BS48" t="str">
        <f>IF(NOT(ISERROR(HLOOKUP(Standings!BS$3,Entries!$C40:$K40,1,FALSE))),"x",IF(NOT(ISERROR(HLOOKUP(Standings!BS$3,Entries!$L40:$L40,1,FALSE))),"S",""))</f>
        <v/>
      </c>
      <c r="BT48" t="str">
        <f>IF(NOT(ISERROR(HLOOKUP(Standings!BT$3,Entries!$C40:$K40,1,FALSE))),"x",IF(NOT(ISERROR(HLOOKUP(Standings!BT$3,Entries!$L40:$L40,1,FALSE))),"S",""))</f>
        <v/>
      </c>
      <c r="BU48" t="str">
        <f>IF(NOT(ISERROR(HLOOKUP(Standings!BU$3,Entries!$C40:$K40,1,FALSE))),"x",IF(NOT(ISERROR(HLOOKUP(Standings!BU$3,Entries!$L40:$L40,1,FALSE))),"S",""))</f>
        <v/>
      </c>
      <c r="BV48" t="str">
        <f>IF(NOT(ISERROR(HLOOKUP(Standings!BV$3,Entries!$C40:$K40,1,FALSE))),"x",IF(NOT(ISERROR(HLOOKUP(Standings!BV$3,Entries!$L40:$L40,1,FALSE))),"S",""))</f>
        <v/>
      </c>
      <c r="BW48" t="str">
        <f>IF(NOT(ISERROR(HLOOKUP(Standings!BW$3,Entries!$C40:$K40,1,FALSE))),"x",IF(NOT(ISERROR(HLOOKUP(Standings!BW$3,Entries!$L40:$L40,1,FALSE))),"S",""))</f>
        <v/>
      </c>
      <c r="BX48" t="str">
        <f>IF(NOT(ISERROR(HLOOKUP(Standings!BX$3,Entries!$C40:$K40,1,FALSE))),"x",IF(NOT(ISERROR(HLOOKUP(Standings!BX$3,Entries!$L40:$L40,1,FALSE))),"S",""))</f>
        <v/>
      </c>
      <c r="BY48" t="str">
        <f>IF(NOT(ISERROR(HLOOKUP(Standings!BY$3,Entries!$C40:$K40,1,FALSE))),"x",IF(NOT(ISERROR(HLOOKUP(Standings!BY$3,Entries!$L40:$L40,1,FALSE))),"S",""))</f>
        <v/>
      </c>
      <c r="BZ48" t="str">
        <f>IF(NOT(ISERROR(HLOOKUP(Standings!BZ$3,Entries!$C40:$K40,1,FALSE))),"x",IF(NOT(ISERROR(HLOOKUP(Standings!BZ$3,Entries!$L40:$L40,1,FALSE))),"S",""))</f>
        <v/>
      </c>
      <c r="CA48" t="str">
        <f>IF(NOT(ISERROR(HLOOKUP(Standings!CA$3,Entries!$C40:$K40,1,FALSE))),"x",IF(NOT(ISERROR(HLOOKUP(Standings!CA$3,Entries!$L40:$L40,1,FALSE))),"S",""))</f>
        <v/>
      </c>
      <c r="CB48" t="str">
        <f>IF(NOT(ISERROR(HLOOKUP(Standings!CB$3,Entries!$C40:$K40,1,FALSE))),"x",IF(NOT(ISERROR(HLOOKUP(Standings!CB$3,Entries!$L40:$L40,1,FALSE))),"S",""))</f>
        <v/>
      </c>
      <c r="CC48" t="str">
        <f>IF(NOT(ISERROR(HLOOKUP(Standings!CC$3,Entries!$C40:$K40,1,FALSE))),"x",IF(NOT(ISERROR(HLOOKUP(Standings!CC$3,Entries!$L40:$L40,1,FALSE))),"S",""))</f>
        <v/>
      </c>
      <c r="CD48" t="str">
        <f>IF(NOT(ISERROR(HLOOKUP(Standings!CD$3,Entries!$C40:$K40,1,FALSE))),"x",IF(NOT(ISERROR(HLOOKUP(Standings!CD$3,Entries!$L40:$L40,1,FALSE))),"S",""))</f>
        <v/>
      </c>
      <c r="CE48" t="str">
        <f>IF(NOT(ISERROR(HLOOKUP(Standings!CE$3,Entries!$C40:$K40,1,FALSE))),"x",IF(NOT(ISERROR(HLOOKUP(Standings!CE$3,Entries!$L40:$L40,1,FALSE))),"S",""))</f>
        <v/>
      </c>
      <c r="CF48" t="str">
        <f>IF(NOT(ISERROR(HLOOKUP(Standings!CF$3,Entries!$C40:$K40,1,FALSE))),"x",IF(NOT(ISERROR(HLOOKUP(Standings!CF$3,Entries!$L40:$L40,1,FALSE))),"S",""))</f>
        <v/>
      </c>
      <c r="CG48" t="str">
        <f>IF(NOT(ISERROR(HLOOKUP(Standings!CG$3,Entries!$C40:$K40,1,FALSE))),"x",IF(NOT(ISERROR(HLOOKUP(Standings!CG$3,Entries!$L40:$L40,1,FALSE))),"S",""))</f>
        <v/>
      </c>
      <c r="CH48" t="str">
        <f>IF(NOT(ISERROR(HLOOKUP(Standings!CH$3,Entries!$C40:$K40,1,FALSE))),"x",IF(NOT(ISERROR(HLOOKUP(Standings!CH$3,Entries!$L40:$L40,1,FALSE))),"S",""))</f>
        <v/>
      </c>
      <c r="CI48" t="str">
        <f>IF(NOT(ISERROR(HLOOKUP(Standings!CI$3,Entries!$C40:$K40,1,FALSE))),"x",IF(NOT(ISERROR(HLOOKUP(Standings!CI$3,Entries!$L40:$L40,1,FALSE))),"S",""))</f>
        <v>x</v>
      </c>
      <c r="CJ48" t="str">
        <f>IF(NOT(ISERROR(HLOOKUP(Standings!CJ$3,Entries!$C40:$K40,1,FALSE))),"x",IF(NOT(ISERROR(HLOOKUP(Standings!CJ$3,Entries!$L40:$L40,1,FALSE))),"S",""))</f>
        <v/>
      </c>
      <c r="CK48" t="str">
        <f>IF(NOT(ISERROR(HLOOKUP(Standings!CK$3,Entries!$C40:$K40,1,FALSE))),"x",IF(NOT(ISERROR(HLOOKUP(Standings!CK$3,Entries!$L40:$L40,1,FALSE))),"S",""))</f>
        <v/>
      </c>
      <c r="CL48" t="str">
        <f>IF(NOT(ISERROR(HLOOKUP(Standings!CL$3,Entries!$C40:$K40,1,FALSE))),"x",IF(NOT(ISERROR(HLOOKUP(Standings!CL$3,Entries!$L40:$L40,1,FALSE))),"S",""))</f>
        <v/>
      </c>
      <c r="CM48" t="str">
        <f>IF(NOT(ISERROR(HLOOKUP(Standings!CM$3,Entries!$C40:$K40,1,FALSE))),"x",IF(NOT(ISERROR(HLOOKUP(Standings!CM$3,Entries!$L40:$L40,1,FALSE))),"S",""))</f>
        <v>x</v>
      </c>
      <c r="CN48" t="str">
        <f>IF(NOT(ISERROR(HLOOKUP(Standings!CN$3,Entries!$C40:$K40,1,FALSE))),"x",IF(NOT(ISERROR(HLOOKUP(Standings!CN$3,Entries!$L40:$L40,1,FALSE))),"S",""))</f>
        <v/>
      </c>
      <c r="CO48" t="str">
        <f>IF(NOT(ISERROR(HLOOKUP(Standings!CO$3,Entries!$C40:$K40,1,FALSE))),"x",IF(NOT(ISERROR(HLOOKUP(Standings!CO$3,Entries!$L40:$L40,1,FALSE))),"S",""))</f>
        <v/>
      </c>
      <c r="CP48" t="str">
        <f>IF(NOT(ISERROR(HLOOKUP(Standings!CP$3,Entries!$C40:$K40,1,FALSE))),"x",IF(NOT(ISERROR(HLOOKUP(Standings!CP$3,Entries!$L40:$L40,1,FALSE))),"S",""))</f>
        <v/>
      </c>
      <c r="CQ48" t="str">
        <f>IF(NOT(ISERROR(HLOOKUP(Standings!CQ$3,Entries!$C40:$K40,1,FALSE))),"x",IF(NOT(ISERROR(HLOOKUP(Standings!CQ$3,Entries!$L40:$L40,1,FALSE))),"S",""))</f>
        <v/>
      </c>
      <c r="CR48" t="str">
        <f>IF(NOT(ISERROR(HLOOKUP(Standings!CR$3,Entries!$C40:$K40,1,FALSE))),"x",IF(NOT(ISERROR(HLOOKUP(Standings!CR$3,Entries!$L40:$L40,1,FALSE))),"S",""))</f>
        <v/>
      </c>
      <c r="CS48" t="str">
        <f>IF(NOT(ISERROR(HLOOKUP(Standings!CS$3,Entries!$C40:$K40,1,FALSE))),"x",IF(NOT(ISERROR(HLOOKUP(Standings!CS$3,Entries!$L40:$L40,1,FALSE))),"S",""))</f>
        <v/>
      </c>
      <c r="CT48" t="str">
        <f>IF(NOT(ISERROR(HLOOKUP(Standings!CT$3,Entries!$C40:$K40,1,FALSE))),"x",IF(NOT(ISERROR(HLOOKUP(Standings!CT$3,Entries!$L40:$L40,1,FALSE))),"S",""))</f>
        <v/>
      </c>
      <c r="CU48" t="str">
        <f>IF(NOT(ISERROR(HLOOKUP(Standings!CU$3,Entries!$C40:$K40,1,FALSE))),"x",IF(NOT(ISERROR(HLOOKUP(Standings!CU$3,Entries!$L40:$L40,1,FALSE))),"S",""))</f>
        <v/>
      </c>
      <c r="CV48" t="str">
        <f>IF(NOT(ISERROR(HLOOKUP(Standings!CV$3,Entries!$C40:$K40,1,FALSE))),"x",IF(NOT(ISERROR(HLOOKUP(Standings!CV$3,Entries!$L40:$L40,1,FALSE))),"S",""))</f>
        <v/>
      </c>
      <c r="CW48" t="str">
        <f>IF(NOT(ISERROR(HLOOKUP(Standings!CW$3,Entries!$C40:$K40,1,FALSE))),"x",IF(NOT(ISERROR(HLOOKUP(Standings!CW$3,Entries!$L40:$L40,1,FALSE))),"S",""))</f>
        <v/>
      </c>
      <c r="CX48" t="str">
        <f>IF(NOT(ISERROR(HLOOKUP(Standings!CX$3,Entries!$C40:$K40,1,FALSE))),"x",IF(NOT(ISERROR(HLOOKUP(Standings!CX$3,Entries!$L40:$L40,1,FALSE))),"S",""))</f>
        <v/>
      </c>
      <c r="CY48" t="str">
        <f>IF(NOT(ISERROR(HLOOKUP(Standings!CY$3,Entries!$C40:$K40,1,FALSE))),"x",IF(NOT(ISERROR(HLOOKUP(Standings!CY$3,Entries!$L40:$L40,1,FALSE))),"S",""))</f>
        <v/>
      </c>
      <c r="CZ48" t="str">
        <f>IF(NOT(ISERROR(HLOOKUP(Standings!CZ$3,Entries!$C40:$K40,1,FALSE))),"x",IF(NOT(ISERROR(HLOOKUP(Standings!CZ$3,Entries!$L40:$L40,1,FALSE))),"S",""))</f>
        <v>x</v>
      </c>
      <c r="DA48" t="str">
        <f>IF(NOT(ISERROR(HLOOKUP(Standings!DA$3,Entries!$C40:$K40,1,FALSE))),"x",IF(NOT(ISERROR(HLOOKUP(Standings!DA$3,Entries!$L40:$L40,1,FALSE))),"S",""))</f>
        <v/>
      </c>
      <c r="DB48" t="str">
        <f>IF(NOT(ISERROR(HLOOKUP(Standings!DB$3,Entries!$C40:$K40,1,FALSE))),"x",IF(NOT(ISERROR(HLOOKUP(Standings!DB$3,Entries!$L40:$L40,1,FALSE))),"S",""))</f>
        <v/>
      </c>
    </row>
    <row r="49" spans="1:106" x14ac:dyDescent="0.25">
      <c r="A49" s="18"/>
      <c r="B49">
        <v>13</v>
      </c>
      <c r="C49" t="str">
        <f>Entries!B41</f>
        <v>Niedermaier_2B</v>
      </c>
      <c r="D49" s="4">
        <f t="shared" si="53"/>
        <v>18</v>
      </c>
      <c r="E49" s="31">
        <f t="shared" si="54"/>
        <v>2</v>
      </c>
      <c r="F49" s="40" t="str">
        <f t="shared" si="52"/>
        <v/>
      </c>
      <c r="G49" s="41" t="str">
        <f t="shared" si="5"/>
        <v/>
      </c>
      <c r="H49" s="41" t="str">
        <f t="shared" si="6"/>
        <v/>
      </c>
      <c r="I49" s="42" t="str">
        <f t="shared" si="7"/>
        <v/>
      </c>
      <c r="J49" s="40" t="str">
        <f t="shared" si="8"/>
        <v/>
      </c>
      <c r="K49" s="41" t="str">
        <f t="shared" si="9"/>
        <v/>
      </c>
      <c r="L49" s="41" t="str">
        <f t="shared" si="10"/>
        <v/>
      </c>
      <c r="M49" s="42" t="str">
        <f t="shared" si="11"/>
        <v/>
      </c>
      <c r="N49" s="43" t="str">
        <f t="shared" si="12"/>
        <v/>
      </c>
      <c r="O49" s="41">
        <f t="shared" si="13"/>
        <v>0</v>
      </c>
      <c r="P49" s="41" t="str">
        <f t="shared" si="14"/>
        <v/>
      </c>
      <c r="Q49" s="42" t="str">
        <f t="shared" si="15"/>
        <v/>
      </c>
      <c r="R49" s="40">
        <f t="shared" si="16"/>
        <v>2</v>
      </c>
      <c r="S49" s="41" t="str">
        <f t="shared" si="17"/>
        <v/>
      </c>
      <c r="T49" s="43" t="str">
        <f t="shared" si="18"/>
        <v/>
      </c>
      <c r="U49" s="42" t="str">
        <f t="shared" si="19"/>
        <v/>
      </c>
      <c r="V49" s="40">
        <f t="shared" si="20"/>
        <v>0</v>
      </c>
      <c r="W49" s="41" t="str">
        <f t="shared" si="21"/>
        <v/>
      </c>
      <c r="X49" s="41" t="str">
        <f t="shared" si="22"/>
        <v/>
      </c>
      <c r="Y49" s="42" t="str">
        <f t="shared" si="23"/>
        <v/>
      </c>
      <c r="Z49" s="40">
        <f t="shared" si="24"/>
        <v>0</v>
      </c>
      <c r="AA49" s="41">
        <f t="shared" si="25"/>
        <v>0</v>
      </c>
      <c r="AB49" s="41" t="str">
        <f t="shared" si="26"/>
        <v/>
      </c>
      <c r="AC49" s="42" t="str">
        <f t="shared" si="27"/>
        <v/>
      </c>
      <c r="AD49" s="40" t="str">
        <f t="shared" si="28"/>
        <v/>
      </c>
      <c r="AE49" s="41" t="str">
        <f t="shared" si="29"/>
        <v/>
      </c>
      <c r="AF49" s="41" t="str">
        <f t="shared" si="30"/>
        <v/>
      </c>
      <c r="AG49" s="42" t="str">
        <f t="shared" si="31"/>
        <v/>
      </c>
      <c r="AH49" s="40" t="str">
        <f t="shared" si="32"/>
        <v/>
      </c>
      <c r="AI49" s="41" t="str">
        <f t="shared" si="33"/>
        <v/>
      </c>
      <c r="AJ49" s="41" t="str">
        <f t="shared" si="34"/>
        <v/>
      </c>
      <c r="AK49" s="42" t="str">
        <f t="shared" si="35"/>
        <v/>
      </c>
      <c r="AL49" s="40" t="str">
        <f t="shared" si="36"/>
        <v/>
      </c>
      <c r="AM49" s="41" t="str">
        <f t="shared" si="37"/>
        <v/>
      </c>
      <c r="AN49" s="41" t="str">
        <f t="shared" si="38"/>
        <v/>
      </c>
      <c r="AO49" s="42" t="str">
        <f t="shared" si="39"/>
        <v/>
      </c>
      <c r="AP49" s="40" t="str">
        <f t="shared" si="40"/>
        <v/>
      </c>
      <c r="AQ49" s="41" t="str">
        <f t="shared" si="41"/>
        <v/>
      </c>
      <c r="AR49" s="41" t="str">
        <f t="shared" si="42"/>
        <v/>
      </c>
      <c r="AS49" s="42" t="str">
        <f t="shared" si="43"/>
        <v/>
      </c>
      <c r="AT49" s="40">
        <f t="shared" si="44"/>
        <v>-1.0000000000000001E-5</v>
      </c>
      <c r="AU49" s="41" t="str">
        <f t="shared" si="45"/>
        <v/>
      </c>
      <c r="AV49" s="41" t="str">
        <f t="shared" si="46"/>
        <v/>
      </c>
      <c r="AW49" s="42">
        <f t="shared" si="47"/>
        <v>0</v>
      </c>
      <c r="AX49" s="40" t="str">
        <f t="shared" si="48"/>
        <v/>
      </c>
      <c r="AY49" s="41" t="str">
        <f t="shared" si="49"/>
        <v/>
      </c>
      <c r="AZ49" s="41" t="str">
        <f t="shared" si="50"/>
        <v/>
      </c>
      <c r="BA49" s="42" t="str">
        <f t="shared" si="51"/>
        <v/>
      </c>
      <c r="BB49" s="37" t="s">
        <v>106</v>
      </c>
      <c r="BC49" s="21"/>
      <c r="BD49" s="21"/>
      <c r="BG49" t="str">
        <f>IF(NOT(ISERROR(HLOOKUP(Standings!BG$3,Entries!$C41:$K41,1,FALSE))),"x",IF(NOT(ISERROR(HLOOKUP(Standings!BG$3,Entries!$L41:$L41,1,FALSE))),"S",""))</f>
        <v/>
      </c>
      <c r="BH49" t="str">
        <f>IF(NOT(ISERROR(HLOOKUP(Standings!BH$3,Entries!$C41:$K41,1,FALSE))),"x",IF(NOT(ISERROR(HLOOKUP(Standings!BH$3,Entries!$L41:$L41,1,FALSE))),"S",""))</f>
        <v/>
      </c>
      <c r="BI49" t="str">
        <f>IF(NOT(ISERROR(HLOOKUP(Standings!BI$3,Entries!$C41:$K41,1,FALSE))),"x",IF(NOT(ISERROR(HLOOKUP(Standings!BI$3,Entries!$L41:$L41,1,FALSE))),"S",""))</f>
        <v/>
      </c>
      <c r="BJ49" t="str">
        <f>IF(NOT(ISERROR(HLOOKUP(Standings!BJ$3,Entries!$C41:$K41,1,FALSE))),"x",IF(NOT(ISERROR(HLOOKUP(Standings!BJ$3,Entries!$L41:$L41,1,FALSE))),"S",""))</f>
        <v/>
      </c>
      <c r="BK49" t="str">
        <f>IF(NOT(ISERROR(HLOOKUP(Standings!BK$3,Entries!$C41:$K41,1,FALSE))),"x",IF(NOT(ISERROR(HLOOKUP(Standings!BK$3,Entries!$L41:$L41,1,FALSE))),"S",""))</f>
        <v/>
      </c>
      <c r="BL49" t="str">
        <f>IF(NOT(ISERROR(HLOOKUP(Standings!BL$3,Entries!$C41:$K41,1,FALSE))),"x",IF(NOT(ISERROR(HLOOKUP(Standings!BL$3,Entries!$L41:$L41,1,FALSE))),"S",""))</f>
        <v/>
      </c>
      <c r="BM49" t="str">
        <f>IF(NOT(ISERROR(HLOOKUP(Standings!BM$3,Entries!$C41:$K41,1,FALSE))),"x",IF(NOT(ISERROR(HLOOKUP(Standings!BM$3,Entries!$L41:$L41,1,FALSE))),"S",""))</f>
        <v/>
      </c>
      <c r="BN49" t="str">
        <f>IF(NOT(ISERROR(HLOOKUP(Standings!BN$3,Entries!$C41:$K41,1,FALSE))),"x",IF(NOT(ISERROR(HLOOKUP(Standings!BN$3,Entries!$L41:$L41,1,FALSE))),"S",""))</f>
        <v/>
      </c>
      <c r="BO49" t="str">
        <f>IF(NOT(ISERROR(HLOOKUP(Standings!BO$3,Entries!$C41:$K41,1,FALSE))),"x",IF(NOT(ISERROR(HLOOKUP(Standings!BO$3,Entries!$L41:$L41,1,FALSE))),"S",""))</f>
        <v/>
      </c>
      <c r="BP49" t="str">
        <f>IF(NOT(ISERROR(HLOOKUP(Standings!BP$3,Entries!$C41:$K41,1,FALSE))),"x",IF(NOT(ISERROR(HLOOKUP(Standings!BP$3,Entries!$L41:$L41,1,FALSE))),"S",""))</f>
        <v>x</v>
      </c>
      <c r="BQ49" t="str">
        <f>IF(NOT(ISERROR(HLOOKUP(Standings!BQ$3,Entries!$C41:$K41,1,FALSE))),"x",IF(NOT(ISERROR(HLOOKUP(Standings!BQ$3,Entries!$L41:$L41,1,FALSE))),"S",""))</f>
        <v/>
      </c>
      <c r="BR49" t="str">
        <f>IF(NOT(ISERROR(HLOOKUP(Standings!BR$3,Entries!$C41:$K41,1,FALSE))),"x",IF(NOT(ISERROR(HLOOKUP(Standings!BR$3,Entries!$L41:$L41,1,FALSE))),"S",""))</f>
        <v/>
      </c>
      <c r="BS49" t="str">
        <f>IF(NOT(ISERROR(HLOOKUP(Standings!BS$3,Entries!$C41:$K41,1,FALSE))),"x",IF(NOT(ISERROR(HLOOKUP(Standings!BS$3,Entries!$L41:$L41,1,FALSE))),"S",""))</f>
        <v>x</v>
      </c>
      <c r="BT49" t="str">
        <f>IF(NOT(ISERROR(HLOOKUP(Standings!BT$3,Entries!$C41:$K41,1,FALSE))),"x",IF(NOT(ISERROR(HLOOKUP(Standings!BT$3,Entries!$L41:$L41,1,FALSE))),"S",""))</f>
        <v/>
      </c>
      <c r="BU49" t="str">
        <f>IF(NOT(ISERROR(HLOOKUP(Standings!BU$3,Entries!$C41:$K41,1,FALSE))),"x",IF(NOT(ISERROR(HLOOKUP(Standings!BU$3,Entries!$L41:$L41,1,FALSE))),"S",""))</f>
        <v/>
      </c>
      <c r="BV49" t="str">
        <f>IF(NOT(ISERROR(HLOOKUP(Standings!BV$3,Entries!$C41:$K41,1,FALSE))),"x",IF(NOT(ISERROR(HLOOKUP(Standings!BV$3,Entries!$L41:$L41,1,FALSE))),"S",""))</f>
        <v/>
      </c>
      <c r="BW49" t="str">
        <f>IF(NOT(ISERROR(HLOOKUP(Standings!BW$3,Entries!$C41:$K41,1,FALSE))),"x",IF(NOT(ISERROR(HLOOKUP(Standings!BW$3,Entries!$L41:$L41,1,FALSE))),"S",""))</f>
        <v>x</v>
      </c>
      <c r="BX49" t="str">
        <f>IF(NOT(ISERROR(HLOOKUP(Standings!BX$3,Entries!$C41:$K41,1,FALSE))),"x",IF(NOT(ISERROR(HLOOKUP(Standings!BX$3,Entries!$L41:$L41,1,FALSE))),"S",""))</f>
        <v/>
      </c>
      <c r="BY49" t="str">
        <f>IF(NOT(ISERROR(HLOOKUP(Standings!BY$3,Entries!$C41:$K41,1,FALSE))),"x",IF(NOT(ISERROR(HLOOKUP(Standings!BY$3,Entries!$L41:$L41,1,FALSE))),"S",""))</f>
        <v/>
      </c>
      <c r="BZ49" t="str">
        <f>IF(NOT(ISERROR(HLOOKUP(Standings!BZ$3,Entries!$C41:$K41,1,FALSE))),"x",IF(NOT(ISERROR(HLOOKUP(Standings!BZ$3,Entries!$L41:$L41,1,FALSE))),"S",""))</f>
        <v/>
      </c>
      <c r="CA49" t="str">
        <f>IF(NOT(ISERROR(HLOOKUP(Standings!CA$3,Entries!$C41:$K41,1,FALSE))),"x",IF(NOT(ISERROR(HLOOKUP(Standings!CA$3,Entries!$L41:$L41,1,FALSE))),"S",""))</f>
        <v>x</v>
      </c>
      <c r="CB49" t="str">
        <f>IF(NOT(ISERROR(HLOOKUP(Standings!CB$3,Entries!$C41:$K41,1,FALSE))),"x",IF(NOT(ISERROR(HLOOKUP(Standings!CB$3,Entries!$L41:$L41,1,FALSE))),"S",""))</f>
        <v>x</v>
      </c>
      <c r="CC49" t="str">
        <f>IF(NOT(ISERROR(HLOOKUP(Standings!CC$3,Entries!$C41:$K41,1,FALSE))),"x",IF(NOT(ISERROR(HLOOKUP(Standings!CC$3,Entries!$L41:$L41,1,FALSE))),"S",""))</f>
        <v/>
      </c>
      <c r="CD49" t="str">
        <f>IF(NOT(ISERROR(HLOOKUP(Standings!CD$3,Entries!$C41:$K41,1,FALSE))),"x",IF(NOT(ISERROR(HLOOKUP(Standings!CD$3,Entries!$L41:$L41,1,FALSE))),"S",""))</f>
        <v/>
      </c>
      <c r="CE49" t="str">
        <f>IF(NOT(ISERROR(HLOOKUP(Standings!CE$3,Entries!$C41:$K41,1,FALSE))),"x",IF(NOT(ISERROR(HLOOKUP(Standings!CE$3,Entries!$L41:$L41,1,FALSE))),"S",""))</f>
        <v/>
      </c>
      <c r="CF49" t="str">
        <f>IF(NOT(ISERROR(HLOOKUP(Standings!CF$3,Entries!$C41:$K41,1,FALSE))),"x",IF(NOT(ISERROR(HLOOKUP(Standings!CF$3,Entries!$L41:$L41,1,FALSE))),"S",""))</f>
        <v/>
      </c>
      <c r="CG49" t="str">
        <f>IF(NOT(ISERROR(HLOOKUP(Standings!CG$3,Entries!$C41:$K41,1,FALSE))),"x",IF(NOT(ISERROR(HLOOKUP(Standings!CG$3,Entries!$L41:$L41,1,FALSE))),"S",""))</f>
        <v/>
      </c>
      <c r="CH49" t="str">
        <f>IF(NOT(ISERROR(HLOOKUP(Standings!CH$3,Entries!$C41:$K41,1,FALSE))),"x",IF(NOT(ISERROR(HLOOKUP(Standings!CH$3,Entries!$L41:$L41,1,FALSE))),"S",""))</f>
        <v/>
      </c>
      <c r="CI49" t="str">
        <f>IF(NOT(ISERROR(HLOOKUP(Standings!CI$3,Entries!$C41:$K41,1,FALSE))),"x",IF(NOT(ISERROR(HLOOKUP(Standings!CI$3,Entries!$L41:$L41,1,FALSE))),"S",""))</f>
        <v/>
      </c>
      <c r="CJ49" t="str">
        <f>IF(NOT(ISERROR(HLOOKUP(Standings!CJ$3,Entries!$C41:$K41,1,FALSE))),"x",IF(NOT(ISERROR(HLOOKUP(Standings!CJ$3,Entries!$L41:$L41,1,FALSE))),"S",""))</f>
        <v/>
      </c>
      <c r="CK49" t="str">
        <f>IF(NOT(ISERROR(HLOOKUP(Standings!CK$3,Entries!$C41:$K41,1,FALSE))),"x",IF(NOT(ISERROR(HLOOKUP(Standings!CK$3,Entries!$L41:$L41,1,FALSE))),"S",""))</f>
        <v/>
      </c>
      <c r="CL49" t="str">
        <f>IF(NOT(ISERROR(HLOOKUP(Standings!CL$3,Entries!$C41:$K41,1,FALSE))),"x",IF(NOT(ISERROR(HLOOKUP(Standings!CL$3,Entries!$L41:$L41,1,FALSE))),"S",""))</f>
        <v/>
      </c>
      <c r="CM49" t="str">
        <f>IF(NOT(ISERROR(HLOOKUP(Standings!CM$3,Entries!$C41:$K41,1,FALSE))),"x",IF(NOT(ISERROR(HLOOKUP(Standings!CM$3,Entries!$L41:$L41,1,FALSE))),"S",""))</f>
        <v/>
      </c>
      <c r="CN49" t="str">
        <f>IF(NOT(ISERROR(HLOOKUP(Standings!CN$3,Entries!$C41:$K41,1,FALSE))),"x",IF(NOT(ISERROR(HLOOKUP(Standings!CN$3,Entries!$L41:$L41,1,FALSE))),"S",""))</f>
        <v/>
      </c>
      <c r="CO49" t="str">
        <f>IF(NOT(ISERROR(HLOOKUP(Standings!CO$3,Entries!$C41:$K41,1,FALSE))),"x",IF(NOT(ISERROR(HLOOKUP(Standings!CO$3,Entries!$L41:$L41,1,FALSE))),"S",""))</f>
        <v/>
      </c>
      <c r="CP49" t="str">
        <f>IF(NOT(ISERROR(HLOOKUP(Standings!CP$3,Entries!$C41:$K41,1,FALSE))),"x",IF(NOT(ISERROR(HLOOKUP(Standings!CP$3,Entries!$L41:$L41,1,FALSE))),"S",""))</f>
        <v/>
      </c>
      <c r="CQ49" t="str">
        <f>IF(NOT(ISERROR(HLOOKUP(Standings!CQ$3,Entries!$C41:$K41,1,FALSE))),"x",IF(NOT(ISERROR(HLOOKUP(Standings!CQ$3,Entries!$L41:$L41,1,FALSE))),"S",""))</f>
        <v/>
      </c>
      <c r="CR49" t="str">
        <f>IF(NOT(ISERROR(HLOOKUP(Standings!CR$3,Entries!$C41:$K41,1,FALSE))),"x",IF(NOT(ISERROR(HLOOKUP(Standings!CR$3,Entries!$L41:$L41,1,FALSE))),"S",""))</f>
        <v/>
      </c>
      <c r="CS49" t="str">
        <f>IF(NOT(ISERROR(HLOOKUP(Standings!CS$3,Entries!$C41:$K41,1,FALSE))),"x",IF(NOT(ISERROR(HLOOKUP(Standings!CS$3,Entries!$L41:$L41,1,FALSE))),"S",""))</f>
        <v/>
      </c>
      <c r="CT49" t="str">
        <f>IF(NOT(ISERROR(HLOOKUP(Standings!CT$3,Entries!$C41:$K41,1,FALSE))),"x",IF(NOT(ISERROR(HLOOKUP(Standings!CT$3,Entries!$L41:$L41,1,FALSE))),"S",""))</f>
        <v/>
      </c>
      <c r="CU49" t="str">
        <f>IF(NOT(ISERROR(HLOOKUP(Standings!CU$3,Entries!$C41:$K41,1,FALSE))),"x",IF(NOT(ISERROR(HLOOKUP(Standings!CU$3,Entries!$L41:$L41,1,FALSE))),"S",""))</f>
        <v>S</v>
      </c>
      <c r="CV49" t="str">
        <f>IF(NOT(ISERROR(HLOOKUP(Standings!CV$3,Entries!$C41:$K41,1,FALSE))),"x",IF(NOT(ISERROR(HLOOKUP(Standings!CV$3,Entries!$L41:$L41,1,FALSE))),"S",""))</f>
        <v/>
      </c>
      <c r="CW49" t="str">
        <f>IF(NOT(ISERROR(HLOOKUP(Standings!CW$3,Entries!$C41:$K41,1,FALSE))),"x",IF(NOT(ISERROR(HLOOKUP(Standings!CW$3,Entries!$L41:$L41,1,FALSE))),"S",""))</f>
        <v/>
      </c>
      <c r="CX49" t="str">
        <f>IF(NOT(ISERROR(HLOOKUP(Standings!CX$3,Entries!$C41:$K41,1,FALSE))),"x",IF(NOT(ISERROR(HLOOKUP(Standings!CX$3,Entries!$L41:$L41,1,FALSE))),"S",""))</f>
        <v>x</v>
      </c>
      <c r="CY49" t="str">
        <f>IF(NOT(ISERROR(HLOOKUP(Standings!CY$3,Entries!$C41:$K41,1,FALSE))),"x",IF(NOT(ISERROR(HLOOKUP(Standings!CY$3,Entries!$L41:$L41,1,FALSE))),"S",""))</f>
        <v/>
      </c>
      <c r="CZ49" t="str">
        <f>IF(NOT(ISERROR(HLOOKUP(Standings!CZ$3,Entries!$C41:$K41,1,FALSE))),"x",IF(NOT(ISERROR(HLOOKUP(Standings!CZ$3,Entries!$L41:$L41,1,FALSE))),"S",""))</f>
        <v/>
      </c>
      <c r="DA49" t="str">
        <f>IF(NOT(ISERROR(HLOOKUP(Standings!DA$3,Entries!$C41:$K41,1,FALSE))),"x",IF(NOT(ISERROR(HLOOKUP(Standings!DA$3,Entries!$L41:$L41,1,FALSE))),"S",""))</f>
        <v/>
      </c>
      <c r="DB49" t="str">
        <f>IF(NOT(ISERROR(HLOOKUP(Standings!DB$3,Entries!$C41:$K41,1,FALSE))),"x",IF(NOT(ISERROR(HLOOKUP(Standings!DB$3,Entries!$L41:$L41,1,FALSE))),"S",""))</f>
        <v/>
      </c>
    </row>
    <row r="50" spans="1:106" x14ac:dyDescent="0.25">
      <c r="A50" s="18"/>
      <c r="B50">
        <v>33</v>
      </c>
      <c r="C50" t="str">
        <f>Entries!B42</f>
        <v>betsyg</v>
      </c>
      <c r="D50" s="4">
        <f t="shared" si="53"/>
        <v>18</v>
      </c>
      <c r="E50" s="31">
        <f t="shared" si="54"/>
        <v>2</v>
      </c>
      <c r="F50" s="40">
        <f t="shared" si="52"/>
        <v>2</v>
      </c>
      <c r="G50" s="41" t="str">
        <f t="shared" si="5"/>
        <v/>
      </c>
      <c r="H50" s="41" t="str">
        <f t="shared" si="6"/>
        <v/>
      </c>
      <c r="I50" s="42" t="str">
        <f t="shared" si="7"/>
        <v/>
      </c>
      <c r="J50" s="40" t="str">
        <f t="shared" si="8"/>
        <v/>
      </c>
      <c r="K50" s="41">
        <f t="shared" si="9"/>
        <v>0</v>
      </c>
      <c r="L50" s="41" t="str">
        <f t="shared" si="10"/>
        <v/>
      </c>
      <c r="M50" s="42" t="str">
        <f t="shared" si="11"/>
        <v/>
      </c>
      <c r="N50" s="43" t="str">
        <f t="shared" si="12"/>
        <v/>
      </c>
      <c r="O50" s="41" t="str">
        <f t="shared" si="13"/>
        <v/>
      </c>
      <c r="P50" s="41" t="str">
        <f t="shared" si="14"/>
        <v/>
      </c>
      <c r="Q50" s="42" t="str">
        <f t="shared" si="15"/>
        <v/>
      </c>
      <c r="R50" s="40" t="str">
        <f t="shared" si="16"/>
        <v/>
      </c>
      <c r="S50" s="41" t="str">
        <f t="shared" si="17"/>
        <v/>
      </c>
      <c r="T50" s="43" t="str">
        <f t="shared" si="18"/>
        <v/>
      </c>
      <c r="U50" s="42" t="str">
        <f t="shared" si="19"/>
        <v/>
      </c>
      <c r="V50" s="40" t="str">
        <f t="shared" si="20"/>
        <v/>
      </c>
      <c r="W50" s="41" t="str">
        <f t="shared" si="21"/>
        <v/>
      </c>
      <c r="X50" s="41">
        <f t="shared" si="22"/>
        <v>0</v>
      </c>
      <c r="Y50" s="42">
        <f t="shared" si="23"/>
        <v>0</v>
      </c>
      <c r="Z50" s="40" t="str">
        <f t="shared" si="24"/>
        <v/>
      </c>
      <c r="AA50" s="41" t="str">
        <f t="shared" si="25"/>
        <v/>
      </c>
      <c r="AB50" s="41" t="str">
        <f t="shared" si="26"/>
        <v/>
      </c>
      <c r="AC50" s="42" t="str">
        <f t="shared" si="27"/>
        <v/>
      </c>
      <c r="AD50" s="40" t="str">
        <f t="shared" si="28"/>
        <v/>
      </c>
      <c r="AE50" s="41" t="str">
        <f t="shared" si="29"/>
        <v/>
      </c>
      <c r="AF50" s="41" t="str">
        <f t="shared" si="30"/>
        <v/>
      </c>
      <c r="AG50" s="42" t="str">
        <f t="shared" si="31"/>
        <v/>
      </c>
      <c r="AH50" s="40" t="str">
        <f t="shared" si="32"/>
        <v/>
      </c>
      <c r="AI50" s="41">
        <f t="shared" si="33"/>
        <v>0</v>
      </c>
      <c r="AJ50" s="41" t="str">
        <f t="shared" si="34"/>
        <v/>
      </c>
      <c r="AK50" s="42" t="str">
        <f t="shared" si="35"/>
        <v/>
      </c>
      <c r="AL50" s="40" t="str">
        <f t="shared" si="36"/>
        <v/>
      </c>
      <c r="AM50" s="41">
        <f t="shared" si="37"/>
        <v>0</v>
      </c>
      <c r="AN50" s="41">
        <f t="shared" si="38"/>
        <v>0</v>
      </c>
      <c r="AO50" s="42" t="str">
        <f t="shared" si="39"/>
        <v/>
      </c>
      <c r="AP50" s="40">
        <f t="shared" si="40"/>
        <v>-1.0000000000000001E-5</v>
      </c>
      <c r="AQ50" s="41" t="str">
        <f t="shared" si="41"/>
        <v/>
      </c>
      <c r="AR50" s="41" t="str">
        <f t="shared" si="42"/>
        <v/>
      </c>
      <c r="AS50" s="42" t="str">
        <f t="shared" si="43"/>
        <v/>
      </c>
      <c r="AT50" s="40" t="str">
        <f t="shared" si="44"/>
        <v/>
      </c>
      <c r="AU50" s="41" t="str">
        <f t="shared" si="45"/>
        <v/>
      </c>
      <c r="AV50" s="41">
        <f t="shared" si="46"/>
        <v>0</v>
      </c>
      <c r="AW50" s="42" t="str">
        <f t="shared" si="47"/>
        <v/>
      </c>
      <c r="AX50" s="40" t="str">
        <f t="shared" si="48"/>
        <v/>
      </c>
      <c r="AY50" s="41" t="str">
        <f t="shared" si="49"/>
        <v/>
      </c>
      <c r="AZ50" s="41" t="str">
        <f t="shared" si="50"/>
        <v/>
      </c>
      <c r="BA50" s="42" t="str">
        <f t="shared" si="51"/>
        <v/>
      </c>
      <c r="BB50" s="37" t="s">
        <v>106</v>
      </c>
      <c r="BC50" s="21"/>
      <c r="BD50" s="21"/>
      <c r="BG50" t="str">
        <f>IF(NOT(ISERROR(HLOOKUP(Standings!BG$3,Entries!$C42:$K42,1,FALSE))),"x",IF(NOT(ISERROR(HLOOKUP(Standings!BG$3,Entries!$L42:$L42,1,FALSE))),"S",""))</f>
        <v>x</v>
      </c>
      <c r="BH50" t="str">
        <f>IF(NOT(ISERROR(HLOOKUP(Standings!BH$3,Entries!$C42:$K42,1,FALSE))),"x",IF(NOT(ISERROR(HLOOKUP(Standings!BH$3,Entries!$L42:$L42,1,FALSE))),"S",""))</f>
        <v/>
      </c>
      <c r="BI50" t="str">
        <f>IF(NOT(ISERROR(HLOOKUP(Standings!BI$3,Entries!$C42:$K42,1,FALSE))),"x",IF(NOT(ISERROR(HLOOKUP(Standings!BI$3,Entries!$L42:$L42,1,FALSE))),"S",""))</f>
        <v/>
      </c>
      <c r="BJ50" t="str">
        <f>IF(NOT(ISERROR(HLOOKUP(Standings!BJ$3,Entries!$C42:$K42,1,FALSE))),"x",IF(NOT(ISERROR(HLOOKUP(Standings!BJ$3,Entries!$L42:$L42,1,FALSE))),"S",""))</f>
        <v/>
      </c>
      <c r="BK50" t="str">
        <f>IF(NOT(ISERROR(HLOOKUP(Standings!BK$3,Entries!$C42:$K42,1,FALSE))),"x",IF(NOT(ISERROR(HLOOKUP(Standings!BK$3,Entries!$L42:$L42,1,FALSE))),"S",""))</f>
        <v/>
      </c>
      <c r="BL50" t="str">
        <f>IF(NOT(ISERROR(HLOOKUP(Standings!BL$3,Entries!$C42:$K42,1,FALSE))),"x",IF(NOT(ISERROR(HLOOKUP(Standings!BL$3,Entries!$L42:$L42,1,FALSE))),"S",""))</f>
        <v>x</v>
      </c>
      <c r="BM50" t="str">
        <f>IF(NOT(ISERROR(HLOOKUP(Standings!BM$3,Entries!$C42:$K42,1,FALSE))),"x",IF(NOT(ISERROR(HLOOKUP(Standings!BM$3,Entries!$L42:$L42,1,FALSE))),"S",""))</f>
        <v/>
      </c>
      <c r="BN50" t="str">
        <f>IF(NOT(ISERROR(HLOOKUP(Standings!BN$3,Entries!$C42:$K42,1,FALSE))),"x",IF(NOT(ISERROR(HLOOKUP(Standings!BN$3,Entries!$L42:$L42,1,FALSE))),"S",""))</f>
        <v/>
      </c>
      <c r="BO50" t="str">
        <f>IF(NOT(ISERROR(HLOOKUP(Standings!BO$3,Entries!$C42:$K42,1,FALSE))),"x",IF(NOT(ISERROR(HLOOKUP(Standings!BO$3,Entries!$L42:$L42,1,FALSE))),"S",""))</f>
        <v/>
      </c>
      <c r="BP50" t="str">
        <f>IF(NOT(ISERROR(HLOOKUP(Standings!BP$3,Entries!$C42:$K42,1,FALSE))),"x",IF(NOT(ISERROR(HLOOKUP(Standings!BP$3,Entries!$L42:$L42,1,FALSE))),"S",""))</f>
        <v/>
      </c>
      <c r="BQ50" t="str">
        <f>IF(NOT(ISERROR(HLOOKUP(Standings!BQ$3,Entries!$C42:$K42,1,FALSE))),"x",IF(NOT(ISERROR(HLOOKUP(Standings!BQ$3,Entries!$L42:$L42,1,FALSE))),"S",""))</f>
        <v/>
      </c>
      <c r="BR50" t="str">
        <f>IF(NOT(ISERROR(HLOOKUP(Standings!BR$3,Entries!$C42:$K42,1,FALSE))),"x",IF(NOT(ISERROR(HLOOKUP(Standings!BR$3,Entries!$L42:$L42,1,FALSE))),"S",""))</f>
        <v/>
      </c>
      <c r="BS50" t="str">
        <f>IF(NOT(ISERROR(HLOOKUP(Standings!BS$3,Entries!$C42:$K42,1,FALSE))),"x",IF(NOT(ISERROR(HLOOKUP(Standings!BS$3,Entries!$L42:$L42,1,FALSE))),"S",""))</f>
        <v/>
      </c>
      <c r="BT50" t="str">
        <f>IF(NOT(ISERROR(HLOOKUP(Standings!BT$3,Entries!$C42:$K42,1,FALSE))),"x",IF(NOT(ISERROR(HLOOKUP(Standings!BT$3,Entries!$L42:$L42,1,FALSE))),"S",""))</f>
        <v/>
      </c>
      <c r="BU50" t="str">
        <f>IF(NOT(ISERROR(HLOOKUP(Standings!BU$3,Entries!$C42:$K42,1,FALSE))),"x",IF(NOT(ISERROR(HLOOKUP(Standings!BU$3,Entries!$L42:$L42,1,FALSE))),"S",""))</f>
        <v/>
      </c>
      <c r="BV50" t="str">
        <f>IF(NOT(ISERROR(HLOOKUP(Standings!BV$3,Entries!$C42:$K42,1,FALSE))),"x",IF(NOT(ISERROR(HLOOKUP(Standings!BV$3,Entries!$L42:$L42,1,FALSE))),"S",""))</f>
        <v/>
      </c>
      <c r="BW50" t="str">
        <f>IF(NOT(ISERROR(HLOOKUP(Standings!BW$3,Entries!$C42:$K42,1,FALSE))),"x",IF(NOT(ISERROR(HLOOKUP(Standings!BW$3,Entries!$L42:$L42,1,FALSE))),"S",""))</f>
        <v/>
      </c>
      <c r="BX50" t="str">
        <f>IF(NOT(ISERROR(HLOOKUP(Standings!BX$3,Entries!$C42:$K42,1,FALSE))),"x",IF(NOT(ISERROR(HLOOKUP(Standings!BX$3,Entries!$L42:$L42,1,FALSE))),"S",""))</f>
        <v/>
      </c>
      <c r="BY50" t="str">
        <f>IF(NOT(ISERROR(HLOOKUP(Standings!BY$3,Entries!$C42:$K42,1,FALSE))),"x",IF(NOT(ISERROR(HLOOKUP(Standings!BY$3,Entries!$L42:$L42,1,FALSE))),"S",""))</f>
        <v>x</v>
      </c>
      <c r="BZ50" t="str">
        <f>IF(NOT(ISERROR(HLOOKUP(Standings!BZ$3,Entries!$C42:$K42,1,FALSE))),"x",IF(NOT(ISERROR(HLOOKUP(Standings!BZ$3,Entries!$L42:$L42,1,FALSE))),"S",""))</f>
        <v>x</v>
      </c>
      <c r="CA50" t="str">
        <f>IF(NOT(ISERROR(HLOOKUP(Standings!CA$3,Entries!$C42:$K42,1,FALSE))),"x",IF(NOT(ISERROR(HLOOKUP(Standings!CA$3,Entries!$L42:$L42,1,FALSE))),"S",""))</f>
        <v/>
      </c>
      <c r="CB50" t="str">
        <f>IF(NOT(ISERROR(HLOOKUP(Standings!CB$3,Entries!$C42:$K42,1,FALSE))),"x",IF(NOT(ISERROR(HLOOKUP(Standings!CB$3,Entries!$L42:$L42,1,FALSE))),"S",""))</f>
        <v/>
      </c>
      <c r="CC50" t="str">
        <f>IF(NOT(ISERROR(HLOOKUP(Standings!CC$3,Entries!$C42:$K42,1,FALSE))),"x",IF(NOT(ISERROR(HLOOKUP(Standings!CC$3,Entries!$L42:$L42,1,FALSE))),"S",""))</f>
        <v/>
      </c>
      <c r="CD50" t="str">
        <f>IF(NOT(ISERROR(HLOOKUP(Standings!CD$3,Entries!$C42:$K42,1,FALSE))),"x",IF(NOT(ISERROR(HLOOKUP(Standings!CD$3,Entries!$L42:$L42,1,FALSE))),"S",""))</f>
        <v/>
      </c>
      <c r="CE50" t="str">
        <f>IF(NOT(ISERROR(HLOOKUP(Standings!CE$3,Entries!$C42:$K42,1,FALSE))),"x",IF(NOT(ISERROR(HLOOKUP(Standings!CE$3,Entries!$L42:$L42,1,FALSE))),"S",""))</f>
        <v/>
      </c>
      <c r="CF50" t="str">
        <f>IF(NOT(ISERROR(HLOOKUP(Standings!CF$3,Entries!$C42:$K42,1,FALSE))),"x",IF(NOT(ISERROR(HLOOKUP(Standings!CF$3,Entries!$L42:$L42,1,FALSE))),"S",""))</f>
        <v/>
      </c>
      <c r="CG50" t="str">
        <f>IF(NOT(ISERROR(HLOOKUP(Standings!CG$3,Entries!$C42:$K42,1,FALSE))),"x",IF(NOT(ISERROR(HLOOKUP(Standings!CG$3,Entries!$L42:$L42,1,FALSE))),"S",""))</f>
        <v/>
      </c>
      <c r="CH50" t="str">
        <f>IF(NOT(ISERROR(HLOOKUP(Standings!CH$3,Entries!$C42:$K42,1,FALSE))),"x",IF(NOT(ISERROR(HLOOKUP(Standings!CH$3,Entries!$L42:$L42,1,FALSE))),"S",""))</f>
        <v/>
      </c>
      <c r="CI50" t="str">
        <f>IF(NOT(ISERROR(HLOOKUP(Standings!CI$3,Entries!$C42:$K42,1,FALSE))),"x",IF(NOT(ISERROR(HLOOKUP(Standings!CI$3,Entries!$L42:$L42,1,FALSE))),"S",""))</f>
        <v/>
      </c>
      <c r="CJ50" t="str">
        <f>IF(NOT(ISERROR(HLOOKUP(Standings!CJ$3,Entries!$C42:$K42,1,FALSE))),"x",IF(NOT(ISERROR(HLOOKUP(Standings!CJ$3,Entries!$L42:$L42,1,FALSE))),"S",""))</f>
        <v>x</v>
      </c>
      <c r="CK50" t="str">
        <f>IF(NOT(ISERROR(HLOOKUP(Standings!CK$3,Entries!$C42:$K42,1,FALSE))),"x",IF(NOT(ISERROR(HLOOKUP(Standings!CK$3,Entries!$L42:$L42,1,FALSE))),"S",""))</f>
        <v/>
      </c>
      <c r="CL50" t="str">
        <f>IF(NOT(ISERROR(HLOOKUP(Standings!CL$3,Entries!$C42:$K42,1,FALSE))),"x",IF(NOT(ISERROR(HLOOKUP(Standings!CL$3,Entries!$L42:$L42,1,FALSE))),"S",""))</f>
        <v/>
      </c>
      <c r="CM50" t="str">
        <f>IF(NOT(ISERROR(HLOOKUP(Standings!CM$3,Entries!$C42:$K42,1,FALSE))),"x",IF(NOT(ISERROR(HLOOKUP(Standings!CM$3,Entries!$L42:$L42,1,FALSE))),"S",""))</f>
        <v/>
      </c>
      <c r="CN50" t="str">
        <f>IF(NOT(ISERROR(HLOOKUP(Standings!CN$3,Entries!$C42:$K42,1,FALSE))),"x",IF(NOT(ISERROR(HLOOKUP(Standings!CN$3,Entries!$L42:$L42,1,FALSE))),"S",""))</f>
        <v>x</v>
      </c>
      <c r="CO50" t="str">
        <f>IF(NOT(ISERROR(HLOOKUP(Standings!CO$3,Entries!$C42:$K42,1,FALSE))),"x",IF(NOT(ISERROR(HLOOKUP(Standings!CO$3,Entries!$L42:$L42,1,FALSE))),"S",""))</f>
        <v>x</v>
      </c>
      <c r="CP50" t="str">
        <f>IF(NOT(ISERROR(HLOOKUP(Standings!CP$3,Entries!$C42:$K42,1,FALSE))),"x",IF(NOT(ISERROR(HLOOKUP(Standings!CP$3,Entries!$L42:$L42,1,FALSE))),"S",""))</f>
        <v/>
      </c>
      <c r="CQ50" t="str">
        <f>IF(NOT(ISERROR(HLOOKUP(Standings!CQ$3,Entries!$C42:$K42,1,FALSE))),"x",IF(NOT(ISERROR(HLOOKUP(Standings!CQ$3,Entries!$L42:$L42,1,FALSE))),"S",""))</f>
        <v>S</v>
      </c>
      <c r="CR50" t="str">
        <f>IF(NOT(ISERROR(HLOOKUP(Standings!CR$3,Entries!$C42:$K42,1,FALSE))),"x",IF(NOT(ISERROR(HLOOKUP(Standings!CR$3,Entries!$L42:$L42,1,FALSE))),"S",""))</f>
        <v/>
      </c>
      <c r="CS50" t="str">
        <f>IF(NOT(ISERROR(HLOOKUP(Standings!CS$3,Entries!$C42:$K42,1,FALSE))),"x",IF(NOT(ISERROR(HLOOKUP(Standings!CS$3,Entries!$L42:$L42,1,FALSE))),"S",""))</f>
        <v/>
      </c>
      <c r="CT50" t="str">
        <f>IF(NOT(ISERROR(HLOOKUP(Standings!CT$3,Entries!$C42:$K42,1,FALSE))),"x",IF(NOT(ISERROR(HLOOKUP(Standings!CT$3,Entries!$L42:$L42,1,FALSE))),"S",""))</f>
        <v/>
      </c>
      <c r="CU50" t="str">
        <f>IF(NOT(ISERROR(HLOOKUP(Standings!CU$3,Entries!$C42:$K42,1,FALSE))),"x",IF(NOT(ISERROR(HLOOKUP(Standings!CU$3,Entries!$L42:$L42,1,FALSE))),"S",""))</f>
        <v/>
      </c>
      <c r="CV50" t="str">
        <f>IF(NOT(ISERROR(HLOOKUP(Standings!CV$3,Entries!$C42:$K42,1,FALSE))),"x",IF(NOT(ISERROR(HLOOKUP(Standings!CV$3,Entries!$L42:$L42,1,FALSE))),"S",""))</f>
        <v/>
      </c>
      <c r="CW50" t="str">
        <f>IF(NOT(ISERROR(HLOOKUP(Standings!CW$3,Entries!$C42:$K42,1,FALSE))),"x",IF(NOT(ISERROR(HLOOKUP(Standings!CW$3,Entries!$L42:$L42,1,FALSE))),"S",""))</f>
        <v>x</v>
      </c>
      <c r="CX50" t="str">
        <f>IF(NOT(ISERROR(HLOOKUP(Standings!CX$3,Entries!$C42:$K42,1,FALSE))),"x",IF(NOT(ISERROR(HLOOKUP(Standings!CX$3,Entries!$L42:$L42,1,FALSE))),"S",""))</f>
        <v/>
      </c>
      <c r="CY50" t="str">
        <f>IF(NOT(ISERROR(HLOOKUP(Standings!CY$3,Entries!$C42:$K42,1,FALSE))),"x",IF(NOT(ISERROR(HLOOKUP(Standings!CY$3,Entries!$L42:$L42,1,FALSE))),"S",""))</f>
        <v/>
      </c>
      <c r="CZ50" t="str">
        <f>IF(NOT(ISERROR(HLOOKUP(Standings!CZ$3,Entries!$C42:$K42,1,FALSE))),"x",IF(NOT(ISERROR(HLOOKUP(Standings!CZ$3,Entries!$L42:$L42,1,FALSE))),"S",""))</f>
        <v/>
      </c>
      <c r="DA50" t="str">
        <f>IF(NOT(ISERROR(HLOOKUP(Standings!DA$3,Entries!$C42:$K42,1,FALSE))),"x",IF(NOT(ISERROR(HLOOKUP(Standings!DA$3,Entries!$L42:$L42,1,FALSE))),"S",""))</f>
        <v/>
      </c>
      <c r="DB50" t="str">
        <f>IF(NOT(ISERROR(HLOOKUP(Standings!DB$3,Entries!$C42:$K42,1,FALSE))),"x",IF(NOT(ISERROR(HLOOKUP(Standings!DB$3,Entries!$L42:$L42,1,FALSE))),"S",""))</f>
        <v/>
      </c>
    </row>
    <row r="51" spans="1:106" x14ac:dyDescent="0.25">
      <c r="B51">
        <v>52</v>
      </c>
      <c r="C51" t="str">
        <f>Entries!B43</f>
        <v>greeno</v>
      </c>
      <c r="D51" s="4">
        <f t="shared" si="53"/>
        <v>18</v>
      </c>
      <c r="E51" s="31">
        <f t="shared" si="54"/>
        <v>2</v>
      </c>
      <c r="F51" s="40">
        <f t="shared" si="52"/>
        <v>2</v>
      </c>
      <c r="G51" s="41" t="str">
        <f t="shared" si="5"/>
        <v/>
      </c>
      <c r="H51" s="41" t="str">
        <f t="shared" si="6"/>
        <v/>
      </c>
      <c r="I51" s="42" t="str">
        <f t="shared" si="7"/>
        <v/>
      </c>
      <c r="J51" s="40" t="str">
        <f t="shared" si="8"/>
        <v/>
      </c>
      <c r="K51" s="41" t="str">
        <f t="shared" si="9"/>
        <v/>
      </c>
      <c r="L51" s="41" t="str">
        <f t="shared" si="10"/>
        <v/>
      </c>
      <c r="M51" s="42" t="str">
        <f t="shared" si="11"/>
        <v/>
      </c>
      <c r="N51" s="43" t="str">
        <f t="shared" si="12"/>
        <v/>
      </c>
      <c r="O51" s="41" t="str">
        <f t="shared" si="13"/>
        <v/>
      </c>
      <c r="P51" s="41" t="str">
        <f t="shared" si="14"/>
        <v/>
      </c>
      <c r="Q51" s="42" t="str">
        <f t="shared" si="15"/>
        <v/>
      </c>
      <c r="R51" s="40" t="str">
        <f t="shared" si="16"/>
        <v/>
      </c>
      <c r="S51" s="41" t="str">
        <f t="shared" si="17"/>
        <v/>
      </c>
      <c r="T51" s="43" t="str">
        <f t="shared" si="18"/>
        <v/>
      </c>
      <c r="U51" s="42" t="str">
        <f t="shared" si="19"/>
        <v/>
      </c>
      <c r="V51" s="40" t="str">
        <f t="shared" si="20"/>
        <v/>
      </c>
      <c r="W51" s="41" t="str">
        <f t="shared" si="21"/>
        <v/>
      </c>
      <c r="X51" s="41">
        <f t="shared" si="22"/>
        <v>0</v>
      </c>
      <c r="Y51" s="42">
        <f t="shared" si="23"/>
        <v>0</v>
      </c>
      <c r="Z51" s="40" t="str">
        <f t="shared" si="24"/>
        <v/>
      </c>
      <c r="AA51" s="41" t="str">
        <f t="shared" si="25"/>
        <v/>
      </c>
      <c r="AB51" s="41" t="str">
        <f t="shared" si="26"/>
        <v/>
      </c>
      <c r="AC51" s="42" t="str">
        <f t="shared" si="27"/>
        <v/>
      </c>
      <c r="AD51" s="40" t="str">
        <f t="shared" si="28"/>
        <v/>
      </c>
      <c r="AE51" s="41" t="str">
        <f t="shared" si="29"/>
        <v/>
      </c>
      <c r="AF51" s="41" t="str">
        <f t="shared" si="30"/>
        <v/>
      </c>
      <c r="AG51" s="42" t="str">
        <f t="shared" si="31"/>
        <v/>
      </c>
      <c r="AH51" s="40" t="str">
        <f t="shared" si="32"/>
        <v/>
      </c>
      <c r="AI51" s="41">
        <f t="shared" si="33"/>
        <v>0</v>
      </c>
      <c r="AJ51" s="41" t="str">
        <f t="shared" si="34"/>
        <v/>
      </c>
      <c r="AK51" s="42" t="str">
        <f t="shared" si="35"/>
        <v/>
      </c>
      <c r="AL51" s="40">
        <f t="shared" si="36"/>
        <v>0</v>
      </c>
      <c r="AM51" s="41">
        <f t="shared" si="37"/>
        <v>0</v>
      </c>
      <c r="AN51" s="41" t="str">
        <f t="shared" si="38"/>
        <v/>
      </c>
      <c r="AO51" s="42" t="str">
        <f t="shared" si="39"/>
        <v/>
      </c>
      <c r="AP51" s="40">
        <f t="shared" si="40"/>
        <v>-1.0000000000000001E-5</v>
      </c>
      <c r="AQ51" s="41" t="str">
        <f t="shared" si="41"/>
        <v/>
      </c>
      <c r="AR51" s="41">
        <f t="shared" si="42"/>
        <v>0</v>
      </c>
      <c r="AS51" s="42" t="str">
        <f t="shared" si="43"/>
        <v/>
      </c>
      <c r="AT51" s="40" t="str">
        <f t="shared" si="44"/>
        <v/>
      </c>
      <c r="AU51" s="41" t="str">
        <f t="shared" si="45"/>
        <v/>
      </c>
      <c r="AV51" s="41" t="str">
        <f t="shared" si="46"/>
        <v/>
      </c>
      <c r="AW51" s="42" t="str">
        <f t="shared" si="47"/>
        <v/>
      </c>
      <c r="AX51" s="40" t="str">
        <f t="shared" si="48"/>
        <v/>
      </c>
      <c r="AY51" s="41" t="str">
        <f t="shared" si="49"/>
        <v/>
      </c>
      <c r="AZ51" s="41" t="str">
        <f t="shared" si="50"/>
        <v/>
      </c>
      <c r="BA51" s="42" t="str">
        <f t="shared" si="51"/>
        <v/>
      </c>
      <c r="BB51" s="37" t="s">
        <v>106</v>
      </c>
      <c r="BC51" s="21"/>
      <c r="BD51" s="21"/>
      <c r="BG51" t="str">
        <f>IF(NOT(ISERROR(HLOOKUP(Standings!BG$3,Entries!$C43:$K43,1,FALSE))),"x",IF(NOT(ISERROR(HLOOKUP(Standings!BG$3,Entries!$L43:$L43,1,FALSE))),"S",""))</f>
        <v>x</v>
      </c>
      <c r="BH51" t="str">
        <f>IF(NOT(ISERROR(HLOOKUP(Standings!BH$3,Entries!$C43:$K43,1,FALSE))),"x",IF(NOT(ISERROR(HLOOKUP(Standings!BH$3,Entries!$L43:$L43,1,FALSE))),"S",""))</f>
        <v/>
      </c>
      <c r="BI51" t="str">
        <f>IF(NOT(ISERROR(HLOOKUP(Standings!BI$3,Entries!$C43:$K43,1,FALSE))),"x",IF(NOT(ISERROR(HLOOKUP(Standings!BI$3,Entries!$L43:$L43,1,FALSE))),"S",""))</f>
        <v/>
      </c>
      <c r="BJ51" t="str">
        <f>IF(NOT(ISERROR(HLOOKUP(Standings!BJ$3,Entries!$C43:$K43,1,FALSE))),"x",IF(NOT(ISERROR(HLOOKUP(Standings!BJ$3,Entries!$L43:$L43,1,FALSE))),"S",""))</f>
        <v/>
      </c>
      <c r="BK51" t="str">
        <f>IF(NOT(ISERROR(HLOOKUP(Standings!BK$3,Entries!$C43:$K43,1,FALSE))),"x",IF(NOT(ISERROR(HLOOKUP(Standings!BK$3,Entries!$L43:$L43,1,FALSE))),"S",""))</f>
        <v/>
      </c>
      <c r="BL51" t="str">
        <f>IF(NOT(ISERROR(HLOOKUP(Standings!BL$3,Entries!$C43:$K43,1,FALSE))),"x",IF(NOT(ISERROR(HLOOKUP(Standings!BL$3,Entries!$L43:$L43,1,FALSE))),"S",""))</f>
        <v/>
      </c>
      <c r="BM51" t="str">
        <f>IF(NOT(ISERROR(HLOOKUP(Standings!BM$3,Entries!$C43:$K43,1,FALSE))),"x",IF(NOT(ISERROR(HLOOKUP(Standings!BM$3,Entries!$L43:$L43,1,FALSE))),"S",""))</f>
        <v/>
      </c>
      <c r="BN51" t="str">
        <f>IF(NOT(ISERROR(HLOOKUP(Standings!BN$3,Entries!$C43:$K43,1,FALSE))),"x",IF(NOT(ISERROR(HLOOKUP(Standings!BN$3,Entries!$L43:$L43,1,FALSE))),"S",""))</f>
        <v/>
      </c>
      <c r="BO51" t="str">
        <f>IF(NOT(ISERROR(HLOOKUP(Standings!BO$3,Entries!$C43:$K43,1,FALSE))),"x",IF(NOT(ISERROR(HLOOKUP(Standings!BO$3,Entries!$L43:$L43,1,FALSE))),"S",""))</f>
        <v/>
      </c>
      <c r="BP51" t="str">
        <f>IF(NOT(ISERROR(HLOOKUP(Standings!BP$3,Entries!$C43:$K43,1,FALSE))),"x",IF(NOT(ISERROR(HLOOKUP(Standings!BP$3,Entries!$L43:$L43,1,FALSE))),"S",""))</f>
        <v/>
      </c>
      <c r="BQ51" t="str">
        <f>IF(NOT(ISERROR(HLOOKUP(Standings!BQ$3,Entries!$C43:$K43,1,FALSE))),"x",IF(NOT(ISERROR(HLOOKUP(Standings!BQ$3,Entries!$L43:$L43,1,FALSE))),"S",""))</f>
        <v/>
      </c>
      <c r="BR51" t="str">
        <f>IF(NOT(ISERROR(HLOOKUP(Standings!BR$3,Entries!$C43:$K43,1,FALSE))),"x",IF(NOT(ISERROR(HLOOKUP(Standings!BR$3,Entries!$L43:$L43,1,FALSE))),"S",""))</f>
        <v/>
      </c>
      <c r="BS51" t="str">
        <f>IF(NOT(ISERROR(HLOOKUP(Standings!BS$3,Entries!$C43:$K43,1,FALSE))),"x",IF(NOT(ISERROR(HLOOKUP(Standings!BS$3,Entries!$L43:$L43,1,FALSE))),"S",""))</f>
        <v/>
      </c>
      <c r="BT51" t="str">
        <f>IF(NOT(ISERROR(HLOOKUP(Standings!BT$3,Entries!$C43:$K43,1,FALSE))),"x",IF(NOT(ISERROR(HLOOKUP(Standings!BT$3,Entries!$L43:$L43,1,FALSE))),"S",""))</f>
        <v/>
      </c>
      <c r="BU51" t="str">
        <f>IF(NOT(ISERROR(HLOOKUP(Standings!BU$3,Entries!$C43:$K43,1,FALSE))),"x",IF(NOT(ISERROR(HLOOKUP(Standings!BU$3,Entries!$L43:$L43,1,FALSE))),"S",""))</f>
        <v/>
      </c>
      <c r="BV51" t="str">
        <f>IF(NOT(ISERROR(HLOOKUP(Standings!BV$3,Entries!$C43:$K43,1,FALSE))),"x",IF(NOT(ISERROR(HLOOKUP(Standings!BV$3,Entries!$L43:$L43,1,FALSE))),"S",""))</f>
        <v/>
      </c>
      <c r="BW51" t="str">
        <f>IF(NOT(ISERROR(HLOOKUP(Standings!BW$3,Entries!$C43:$K43,1,FALSE))),"x",IF(NOT(ISERROR(HLOOKUP(Standings!BW$3,Entries!$L43:$L43,1,FALSE))),"S",""))</f>
        <v/>
      </c>
      <c r="BX51" t="str">
        <f>IF(NOT(ISERROR(HLOOKUP(Standings!BX$3,Entries!$C43:$K43,1,FALSE))),"x",IF(NOT(ISERROR(HLOOKUP(Standings!BX$3,Entries!$L43:$L43,1,FALSE))),"S",""))</f>
        <v/>
      </c>
      <c r="BY51" t="str">
        <f>IF(NOT(ISERROR(HLOOKUP(Standings!BY$3,Entries!$C43:$K43,1,FALSE))),"x",IF(NOT(ISERROR(HLOOKUP(Standings!BY$3,Entries!$L43:$L43,1,FALSE))),"S",""))</f>
        <v>x</v>
      </c>
      <c r="BZ51" t="str">
        <f>IF(NOT(ISERROR(HLOOKUP(Standings!BZ$3,Entries!$C43:$K43,1,FALSE))),"x",IF(NOT(ISERROR(HLOOKUP(Standings!BZ$3,Entries!$L43:$L43,1,FALSE))),"S",""))</f>
        <v>x</v>
      </c>
      <c r="CA51" t="str">
        <f>IF(NOT(ISERROR(HLOOKUP(Standings!CA$3,Entries!$C43:$K43,1,FALSE))),"x",IF(NOT(ISERROR(HLOOKUP(Standings!CA$3,Entries!$L43:$L43,1,FALSE))),"S",""))</f>
        <v/>
      </c>
      <c r="CB51" t="str">
        <f>IF(NOT(ISERROR(HLOOKUP(Standings!CB$3,Entries!$C43:$K43,1,FALSE))),"x",IF(NOT(ISERROR(HLOOKUP(Standings!CB$3,Entries!$L43:$L43,1,FALSE))),"S",""))</f>
        <v/>
      </c>
      <c r="CC51" t="str">
        <f>IF(NOT(ISERROR(HLOOKUP(Standings!CC$3,Entries!$C43:$K43,1,FALSE))),"x",IF(NOT(ISERROR(HLOOKUP(Standings!CC$3,Entries!$L43:$L43,1,FALSE))),"S",""))</f>
        <v/>
      </c>
      <c r="CD51" t="str">
        <f>IF(NOT(ISERROR(HLOOKUP(Standings!CD$3,Entries!$C43:$K43,1,FALSE))),"x",IF(NOT(ISERROR(HLOOKUP(Standings!CD$3,Entries!$L43:$L43,1,FALSE))),"S",""))</f>
        <v/>
      </c>
      <c r="CE51" t="str">
        <f>IF(NOT(ISERROR(HLOOKUP(Standings!CE$3,Entries!$C43:$K43,1,FALSE))),"x",IF(NOT(ISERROR(HLOOKUP(Standings!CE$3,Entries!$L43:$L43,1,FALSE))),"S",""))</f>
        <v/>
      </c>
      <c r="CF51" t="str">
        <f>IF(NOT(ISERROR(HLOOKUP(Standings!CF$3,Entries!$C43:$K43,1,FALSE))),"x",IF(NOT(ISERROR(HLOOKUP(Standings!CF$3,Entries!$L43:$L43,1,FALSE))),"S",""))</f>
        <v/>
      </c>
      <c r="CG51" t="str">
        <f>IF(NOT(ISERROR(HLOOKUP(Standings!CG$3,Entries!$C43:$K43,1,FALSE))),"x",IF(NOT(ISERROR(HLOOKUP(Standings!CG$3,Entries!$L43:$L43,1,FALSE))),"S",""))</f>
        <v/>
      </c>
      <c r="CH51" t="str">
        <f>IF(NOT(ISERROR(HLOOKUP(Standings!CH$3,Entries!$C43:$K43,1,FALSE))),"x",IF(NOT(ISERROR(HLOOKUP(Standings!CH$3,Entries!$L43:$L43,1,FALSE))),"S",""))</f>
        <v/>
      </c>
      <c r="CI51" t="str">
        <f>IF(NOT(ISERROR(HLOOKUP(Standings!CI$3,Entries!$C43:$K43,1,FALSE))),"x",IF(NOT(ISERROR(HLOOKUP(Standings!CI$3,Entries!$L43:$L43,1,FALSE))),"S",""))</f>
        <v/>
      </c>
      <c r="CJ51" t="str">
        <f>IF(NOT(ISERROR(HLOOKUP(Standings!CJ$3,Entries!$C43:$K43,1,FALSE))),"x",IF(NOT(ISERROR(HLOOKUP(Standings!CJ$3,Entries!$L43:$L43,1,FALSE))),"S",""))</f>
        <v>x</v>
      </c>
      <c r="CK51" t="str">
        <f>IF(NOT(ISERROR(HLOOKUP(Standings!CK$3,Entries!$C43:$K43,1,FALSE))),"x",IF(NOT(ISERROR(HLOOKUP(Standings!CK$3,Entries!$L43:$L43,1,FALSE))),"S",""))</f>
        <v/>
      </c>
      <c r="CL51" t="str">
        <f>IF(NOT(ISERROR(HLOOKUP(Standings!CL$3,Entries!$C43:$K43,1,FALSE))),"x",IF(NOT(ISERROR(HLOOKUP(Standings!CL$3,Entries!$L43:$L43,1,FALSE))),"S",""))</f>
        <v/>
      </c>
      <c r="CM51" t="str">
        <f>IF(NOT(ISERROR(HLOOKUP(Standings!CM$3,Entries!$C43:$K43,1,FALSE))),"x",IF(NOT(ISERROR(HLOOKUP(Standings!CM$3,Entries!$L43:$L43,1,FALSE))),"S",""))</f>
        <v>x</v>
      </c>
      <c r="CN51" t="str">
        <f>IF(NOT(ISERROR(HLOOKUP(Standings!CN$3,Entries!$C43:$K43,1,FALSE))),"x",IF(NOT(ISERROR(HLOOKUP(Standings!CN$3,Entries!$L43:$L43,1,FALSE))),"S",""))</f>
        <v>x</v>
      </c>
      <c r="CO51" t="str">
        <f>IF(NOT(ISERROR(HLOOKUP(Standings!CO$3,Entries!$C43:$K43,1,FALSE))),"x",IF(NOT(ISERROR(HLOOKUP(Standings!CO$3,Entries!$L43:$L43,1,FALSE))),"S",""))</f>
        <v/>
      </c>
      <c r="CP51" t="str">
        <f>IF(NOT(ISERROR(HLOOKUP(Standings!CP$3,Entries!$C43:$K43,1,FALSE))),"x",IF(NOT(ISERROR(HLOOKUP(Standings!CP$3,Entries!$L43:$L43,1,FALSE))),"S",""))</f>
        <v/>
      </c>
      <c r="CQ51" t="str">
        <f>IF(NOT(ISERROR(HLOOKUP(Standings!CQ$3,Entries!$C43:$K43,1,FALSE))),"x",IF(NOT(ISERROR(HLOOKUP(Standings!CQ$3,Entries!$L43:$L43,1,FALSE))),"S",""))</f>
        <v>S</v>
      </c>
      <c r="CR51" t="str">
        <f>IF(NOT(ISERROR(HLOOKUP(Standings!CR$3,Entries!$C43:$K43,1,FALSE))),"x",IF(NOT(ISERROR(HLOOKUP(Standings!CR$3,Entries!$L43:$L43,1,FALSE))),"S",""))</f>
        <v/>
      </c>
      <c r="CS51" t="str">
        <f>IF(NOT(ISERROR(HLOOKUP(Standings!CS$3,Entries!$C43:$K43,1,FALSE))),"x",IF(NOT(ISERROR(HLOOKUP(Standings!CS$3,Entries!$L43:$L43,1,FALSE))),"S",""))</f>
        <v>x</v>
      </c>
      <c r="CT51" t="str">
        <f>IF(NOT(ISERROR(HLOOKUP(Standings!CT$3,Entries!$C43:$K43,1,FALSE))),"x",IF(NOT(ISERROR(HLOOKUP(Standings!CT$3,Entries!$L43:$L43,1,FALSE))),"S",""))</f>
        <v/>
      </c>
      <c r="CU51" t="str">
        <f>IF(NOT(ISERROR(HLOOKUP(Standings!CU$3,Entries!$C43:$K43,1,FALSE))),"x",IF(NOT(ISERROR(HLOOKUP(Standings!CU$3,Entries!$L43:$L43,1,FALSE))),"S",""))</f>
        <v/>
      </c>
      <c r="CV51" t="str">
        <f>IF(NOT(ISERROR(HLOOKUP(Standings!CV$3,Entries!$C43:$K43,1,FALSE))),"x",IF(NOT(ISERROR(HLOOKUP(Standings!CV$3,Entries!$L43:$L43,1,FALSE))),"S",""))</f>
        <v/>
      </c>
      <c r="CW51" t="str">
        <f>IF(NOT(ISERROR(HLOOKUP(Standings!CW$3,Entries!$C43:$K43,1,FALSE))),"x",IF(NOT(ISERROR(HLOOKUP(Standings!CW$3,Entries!$L43:$L43,1,FALSE))),"S",""))</f>
        <v/>
      </c>
      <c r="CX51" t="str">
        <f>IF(NOT(ISERROR(HLOOKUP(Standings!CX$3,Entries!$C43:$K43,1,FALSE))),"x",IF(NOT(ISERROR(HLOOKUP(Standings!CX$3,Entries!$L43:$L43,1,FALSE))),"S",""))</f>
        <v/>
      </c>
      <c r="CY51" t="str">
        <f>IF(NOT(ISERROR(HLOOKUP(Standings!CY$3,Entries!$C43:$K43,1,FALSE))),"x",IF(NOT(ISERROR(HLOOKUP(Standings!CY$3,Entries!$L43:$L43,1,FALSE))),"S",""))</f>
        <v/>
      </c>
      <c r="CZ51" t="str">
        <f>IF(NOT(ISERROR(HLOOKUP(Standings!CZ$3,Entries!$C43:$K43,1,FALSE))),"x",IF(NOT(ISERROR(HLOOKUP(Standings!CZ$3,Entries!$L43:$L43,1,FALSE))),"S",""))</f>
        <v/>
      </c>
      <c r="DA51" t="str">
        <f>IF(NOT(ISERROR(HLOOKUP(Standings!DA$3,Entries!$C43:$K43,1,FALSE))),"x",IF(NOT(ISERROR(HLOOKUP(Standings!DA$3,Entries!$L43:$L43,1,FALSE))),"S",""))</f>
        <v/>
      </c>
      <c r="DB51" t="str">
        <f>IF(NOT(ISERROR(HLOOKUP(Standings!DB$3,Entries!$C43:$K43,1,FALSE))),"x",IF(NOT(ISERROR(HLOOKUP(Standings!DB$3,Entries!$L43:$L43,1,FALSE))),"S",""))</f>
        <v/>
      </c>
    </row>
    <row r="52" spans="1:106" x14ac:dyDescent="0.25">
      <c r="B52">
        <v>69</v>
      </c>
      <c r="C52" t="str">
        <f>Entries!B44</f>
        <v>lucasgilkay</v>
      </c>
      <c r="D52" s="4">
        <f t="shared" si="53"/>
        <v>8</v>
      </c>
      <c r="E52" s="31">
        <f t="shared" si="54"/>
        <v>3</v>
      </c>
      <c r="F52" s="40" t="str">
        <f t="shared" si="52"/>
        <v/>
      </c>
      <c r="G52" s="41" t="str">
        <f t="shared" si="5"/>
        <v/>
      </c>
      <c r="H52" s="41">
        <f t="shared" si="6"/>
        <v>2</v>
      </c>
      <c r="I52" s="42">
        <f t="shared" si="7"/>
        <v>0</v>
      </c>
      <c r="J52" s="40" t="str">
        <f t="shared" si="8"/>
        <v/>
      </c>
      <c r="K52" s="41" t="str">
        <f t="shared" si="9"/>
        <v/>
      </c>
      <c r="L52" s="41" t="str">
        <f t="shared" si="10"/>
        <v/>
      </c>
      <c r="M52" s="42">
        <f t="shared" si="11"/>
        <v>1</v>
      </c>
      <c r="N52" s="43" t="str">
        <f t="shared" si="12"/>
        <v/>
      </c>
      <c r="O52" s="41">
        <f t="shared" si="13"/>
        <v>-1.0000000000000001E-5</v>
      </c>
      <c r="P52" s="41" t="str">
        <f t="shared" si="14"/>
        <v/>
      </c>
      <c r="Q52" s="42" t="str">
        <f t="shared" si="15"/>
        <v/>
      </c>
      <c r="R52" s="40" t="str">
        <f t="shared" si="16"/>
        <v/>
      </c>
      <c r="S52" s="41" t="str">
        <f t="shared" si="17"/>
        <v/>
      </c>
      <c r="T52" s="43" t="str">
        <f t="shared" si="18"/>
        <v/>
      </c>
      <c r="U52" s="42" t="str">
        <f t="shared" si="19"/>
        <v/>
      </c>
      <c r="V52" s="40" t="str">
        <f t="shared" si="20"/>
        <v/>
      </c>
      <c r="W52" s="41" t="str">
        <f t="shared" si="21"/>
        <v/>
      </c>
      <c r="X52" s="41" t="str">
        <f t="shared" si="22"/>
        <v/>
      </c>
      <c r="Y52" s="42" t="str">
        <f t="shared" si="23"/>
        <v/>
      </c>
      <c r="Z52" s="40">
        <f t="shared" si="24"/>
        <v>0</v>
      </c>
      <c r="AA52" s="41" t="str">
        <f t="shared" si="25"/>
        <v/>
      </c>
      <c r="AB52" s="41" t="str">
        <f t="shared" si="26"/>
        <v/>
      </c>
      <c r="AC52" s="42" t="str">
        <f t="shared" si="27"/>
        <v/>
      </c>
      <c r="AD52" s="40" t="str">
        <f t="shared" si="28"/>
        <v/>
      </c>
      <c r="AE52" s="41" t="str">
        <f t="shared" si="29"/>
        <v/>
      </c>
      <c r="AF52" s="41">
        <f t="shared" si="30"/>
        <v>0</v>
      </c>
      <c r="AG52" s="42" t="str">
        <f t="shared" si="31"/>
        <v/>
      </c>
      <c r="AH52" s="40" t="str">
        <f t="shared" si="32"/>
        <v/>
      </c>
      <c r="AI52" s="41" t="str">
        <f t="shared" si="33"/>
        <v/>
      </c>
      <c r="AJ52" s="41" t="str">
        <f t="shared" si="34"/>
        <v/>
      </c>
      <c r="AK52" s="42" t="str">
        <f t="shared" si="35"/>
        <v/>
      </c>
      <c r="AL52" s="40" t="str">
        <f t="shared" si="36"/>
        <v/>
      </c>
      <c r="AM52" s="41">
        <f t="shared" si="37"/>
        <v>0</v>
      </c>
      <c r="AN52" s="41" t="str">
        <f t="shared" si="38"/>
        <v/>
      </c>
      <c r="AO52" s="42" t="str">
        <f t="shared" si="39"/>
        <v/>
      </c>
      <c r="AP52" s="40" t="str">
        <f t="shared" si="40"/>
        <v/>
      </c>
      <c r="AQ52" s="41" t="str">
        <f t="shared" si="41"/>
        <v/>
      </c>
      <c r="AR52" s="41" t="str">
        <f t="shared" si="42"/>
        <v/>
      </c>
      <c r="AS52" s="42" t="str">
        <f t="shared" si="43"/>
        <v/>
      </c>
      <c r="AT52" s="40" t="str">
        <f t="shared" si="44"/>
        <v/>
      </c>
      <c r="AU52" s="41" t="str">
        <f t="shared" si="45"/>
        <v/>
      </c>
      <c r="AV52" s="41" t="str">
        <f t="shared" si="46"/>
        <v/>
      </c>
      <c r="AW52" s="42">
        <f t="shared" si="47"/>
        <v>0</v>
      </c>
      <c r="AX52" s="40" t="str">
        <f t="shared" si="48"/>
        <v/>
      </c>
      <c r="AY52" s="41">
        <f t="shared" si="49"/>
        <v>0</v>
      </c>
      <c r="AZ52" s="41">
        <f t="shared" si="50"/>
        <v>0</v>
      </c>
      <c r="BA52" s="42" t="str">
        <f t="shared" si="51"/>
        <v/>
      </c>
      <c r="BB52" s="37" t="s">
        <v>106</v>
      </c>
      <c r="BC52" s="21"/>
      <c r="BD52" s="21"/>
      <c r="BG52" t="str">
        <f>IF(NOT(ISERROR(HLOOKUP(Standings!BG$3,Entries!$C44:$K44,1,FALSE))),"x",IF(NOT(ISERROR(HLOOKUP(Standings!BG$3,Entries!$L44:$L44,1,FALSE))),"S",""))</f>
        <v/>
      </c>
      <c r="BH52" t="str">
        <f>IF(NOT(ISERROR(HLOOKUP(Standings!BH$3,Entries!$C44:$K44,1,FALSE))),"x",IF(NOT(ISERROR(HLOOKUP(Standings!BH$3,Entries!$L44:$L44,1,FALSE))),"S",""))</f>
        <v/>
      </c>
      <c r="BI52" t="str">
        <f>IF(NOT(ISERROR(HLOOKUP(Standings!BI$3,Entries!$C44:$K44,1,FALSE))),"x",IF(NOT(ISERROR(HLOOKUP(Standings!BI$3,Entries!$L44:$L44,1,FALSE))),"S",""))</f>
        <v>x</v>
      </c>
      <c r="BJ52" t="str">
        <f>IF(NOT(ISERROR(HLOOKUP(Standings!BJ$3,Entries!$C44:$K44,1,FALSE))),"x",IF(NOT(ISERROR(HLOOKUP(Standings!BJ$3,Entries!$L44:$L44,1,FALSE))),"S",""))</f>
        <v>x</v>
      </c>
      <c r="BK52" t="str">
        <f>IF(NOT(ISERROR(HLOOKUP(Standings!BK$3,Entries!$C44:$K44,1,FALSE))),"x",IF(NOT(ISERROR(HLOOKUP(Standings!BK$3,Entries!$L44:$L44,1,FALSE))),"S",""))</f>
        <v/>
      </c>
      <c r="BL52" t="str">
        <f>IF(NOT(ISERROR(HLOOKUP(Standings!BL$3,Entries!$C44:$K44,1,FALSE))),"x",IF(NOT(ISERROR(HLOOKUP(Standings!BL$3,Entries!$L44:$L44,1,FALSE))),"S",""))</f>
        <v/>
      </c>
      <c r="BM52" t="str">
        <f>IF(NOT(ISERROR(HLOOKUP(Standings!BM$3,Entries!$C44:$K44,1,FALSE))),"x",IF(NOT(ISERROR(HLOOKUP(Standings!BM$3,Entries!$L44:$L44,1,FALSE))),"S",""))</f>
        <v/>
      </c>
      <c r="BN52" t="str">
        <f>IF(NOT(ISERROR(HLOOKUP(Standings!BN$3,Entries!$C44:$K44,1,FALSE))),"x",IF(NOT(ISERROR(HLOOKUP(Standings!BN$3,Entries!$L44:$L44,1,FALSE))),"S",""))</f>
        <v>x</v>
      </c>
      <c r="BO52" t="str">
        <f>IF(NOT(ISERROR(HLOOKUP(Standings!BO$3,Entries!$C44:$K44,1,FALSE))),"x",IF(NOT(ISERROR(HLOOKUP(Standings!BO$3,Entries!$L44:$L44,1,FALSE))),"S",""))</f>
        <v/>
      </c>
      <c r="BP52" t="str">
        <f>IF(NOT(ISERROR(HLOOKUP(Standings!BP$3,Entries!$C44:$K44,1,FALSE))),"x",IF(NOT(ISERROR(HLOOKUP(Standings!BP$3,Entries!$L44:$L44,1,FALSE))),"S",""))</f>
        <v>S</v>
      </c>
      <c r="BQ52" t="str">
        <f>IF(NOT(ISERROR(HLOOKUP(Standings!BQ$3,Entries!$C44:$K44,1,FALSE))),"x",IF(NOT(ISERROR(HLOOKUP(Standings!BQ$3,Entries!$L44:$L44,1,FALSE))),"S",""))</f>
        <v/>
      </c>
      <c r="BR52" t="str">
        <f>IF(NOT(ISERROR(HLOOKUP(Standings!BR$3,Entries!$C44:$K44,1,FALSE))),"x",IF(NOT(ISERROR(HLOOKUP(Standings!BR$3,Entries!$L44:$L44,1,FALSE))),"S",""))</f>
        <v/>
      </c>
      <c r="BS52" t="str">
        <f>IF(NOT(ISERROR(HLOOKUP(Standings!BS$3,Entries!$C44:$K44,1,FALSE))),"x",IF(NOT(ISERROR(HLOOKUP(Standings!BS$3,Entries!$L44:$L44,1,FALSE))),"S",""))</f>
        <v/>
      </c>
      <c r="BT52" t="str">
        <f>IF(NOT(ISERROR(HLOOKUP(Standings!BT$3,Entries!$C44:$K44,1,FALSE))),"x",IF(NOT(ISERROR(HLOOKUP(Standings!BT$3,Entries!$L44:$L44,1,FALSE))),"S",""))</f>
        <v/>
      </c>
      <c r="BU52" t="str">
        <f>IF(NOT(ISERROR(HLOOKUP(Standings!BU$3,Entries!$C44:$K44,1,FALSE))),"x",IF(NOT(ISERROR(HLOOKUP(Standings!BU$3,Entries!$L44:$L44,1,FALSE))),"S",""))</f>
        <v/>
      </c>
      <c r="BV52" t="str">
        <f>IF(NOT(ISERROR(HLOOKUP(Standings!BV$3,Entries!$C44:$K44,1,FALSE))),"x",IF(NOT(ISERROR(HLOOKUP(Standings!BV$3,Entries!$L44:$L44,1,FALSE))),"S",""))</f>
        <v/>
      </c>
      <c r="BW52" t="str">
        <f>IF(NOT(ISERROR(HLOOKUP(Standings!BW$3,Entries!$C44:$K44,1,FALSE))),"x",IF(NOT(ISERROR(HLOOKUP(Standings!BW$3,Entries!$L44:$L44,1,FALSE))),"S",""))</f>
        <v/>
      </c>
      <c r="BX52" t="str">
        <f>IF(NOT(ISERROR(HLOOKUP(Standings!BX$3,Entries!$C44:$K44,1,FALSE))),"x",IF(NOT(ISERROR(HLOOKUP(Standings!BX$3,Entries!$L44:$L44,1,FALSE))),"S",""))</f>
        <v/>
      </c>
      <c r="BY52" t="str">
        <f>IF(NOT(ISERROR(HLOOKUP(Standings!BY$3,Entries!$C44:$K44,1,FALSE))),"x",IF(NOT(ISERROR(HLOOKUP(Standings!BY$3,Entries!$L44:$L44,1,FALSE))),"S",""))</f>
        <v/>
      </c>
      <c r="BZ52" t="str">
        <f>IF(NOT(ISERROR(HLOOKUP(Standings!BZ$3,Entries!$C44:$K44,1,FALSE))),"x",IF(NOT(ISERROR(HLOOKUP(Standings!BZ$3,Entries!$L44:$L44,1,FALSE))),"S",""))</f>
        <v/>
      </c>
      <c r="CA52" t="str">
        <f>IF(NOT(ISERROR(HLOOKUP(Standings!CA$3,Entries!$C44:$K44,1,FALSE))),"x",IF(NOT(ISERROR(HLOOKUP(Standings!CA$3,Entries!$L44:$L44,1,FALSE))),"S",""))</f>
        <v>x</v>
      </c>
      <c r="CB52" t="str">
        <f>IF(NOT(ISERROR(HLOOKUP(Standings!CB$3,Entries!$C44:$K44,1,FALSE))),"x",IF(NOT(ISERROR(HLOOKUP(Standings!CB$3,Entries!$L44:$L44,1,FALSE))),"S",""))</f>
        <v/>
      </c>
      <c r="CC52" t="str">
        <f>IF(NOT(ISERROR(HLOOKUP(Standings!CC$3,Entries!$C44:$K44,1,FALSE))),"x",IF(NOT(ISERROR(HLOOKUP(Standings!CC$3,Entries!$L44:$L44,1,FALSE))),"S",""))</f>
        <v/>
      </c>
      <c r="CD52" t="str">
        <f>IF(NOT(ISERROR(HLOOKUP(Standings!CD$3,Entries!$C44:$K44,1,FALSE))),"x",IF(NOT(ISERROR(HLOOKUP(Standings!CD$3,Entries!$L44:$L44,1,FALSE))),"S",""))</f>
        <v/>
      </c>
      <c r="CE52" t="str">
        <f>IF(NOT(ISERROR(HLOOKUP(Standings!CE$3,Entries!$C44:$K44,1,FALSE))),"x",IF(NOT(ISERROR(HLOOKUP(Standings!CE$3,Entries!$L44:$L44,1,FALSE))),"S",""))</f>
        <v/>
      </c>
      <c r="CF52" t="str">
        <f>IF(NOT(ISERROR(HLOOKUP(Standings!CF$3,Entries!$C44:$K44,1,FALSE))),"x",IF(NOT(ISERROR(HLOOKUP(Standings!CF$3,Entries!$L44:$L44,1,FALSE))),"S",""))</f>
        <v/>
      </c>
      <c r="CG52" t="str">
        <f>IF(NOT(ISERROR(HLOOKUP(Standings!CG$3,Entries!$C44:$K44,1,FALSE))),"x",IF(NOT(ISERROR(HLOOKUP(Standings!CG$3,Entries!$L44:$L44,1,FALSE))),"S",""))</f>
        <v>x</v>
      </c>
      <c r="CH52" t="str">
        <f>IF(NOT(ISERROR(HLOOKUP(Standings!CH$3,Entries!$C44:$K44,1,FALSE))),"x",IF(NOT(ISERROR(HLOOKUP(Standings!CH$3,Entries!$L44:$L44,1,FALSE))),"S",""))</f>
        <v/>
      </c>
      <c r="CI52" t="str">
        <f>IF(NOT(ISERROR(HLOOKUP(Standings!CI$3,Entries!$C44:$K44,1,FALSE))),"x",IF(NOT(ISERROR(HLOOKUP(Standings!CI$3,Entries!$L44:$L44,1,FALSE))),"S",""))</f>
        <v/>
      </c>
      <c r="CJ52" t="str">
        <f>IF(NOT(ISERROR(HLOOKUP(Standings!CJ$3,Entries!$C44:$K44,1,FALSE))),"x",IF(NOT(ISERROR(HLOOKUP(Standings!CJ$3,Entries!$L44:$L44,1,FALSE))),"S",""))</f>
        <v/>
      </c>
      <c r="CK52" t="str">
        <f>IF(NOT(ISERROR(HLOOKUP(Standings!CK$3,Entries!$C44:$K44,1,FALSE))),"x",IF(NOT(ISERROR(HLOOKUP(Standings!CK$3,Entries!$L44:$L44,1,FALSE))),"S",""))</f>
        <v/>
      </c>
      <c r="CL52" t="str">
        <f>IF(NOT(ISERROR(HLOOKUP(Standings!CL$3,Entries!$C44:$K44,1,FALSE))),"x",IF(NOT(ISERROR(HLOOKUP(Standings!CL$3,Entries!$L44:$L44,1,FALSE))),"S",""))</f>
        <v/>
      </c>
      <c r="CM52" t="str">
        <f>IF(NOT(ISERROR(HLOOKUP(Standings!CM$3,Entries!$C44:$K44,1,FALSE))),"x",IF(NOT(ISERROR(HLOOKUP(Standings!CM$3,Entries!$L44:$L44,1,FALSE))),"S",""))</f>
        <v/>
      </c>
      <c r="CN52" t="str">
        <f>IF(NOT(ISERROR(HLOOKUP(Standings!CN$3,Entries!$C44:$K44,1,FALSE))),"x",IF(NOT(ISERROR(HLOOKUP(Standings!CN$3,Entries!$L44:$L44,1,FALSE))),"S",""))</f>
        <v>x</v>
      </c>
      <c r="CO52" t="str">
        <f>IF(NOT(ISERROR(HLOOKUP(Standings!CO$3,Entries!$C44:$K44,1,FALSE))),"x",IF(NOT(ISERROR(HLOOKUP(Standings!CO$3,Entries!$L44:$L44,1,FALSE))),"S",""))</f>
        <v/>
      </c>
      <c r="CP52" t="str">
        <f>IF(NOT(ISERROR(HLOOKUP(Standings!CP$3,Entries!$C44:$K44,1,FALSE))),"x",IF(NOT(ISERROR(HLOOKUP(Standings!CP$3,Entries!$L44:$L44,1,FALSE))),"S",""))</f>
        <v/>
      </c>
      <c r="CQ52" t="str">
        <f>IF(NOT(ISERROR(HLOOKUP(Standings!CQ$3,Entries!$C44:$K44,1,FALSE))),"x",IF(NOT(ISERROR(HLOOKUP(Standings!CQ$3,Entries!$L44:$L44,1,FALSE))),"S",""))</f>
        <v/>
      </c>
      <c r="CR52" t="str">
        <f>IF(NOT(ISERROR(HLOOKUP(Standings!CR$3,Entries!$C44:$K44,1,FALSE))),"x",IF(NOT(ISERROR(HLOOKUP(Standings!CR$3,Entries!$L44:$L44,1,FALSE))),"S",""))</f>
        <v/>
      </c>
      <c r="CS52" t="str">
        <f>IF(NOT(ISERROR(HLOOKUP(Standings!CS$3,Entries!$C44:$K44,1,FALSE))),"x",IF(NOT(ISERROR(HLOOKUP(Standings!CS$3,Entries!$L44:$L44,1,FALSE))),"S",""))</f>
        <v/>
      </c>
      <c r="CT52" t="str">
        <f>IF(NOT(ISERROR(HLOOKUP(Standings!CT$3,Entries!$C44:$K44,1,FALSE))),"x",IF(NOT(ISERROR(HLOOKUP(Standings!CT$3,Entries!$L44:$L44,1,FALSE))),"S",""))</f>
        <v/>
      </c>
      <c r="CU52" t="str">
        <f>IF(NOT(ISERROR(HLOOKUP(Standings!CU$3,Entries!$C44:$K44,1,FALSE))),"x",IF(NOT(ISERROR(HLOOKUP(Standings!CU$3,Entries!$L44:$L44,1,FALSE))),"S",""))</f>
        <v/>
      </c>
      <c r="CV52" t="str">
        <f>IF(NOT(ISERROR(HLOOKUP(Standings!CV$3,Entries!$C44:$K44,1,FALSE))),"x",IF(NOT(ISERROR(HLOOKUP(Standings!CV$3,Entries!$L44:$L44,1,FALSE))),"S",""))</f>
        <v/>
      </c>
      <c r="CW52" t="str">
        <f>IF(NOT(ISERROR(HLOOKUP(Standings!CW$3,Entries!$C44:$K44,1,FALSE))),"x",IF(NOT(ISERROR(HLOOKUP(Standings!CW$3,Entries!$L44:$L44,1,FALSE))),"S",""))</f>
        <v/>
      </c>
      <c r="CX52" t="str">
        <f>IF(NOT(ISERROR(HLOOKUP(Standings!CX$3,Entries!$C44:$K44,1,FALSE))),"x",IF(NOT(ISERROR(HLOOKUP(Standings!CX$3,Entries!$L44:$L44,1,FALSE))),"S",""))</f>
        <v>x</v>
      </c>
      <c r="CY52" t="str">
        <f>IF(NOT(ISERROR(HLOOKUP(Standings!CY$3,Entries!$C44:$K44,1,FALSE))),"x",IF(NOT(ISERROR(HLOOKUP(Standings!CY$3,Entries!$L44:$L44,1,FALSE))),"S",""))</f>
        <v/>
      </c>
      <c r="CZ52" t="str">
        <f>IF(NOT(ISERROR(HLOOKUP(Standings!CZ$3,Entries!$C44:$K44,1,FALSE))),"x",IF(NOT(ISERROR(HLOOKUP(Standings!CZ$3,Entries!$L44:$L44,1,FALSE))),"S",""))</f>
        <v>x</v>
      </c>
      <c r="DA52" t="str">
        <f>IF(NOT(ISERROR(HLOOKUP(Standings!DA$3,Entries!$C44:$K44,1,FALSE))),"x",IF(NOT(ISERROR(HLOOKUP(Standings!DA$3,Entries!$L44:$L44,1,FALSE))),"S",""))</f>
        <v>x</v>
      </c>
      <c r="DB52" t="str">
        <f>IF(NOT(ISERROR(HLOOKUP(Standings!DB$3,Entries!$C44:$K44,1,FALSE))),"x",IF(NOT(ISERROR(HLOOKUP(Standings!DB$3,Entries!$L44:$L44,1,FALSE))),"S",""))</f>
        <v/>
      </c>
    </row>
    <row r="53" spans="1:106" x14ac:dyDescent="0.25">
      <c r="A53" s="18"/>
      <c r="B53">
        <v>19</v>
      </c>
      <c r="C53" t="str">
        <f>Entries!B45</f>
        <v>AshleyAlloway1</v>
      </c>
      <c r="D53" s="4">
        <f t="shared" si="53"/>
        <v>55</v>
      </c>
      <c r="E53" s="31">
        <f t="shared" si="54"/>
        <v>0</v>
      </c>
      <c r="F53" s="40" t="str">
        <f t="shared" si="52"/>
        <v/>
      </c>
      <c r="G53" s="41" t="str">
        <f t="shared" si="5"/>
        <v/>
      </c>
      <c r="H53" s="41" t="str">
        <f t="shared" si="6"/>
        <v/>
      </c>
      <c r="I53" s="42" t="str">
        <f t="shared" si="7"/>
        <v/>
      </c>
      <c r="J53" s="40" t="str">
        <f t="shared" si="8"/>
        <v/>
      </c>
      <c r="K53" s="41" t="str">
        <f t="shared" si="9"/>
        <v/>
      </c>
      <c r="L53" s="41" t="str">
        <f t="shared" si="10"/>
        <v/>
      </c>
      <c r="M53" s="42" t="str">
        <f t="shared" si="11"/>
        <v/>
      </c>
      <c r="N53" s="43" t="str">
        <f t="shared" si="12"/>
        <v/>
      </c>
      <c r="O53" s="41">
        <f t="shared" si="13"/>
        <v>0</v>
      </c>
      <c r="P53" s="41" t="str">
        <f t="shared" si="14"/>
        <v/>
      </c>
      <c r="Q53" s="42" t="str">
        <f t="shared" si="15"/>
        <v/>
      </c>
      <c r="R53" s="40" t="str">
        <f t="shared" si="16"/>
        <v/>
      </c>
      <c r="S53" s="41" t="str">
        <f t="shared" si="17"/>
        <v/>
      </c>
      <c r="T53" s="43" t="str">
        <f t="shared" si="18"/>
        <v/>
      </c>
      <c r="U53" s="42" t="str">
        <f t="shared" si="19"/>
        <v/>
      </c>
      <c r="V53" s="40" t="str">
        <f t="shared" si="20"/>
        <v/>
      </c>
      <c r="W53" s="41" t="str">
        <f t="shared" si="21"/>
        <v/>
      </c>
      <c r="X53" s="41" t="str">
        <f t="shared" si="22"/>
        <v/>
      </c>
      <c r="Y53" s="42" t="str">
        <f t="shared" si="23"/>
        <v/>
      </c>
      <c r="Z53" s="40">
        <f t="shared" si="24"/>
        <v>0</v>
      </c>
      <c r="AA53" s="41" t="str">
        <f t="shared" si="25"/>
        <v/>
      </c>
      <c r="AB53" s="41" t="str">
        <f t="shared" si="26"/>
        <v/>
      </c>
      <c r="AC53" s="42" t="str">
        <f t="shared" si="27"/>
        <v/>
      </c>
      <c r="AD53" s="40" t="str">
        <f t="shared" si="28"/>
        <v/>
      </c>
      <c r="AE53" s="41">
        <f t="shared" si="29"/>
        <v>0</v>
      </c>
      <c r="AF53" s="41" t="str">
        <f t="shared" si="30"/>
        <v/>
      </c>
      <c r="AG53" s="42" t="str">
        <f t="shared" si="31"/>
        <v/>
      </c>
      <c r="AH53" s="40" t="str">
        <f t="shared" si="32"/>
        <v/>
      </c>
      <c r="AI53" s="41" t="str">
        <f t="shared" si="33"/>
        <v/>
      </c>
      <c r="AJ53" s="41" t="str">
        <f t="shared" si="34"/>
        <v/>
      </c>
      <c r="AK53" s="42">
        <f t="shared" si="35"/>
        <v>0</v>
      </c>
      <c r="AL53" s="40" t="str">
        <f t="shared" si="36"/>
        <v/>
      </c>
      <c r="AM53" s="41" t="str">
        <f t="shared" si="37"/>
        <v/>
      </c>
      <c r="AN53" s="41" t="str">
        <f t="shared" si="38"/>
        <v/>
      </c>
      <c r="AO53" s="42" t="str">
        <f t="shared" si="39"/>
        <v/>
      </c>
      <c r="AP53" s="40" t="str">
        <f t="shared" si="40"/>
        <v/>
      </c>
      <c r="AQ53" s="41" t="str">
        <f t="shared" si="41"/>
        <v/>
      </c>
      <c r="AR53" s="41" t="str">
        <f t="shared" si="42"/>
        <v/>
      </c>
      <c r="AS53" s="42" t="str">
        <f t="shared" si="43"/>
        <v/>
      </c>
      <c r="AT53" s="40" t="str">
        <f t="shared" si="44"/>
        <v/>
      </c>
      <c r="AU53" s="41" t="str">
        <f t="shared" si="45"/>
        <v/>
      </c>
      <c r="AV53" s="41" t="str">
        <f t="shared" si="46"/>
        <v/>
      </c>
      <c r="AW53" s="42" t="str">
        <f t="shared" si="47"/>
        <v/>
      </c>
      <c r="AX53" s="40" t="str">
        <f t="shared" si="48"/>
        <v/>
      </c>
      <c r="AY53" s="41">
        <f t="shared" si="49"/>
        <v>0</v>
      </c>
      <c r="AZ53" s="41" t="str">
        <f t="shared" si="50"/>
        <v/>
      </c>
      <c r="BA53" s="42" t="str">
        <f t="shared" si="51"/>
        <v/>
      </c>
      <c r="BB53" s="37" t="s">
        <v>106</v>
      </c>
      <c r="BC53" s="23"/>
      <c r="BD53" s="21"/>
      <c r="BG53" t="str">
        <f>IF(NOT(ISERROR(HLOOKUP(Standings!BG$3,Entries!$C45:$K45,1,FALSE))),"x",IF(NOT(ISERROR(HLOOKUP(Standings!BG$3,Entries!$L45:$L45,1,FALSE))),"S",""))</f>
        <v/>
      </c>
      <c r="BH53" t="str">
        <f>IF(NOT(ISERROR(HLOOKUP(Standings!BH$3,Entries!$C45:$K45,1,FALSE))),"x",IF(NOT(ISERROR(HLOOKUP(Standings!BH$3,Entries!$L45:$L45,1,FALSE))),"S",""))</f>
        <v/>
      </c>
      <c r="BI53" t="str">
        <f>IF(NOT(ISERROR(HLOOKUP(Standings!BI$3,Entries!$C45:$K45,1,FALSE))),"x",IF(NOT(ISERROR(HLOOKUP(Standings!BI$3,Entries!$L45:$L45,1,FALSE))),"S",""))</f>
        <v/>
      </c>
      <c r="BJ53" t="str">
        <f>IF(NOT(ISERROR(HLOOKUP(Standings!BJ$3,Entries!$C45:$K45,1,FALSE))),"x",IF(NOT(ISERROR(HLOOKUP(Standings!BJ$3,Entries!$L45:$L45,1,FALSE))),"S",""))</f>
        <v/>
      </c>
      <c r="BK53" t="str">
        <f>IF(NOT(ISERROR(HLOOKUP(Standings!BK$3,Entries!$C45:$K45,1,FALSE))),"x",IF(NOT(ISERROR(HLOOKUP(Standings!BK$3,Entries!$L45:$L45,1,FALSE))),"S",""))</f>
        <v/>
      </c>
      <c r="BL53" t="str">
        <f>IF(NOT(ISERROR(HLOOKUP(Standings!BL$3,Entries!$C45:$K45,1,FALSE))),"x",IF(NOT(ISERROR(HLOOKUP(Standings!BL$3,Entries!$L45:$L45,1,FALSE))),"S",""))</f>
        <v/>
      </c>
      <c r="BM53" t="str">
        <f>IF(NOT(ISERROR(HLOOKUP(Standings!BM$3,Entries!$C45:$K45,1,FALSE))),"x",IF(NOT(ISERROR(HLOOKUP(Standings!BM$3,Entries!$L45:$L45,1,FALSE))),"S",""))</f>
        <v/>
      </c>
      <c r="BN53" t="str">
        <f>IF(NOT(ISERROR(HLOOKUP(Standings!BN$3,Entries!$C45:$K45,1,FALSE))),"x",IF(NOT(ISERROR(HLOOKUP(Standings!BN$3,Entries!$L45:$L45,1,FALSE))),"S",""))</f>
        <v/>
      </c>
      <c r="BO53" t="str">
        <f>IF(NOT(ISERROR(HLOOKUP(Standings!BO$3,Entries!$C45:$K45,1,FALSE))),"x",IF(NOT(ISERROR(HLOOKUP(Standings!BO$3,Entries!$L45:$L45,1,FALSE))),"S",""))</f>
        <v/>
      </c>
      <c r="BP53" t="str">
        <f>IF(NOT(ISERROR(HLOOKUP(Standings!BP$3,Entries!$C45:$K45,1,FALSE))),"x",IF(NOT(ISERROR(HLOOKUP(Standings!BP$3,Entries!$L45:$L45,1,FALSE))),"S",""))</f>
        <v>x</v>
      </c>
      <c r="BQ53" t="str">
        <f>IF(NOT(ISERROR(HLOOKUP(Standings!BQ$3,Entries!$C45:$K45,1,FALSE))),"x",IF(NOT(ISERROR(HLOOKUP(Standings!BQ$3,Entries!$L45:$L45,1,FALSE))),"S",""))</f>
        <v/>
      </c>
      <c r="BR53" t="str">
        <f>IF(NOT(ISERROR(HLOOKUP(Standings!BR$3,Entries!$C45:$K45,1,FALSE))),"x",IF(NOT(ISERROR(HLOOKUP(Standings!BR$3,Entries!$L45:$L45,1,FALSE))),"S",""))</f>
        <v/>
      </c>
      <c r="BS53" t="str">
        <f>IF(NOT(ISERROR(HLOOKUP(Standings!BS$3,Entries!$C45:$K45,1,FALSE))),"x",IF(NOT(ISERROR(HLOOKUP(Standings!BS$3,Entries!$L45:$L45,1,FALSE))),"S",""))</f>
        <v/>
      </c>
      <c r="BT53" t="str">
        <f>IF(NOT(ISERROR(HLOOKUP(Standings!BT$3,Entries!$C45:$K45,1,FALSE))),"x",IF(NOT(ISERROR(HLOOKUP(Standings!BT$3,Entries!$L45:$L45,1,FALSE))),"S",""))</f>
        <v/>
      </c>
      <c r="BU53" t="str">
        <f>IF(NOT(ISERROR(HLOOKUP(Standings!BU$3,Entries!$C45:$K45,1,FALSE))),"x",IF(NOT(ISERROR(HLOOKUP(Standings!BU$3,Entries!$L45:$L45,1,FALSE))),"S",""))</f>
        <v/>
      </c>
      <c r="BV53" t="str">
        <f>IF(NOT(ISERROR(HLOOKUP(Standings!BV$3,Entries!$C45:$K45,1,FALSE))),"x",IF(NOT(ISERROR(HLOOKUP(Standings!BV$3,Entries!$L45:$L45,1,FALSE))),"S",""))</f>
        <v/>
      </c>
      <c r="BW53" t="str">
        <f>IF(NOT(ISERROR(HLOOKUP(Standings!BW$3,Entries!$C45:$K45,1,FALSE))),"x",IF(NOT(ISERROR(HLOOKUP(Standings!BW$3,Entries!$L45:$L45,1,FALSE))),"S",""))</f>
        <v/>
      </c>
      <c r="BX53" t="str">
        <f>IF(NOT(ISERROR(HLOOKUP(Standings!BX$3,Entries!$C45:$K45,1,FALSE))),"x",IF(NOT(ISERROR(HLOOKUP(Standings!BX$3,Entries!$L45:$L45,1,FALSE))),"S",""))</f>
        <v/>
      </c>
      <c r="BY53" t="str">
        <f>IF(NOT(ISERROR(HLOOKUP(Standings!BY$3,Entries!$C45:$K45,1,FALSE))),"x",IF(NOT(ISERROR(HLOOKUP(Standings!BY$3,Entries!$L45:$L45,1,FALSE))),"S",""))</f>
        <v/>
      </c>
      <c r="BZ53" t="str">
        <f>IF(NOT(ISERROR(HLOOKUP(Standings!BZ$3,Entries!$C45:$K45,1,FALSE))),"x",IF(NOT(ISERROR(HLOOKUP(Standings!BZ$3,Entries!$L45:$L45,1,FALSE))),"S",""))</f>
        <v/>
      </c>
      <c r="CA53" t="str">
        <f>IF(NOT(ISERROR(HLOOKUP(Standings!CA$3,Entries!$C45:$K45,1,FALSE))),"x",IF(NOT(ISERROR(HLOOKUP(Standings!CA$3,Entries!$L45:$L45,1,FALSE))),"S",""))</f>
        <v>x</v>
      </c>
      <c r="CB53" t="str">
        <f>IF(NOT(ISERROR(HLOOKUP(Standings!CB$3,Entries!$C45:$K45,1,FALSE))),"x",IF(NOT(ISERROR(HLOOKUP(Standings!CB$3,Entries!$L45:$L45,1,FALSE))),"S",""))</f>
        <v/>
      </c>
      <c r="CC53" t="str">
        <f>IF(NOT(ISERROR(HLOOKUP(Standings!CC$3,Entries!$C45:$K45,1,FALSE))),"x",IF(NOT(ISERROR(HLOOKUP(Standings!CC$3,Entries!$L45:$L45,1,FALSE))),"S",""))</f>
        <v/>
      </c>
      <c r="CD53" t="str">
        <f>IF(NOT(ISERROR(HLOOKUP(Standings!CD$3,Entries!$C45:$K45,1,FALSE))),"x",IF(NOT(ISERROR(HLOOKUP(Standings!CD$3,Entries!$L45:$L45,1,FALSE))),"S",""))</f>
        <v/>
      </c>
      <c r="CE53" t="str">
        <f>IF(NOT(ISERROR(HLOOKUP(Standings!CE$3,Entries!$C45:$K45,1,FALSE))),"x",IF(NOT(ISERROR(HLOOKUP(Standings!CE$3,Entries!$L45:$L45,1,FALSE))),"S",""))</f>
        <v/>
      </c>
      <c r="CF53" t="str">
        <f>IF(NOT(ISERROR(HLOOKUP(Standings!CF$3,Entries!$C45:$K45,1,FALSE))),"x",IF(NOT(ISERROR(HLOOKUP(Standings!CF$3,Entries!$L45:$L45,1,FALSE))),"S",""))</f>
        <v>x</v>
      </c>
      <c r="CG53" t="str">
        <f>IF(NOT(ISERROR(HLOOKUP(Standings!CG$3,Entries!$C45:$K45,1,FALSE))),"x",IF(NOT(ISERROR(HLOOKUP(Standings!CG$3,Entries!$L45:$L45,1,FALSE))),"S",""))</f>
        <v/>
      </c>
      <c r="CH53" t="str">
        <f>IF(NOT(ISERROR(HLOOKUP(Standings!CH$3,Entries!$C45:$K45,1,FALSE))),"x",IF(NOT(ISERROR(HLOOKUP(Standings!CH$3,Entries!$L45:$L45,1,FALSE))),"S",""))</f>
        <v/>
      </c>
      <c r="CI53" t="str">
        <f>IF(NOT(ISERROR(HLOOKUP(Standings!CI$3,Entries!$C45:$K45,1,FALSE))),"x",IF(NOT(ISERROR(HLOOKUP(Standings!CI$3,Entries!$L45:$L45,1,FALSE))),"S",""))</f>
        <v/>
      </c>
      <c r="CJ53" t="str">
        <f>IF(NOT(ISERROR(HLOOKUP(Standings!CJ$3,Entries!$C45:$K45,1,FALSE))),"x",IF(NOT(ISERROR(HLOOKUP(Standings!CJ$3,Entries!$L45:$L45,1,FALSE))),"S",""))</f>
        <v/>
      </c>
      <c r="CK53" t="str">
        <f>IF(NOT(ISERROR(HLOOKUP(Standings!CK$3,Entries!$C45:$K45,1,FALSE))),"x",IF(NOT(ISERROR(HLOOKUP(Standings!CK$3,Entries!$L45:$L45,1,FALSE))),"S",""))</f>
        <v/>
      </c>
      <c r="CL53" t="str">
        <f>IF(NOT(ISERROR(HLOOKUP(Standings!CL$3,Entries!$C45:$K45,1,FALSE))),"x",IF(NOT(ISERROR(HLOOKUP(Standings!CL$3,Entries!$L45:$L45,1,FALSE))),"S",""))</f>
        <v>x</v>
      </c>
      <c r="CM53" t="str">
        <f>IF(NOT(ISERROR(HLOOKUP(Standings!CM$3,Entries!$C45:$K45,1,FALSE))),"x",IF(NOT(ISERROR(HLOOKUP(Standings!CM$3,Entries!$L45:$L45,1,FALSE))),"S",""))</f>
        <v/>
      </c>
      <c r="CN53" t="str">
        <f>IF(NOT(ISERROR(HLOOKUP(Standings!CN$3,Entries!$C45:$K45,1,FALSE))),"x",IF(NOT(ISERROR(HLOOKUP(Standings!CN$3,Entries!$L45:$L45,1,FALSE))),"S",""))</f>
        <v/>
      </c>
      <c r="CO53" t="str">
        <f>IF(NOT(ISERROR(HLOOKUP(Standings!CO$3,Entries!$C45:$K45,1,FALSE))),"x",IF(NOT(ISERROR(HLOOKUP(Standings!CO$3,Entries!$L45:$L45,1,FALSE))),"S",""))</f>
        <v/>
      </c>
      <c r="CP53" t="str">
        <f>IF(NOT(ISERROR(HLOOKUP(Standings!CP$3,Entries!$C45:$K45,1,FALSE))),"x",IF(NOT(ISERROR(HLOOKUP(Standings!CP$3,Entries!$L45:$L45,1,FALSE))),"S",""))</f>
        <v/>
      </c>
      <c r="CQ53" t="str">
        <f>IF(NOT(ISERROR(HLOOKUP(Standings!CQ$3,Entries!$C45:$K45,1,FALSE))),"x",IF(NOT(ISERROR(HLOOKUP(Standings!CQ$3,Entries!$L45:$L45,1,FALSE))),"S",""))</f>
        <v/>
      </c>
      <c r="CR53" t="str">
        <f>IF(NOT(ISERROR(HLOOKUP(Standings!CR$3,Entries!$C45:$K45,1,FALSE))),"x",IF(NOT(ISERROR(HLOOKUP(Standings!CR$3,Entries!$L45:$L45,1,FALSE))),"S",""))</f>
        <v/>
      </c>
      <c r="CS53" t="str">
        <f>IF(NOT(ISERROR(HLOOKUP(Standings!CS$3,Entries!$C45:$K45,1,FALSE))),"x",IF(NOT(ISERROR(HLOOKUP(Standings!CS$3,Entries!$L45:$L45,1,FALSE))),"S",""))</f>
        <v/>
      </c>
      <c r="CT53" t="str">
        <f>IF(NOT(ISERROR(HLOOKUP(Standings!CT$3,Entries!$C45:$K45,1,FALSE))),"x",IF(NOT(ISERROR(HLOOKUP(Standings!CT$3,Entries!$L45:$L45,1,FALSE))),"S",""))</f>
        <v/>
      </c>
      <c r="CU53" t="str">
        <f>IF(NOT(ISERROR(HLOOKUP(Standings!CU$3,Entries!$C45:$K45,1,FALSE))),"x",IF(NOT(ISERROR(HLOOKUP(Standings!CU$3,Entries!$L45:$L45,1,FALSE))),"S",""))</f>
        <v/>
      </c>
      <c r="CV53" t="str">
        <f>IF(NOT(ISERROR(HLOOKUP(Standings!CV$3,Entries!$C45:$K45,1,FALSE))),"x",IF(NOT(ISERROR(HLOOKUP(Standings!CV$3,Entries!$L45:$L45,1,FALSE))),"S",""))</f>
        <v/>
      </c>
      <c r="CW53" t="str">
        <f>IF(NOT(ISERROR(HLOOKUP(Standings!CW$3,Entries!$C45:$K45,1,FALSE))),"x",IF(NOT(ISERROR(HLOOKUP(Standings!CW$3,Entries!$L45:$L45,1,FALSE))),"S",""))</f>
        <v/>
      </c>
      <c r="CX53" t="str">
        <f>IF(NOT(ISERROR(HLOOKUP(Standings!CX$3,Entries!$C45:$K45,1,FALSE))),"x",IF(NOT(ISERROR(HLOOKUP(Standings!CX$3,Entries!$L45:$L45,1,FALSE))),"S",""))</f>
        <v/>
      </c>
      <c r="CY53" t="str">
        <f>IF(NOT(ISERROR(HLOOKUP(Standings!CY$3,Entries!$C45:$K45,1,FALSE))),"x",IF(NOT(ISERROR(HLOOKUP(Standings!CY$3,Entries!$L45:$L45,1,FALSE))),"S",""))</f>
        <v/>
      </c>
      <c r="CZ53" t="str">
        <f>IF(NOT(ISERROR(HLOOKUP(Standings!CZ$3,Entries!$C45:$K45,1,FALSE))),"x",IF(NOT(ISERROR(HLOOKUP(Standings!CZ$3,Entries!$L45:$L45,1,FALSE))),"S",""))</f>
        <v>x</v>
      </c>
      <c r="DA53" t="str">
        <f>IF(NOT(ISERROR(HLOOKUP(Standings!DA$3,Entries!$C45:$K45,1,FALSE))),"x",IF(NOT(ISERROR(HLOOKUP(Standings!DA$3,Entries!$L45:$L45,1,FALSE))),"S",""))</f>
        <v/>
      </c>
      <c r="DB53" t="str">
        <f>IF(NOT(ISERROR(HLOOKUP(Standings!DB$3,Entries!$C45:$K45,1,FALSE))),"x",IF(NOT(ISERROR(HLOOKUP(Standings!DB$3,Entries!$L45:$L45,1,FALSE))),"S",""))</f>
        <v/>
      </c>
    </row>
    <row r="54" spans="1:106" x14ac:dyDescent="0.25">
      <c r="A54" s="18"/>
      <c r="B54">
        <v>35</v>
      </c>
      <c r="C54" t="str">
        <f>Entries!B46</f>
        <v>John Lindlof</v>
      </c>
      <c r="D54" s="4">
        <f t="shared" si="53"/>
        <v>5</v>
      </c>
      <c r="E54" s="31">
        <f t="shared" si="54"/>
        <v>4</v>
      </c>
      <c r="F54" s="40" t="str">
        <f t="shared" si="52"/>
        <v/>
      </c>
      <c r="G54" s="41" t="str">
        <f t="shared" si="5"/>
        <v/>
      </c>
      <c r="H54" s="41">
        <f t="shared" si="6"/>
        <v>2</v>
      </c>
      <c r="I54" s="42" t="str">
        <f t="shared" si="7"/>
        <v/>
      </c>
      <c r="J54" s="40" t="str">
        <f t="shared" si="8"/>
        <v/>
      </c>
      <c r="K54" s="41" t="str">
        <f t="shared" si="9"/>
        <v/>
      </c>
      <c r="L54" s="41" t="str">
        <f t="shared" si="10"/>
        <v/>
      </c>
      <c r="M54" s="42" t="str">
        <f t="shared" si="11"/>
        <v/>
      </c>
      <c r="N54" s="43" t="str">
        <f t="shared" si="12"/>
        <v/>
      </c>
      <c r="O54" s="41" t="str">
        <f t="shared" si="13"/>
        <v/>
      </c>
      <c r="P54" s="41" t="str">
        <f t="shared" si="14"/>
        <v/>
      </c>
      <c r="Q54" s="42" t="str">
        <f t="shared" si="15"/>
        <v/>
      </c>
      <c r="R54" s="40">
        <f t="shared" si="16"/>
        <v>2</v>
      </c>
      <c r="S54" s="41" t="str">
        <f t="shared" si="17"/>
        <v/>
      </c>
      <c r="T54" s="43" t="str">
        <f t="shared" si="18"/>
        <v/>
      </c>
      <c r="U54" s="42" t="str">
        <f t="shared" si="19"/>
        <v/>
      </c>
      <c r="V54" s="40" t="str">
        <f t="shared" si="20"/>
        <v/>
      </c>
      <c r="W54" s="41" t="str">
        <f t="shared" si="21"/>
        <v/>
      </c>
      <c r="X54" s="41" t="str">
        <f t="shared" si="22"/>
        <v/>
      </c>
      <c r="Y54" s="42">
        <f t="shared" si="23"/>
        <v>0</v>
      </c>
      <c r="Z54" s="40" t="str">
        <f t="shared" si="24"/>
        <v/>
      </c>
      <c r="AA54" s="41">
        <f t="shared" si="25"/>
        <v>0</v>
      </c>
      <c r="AB54" s="41" t="str">
        <f t="shared" si="26"/>
        <v/>
      </c>
      <c r="AC54" s="42" t="str">
        <f t="shared" si="27"/>
        <v/>
      </c>
      <c r="AD54" s="40" t="str">
        <f t="shared" si="28"/>
        <v/>
      </c>
      <c r="AE54" s="41" t="str">
        <f t="shared" si="29"/>
        <v/>
      </c>
      <c r="AF54" s="41" t="str">
        <f t="shared" si="30"/>
        <v/>
      </c>
      <c r="AG54" s="42" t="str">
        <f t="shared" si="31"/>
        <v/>
      </c>
      <c r="AH54" s="40" t="str">
        <f t="shared" si="32"/>
        <v/>
      </c>
      <c r="AI54" s="41" t="str">
        <f t="shared" si="33"/>
        <v/>
      </c>
      <c r="AJ54" s="41" t="str">
        <f t="shared" si="34"/>
        <v/>
      </c>
      <c r="AK54" s="42" t="str">
        <f t="shared" si="35"/>
        <v/>
      </c>
      <c r="AL54" s="40" t="str">
        <f t="shared" si="36"/>
        <v/>
      </c>
      <c r="AM54" s="41">
        <f t="shared" si="37"/>
        <v>0</v>
      </c>
      <c r="AN54" s="41" t="str">
        <f t="shared" si="38"/>
        <v/>
      </c>
      <c r="AO54" s="42" t="str">
        <f t="shared" si="39"/>
        <v/>
      </c>
      <c r="AP54" s="40" t="str">
        <f t="shared" si="40"/>
        <v/>
      </c>
      <c r="AQ54" s="41" t="str">
        <f t="shared" si="41"/>
        <v/>
      </c>
      <c r="AR54" s="41" t="str">
        <f t="shared" si="42"/>
        <v/>
      </c>
      <c r="AS54" s="42" t="str">
        <f t="shared" si="43"/>
        <v/>
      </c>
      <c r="AT54" s="40" t="str">
        <f t="shared" si="44"/>
        <v/>
      </c>
      <c r="AU54" s="41" t="str">
        <f t="shared" si="45"/>
        <v/>
      </c>
      <c r="AV54" s="41" t="str">
        <f t="shared" si="46"/>
        <v/>
      </c>
      <c r="AW54" s="42" t="str">
        <f t="shared" si="47"/>
        <v/>
      </c>
      <c r="AX54" s="40" t="str">
        <f t="shared" si="48"/>
        <v/>
      </c>
      <c r="AY54" s="41">
        <f t="shared" si="49"/>
        <v>0</v>
      </c>
      <c r="AZ54" s="41" t="str">
        <f t="shared" si="50"/>
        <v/>
      </c>
      <c r="BA54" s="42" t="str">
        <f t="shared" si="51"/>
        <v/>
      </c>
      <c r="BB54" s="37" t="s">
        <v>106</v>
      </c>
      <c r="BC54" s="21"/>
      <c r="BD54" s="21"/>
      <c r="BG54" t="str">
        <f>IF(NOT(ISERROR(HLOOKUP(Standings!BG$3,Entries!$C46:$K46,1,FALSE))),"x",IF(NOT(ISERROR(HLOOKUP(Standings!BG$3,Entries!$L46:$L46,1,FALSE))),"S",""))</f>
        <v/>
      </c>
      <c r="BH54" t="str">
        <f>IF(NOT(ISERROR(HLOOKUP(Standings!BH$3,Entries!$C46:$K46,1,FALSE))),"x",IF(NOT(ISERROR(HLOOKUP(Standings!BH$3,Entries!$L46:$L46,1,FALSE))),"S",""))</f>
        <v/>
      </c>
      <c r="BI54" t="str">
        <f>IF(NOT(ISERROR(HLOOKUP(Standings!BI$3,Entries!$C46:$K46,1,FALSE))),"x",IF(NOT(ISERROR(HLOOKUP(Standings!BI$3,Entries!$L46:$L46,1,FALSE))),"S",""))</f>
        <v>x</v>
      </c>
      <c r="BJ54" t="str">
        <f>IF(NOT(ISERROR(HLOOKUP(Standings!BJ$3,Entries!$C46:$K46,1,FALSE))),"x",IF(NOT(ISERROR(HLOOKUP(Standings!BJ$3,Entries!$L46:$L46,1,FALSE))),"S",""))</f>
        <v/>
      </c>
      <c r="BK54" t="str">
        <f>IF(NOT(ISERROR(HLOOKUP(Standings!BK$3,Entries!$C46:$K46,1,FALSE))),"x",IF(NOT(ISERROR(HLOOKUP(Standings!BK$3,Entries!$L46:$L46,1,FALSE))),"S",""))</f>
        <v/>
      </c>
      <c r="BL54" t="str">
        <f>IF(NOT(ISERROR(HLOOKUP(Standings!BL$3,Entries!$C46:$K46,1,FALSE))),"x",IF(NOT(ISERROR(HLOOKUP(Standings!BL$3,Entries!$L46:$L46,1,FALSE))),"S",""))</f>
        <v/>
      </c>
      <c r="BM54" t="str">
        <f>IF(NOT(ISERROR(HLOOKUP(Standings!BM$3,Entries!$C46:$K46,1,FALSE))),"x",IF(NOT(ISERROR(HLOOKUP(Standings!BM$3,Entries!$L46:$L46,1,FALSE))),"S",""))</f>
        <v/>
      </c>
      <c r="BN54" t="str">
        <f>IF(NOT(ISERROR(HLOOKUP(Standings!BN$3,Entries!$C46:$K46,1,FALSE))),"x",IF(NOT(ISERROR(HLOOKUP(Standings!BN$3,Entries!$L46:$L46,1,FALSE))),"S",""))</f>
        <v/>
      </c>
      <c r="BO54" t="str">
        <f>IF(NOT(ISERROR(HLOOKUP(Standings!BO$3,Entries!$C46:$K46,1,FALSE))),"x",IF(NOT(ISERROR(HLOOKUP(Standings!BO$3,Entries!$L46:$L46,1,FALSE))),"S",""))</f>
        <v/>
      </c>
      <c r="BP54" t="str">
        <f>IF(NOT(ISERROR(HLOOKUP(Standings!BP$3,Entries!$C46:$K46,1,FALSE))),"x",IF(NOT(ISERROR(HLOOKUP(Standings!BP$3,Entries!$L46:$L46,1,FALSE))),"S",""))</f>
        <v/>
      </c>
      <c r="BQ54" t="str">
        <f>IF(NOT(ISERROR(HLOOKUP(Standings!BQ$3,Entries!$C46:$K46,1,FALSE))),"x",IF(NOT(ISERROR(HLOOKUP(Standings!BQ$3,Entries!$L46:$L46,1,FALSE))),"S",""))</f>
        <v/>
      </c>
      <c r="BR54" t="str">
        <f>IF(NOT(ISERROR(HLOOKUP(Standings!BR$3,Entries!$C46:$K46,1,FALSE))),"x",IF(NOT(ISERROR(HLOOKUP(Standings!BR$3,Entries!$L46:$L46,1,FALSE))),"S",""))</f>
        <v/>
      </c>
      <c r="BS54" t="str">
        <f>IF(NOT(ISERROR(HLOOKUP(Standings!BS$3,Entries!$C46:$K46,1,FALSE))),"x",IF(NOT(ISERROR(HLOOKUP(Standings!BS$3,Entries!$L46:$L46,1,FALSE))),"S",""))</f>
        <v>x</v>
      </c>
      <c r="BT54" t="str">
        <f>IF(NOT(ISERROR(HLOOKUP(Standings!BT$3,Entries!$C46:$K46,1,FALSE))),"x",IF(NOT(ISERROR(HLOOKUP(Standings!BT$3,Entries!$L46:$L46,1,FALSE))),"S",""))</f>
        <v/>
      </c>
      <c r="BU54" t="str">
        <f>IF(NOT(ISERROR(HLOOKUP(Standings!BU$3,Entries!$C46:$K46,1,FALSE))),"x",IF(NOT(ISERROR(HLOOKUP(Standings!BU$3,Entries!$L46:$L46,1,FALSE))),"S",""))</f>
        <v/>
      </c>
      <c r="BV54" t="str">
        <f>IF(NOT(ISERROR(HLOOKUP(Standings!BV$3,Entries!$C46:$K46,1,FALSE))),"x",IF(NOT(ISERROR(HLOOKUP(Standings!BV$3,Entries!$L46:$L46,1,FALSE))),"S",""))</f>
        <v/>
      </c>
      <c r="BW54" t="str">
        <f>IF(NOT(ISERROR(HLOOKUP(Standings!BW$3,Entries!$C46:$K46,1,FALSE))),"x",IF(NOT(ISERROR(HLOOKUP(Standings!BW$3,Entries!$L46:$L46,1,FALSE))),"S",""))</f>
        <v/>
      </c>
      <c r="BX54" t="str">
        <f>IF(NOT(ISERROR(HLOOKUP(Standings!BX$3,Entries!$C46:$K46,1,FALSE))),"x",IF(NOT(ISERROR(HLOOKUP(Standings!BX$3,Entries!$L46:$L46,1,FALSE))),"S",""))</f>
        <v/>
      </c>
      <c r="BY54" t="str">
        <f>IF(NOT(ISERROR(HLOOKUP(Standings!BY$3,Entries!$C46:$K46,1,FALSE))),"x",IF(NOT(ISERROR(HLOOKUP(Standings!BY$3,Entries!$L46:$L46,1,FALSE))),"S",""))</f>
        <v/>
      </c>
      <c r="BZ54" t="str">
        <f>IF(NOT(ISERROR(HLOOKUP(Standings!BZ$3,Entries!$C46:$K46,1,FALSE))),"x",IF(NOT(ISERROR(HLOOKUP(Standings!BZ$3,Entries!$L46:$L46,1,FALSE))),"S",""))</f>
        <v>x</v>
      </c>
      <c r="CA54" t="str">
        <f>IF(NOT(ISERROR(HLOOKUP(Standings!CA$3,Entries!$C46:$K46,1,FALSE))),"x",IF(NOT(ISERROR(HLOOKUP(Standings!CA$3,Entries!$L46:$L46,1,FALSE))),"S",""))</f>
        <v/>
      </c>
      <c r="CB54" t="str">
        <f>IF(NOT(ISERROR(HLOOKUP(Standings!CB$3,Entries!$C46:$K46,1,FALSE))),"x",IF(NOT(ISERROR(HLOOKUP(Standings!CB$3,Entries!$L46:$L46,1,FALSE))),"S",""))</f>
        <v>x</v>
      </c>
      <c r="CC54" t="str">
        <f>IF(NOT(ISERROR(HLOOKUP(Standings!CC$3,Entries!$C46:$K46,1,FALSE))),"x",IF(NOT(ISERROR(HLOOKUP(Standings!CC$3,Entries!$L46:$L46,1,FALSE))),"S",""))</f>
        <v/>
      </c>
      <c r="CD54" t="str">
        <f>IF(NOT(ISERROR(HLOOKUP(Standings!CD$3,Entries!$C46:$K46,1,FALSE))),"x",IF(NOT(ISERROR(HLOOKUP(Standings!CD$3,Entries!$L46:$L46,1,FALSE))),"S",""))</f>
        <v/>
      </c>
      <c r="CE54" t="str">
        <f>IF(NOT(ISERROR(HLOOKUP(Standings!CE$3,Entries!$C46:$K46,1,FALSE))),"x",IF(NOT(ISERROR(HLOOKUP(Standings!CE$3,Entries!$L46:$L46,1,FALSE))),"S",""))</f>
        <v/>
      </c>
      <c r="CF54" t="str">
        <f>IF(NOT(ISERROR(HLOOKUP(Standings!CF$3,Entries!$C46:$K46,1,FALSE))),"x",IF(NOT(ISERROR(HLOOKUP(Standings!CF$3,Entries!$L46:$L46,1,FALSE))),"S",""))</f>
        <v/>
      </c>
      <c r="CG54" t="str">
        <f>IF(NOT(ISERROR(HLOOKUP(Standings!CG$3,Entries!$C46:$K46,1,FALSE))),"x",IF(NOT(ISERROR(HLOOKUP(Standings!CG$3,Entries!$L46:$L46,1,FALSE))),"S",""))</f>
        <v/>
      </c>
      <c r="CH54" t="str">
        <f>IF(NOT(ISERROR(HLOOKUP(Standings!CH$3,Entries!$C46:$K46,1,FALSE))),"x",IF(NOT(ISERROR(HLOOKUP(Standings!CH$3,Entries!$L46:$L46,1,FALSE))),"S",""))</f>
        <v/>
      </c>
      <c r="CI54" t="str">
        <f>IF(NOT(ISERROR(HLOOKUP(Standings!CI$3,Entries!$C46:$K46,1,FALSE))),"x",IF(NOT(ISERROR(HLOOKUP(Standings!CI$3,Entries!$L46:$L46,1,FALSE))),"S",""))</f>
        <v/>
      </c>
      <c r="CJ54" t="str">
        <f>IF(NOT(ISERROR(HLOOKUP(Standings!CJ$3,Entries!$C46:$K46,1,FALSE))),"x",IF(NOT(ISERROR(HLOOKUP(Standings!CJ$3,Entries!$L46:$L46,1,FALSE))),"S",""))</f>
        <v/>
      </c>
      <c r="CK54" t="str">
        <f>IF(NOT(ISERROR(HLOOKUP(Standings!CK$3,Entries!$C46:$K46,1,FALSE))),"x",IF(NOT(ISERROR(HLOOKUP(Standings!CK$3,Entries!$L46:$L46,1,FALSE))),"S",""))</f>
        <v/>
      </c>
      <c r="CL54" t="str">
        <f>IF(NOT(ISERROR(HLOOKUP(Standings!CL$3,Entries!$C46:$K46,1,FALSE))),"x",IF(NOT(ISERROR(HLOOKUP(Standings!CL$3,Entries!$L46:$L46,1,FALSE))),"S",""))</f>
        <v/>
      </c>
      <c r="CM54" t="str">
        <f>IF(NOT(ISERROR(HLOOKUP(Standings!CM$3,Entries!$C46:$K46,1,FALSE))),"x",IF(NOT(ISERROR(HLOOKUP(Standings!CM$3,Entries!$L46:$L46,1,FALSE))),"S",""))</f>
        <v/>
      </c>
      <c r="CN54" t="str">
        <f>IF(NOT(ISERROR(HLOOKUP(Standings!CN$3,Entries!$C46:$K46,1,FALSE))),"x",IF(NOT(ISERROR(HLOOKUP(Standings!CN$3,Entries!$L46:$L46,1,FALSE))),"S",""))</f>
        <v>x</v>
      </c>
      <c r="CO54" t="str">
        <f>IF(NOT(ISERROR(HLOOKUP(Standings!CO$3,Entries!$C46:$K46,1,FALSE))),"x",IF(NOT(ISERROR(HLOOKUP(Standings!CO$3,Entries!$L46:$L46,1,FALSE))),"S",""))</f>
        <v/>
      </c>
      <c r="CP54" t="str">
        <f>IF(NOT(ISERROR(HLOOKUP(Standings!CP$3,Entries!$C46:$K46,1,FALSE))),"x",IF(NOT(ISERROR(HLOOKUP(Standings!CP$3,Entries!$L46:$L46,1,FALSE))),"S",""))</f>
        <v/>
      </c>
      <c r="CQ54" t="str">
        <f>IF(NOT(ISERROR(HLOOKUP(Standings!CQ$3,Entries!$C46:$K46,1,FALSE))),"x",IF(NOT(ISERROR(HLOOKUP(Standings!CQ$3,Entries!$L46:$L46,1,FALSE))),"S",""))</f>
        <v/>
      </c>
      <c r="CR54" t="str">
        <f>IF(NOT(ISERROR(HLOOKUP(Standings!CR$3,Entries!$C46:$K46,1,FALSE))),"x",IF(NOT(ISERROR(HLOOKUP(Standings!CR$3,Entries!$L46:$L46,1,FALSE))),"S",""))</f>
        <v/>
      </c>
      <c r="CS54" t="str">
        <f>IF(NOT(ISERROR(HLOOKUP(Standings!CS$3,Entries!$C46:$K46,1,FALSE))),"x",IF(NOT(ISERROR(HLOOKUP(Standings!CS$3,Entries!$L46:$L46,1,FALSE))),"S",""))</f>
        <v/>
      </c>
      <c r="CT54" t="str">
        <f>IF(NOT(ISERROR(HLOOKUP(Standings!CT$3,Entries!$C46:$K46,1,FALSE))),"x",IF(NOT(ISERROR(HLOOKUP(Standings!CT$3,Entries!$L46:$L46,1,FALSE))),"S",""))</f>
        <v/>
      </c>
      <c r="CU54" t="str">
        <f>IF(NOT(ISERROR(HLOOKUP(Standings!CU$3,Entries!$C46:$K46,1,FALSE))),"x",IF(NOT(ISERROR(HLOOKUP(Standings!CU$3,Entries!$L46:$L46,1,FALSE))),"S",""))</f>
        <v/>
      </c>
      <c r="CV54" t="str">
        <f>IF(NOT(ISERROR(HLOOKUP(Standings!CV$3,Entries!$C46:$K46,1,FALSE))),"x",IF(NOT(ISERROR(HLOOKUP(Standings!CV$3,Entries!$L46:$L46,1,FALSE))),"S",""))</f>
        <v/>
      </c>
      <c r="CW54" t="str">
        <f>IF(NOT(ISERROR(HLOOKUP(Standings!CW$3,Entries!$C46:$K46,1,FALSE))),"x",IF(NOT(ISERROR(HLOOKUP(Standings!CW$3,Entries!$L46:$L46,1,FALSE))),"S",""))</f>
        <v/>
      </c>
      <c r="CX54" t="str">
        <f>IF(NOT(ISERROR(HLOOKUP(Standings!CX$3,Entries!$C46:$K46,1,FALSE))),"x",IF(NOT(ISERROR(HLOOKUP(Standings!CX$3,Entries!$L46:$L46,1,FALSE))),"S",""))</f>
        <v/>
      </c>
      <c r="CY54" t="str">
        <f>IF(NOT(ISERROR(HLOOKUP(Standings!CY$3,Entries!$C46:$K46,1,FALSE))),"x",IF(NOT(ISERROR(HLOOKUP(Standings!CY$3,Entries!$L46:$L46,1,FALSE))),"S",""))</f>
        <v/>
      </c>
      <c r="CZ54" t="str">
        <f>IF(NOT(ISERROR(HLOOKUP(Standings!CZ$3,Entries!$C46:$K46,1,FALSE))),"x",IF(NOT(ISERROR(HLOOKUP(Standings!CZ$3,Entries!$L46:$L46,1,FALSE))),"S",""))</f>
        <v>x</v>
      </c>
      <c r="DA54" t="str">
        <f>IF(NOT(ISERROR(HLOOKUP(Standings!DA$3,Entries!$C46:$K46,1,FALSE))),"x",IF(NOT(ISERROR(HLOOKUP(Standings!DA$3,Entries!$L46:$L46,1,FALSE))),"S",""))</f>
        <v/>
      </c>
      <c r="DB54" t="str">
        <f>IF(NOT(ISERROR(HLOOKUP(Standings!DB$3,Entries!$C46:$K46,1,FALSE))),"x",IF(NOT(ISERROR(HLOOKUP(Standings!DB$3,Entries!$L46:$L46,1,FALSE))),"S",""))</f>
        <v/>
      </c>
    </row>
    <row r="55" spans="1:106" x14ac:dyDescent="0.25">
      <c r="A55" s="18"/>
      <c r="B55">
        <v>48</v>
      </c>
      <c r="C55" t="str">
        <f>Entries!B47</f>
        <v>Marissa Cleaveland</v>
      </c>
      <c r="D55" s="4">
        <f t="shared" si="53"/>
        <v>51</v>
      </c>
      <c r="E55" s="31">
        <f t="shared" si="54"/>
        <v>1</v>
      </c>
      <c r="F55" s="40" t="str">
        <f t="shared" si="52"/>
        <v/>
      </c>
      <c r="G55" s="41" t="str">
        <f t="shared" si="5"/>
        <v/>
      </c>
      <c r="H55" s="41" t="str">
        <f t="shared" si="6"/>
        <v/>
      </c>
      <c r="I55" s="42" t="str">
        <f t="shared" si="7"/>
        <v/>
      </c>
      <c r="J55" s="40">
        <f t="shared" si="8"/>
        <v>1</v>
      </c>
      <c r="K55" s="41" t="str">
        <f t="shared" si="9"/>
        <v/>
      </c>
      <c r="L55" s="41" t="str">
        <f t="shared" si="10"/>
        <v/>
      </c>
      <c r="M55" s="42" t="str">
        <f t="shared" si="11"/>
        <v/>
      </c>
      <c r="N55" s="43" t="str">
        <f t="shared" si="12"/>
        <v/>
      </c>
      <c r="O55" s="41" t="str">
        <f t="shared" si="13"/>
        <v/>
      </c>
      <c r="P55" s="41" t="str">
        <f t="shared" si="14"/>
        <v/>
      </c>
      <c r="Q55" s="42" t="str">
        <f t="shared" si="15"/>
        <v/>
      </c>
      <c r="R55" s="40" t="str">
        <f t="shared" si="16"/>
        <v/>
      </c>
      <c r="S55" s="41" t="str">
        <f t="shared" si="17"/>
        <v/>
      </c>
      <c r="T55" s="43" t="str">
        <f t="shared" si="18"/>
        <v/>
      </c>
      <c r="U55" s="42" t="str">
        <f t="shared" si="19"/>
        <v/>
      </c>
      <c r="V55" s="40" t="str">
        <f t="shared" si="20"/>
        <v/>
      </c>
      <c r="W55" s="41" t="str">
        <f t="shared" si="21"/>
        <v/>
      </c>
      <c r="X55" s="41" t="str">
        <f t="shared" si="22"/>
        <v/>
      </c>
      <c r="Y55" s="42">
        <f t="shared" si="23"/>
        <v>0</v>
      </c>
      <c r="Z55" s="40" t="str">
        <f t="shared" si="24"/>
        <v/>
      </c>
      <c r="AA55" s="41" t="str">
        <f t="shared" si="25"/>
        <v/>
      </c>
      <c r="AB55" s="41" t="str">
        <f t="shared" si="26"/>
        <v/>
      </c>
      <c r="AC55" s="42">
        <f t="shared" si="27"/>
        <v>-1.0000000000000001E-5</v>
      </c>
      <c r="AD55" s="40" t="str">
        <f t="shared" si="28"/>
        <v/>
      </c>
      <c r="AE55" s="41">
        <f t="shared" si="29"/>
        <v>0</v>
      </c>
      <c r="AF55" s="41" t="str">
        <f t="shared" si="30"/>
        <v/>
      </c>
      <c r="AG55" s="42" t="str">
        <f t="shared" si="31"/>
        <v/>
      </c>
      <c r="AH55" s="40" t="str">
        <f t="shared" si="32"/>
        <v/>
      </c>
      <c r="AI55" s="41" t="str">
        <f t="shared" si="33"/>
        <v/>
      </c>
      <c r="AJ55" s="41" t="str">
        <f t="shared" si="34"/>
        <v/>
      </c>
      <c r="AK55" s="42" t="str">
        <f t="shared" si="35"/>
        <v/>
      </c>
      <c r="AL55" s="40">
        <f t="shared" si="36"/>
        <v>0</v>
      </c>
      <c r="AM55" s="41" t="str">
        <f t="shared" si="37"/>
        <v/>
      </c>
      <c r="AN55" s="41" t="str">
        <f t="shared" si="38"/>
        <v/>
      </c>
      <c r="AO55" s="42" t="str">
        <f t="shared" si="39"/>
        <v/>
      </c>
      <c r="AP55" s="40" t="str">
        <f t="shared" si="40"/>
        <v/>
      </c>
      <c r="AQ55" s="41" t="str">
        <f t="shared" si="41"/>
        <v/>
      </c>
      <c r="AR55" s="41" t="str">
        <f t="shared" si="42"/>
        <v/>
      </c>
      <c r="AS55" s="42" t="str">
        <f t="shared" si="43"/>
        <v/>
      </c>
      <c r="AT55" s="40" t="str">
        <f t="shared" si="44"/>
        <v/>
      </c>
      <c r="AU55" s="41" t="str">
        <f t="shared" si="45"/>
        <v/>
      </c>
      <c r="AV55" s="41" t="str">
        <f t="shared" si="46"/>
        <v/>
      </c>
      <c r="AW55" s="42" t="str">
        <f t="shared" si="47"/>
        <v/>
      </c>
      <c r="AX55" s="40" t="str">
        <f t="shared" si="48"/>
        <v/>
      </c>
      <c r="AY55" s="41" t="str">
        <f t="shared" si="49"/>
        <v/>
      </c>
      <c r="AZ55" s="41" t="str">
        <f t="shared" si="50"/>
        <v/>
      </c>
      <c r="BA55" s="42" t="str">
        <f t="shared" si="51"/>
        <v/>
      </c>
      <c r="BB55" s="37" t="s">
        <v>106</v>
      </c>
      <c r="BC55" s="21"/>
      <c r="BD55" s="21"/>
      <c r="BG55" t="str">
        <f>IF(NOT(ISERROR(HLOOKUP(Standings!BG$3,Entries!$C47:$K47,1,FALSE))),"x",IF(NOT(ISERROR(HLOOKUP(Standings!BG$3,Entries!$L47:$L47,1,FALSE))),"S",""))</f>
        <v/>
      </c>
      <c r="BH55" t="str">
        <f>IF(NOT(ISERROR(HLOOKUP(Standings!BH$3,Entries!$C47:$K47,1,FALSE))),"x",IF(NOT(ISERROR(HLOOKUP(Standings!BH$3,Entries!$L47:$L47,1,FALSE))),"S",""))</f>
        <v/>
      </c>
      <c r="BI55" t="str">
        <f>IF(NOT(ISERROR(HLOOKUP(Standings!BI$3,Entries!$C47:$K47,1,FALSE))),"x",IF(NOT(ISERROR(HLOOKUP(Standings!BI$3,Entries!$L47:$L47,1,FALSE))),"S",""))</f>
        <v/>
      </c>
      <c r="BJ55" t="str">
        <f>IF(NOT(ISERROR(HLOOKUP(Standings!BJ$3,Entries!$C47:$K47,1,FALSE))),"x",IF(NOT(ISERROR(HLOOKUP(Standings!BJ$3,Entries!$L47:$L47,1,FALSE))),"S",""))</f>
        <v/>
      </c>
      <c r="BK55" t="str">
        <f>IF(NOT(ISERROR(HLOOKUP(Standings!BK$3,Entries!$C47:$K47,1,FALSE))),"x",IF(NOT(ISERROR(HLOOKUP(Standings!BK$3,Entries!$L47:$L47,1,FALSE))),"S",""))</f>
        <v>x</v>
      </c>
      <c r="BL55" t="str">
        <f>IF(NOT(ISERROR(HLOOKUP(Standings!BL$3,Entries!$C47:$K47,1,FALSE))),"x",IF(NOT(ISERROR(HLOOKUP(Standings!BL$3,Entries!$L47:$L47,1,FALSE))),"S",""))</f>
        <v/>
      </c>
      <c r="BM55" t="str">
        <f>IF(NOT(ISERROR(HLOOKUP(Standings!BM$3,Entries!$C47:$K47,1,FALSE))),"x",IF(NOT(ISERROR(HLOOKUP(Standings!BM$3,Entries!$L47:$L47,1,FALSE))),"S",""))</f>
        <v/>
      </c>
      <c r="BN55" t="str">
        <f>IF(NOT(ISERROR(HLOOKUP(Standings!BN$3,Entries!$C47:$K47,1,FALSE))),"x",IF(NOT(ISERROR(HLOOKUP(Standings!BN$3,Entries!$L47:$L47,1,FALSE))),"S",""))</f>
        <v/>
      </c>
      <c r="BO55" t="str">
        <f>IF(NOT(ISERROR(HLOOKUP(Standings!BO$3,Entries!$C47:$K47,1,FALSE))),"x",IF(NOT(ISERROR(HLOOKUP(Standings!BO$3,Entries!$L47:$L47,1,FALSE))),"S",""))</f>
        <v/>
      </c>
      <c r="BP55" t="str">
        <f>IF(NOT(ISERROR(HLOOKUP(Standings!BP$3,Entries!$C47:$K47,1,FALSE))),"x",IF(NOT(ISERROR(HLOOKUP(Standings!BP$3,Entries!$L47:$L47,1,FALSE))),"S",""))</f>
        <v/>
      </c>
      <c r="BQ55" t="str">
        <f>IF(NOT(ISERROR(HLOOKUP(Standings!BQ$3,Entries!$C47:$K47,1,FALSE))),"x",IF(NOT(ISERROR(HLOOKUP(Standings!BQ$3,Entries!$L47:$L47,1,FALSE))),"S",""))</f>
        <v/>
      </c>
      <c r="BR55" t="str">
        <f>IF(NOT(ISERROR(HLOOKUP(Standings!BR$3,Entries!$C47:$K47,1,FALSE))),"x",IF(NOT(ISERROR(HLOOKUP(Standings!BR$3,Entries!$L47:$L47,1,FALSE))),"S",""))</f>
        <v/>
      </c>
      <c r="BS55" t="str">
        <f>IF(NOT(ISERROR(HLOOKUP(Standings!BS$3,Entries!$C47:$K47,1,FALSE))),"x",IF(NOT(ISERROR(HLOOKUP(Standings!BS$3,Entries!$L47:$L47,1,FALSE))),"S",""))</f>
        <v/>
      </c>
      <c r="BT55" t="str">
        <f>IF(NOT(ISERROR(HLOOKUP(Standings!BT$3,Entries!$C47:$K47,1,FALSE))),"x",IF(NOT(ISERROR(HLOOKUP(Standings!BT$3,Entries!$L47:$L47,1,FALSE))),"S",""))</f>
        <v/>
      </c>
      <c r="BU55" t="str">
        <f>IF(NOT(ISERROR(HLOOKUP(Standings!BU$3,Entries!$C47:$K47,1,FALSE))),"x",IF(NOT(ISERROR(HLOOKUP(Standings!BU$3,Entries!$L47:$L47,1,FALSE))),"S",""))</f>
        <v/>
      </c>
      <c r="BV55" t="str">
        <f>IF(NOT(ISERROR(HLOOKUP(Standings!BV$3,Entries!$C47:$K47,1,FALSE))),"x",IF(NOT(ISERROR(HLOOKUP(Standings!BV$3,Entries!$L47:$L47,1,FALSE))),"S",""))</f>
        <v/>
      </c>
      <c r="BW55" t="str">
        <f>IF(NOT(ISERROR(HLOOKUP(Standings!BW$3,Entries!$C47:$K47,1,FALSE))),"x",IF(NOT(ISERROR(HLOOKUP(Standings!BW$3,Entries!$L47:$L47,1,FALSE))),"S",""))</f>
        <v/>
      </c>
      <c r="BX55" t="str">
        <f>IF(NOT(ISERROR(HLOOKUP(Standings!BX$3,Entries!$C47:$K47,1,FALSE))),"x",IF(NOT(ISERROR(HLOOKUP(Standings!BX$3,Entries!$L47:$L47,1,FALSE))),"S",""))</f>
        <v/>
      </c>
      <c r="BY55" t="str">
        <f>IF(NOT(ISERROR(HLOOKUP(Standings!BY$3,Entries!$C47:$K47,1,FALSE))),"x",IF(NOT(ISERROR(HLOOKUP(Standings!BY$3,Entries!$L47:$L47,1,FALSE))),"S",""))</f>
        <v/>
      </c>
      <c r="BZ55" t="str">
        <f>IF(NOT(ISERROR(HLOOKUP(Standings!BZ$3,Entries!$C47:$K47,1,FALSE))),"x",IF(NOT(ISERROR(HLOOKUP(Standings!BZ$3,Entries!$L47:$L47,1,FALSE))),"S",""))</f>
        <v>x</v>
      </c>
      <c r="CA55" t="str">
        <f>IF(NOT(ISERROR(HLOOKUP(Standings!CA$3,Entries!$C47:$K47,1,FALSE))),"x",IF(NOT(ISERROR(HLOOKUP(Standings!CA$3,Entries!$L47:$L47,1,FALSE))),"S",""))</f>
        <v/>
      </c>
      <c r="CB55" t="str">
        <f>IF(NOT(ISERROR(HLOOKUP(Standings!CB$3,Entries!$C47:$K47,1,FALSE))),"x",IF(NOT(ISERROR(HLOOKUP(Standings!CB$3,Entries!$L47:$L47,1,FALSE))),"S",""))</f>
        <v/>
      </c>
      <c r="CC55" t="str">
        <f>IF(NOT(ISERROR(HLOOKUP(Standings!CC$3,Entries!$C47:$K47,1,FALSE))),"x",IF(NOT(ISERROR(HLOOKUP(Standings!CC$3,Entries!$L47:$L47,1,FALSE))),"S",""))</f>
        <v/>
      </c>
      <c r="CD55" t="str">
        <f>IF(NOT(ISERROR(HLOOKUP(Standings!CD$3,Entries!$C47:$K47,1,FALSE))),"x",IF(NOT(ISERROR(HLOOKUP(Standings!CD$3,Entries!$L47:$L47,1,FALSE))),"S",""))</f>
        <v>S</v>
      </c>
      <c r="CE55" t="str">
        <f>IF(NOT(ISERROR(HLOOKUP(Standings!CE$3,Entries!$C47:$K47,1,FALSE))),"x",IF(NOT(ISERROR(HLOOKUP(Standings!CE$3,Entries!$L47:$L47,1,FALSE))),"S",""))</f>
        <v/>
      </c>
      <c r="CF55" t="str">
        <f>IF(NOT(ISERROR(HLOOKUP(Standings!CF$3,Entries!$C47:$K47,1,FALSE))),"x",IF(NOT(ISERROR(HLOOKUP(Standings!CF$3,Entries!$L47:$L47,1,FALSE))),"S",""))</f>
        <v>x</v>
      </c>
      <c r="CG55" t="str">
        <f>IF(NOT(ISERROR(HLOOKUP(Standings!CG$3,Entries!$C47:$K47,1,FALSE))),"x",IF(NOT(ISERROR(HLOOKUP(Standings!CG$3,Entries!$L47:$L47,1,FALSE))),"S",""))</f>
        <v/>
      </c>
      <c r="CH55" t="str">
        <f>IF(NOT(ISERROR(HLOOKUP(Standings!CH$3,Entries!$C47:$K47,1,FALSE))),"x",IF(NOT(ISERROR(HLOOKUP(Standings!CH$3,Entries!$L47:$L47,1,FALSE))),"S",""))</f>
        <v/>
      </c>
      <c r="CI55" t="str">
        <f>IF(NOT(ISERROR(HLOOKUP(Standings!CI$3,Entries!$C47:$K47,1,FALSE))),"x",IF(NOT(ISERROR(HLOOKUP(Standings!CI$3,Entries!$L47:$L47,1,FALSE))),"S",""))</f>
        <v/>
      </c>
      <c r="CJ55" t="str">
        <f>IF(NOT(ISERROR(HLOOKUP(Standings!CJ$3,Entries!$C47:$K47,1,FALSE))),"x",IF(NOT(ISERROR(HLOOKUP(Standings!CJ$3,Entries!$L47:$L47,1,FALSE))),"S",""))</f>
        <v/>
      </c>
      <c r="CK55" t="str">
        <f>IF(NOT(ISERROR(HLOOKUP(Standings!CK$3,Entries!$C47:$K47,1,FALSE))),"x",IF(NOT(ISERROR(HLOOKUP(Standings!CK$3,Entries!$L47:$L47,1,FALSE))),"S",""))</f>
        <v/>
      </c>
      <c r="CL55" t="str">
        <f>IF(NOT(ISERROR(HLOOKUP(Standings!CL$3,Entries!$C47:$K47,1,FALSE))),"x",IF(NOT(ISERROR(HLOOKUP(Standings!CL$3,Entries!$L47:$L47,1,FALSE))),"S",""))</f>
        <v/>
      </c>
      <c r="CM55" t="str">
        <f>IF(NOT(ISERROR(HLOOKUP(Standings!CM$3,Entries!$C47:$K47,1,FALSE))),"x",IF(NOT(ISERROR(HLOOKUP(Standings!CM$3,Entries!$L47:$L47,1,FALSE))),"S",""))</f>
        <v>x</v>
      </c>
      <c r="CN55" t="str">
        <f>IF(NOT(ISERROR(HLOOKUP(Standings!CN$3,Entries!$C47:$K47,1,FALSE))),"x",IF(NOT(ISERROR(HLOOKUP(Standings!CN$3,Entries!$L47:$L47,1,FALSE))),"S",""))</f>
        <v/>
      </c>
      <c r="CO55" t="str">
        <f>IF(NOT(ISERROR(HLOOKUP(Standings!CO$3,Entries!$C47:$K47,1,FALSE))),"x",IF(NOT(ISERROR(HLOOKUP(Standings!CO$3,Entries!$L47:$L47,1,FALSE))),"S",""))</f>
        <v/>
      </c>
      <c r="CP55" t="str">
        <f>IF(NOT(ISERROR(HLOOKUP(Standings!CP$3,Entries!$C47:$K47,1,FALSE))),"x",IF(NOT(ISERROR(HLOOKUP(Standings!CP$3,Entries!$L47:$L47,1,FALSE))),"S",""))</f>
        <v/>
      </c>
      <c r="CQ55" t="str">
        <f>IF(NOT(ISERROR(HLOOKUP(Standings!CQ$3,Entries!$C47:$K47,1,FALSE))),"x",IF(NOT(ISERROR(HLOOKUP(Standings!CQ$3,Entries!$L47:$L47,1,FALSE))),"S",""))</f>
        <v/>
      </c>
      <c r="CR55" t="str">
        <f>IF(NOT(ISERROR(HLOOKUP(Standings!CR$3,Entries!$C47:$K47,1,FALSE))),"x",IF(NOT(ISERROR(HLOOKUP(Standings!CR$3,Entries!$L47:$L47,1,FALSE))),"S",""))</f>
        <v/>
      </c>
      <c r="CS55" t="str">
        <f>IF(NOT(ISERROR(HLOOKUP(Standings!CS$3,Entries!$C47:$K47,1,FALSE))),"x",IF(NOT(ISERROR(HLOOKUP(Standings!CS$3,Entries!$L47:$L47,1,FALSE))),"S",""))</f>
        <v/>
      </c>
      <c r="CT55" t="str">
        <f>IF(NOT(ISERROR(HLOOKUP(Standings!CT$3,Entries!$C47:$K47,1,FALSE))),"x",IF(NOT(ISERROR(HLOOKUP(Standings!CT$3,Entries!$L47:$L47,1,FALSE))),"S",""))</f>
        <v/>
      </c>
      <c r="CU55" t="str">
        <f>IF(NOT(ISERROR(HLOOKUP(Standings!CU$3,Entries!$C47:$K47,1,FALSE))),"x",IF(NOT(ISERROR(HLOOKUP(Standings!CU$3,Entries!$L47:$L47,1,FALSE))),"S",""))</f>
        <v/>
      </c>
      <c r="CV55" t="str">
        <f>IF(NOT(ISERROR(HLOOKUP(Standings!CV$3,Entries!$C47:$K47,1,FALSE))),"x",IF(NOT(ISERROR(HLOOKUP(Standings!CV$3,Entries!$L47:$L47,1,FALSE))),"S",""))</f>
        <v/>
      </c>
      <c r="CW55" t="str">
        <f>IF(NOT(ISERROR(HLOOKUP(Standings!CW$3,Entries!$C47:$K47,1,FALSE))),"x",IF(NOT(ISERROR(HLOOKUP(Standings!CW$3,Entries!$L47:$L47,1,FALSE))),"S",""))</f>
        <v/>
      </c>
      <c r="CX55" t="str">
        <f>IF(NOT(ISERROR(HLOOKUP(Standings!CX$3,Entries!$C47:$K47,1,FALSE))),"x",IF(NOT(ISERROR(HLOOKUP(Standings!CX$3,Entries!$L47:$L47,1,FALSE))),"S",""))</f>
        <v/>
      </c>
      <c r="CY55" t="str">
        <f>IF(NOT(ISERROR(HLOOKUP(Standings!CY$3,Entries!$C47:$K47,1,FALSE))),"x",IF(NOT(ISERROR(HLOOKUP(Standings!CY$3,Entries!$L47:$L47,1,FALSE))),"S",""))</f>
        <v/>
      </c>
      <c r="CZ55" t="str">
        <f>IF(NOT(ISERROR(HLOOKUP(Standings!CZ$3,Entries!$C47:$K47,1,FALSE))),"x",IF(NOT(ISERROR(HLOOKUP(Standings!CZ$3,Entries!$L47:$L47,1,FALSE))),"S",""))</f>
        <v/>
      </c>
      <c r="DA55" t="str">
        <f>IF(NOT(ISERROR(HLOOKUP(Standings!DA$3,Entries!$C47:$K47,1,FALSE))),"x",IF(NOT(ISERROR(HLOOKUP(Standings!DA$3,Entries!$L47:$L47,1,FALSE))),"S",""))</f>
        <v/>
      </c>
      <c r="DB55" t="str">
        <f>IF(NOT(ISERROR(HLOOKUP(Standings!DB$3,Entries!$C47:$K47,1,FALSE))),"x",IF(NOT(ISERROR(HLOOKUP(Standings!DB$3,Entries!$L47:$L47,1,FALSE))),"S",""))</f>
        <v/>
      </c>
    </row>
    <row r="56" spans="1:106" x14ac:dyDescent="0.25">
      <c r="B56">
        <v>71</v>
      </c>
      <c r="C56" t="str">
        <f>Entries!B48</f>
        <v>Henry Cleaveland</v>
      </c>
      <c r="D56" s="4">
        <f t="shared" si="53"/>
        <v>55</v>
      </c>
      <c r="E56" s="31">
        <f t="shared" si="54"/>
        <v>0</v>
      </c>
      <c r="F56" s="40" t="str">
        <f t="shared" si="52"/>
        <v/>
      </c>
      <c r="G56" s="41" t="str">
        <f t="shared" si="5"/>
        <v/>
      </c>
      <c r="H56" s="41" t="str">
        <f t="shared" si="6"/>
        <v/>
      </c>
      <c r="I56" s="42" t="str">
        <f t="shared" si="7"/>
        <v/>
      </c>
      <c r="J56" s="40" t="str">
        <f t="shared" si="8"/>
        <v/>
      </c>
      <c r="K56" s="41" t="str">
        <f t="shared" si="9"/>
        <v/>
      </c>
      <c r="L56" s="41" t="str">
        <f t="shared" si="10"/>
        <v/>
      </c>
      <c r="M56" s="42" t="str">
        <f t="shared" si="11"/>
        <v/>
      </c>
      <c r="N56" s="43" t="str">
        <f t="shared" si="12"/>
        <v/>
      </c>
      <c r="O56" s="41">
        <f t="shared" si="13"/>
        <v>0</v>
      </c>
      <c r="P56" s="41" t="str">
        <f t="shared" si="14"/>
        <v/>
      </c>
      <c r="Q56" s="42">
        <f t="shared" si="15"/>
        <v>0</v>
      </c>
      <c r="R56" s="40" t="str">
        <f t="shared" si="16"/>
        <v/>
      </c>
      <c r="S56" s="41" t="str">
        <f t="shared" si="17"/>
        <v/>
      </c>
      <c r="T56" s="43" t="str">
        <f t="shared" si="18"/>
        <v/>
      </c>
      <c r="U56" s="42">
        <f t="shared" si="19"/>
        <v>0</v>
      </c>
      <c r="V56" s="40" t="str">
        <f t="shared" si="20"/>
        <v/>
      </c>
      <c r="W56" s="41" t="str">
        <f t="shared" si="21"/>
        <v/>
      </c>
      <c r="X56" s="41" t="str">
        <f t="shared" si="22"/>
        <v/>
      </c>
      <c r="Y56" s="42" t="str">
        <f t="shared" si="23"/>
        <v/>
      </c>
      <c r="Z56" s="40" t="str">
        <f t="shared" si="24"/>
        <v/>
      </c>
      <c r="AA56" s="41" t="str">
        <f t="shared" si="25"/>
        <v/>
      </c>
      <c r="AB56" s="41" t="str">
        <f t="shared" si="26"/>
        <v/>
      </c>
      <c r="AC56" s="42" t="str">
        <f t="shared" si="27"/>
        <v/>
      </c>
      <c r="AD56" s="40" t="str">
        <f t="shared" si="28"/>
        <v/>
      </c>
      <c r="AE56" s="41" t="str">
        <f t="shared" si="29"/>
        <v/>
      </c>
      <c r="AF56" s="41" t="str">
        <f t="shared" si="30"/>
        <v/>
      </c>
      <c r="AG56" s="42" t="str">
        <f t="shared" si="31"/>
        <v/>
      </c>
      <c r="AH56" s="40" t="str">
        <f t="shared" si="32"/>
        <v/>
      </c>
      <c r="AI56" s="41" t="str">
        <f t="shared" si="33"/>
        <v/>
      </c>
      <c r="AJ56" s="41" t="str">
        <f t="shared" si="34"/>
        <v/>
      </c>
      <c r="AK56" s="42" t="str">
        <f t="shared" si="35"/>
        <v/>
      </c>
      <c r="AL56" s="40" t="str">
        <f t="shared" si="36"/>
        <v/>
      </c>
      <c r="AM56" s="41" t="str">
        <f t="shared" si="37"/>
        <v/>
      </c>
      <c r="AN56" s="41" t="str">
        <f t="shared" si="38"/>
        <v/>
      </c>
      <c r="AO56" s="42" t="str">
        <f t="shared" si="39"/>
        <v/>
      </c>
      <c r="AP56" s="40" t="str">
        <f t="shared" si="40"/>
        <v/>
      </c>
      <c r="AQ56" s="41" t="str">
        <f t="shared" si="41"/>
        <v/>
      </c>
      <c r="AR56" s="41" t="str">
        <f t="shared" si="42"/>
        <v/>
      </c>
      <c r="AS56" s="42" t="str">
        <f t="shared" si="43"/>
        <v/>
      </c>
      <c r="AT56" s="40">
        <f t="shared" si="44"/>
        <v>0</v>
      </c>
      <c r="AU56" s="41" t="str">
        <f t="shared" si="45"/>
        <v/>
      </c>
      <c r="AV56" s="41" t="str">
        <f t="shared" si="46"/>
        <v/>
      </c>
      <c r="AW56" s="42" t="str">
        <f t="shared" si="47"/>
        <v/>
      </c>
      <c r="AX56" s="40" t="str">
        <f t="shared" si="48"/>
        <v/>
      </c>
      <c r="AY56" s="41" t="str">
        <f t="shared" si="49"/>
        <v/>
      </c>
      <c r="AZ56" s="41" t="str">
        <f t="shared" si="50"/>
        <v/>
      </c>
      <c r="BA56" s="42" t="str">
        <f t="shared" si="51"/>
        <v/>
      </c>
      <c r="BB56" s="37" t="s">
        <v>106</v>
      </c>
      <c r="BC56" s="21"/>
      <c r="BD56" s="21"/>
      <c r="BG56" t="str">
        <f>IF(NOT(ISERROR(HLOOKUP(Standings!BG$3,Entries!$C48:$K48,1,FALSE))),"x",IF(NOT(ISERROR(HLOOKUP(Standings!BG$3,Entries!$L48:$L48,1,FALSE))),"S",""))</f>
        <v/>
      </c>
      <c r="BH56" t="str">
        <f>IF(NOT(ISERROR(HLOOKUP(Standings!BH$3,Entries!$C48:$K48,1,FALSE))),"x",IF(NOT(ISERROR(HLOOKUP(Standings!BH$3,Entries!$L48:$L48,1,FALSE))),"S",""))</f>
        <v/>
      </c>
      <c r="BI56" t="str">
        <f>IF(NOT(ISERROR(HLOOKUP(Standings!BI$3,Entries!$C48:$K48,1,FALSE))),"x",IF(NOT(ISERROR(HLOOKUP(Standings!BI$3,Entries!$L48:$L48,1,FALSE))),"S",""))</f>
        <v/>
      </c>
      <c r="BJ56" t="str">
        <f>IF(NOT(ISERROR(HLOOKUP(Standings!BJ$3,Entries!$C48:$K48,1,FALSE))),"x",IF(NOT(ISERROR(HLOOKUP(Standings!BJ$3,Entries!$L48:$L48,1,FALSE))),"S",""))</f>
        <v/>
      </c>
      <c r="BK56" t="str">
        <f>IF(NOT(ISERROR(HLOOKUP(Standings!BK$3,Entries!$C48:$K48,1,FALSE))),"x",IF(NOT(ISERROR(HLOOKUP(Standings!BK$3,Entries!$L48:$L48,1,FALSE))),"S",""))</f>
        <v/>
      </c>
      <c r="BL56" t="str">
        <f>IF(NOT(ISERROR(HLOOKUP(Standings!BL$3,Entries!$C48:$K48,1,FALSE))),"x",IF(NOT(ISERROR(HLOOKUP(Standings!BL$3,Entries!$L48:$L48,1,FALSE))),"S",""))</f>
        <v/>
      </c>
      <c r="BM56" t="str">
        <f>IF(NOT(ISERROR(HLOOKUP(Standings!BM$3,Entries!$C48:$K48,1,FALSE))),"x",IF(NOT(ISERROR(HLOOKUP(Standings!BM$3,Entries!$L48:$L48,1,FALSE))),"S",""))</f>
        <v/>
      </c>
      <c r="BN56" t="str">
        <f>IF(NOT(ISERROR(HLOOKUP(Standings!BN$3,Entries!$C48:$K48,1,FALSE))),"x",IF(NOT(ISERROR(HLOOKUP(Standings!BN$3,Entries!$L48:$L48,1,FALSE))),"S",""))</f>
        <v/>
      </c>
      <c r="BO56" t="str">
        <f>IF(NOT(ISERROR(HLOOKUP(Standings!BO$3,Entries!$C48:$K48,1,FALSE))),"x",IF(NOT(ISERROR(HLOOKUP(Standings!BO$3,Entries!$L48:$L48,1,FALSE))),"S",""))</f>
        <v/>
      </c>
      <c r="BP56" t="str">
        <f>IF(NOT(ISERROR(HLOOKUP(Standings!BP$3,Entries!$C48:$K48,1,FALSE))),"x",IF(NOT(ISERROR(HLOOKUP(Standings!BP$3,Entries!$L48:$L48,1,FALSE))),"S",""))</f>
        <v>x</v>
      </c>
      <c r="BQ56" t="str">
        <f>IF(NOT(ISERROR(HLOOKUP(Standings!BQ$3,Entries!$C48:$K48,1,FALSE))),"x",IF(NOT(ISERROR(HLOOKUP(Standings!BQ$3,Entries!$L48:$L48,1,FALSE))),"S",""))</f>
        <v/>
      </c>
      <c r="BR56" t="str">
        <f>IF(NOT(ISERROR(HLOOKUP(Standings!BR$3,Entries!$C48:$K48,1,FALSE))),"x",IF(NOT(ISERROR(HLOOKUP(Standings!BR$3,Entries!$L48:$L48,1,FALSE))),"S",""))</f>
        <v>x</v>
      </c>
      <c r="BS56" t="str">
        <f>IF(NOT(ISERROR(HLOOKUP(Standings!BS$3,Entries!$C48:$K48,1,FALSE))),"x",IF(NOT(ISERROR(HLOOKUP(Standings!BS$3,Entries!$L48:$L48,1,FALSE))),"S",""))</f>
        <v/>
      </c>
      <c r="BT56" t="str">
        <f>IF(NOT(ISERROR(HLOOKUP(Standings!BT$3,Entries!$C48:$K48,1,FALSE))),"x",IF(NOT(ISERROR(HLOOKUP(Standings!BT$3,Entries!$L48:$L48,1,FALSE))),"S",""))</f>
        <v/>
      </c>
      <c r="BU56" t="str">
        <f>IF(NOT(ISERROR(HLOOKUP(Standings!BU$3,Entries!$C48:$K48,1,FALSE))),"x",IF(NOT(ISERROR(HLOOKUP(Standings!BU$3,Entries!$L48:$L48,1,FALSE))),"S",""))</f>
        <v/>
      </c>
      <c r="BV56" t="str">
        <f>IF(NOT(ISERROR(HLOOKUP(Standings!BV$3,Entries!$C48:$K48,1,FALSE))),"x",IF(NOT(ISERROR(HLOOKUP(Standings!BV$3,Entries!$L48:$L48,1,FALSE))),"S",""))</f>
        <v>x</v>
      </c>
      <c r="BW56" t="str">
        <f>IF(NOT(ISERROR(HLOOKUP(Standings!BW$3,Entries!$C48:$K48,1,FALSE))),"x",IF(NOT(ISERROR(HLOOKUP(Standings!BW$3,Entries!$L48:$L48,1,FALSE))),"S",""))</f>
        <v/>
      </c>
      <c r="BX56" t="str">
        <f>IF(NOT(ISERROR(HLOOKUP(Standings!BX$3,Entries!$C48:$K48,1,FALSE))),"x",IF(NOT(ISERROR(HLOOKUP(Standings!BX$3,Entries!$L48:$L48,1,FALSE))),"S",""))</f>
        <v/>
      </c>
      <c r="BY56" t="str">
        <f>IF(NOT(ISERROR(HLOOKUP(Standings!BY$3,Entries!$C48:$K48,1,FALSE))),"x",IF(NOT(ISERROR(HLOOKUP(Standings!BY$3,Entries!$L48:$L48,1,FALSE))),"S",""))</f>
        <v/>
      </c>
      <c r="BZ56" t="str">
        <f>IF(NOT(ISERROR(HLOOKUP(Standings!BZ$3,Entries!$C48:$K48,1,FALSE))),"x",IF(NOT(ISERROR(HLOOKUP(Standings!BZ$3,Entries!$L48:$L48,1,FALSE))),"S",""))</f>
        <v/>
      </c>
      <c r="CA56" t="str">
        <f>IF(NOT(ISERROR(HLOOKUP(Standings!CA$3,Entries!$C48:$K48,1,FALSE))),"x",IF(NOT(ISERROR(HLOOKUP(Standings!CA$3,Entries!$L48:$L48,1,FALSE))),"S",""))</f>
        <v/>
      </c>
      <c r="CB56" t="str">
        <f>IF(NOT(ISERROR(HLOOKUP(Standings!CB$3,Entries!$C48:$K48,1,FALSE))),"x",IF(NOT(ISERROR(HLOOKUP(Standings!CB$3,Entries!$L48:$L48,1,FALSE))),"S",""))</f>
        <v/>
      </c>
      <c r="CC56" t="str">
        <f>IF(NOT(ISERROR(HLOOKUP(Standings!CC$3,Entries!$C48:$K48,1,FALSE))),"x",IF(NOT(ISERROR(HLOOKUP(Standings!CC$3,Entries!$L48:$L48,1,FALSE))),"S",""))</f>
        <v/>
      </c>
      <c r="CD56" t="str">
        <f>IF(NOT(ISERROR(HLOOKUP(Standings!CD$3,Entries!$C48:$K48,1,FALSE))),"x",IF(NOT(ISERROR(HLOOKUP(Standings!CD$3,Entries!$L48:$L48,1,FALSE))),"S",""))</f>
        <v/>
      </c>
      <c r="CE56" t="str">
        <f>IF(NOT(ISERROR(HLOOKUP(Standings!CE$3,Entries!$C48:$K48,1,FALSE))),"x",IF(NOT(ISERROR(HLOOKUP(Standings!CE$3,Entries!$L48:$L48,1,FALSE))),"S",""))</f>
        <v/>
      </c>
      <c r="CF56" t="str">
        <f>IF(NOT(ISERROR(HLOOKUP(Standings!CF$3,Entries!$C48:$K48,1,FALSE))),"x",IF(NOT(ISERROR(HLOOKUP(Standings!CF$3,Entries!$L48:$L48,1,FALSE))),"S",""))</f>
        <v/>
      </c>
      <c r="CG56" t="str">
        <f>IF(NOT(ISERROR(HLOOKUP(Standings!CG$3,Entries!$C48:$K48,1,FALSE))),"x",IF(NOT(ISERROR(HLOOKUP(Standings!CG$3,Entries!$L48:$L48,1,FALSE))),"S",""))</f>
        <v/>
      </c>
      <c r="CH56" t="str">
        <f>IF(NOT(ISERROR(HLOOKUP(Standings!CH$3,Entries!$C48:$K48,1,FALSE))),"x",IF(NOT(ISERROR(HLOOKUP(Standings!CH$3,Entries!$L48:$L48,1,FALSE))),"S",""))</f>
        <v/>
      </c>
      <c r="CI56" t="str">
        <f>IF(NOT(ISERROR(HLOOKUP(Standings!CI$3,Entries!$C48:$K48,1,FALSE))),"x",IF(NOT(ISERROR(HLOOKUP(Standings!CI$3,Entries!$L48:$L48,1,FALSE))),"S",""))</f>
        <v/>
      </c>
      <c r="CJ56" t="str">
        <f>IF(NOT(ISERROR(HLOOKUP(Standings!CJ$3,Entries!$C48:$K48,1,FALSE))),"x",IF(NOT(ISERROR(HLOOKUP(Standings!CJ$3,Entries!$L48:$L48,1,FALSE))),"S",""))</f>
        <v/>
      </c>
      <c r="CK56" t="str">
        <f>IF(NOT(ISERROR(HLOOKUP(Standings!CK$3,Entries!$C48:$K48,1,FALSE))),"x",IF(NOT(ISERROR(HLOOKUP(Standings!CK$3,Entries!$L48:$L48,1,FALSE))),"S",""))</f>
        <v/>
      </c>
      <c r="CL56" t="str">
        <f>IF(NOT(ISERROR(HLOOKUP(Standings!CL$3,Entries!$C48:$K48,1,FALSE))),"x",IF(NOT(ISERROR(HLOOKUP(Standings!CL$3,Entries!$L48:$L48,1,FALSE))),"S",""))</f>
        <v/>
      </c>
      <c r="CM56" t="str">
        <f>IF(NOT(ISERROR(HLOOKUP(Standings!CM$3,Entries!$C48:$K48,1,FALSE))),"x",IF(NOT(ISERROR(HLOOKUP(Standings!CM$3,Entries!$L48:$L48,1,FALSE))),"S",""))</f>
        <v/>
      </c>
      <c r="CN56" t="str">
        <f>IF(NOT(ISERROR(HLOOKUP(Standings!CN$3,Entries!$C48:$K48,1,FALSE))),"x",IF(NOT(ISERROR(HLOOKUP(Standings!CN$3,Entries!$L48:$L48,1,FALSE))),"S",""))</f>
        <v/>
      </c>
      <c r="CO56" t="str">
        <f>IF(NOT(ISERROR(HLOOKUP(Standings!CO$3,Entries!$C48:$K48,1,FALSE))),"x",IF(NOT(ISERROR(HLOOKUP(Standings!CO$3,Entries!$L48:$L48,1,FALSE))),"S",""))</f>
        <v/>
      </c>
      <c r="CP56" t="str">
        <f>IF(NOT(ISERROR(HLOOKUP(Standings!CP$3,Entries!$C48:$K48,1,FALSE))),"x",IF(NOT(ISERROR(HLOOKUP(Standings!CP$3,Entries!$L48:$L48,1,FALSE))),"S",""))</f>
        <v/>
      </c>
      <c r="CQ56" t="str">
        <f>IF(NOT(ISERROR(HLOOKUP(Standings!CQ$3,Entries!$C48:$K48,1,FALSE))),"x",IF(NOT(ISERROR(HLOOKUP(Standings!CQ$3,Entries!$L48:$L48,1,FALSE))),"S",""))</f>
        <v/>
      </c>
      <c r="CR56" t="str">
        <f>IF(NOT(ISERROR(HLOOKUP(Standings!CR$3,Entries!$C48:$K48,1,FALSE))),"x",IF(NOT(ISERROR(HLOOKUP(Standings!CR$3,Entries!$L48:$L48,1,FALSE))),"S",""))</f>
        <v/>
      </c>
      <c r="CS56" t="str">
        <f>IF(NOT(ISERROR(HLOOKUP(Standings!CS$3,Entries!$C48:$K48,1,FALSE))),"x",IF(NOT(ISERROR(HLOOKUP(Standings!CS$3,Entries!$L48:$L48,1,FALSE))),"S",""))</f>
        <v/>
      </c>
      <c r="CT56" t="str">
        <f>IF(NOT(ISERROR(HLOOKUP(Standings!CT$3,Entries!$C48:$K48,1,FALSE))),"x",IF(NOT(ISERROR(HLOOKUP(Standings!CT$3,Entries!$L48:$L48,1,FALSE))),"S",""))</f>
        <v/>
      </c>
      <c r="CU56" t="str">
        <f>IF(NOT(ISERROR(HLOOKUP(Standings!CU$3,Entries!$C48:$K48,1,FALSE))),"x",IF(NOT(ISERROR(HLOOKUP(Standings!CU$3,Entries!$L48:$L48,1,FALSE))),"S",""))</f>
        <v>x</v>
      </c>
      <c r="CV56" t="str">
        <f>IF(NOT(ISERROR(HLOOKUP(Standings!CV$3,Entries!$C48:$K48,1,FALSE))),"x",IF(NOT(ISERROR(HLOOKUP(Standings!CV$3,Entries!$L48:$L48,1,FALSE))),"S",""))</f>
        <v/>
      </c>
      <c r="CW56" t="str">
        <f>IF(NOT(ISERROR(HLOOKUP(Standings!CW$3,Entries!$C48:$K48,1,FALSE))),"x",IF(NOT(ISERROR(HLOOKUP(Standings!CW$3,Entries!$L48:$L48,1,FALSE))),"S",""))</f>
        <v/>
      </c>
      <c r="CX56" t="str">
        <f>IF(NOT(ISERROR(HLOOKUP(Standings!CX$3,Entries!$C48:$K48,1,FALSE))),"x",IF(NOT(ISERROR(HLOOKUP(Standings!CX$3,Entries!$L48:$L48,1,FALSE))),"S",""))</f>
        <v/>
      </c>
      <c r="CY56" t="str">
        <f>IF(NOT(ISERROR(HLOOKUP(Standings!CY$3,Entries!$C48:$K48,1,FALSE))),"x",IF(NOT(ISERROR(HLOOKUP(Standings!CY$3,Entries!$L48:$L48,1,FALSE))),"S",""))</f>
        <v/>
      </c>
      <c r="CZ56" t="str">
        <f>IF(NOT(ISERROR(HLOOKUP(Standings!CZ$3,Entries!$C48:$K48,1,FALSE))),"x",IF(NOT(ISERROR(HLOOKUP(Standings!CZ$3,Entries!$L48:$L48,1,FALSE))),"S",""))</f>
        <v/>
      </c>
      <c r="DA56" t="str">
        <f>IF(NOT(ISERROR(HLOOKUP(Standings!DA$3,Entries!$C48:$K48,1,FALSE))),"x",IF(NOT(ISERROR(HLOOKUP(Standings!DA$3,Entries!$L48:$L48,1,FALSE))),"S",""))</f>
        <v/>
      </c>
      <c r="DB56" t="str">
        <f>IF(NOT(ISERROR(HLOOKUP(Standings!DB$3,Entries!$C48:$K48,1,FALSE))),"x",IF(NOT(ISERROR(HLOOKUP(Standings!DB$3,Entries!$L48:$L48,1,FALSE))),"S",""))</f>
        <v/>
      </c>
    </row>
    <row r="57" spans="1:106" x14ac:dyDescent="0.25">
      <c r="B57">
        <v>67</v>
      </c>
      <c r="C57" t="str">
        <f>Entries!B49</f>
        <v>L_Smith777</v>
      </c>
      <c r="D57" s="4">
        <f t="shared" si="53"/>
        <v>55</v>
      </c>
      <c r="E57" s="31">
        <f t="shared" si="54"/>
        <v>0</v>
      </c>
      <c r="F57" s="40" t="str">
        <f t="shared" si="52"/>
        <v/>
      </c>
      <c r="G57" s="41" t="str">
        <f t="shared" si="5"/>
        <v/>
      </c>
      <c r="H57" s="41" t="str">
        <f t="shared" si="6"/>
        <v/>
      </c>
      <c r="I57" s="42" t="str">
        <f t="shared" si="7"/>
        <v/>
      </c>
      <c r="J57" s="40" t="str">
        <f t="shared" si="8"/>
        <v/>
      </c>
      <c r="K57" s="41" t="str">
        <f t="shared" si="9"/>
        <v/>
      </c>
      <c r="L57" s="41" t="str">
        <f t="shared" si="10"/>
        <v/>
      </c>
      <c r="M57" s="42" t="str">
        <f t="shared" si="11"/>
        <v/>
      </c>
      <c r="N57" s="43" t="str">
        <f t="shared" si="12"/>
        <v/>
      </c>
      <c r="O57" s="41">
        <f t="shared" si="13"/>
        <v>0</v>
      </c>
      <c r="P57" s="41" t="str">
        <f t="shared" si="14"/>
        <v/>
      </c>
      <c r="Q57" s="42" t="str">
        <f t="shared" si="15"/>
        <v/>
      </c>
      <c r="R57" s="40" t="str">
        <f t="shared" si="16"/>
        <v/>
      </c>
      <c r="S57" s="41" t="str">
        <f t="shared" si="17"/>
        <v/>
      </c>
      <c r="T57" s="43" t="str">
        <f t="shared" si="18"/>
        <v/>
      </c>
      <c r="U57" s="42" t="str">
        <f t="shared" si="19"/>
        <v/>
      </c>
      <c r="V57" s="40">
        <f t="shared" si="20"/>
        <v>-1.0000000000000001E-5</v>
      </c>
      <c r="W57" s="41" t="str">
        <f t="shared" si="21"/>
        <v/>
      </c>
      <c r="X57" s="41" t="str">
        <f t="shared" si="22"/>
        <v/>
      </c>
      <c r="Y57" s="42" t="str">
        <f t="shared" si="23"/>
        <v/>
      </c>
      <c r="Z57" s="40" t="str">
        <f t="shared" si="24"/>
        <v/>
      </c>
      <c r="AA57" s="41">
        <f t="shared" si="25"/>
        <v>0</v>
      </c>
      <c r="AB57" s="41" t="str">
        <f t="shared" si="26"/>
        <v/>
      </c>
      <c r="AC57" s="42" t="str">
        <f t="shared" si="27"/>
        <v/>
      </c>
      <c r="AD57" s="40" t="str">
        <f t="shared" si="28"/>
        <v/>
      </c>
      <c r="AE57" s="41" t="str">
        <f t="shared" si="29"/>
        <v/>
      </c>
      <c r="AF57" s="41" t="str">
        <f t="shared" si="30"/>
        <v/>
      </c>
      <c r="AG57" s="42" t="str">
        <f t="shared" si="31"/>
        <v/>
      </c>
      <c r="AH57" s="40" t="str">
        <f t="shared" si="32"/>
        <v/>
      </c>
      <c r="AI57" s="41" t="str">
        <f t="shared" si="33"/>
        <v/>
      </c>
      <c r="AJ57" s="41" t="str">
        <f t="shared" si="34"/>
        <v/>
      </c>
      <c r="AK57" s="42">
        <f t="shared" si="35"/>
        <v>0</v>
      </c>
      <c r="AL57" s="40" t="str">
        <f t="shared" si="36"/>
        <v/>
      </c>
      <c r="AM57" s="41" t="str">
        <f t="shared" si="37"/>
        <v/>
      </c>
      <c r="AN57" s="41" t="str">
        <f t="shared" si="38"/>
        <v/>
      </c>
      <c r="AO57" s="42" t="str">
        <f t="shared" si="39"/>
        <v/>
      </c>
      <c r="AP57" s="40" t="str">
        <f t="shared" si="40"/>
        <v/>
      </c>
      <c r="AQ57" s="41" t="str">
        <f t="shared" si="41"/>
        <v/>
      </c>
      <c r="AR57" s="41" t="str">
        <f t="shared" si="42"/>
        <v/>
      </c>
      <c r="AS57" s="42" t="str">
        <f t="shared" si="43"/>
        <v/>
      </c>
      <c r="AT57" s="40" t="str">
        <f t="shared" si="44"/>
        <v/>
      </c>
      <c r="AU57" s="41" t="str">
        <f t="shared" si="45"/>
        <v/>
      </c>
      <c r="AV57" s="41">
        <f t="shared" si="46"/>
        <v>0</v>
      </c>
      <c r="AW57" s="42" t="str">
        <f t="shared" si="47"/>
        <v/>
      </c>
      <c r="AX57" s="40">
        <f t="shared" si="48"/>
        <v>0</v>
      </c>
      <c r="AY57" s="41" t="str">
        <f t="shared" si="49"/>
        <v/>
      </c>
      <c r="AZ57" s="41" t="str">
        <f t="shared" si="50"/>
        <v/>
      </c>
      <c r="BA57" s="42" t="str">
        <f t="shared" si="51"/>
        <v/>
      </c>
      <c r="BB57" s="37" t="s">
        <v>106</v>
      </c>
      <c r="BC57" s="21"/>
      <c r="BD57" s="21"/>
      <c r="BG57" t="str">
        <f>IF(NOT(ISERROR(HLOOKUP(Standings!BG$3,Entries!$C49:$K49,1,FALSE))),"x",IF(NOT(ISERROR(HLOOKUP(Standings!BG$3,Entries!$L49:$L49,1,FALSE))),"S",""))</f>
        <v/>
      </c>
      <c r="BH57" t="str">
        <f>IF(NOT(ISERROR(HLOOKUP(Standings!BH$3,Entries!$C49:$K49,1,FALSE))),"x",IF(NOT(ISERROR(HLOOKUP(Standings!BH$3,Entries!$L49:$L49,1,FALSE))),"S",""))</f>
        <v/>
      </c>
      <c r="BI57" t="str">
        <f>IF(NOT(ISERROR(HLOOKUP(Standings!BI$3,Entries!$C49:$K49,1,FALSE))),"x",IF(NOT(ISERROR(HLOOKUP(Standings!BI$3,Entries!$L49:$L49,1,FALSE))),"S",""))</f>
        <v/>
      </c>
      <c r="BJ57" t="str">
        <f>IF(NOT(ISERROR(HLOOKUP(Standings!BJ$3,Entries!$C49:$K49,1,FALSE))),"x",IF(NOT(ISERROR(HLOOKUP(Standings!BJ$3,Entries!$L49:$L49,1,FALSE))),"S",""))</f>
        <v/>
      </c>
      <c r="BK57" t="str">
        <f>IF(NOT(ISERROR(HLOOKUP(Standings!BK$3,Entries!$C49:$K49,1,FALSE))),"x",IF(NOT(ISERROR(HLOOKUP(Standings!BK$3,Entries!$L49:$L49,1,FALSE))),"S",""))</f>
        <v/>
      </c>
      <c r="BL57" t="str">
        <f>IF(NOT(ISERROR(HLOOKUP(Standings!BL$3,Entries!$C49:$K49,1,FALSE))),"x",IF(NOT(ISERROR(HLOOKUP(Standings!BL$3,Entries!$L49:$L49,1,FALSE))),"S",""))</f>
        <v/>
      </c>
      <c r="BM57" t="str">
        <f>IF(NOT(ISERROR(HLOOKUP(Standings!BM$3,Entries!$C49:$K49,1,FALSE))),"x",IF(NOT(ISERROR(HLOOKUP(Standings!BM$3,Entries!$L49:$L49,1,FALSE))),"S",""))</f>
        <v/>
      </c>
      <c r="BN57" t="str">
        <f>IF(NOT(ISERROR(HLOOKUP(Standings!BN$3,Entries!$C49:$K49,1,FALSE))),"x",IF(NOT(ISERROR(HLOOKUP(Standings!BN$3,Entries!$L49:$L49,1,FALSE))),"S",""))</f>
        <v/>
      </c>
      <c r="BO57" t="str">
        <f>IF(NOT(ISERROR(HLOOKUP(Standings!BO$3,Entries!$C49:$K49,1,FALSE))),"x",IF(NOT(ISERROR(HLOOKUP(Standings!BO$3,Entries!$L49:$L49,1,FALSE))),"S",""))</f>
        <v/>
      </c>
      <c r="BP57" t="str">
        <f>IF(NOT(ISERROR(HLOOKUP(Standings!BP$3,Entries!$C49:$K49,1,FALSE))),"x",IF(NOT(ISERROR(HLOOKUP(Standings!BP$3,Entries!$L49:$L49,1,FALSE))),"S",""))</f>
        <v>x</v>
      </c>
      <c r="BQ57" t="str">
        <f>IF(NOT(ISERROR(HLOOKUP(Standings!BQ$3,Entries!$C49:$K49,1,FALSE))),"x",IF(NOT(ISERROR(HLOOKUP(Standings!BQ$3,Entries!$L49:$L49,1,FALSE))),"S",""))</f>
        <v/>
      </c>
      <c r="BR57" t="str">
        <f>IF(NOT(ISERROR(HLOOKUP(Standings!BR$3,Entries!$C49:$K49,1,FALSE))),"x",IF(NOT(ISERROR(HLOOKUP(Standings!BR$3,Entries!$L49:$L49,1,FALSE))),"S",""))</f>
        <v/>
      </c>
      <c r="BS57" t="str">
        <f>IF(NOT(ISERROR(HLOOKUP(Standings!BS$3,Entries!$C49:$K49,1,FALSE))),"x",IF(NOT(ISERROR(HLOOKUP(Standings!BS$3,Entries!$L49:$L49,1,FALSE))),"S",""))</f>
        <v/>
      </c>
      <c r="BT57" t="str">
        <f>IF(NOT(ISERROR(HLOOKUP(Standings!BT$3,Entries!$C49:$K49,1,FALSE))),"x",IF(NOT(ISERROR(HLOOKUP(Standings!BT$3,Entries!$L49:$L49,1,FALSE))),"S",""))</f>
        <v/>
      </c>
      <c r="BU57" t="str">
        <f>IF(NOT(ISERROR(HLOOKUP(Standings!BU$3,Entries!$C49:$K49,1,FALSE))),"x",IF(NOT(ISERROR(HLOOKUP(Standings!BU$3,Entries!$L49:$L49,1,FALSE))),"S",""))</f>
        <v/>
      </c>
      <c r="BV57" t="str">
        <f>IF(NOT(ISERROR(HLOOKUP(Standings!BV$3,Entries!$C49:$K49,1,FALSE))),"x",IF(NOT(ISERROR(HLOOKUP(Standings!BV$3,Entries!$L49:$L49,1,FALSE))),"S",""))</f>
        <v/>
      </c>
      <c r="BW57" t="str">
        <f>IF(NOT(ISERROR(HLOOKUP(Standings!BW$3,Entries!$C49:$K49,1,FALSE))),"x",IF(NOT(ISERROR(HLOOKUP(Standings!BW$3,Entries!$L49:$L49,1,FALSE))),"S",""))</f>
        <v>S</v>
      </c>
      <c r="BX57" t="str">
        <f>IF(NOT(ISERROR(HLOOKUP(Standings!BX$3,Entries!$C49:$K49,1,FALSE))),"x",IF(NOT(ISERROR(HLOOKUP(Standings!BX$3,Entries!$L49:$L49,1,FALSE))),"S",""))</f>
        <v/>
      </c>
      <c r="BY57" t="str">
        <f>IF(NOT(ISERROR(HLOOKUP(Standings!BY$3,Entries!$C49:$K49,1,FALSE))),"x",IF(NOT(ISERROR(HLOOKUP(Standings!BY$3,Entries!$L49:$L49,1,FALSE))),"S",""))</f>
        <v/>
      </c>
      <c r="BZ57" t="str">
        <f>IF(NOT(ISERROR(HLOOKUP(Standings!BZ$3,Entries!$C49:$K49,1,FALSE))),"x",IF(NOT(ISERROR(HLOOKUP(Standings!BZ$3,Entries!$L49:$L49,1,FALSE))),"S",""))</f>
        <v/>
      </c>
      <c r="CA57" t="str">
        <f>IF(NOT(ISERROR(HLOOKUP(Standings!CA$3,Entries!$C49:$K49,1,FALSE))),"x",IF(NOT(ISERROR(HLOOKUP(Standings!CA$3,Entries!$L49:$L49,1,FALSE))),"S",""))</f>
        <v/>
      </c>
      <c r="CB57" t="str">
        <f>IF(NOT(ISERROR(HLOOKUP(Standings!CB$3,Entries!$C49:$K49,1,FALSE))),"x",IF(NOT(ISERROR(HLOOKUP(Standings!CB$3,Entries!$L49:$L49,1,FALSE))),"S",""))</f>
        <v>x</v>
      </c>
      <c r="CC57" t="str">
        <f>IF(NOT(ISERROR(HLOOKUP(Standings!CC$3,Entries!$C49:$K49,1,FALSE))),"x",IF(NOT(ISERROR(HLOOKUP(Standings!CC$3,Entries!$L49:$L49,1,FALSE))),"S",""))</f>
        <v/>
      </c>
      <c r="CD57" t="str">
        <f>IF(NOT(ISERROR(HLOOKUP(Standings!CD$3,Entries!$C49:$K49,1,FALSE))),"x",IF(NOT(ISERROR(HLOOKUP(Standings!CD$3,Entries!$L49:$L49,1,FALSE))),"S",""))</f>
        <v/>
      </c>
      <c r="CE57" t="str">
        <f>IF(NOT(ISERROR(HLOOKUP(Standings!CE$3,Entries!$C49:$K49,1,FALSE))),"x",IF(NOT(ISERROR(HLOOKUP(Standings!CE$3,Entries!$L49:$L49,1,FALSE))),"S",""))</f>
        <v/>
      </c>
      <c r="CF57" t="str">
        <f>IF(NOT(ISERROR(HLOOKUP(Standings!CF$3,Entries!$C49:$K49,1,FALSE))),"x",IF(NOT(ISERROR(HLOOKUP(Standings!CF$3,Entries!$L49:$L49,1,FALSE))),"S",""))</f>
        <v/>
      </c>
      <c r="CG57" t="str">
        <f>IF(NOT(ISERROR(HLOOKUP(Standings!CG$3,Entries!$C49:$K49,1,FALSE))),"x",IF(NOT(ISERROR(HLOOKUP(Standings!CG$3,Entries!$L49:$L49,1,FALSE))),"S",""))</f>
        <v/>
      </c>
      <c r="CH57" t="str">
        <f>IF(NOT(ISERROR(HLOOKUP(Standings!CH$3,Entries!$C49:$K49,1,FALSE))),"x",IF(NOT(ISERROR(HLOOKUP(Standings!CH$3,Entries!$L49:$L49,1,FALSE))),"S",""))</f>
        <v/>
      </c>
      <c r="CI57" t="str">
        <f>IF(NOT(ISERROR(HLOOKUP(Standings!CI$3,Entries!$C49:$K49,1,FALSE))),"x",IF(NOT(ISERROR(HLOOKUP(Standings!CI$3,Entries!$L49:$L49,1,FALSE))),"S",""))</f>
        <v/>
      </c>
      <c r="CJ57" t="str">
        <f>IF(NOT(ISERROR(HLOOKUP(Standings!CJ$3,Entries!$C49:$K49,1,FALSE))),"x",IF(NOT(ISERROR(HLOOKUP(Standings!CJ$3,Entries!$L49:$L49,1,FALSE))),"S",""))</f>
        <v/>
      </c>
      <c r="CK57" t="str">
        <f>IF(NOT(ISERROR(HLOOKUP(Standings!CK$3,Entries!$C49:$K49,1,FALSE))),"x",IF(NOT(ISERROR(HLOOKUP(Standings!CK$3,Entries!$L49:$L49,1,FALSE))),"S",""))</f>
        <v/>
      </c>
      <c r="CL57" t="str">
        <f>IF(NOT(ISERROR(HLOOKUP(Standings!CL$3,Entries!$C49:$K49,1,FALSE))),"x",IF(NOT(ISERROR(HLOOKUP(Standings!CL$3,Entries!$L49:$L49,1,FALSE))),"S",""))</f>
        <v>x</v>
      </c>
      <c r="CM57" t="str">
        <f>IF(NOT(ISERROR(HLOOKUP(Standings!CM$3,Entries!$C49:$K49,1,FALSE))),"x",IF(NOT(ISERROR(HLOOKUP(Standings!CM$3,Entries!$L49:$L49,1,FALSE))),"S",""))</f>
        <v/>
      </c>
      <c r="CN57" t="str">
        <f>IF(NOT(ISERROR(HLOOKUP(Standings!CN$3,Entries!$C49:$K49,1,FALSE))),"x",IF(NOT(ISERROR(HLOOKUP(Standings!CN$3,Entries!$L49:$L49,1,FALSE))),"S",""))</f>
        <v/>
      </c>
      <c r="CO57" t="str">
        <f>IF(NOT(ISERROR(HLOOKUP(Standings!CO$3,Entries!$C49:$K49,1,FALSE))),"x",IF(NOT(ISERROR(HLOOKUP(Standings!CO$3,Entries!$L49:$L49,1,FALSE))),"S",""))</f>
        <v/>
      </c>
      <c r="CP57" t="str">
        <f>IF(NOT(ISERROR(HLOOKUP(Standings!CP$3,Entries!$C49:$K49,1,FALSE))),"x",IF(NOT(ISERROR(HLOOKUP(Standings!CP$3,Entries!$L49:$L49,1,FALSE))),"S",""))</f>
        <v/>
      </c>
      <c r="CQ57" t="str">
        <f>IF(NOT(ISERROR(HLOOKUP(Standings!CQ$3,Entries!$C49:$K49,1,FALSE))),"x",IF(NOT(ISERROR(HLOOKUP(Standings!CQ$3,Entries!$L49:$L49,1,FALSE))),"S",""))</f>
        <v/>
      </c>
      <c r="CR57" t="str">
        <f>IF(NOT(ISERROR(HLOOKUP(Standings!CR$3,Entries!$C49:$K49,1,FALSE))),"x",IF(NOT(ISERROR(HLOOKUP(Standings!CR$3,Entries!$L49:$L49,1,FALSE))),"S",""))</f>
        <v/>
      </c>
      <c r="CS57" t="str">
        <f>IF(NOT(ISERROR(HLOOKUP(Standings!CS$3,Entries!$C49:$K49,1,FALSE))),"x",IF(NOT(ISERROR(HLOOKUP(Standings!CS$3,Entries!$L49:$L49,1,FALSE))),"S",""))</f>
        <v/>
      </c>
      <c r="CT57" t="str">
        <f>IF(NOT(ISERROR(HLOOKUP(Standings!CT$3,Entries!$C49:$K49,1,FALSE))),"x",IF(NOT(ISERROR(HLOOKUP(Standings!CT$3,Entries!$L49:$L49,1,FALSE))),"S",""))</f>
        <v/>
      </c>
      <c r="CU57" t="str">
        <f>IF(NOT(ISERROR(HLOOKUP(Standings!CU$3,Entries!$C49:$K49,1,FALSE))),"x",IF(NOT(ISERROR(HLOOKUP(Standings!CU$3,Entries!$L49:$L49,1,FALSE))),"S",""))</f>
        <v/>
      </c>
      <c r="CV57" t="str">
        <f>IF(NOT(ISERROR(HLOOKUP(Standings!CV$3,Entries!$C49:$K49,1,FALSE))),"x",IF(NOT(ISERROR(HLOOKUP(Standings!CV$3,Entries!$L49:$L49,1,FALSE))),"S",""))</f>
        <v/>
      </c>
      <c r="CW57" t="str">
        <f>IF(NOT(ISERROR(HLOOKUP(Standings!CW$3,Entries!$C49:$K49,1,FALSE))),"x",IF(NOT(ISERROR(HLOOKUP(Standings!CW$3,Entries!$L49:$L49,1,FALSE))),"S",""))</f>
        <v>x</v>
      </c>
      <c r="CX57" t="str">
        <f>IF(NOT(ISERROR(HLOOKUP(Standings!CX$3,Entries!$C49:$K49,1,FALSE))),"x",IF(NOT(ISERROR(HLOOKUP(Standings!CX$3,Entries!$L49:$L49,1,FALSE))),"S",""))</f>
        <v/>
      </c>
      <c r="CY57" t="str">
        <f>IF(NOT(ISERROR(HLOOKUP(Standings!CY$3,Entries!$C49:$K49,1,FALSE))),"x",IF(NOT(ISERROR(HLOOKUP(Standings!CY$3,Entries!$L49:$L49,1,FALSE))),"S",""))</f>
        <v>x</v>
      </c>
      <c r="CZ57" t="str">
        <f>IF(NOT(ISERROR(HLOOKUP(Standings!CZ$3,Entries!$C49:$K49,1,FALSE))),"x",IF(NOT(ISERROR(HLOOKUP(Standings!CZ$3,Entries!$L49:$L49,1,FALSE))),"S",""))</f>
        <v/>
      </c>
      <c r="DA57" t="str">
        <f>IF(NOT(ISERROR(HLOOKUP(Standings!DA$3,Entries!$C49:$K49,1,FALSE))),"x",IF(NOT(ISERROR(HLOOKUP(Standings!DA$3,Entries!$L49:$L49,1,FALSE))),"S",""))</f>
        <v/>
      </c>
      <c r="DB57" t="str">
        <f>IF(NOT(ISERROR(HLOOKUP(Standings!DB$3,Entries!$C49:$K49,1,FALSE))),"x",IF(NOT(ISERROR(HLOOKUP(Standings!DB$3,Entries!$L49:$L49,1,FALSE))),"S",""))</f>
        <v/>
      </c>
    </row>
    <row r="58" spans="1:106" x14ac:dyDescent="0.25">
      <c r="B58">
        <v>71</v>
      </c>
      <c r="C58" t="str">
        <f>Entries!B50</f>
        <v>Tony M Pick 1</v>
      </c>
      <c r="D58" s="4">
        <f t="shared" si="53"/>
        <v>51</v>
      </c>
      <c r="E58" s="31">
        <f t="shared" si="54"/>
        <v>1</v>
      </c>
      <c r="F58" s="40" t="str">
        <f t="shared" si="52"/>
        <v/>
      </c>
      <c r="G58" s="41" t="str">
        <f t="shared" si="5"/>
        <v/>
      </c>
      <c r="H58" s="41" t="str">
        <f t="shared" si="6"/>
        <v/>
      </c>
      <c r="I58" s="42">
        <f t="shared" si="7"/>
        <v>0</v>
      </c>
      <c r="J58" s="40">
        <f t="shared" si="8"/>
        <v>1</v>
      </c>
      <c r="K58" s="41">
        <f t="shared" si="9"/>
        <v>0</v>
      </c>
      <c r="L58" s="41" t="str">
        <f t="shared" si="10"/>
        <v/>
      </c>
      <c r="M58" s="42" t="str">
        <f t="shared" si="11"/>
        <v/>
      </c>
      <c r="N58" s="43" t="str">
        <f t="shared" si="12"/>
        <v/>
      </c>
      <c r="O58" s="41" t="str">
        <f t="shared" si="13"/>
        <v/>
      </c>
      <c r="P58" s="41" t="str">
        <f t="shared" si="14"/>
        <v/>
      </c>
      <c r="Q58" s="42" t="str">
        <f t="shared" si="15"/>
        <v/>
      </c>
      <c r="R58" s="40" t="str">
        <f t="shared" si="16"/>
        <v/>
      </c>
      <c r="S58" s="41" t="str">
        <f t="shared" si="17"/>
        <v/>
      </c>
      <c r="T58" s="43" t="str">
        <f t="shared" si="18"/>
        <v/>
      </c>
      <c r="U58" s="42" t="str">
        <f t="shared" si="19"/>
        <v/>
      </c>
      <c r="V58" s="40" t="str">
        <f t="shared" si="20"/>
        <v/>
      </c>
      <c r="W58" s="41" t="str">
        <f t="shared" si="21"/>
        <v/>
      </c>
      <c r="X58" s="41" t="str">
        <f t="shared" si="22"/>
        <v/>
      </c>
      <c r="Y58" s="42" t="str">
        <f t="shared" si="23"/>
        <v/>
      </c>
      <c r="Z58" s="40" t="str">
        <f t="shared" si="24"/>
        <v/>
      </c>
      <c r="AA58" s="41" t="str">
        <f t="shared" si="25"/>
        <v/>
      </c>
      <c r="AB58" s="41" t="str">
        <f t="shared" si="26"/>
        <v/>
      </c>
      <c r="AC58" s="42" t="str">
        <f t="shared" si="27"/>
        <v/>
      </c>
      <c r="AD58" s="40" t="str">
        <f t="shared" si="28"/>
        <v/>
      </c>
      <c r="AE58" s="41">
        <f t="shared" si="29"/>
        <v>0</v>
      </c>
      <c r="AF58" s="41" t="str">
        <f t="shared" si="30"/>
        <v/>
      </c>
      <c r="AG58" s="42" t="str">
        <f t="shared" si="31"/>
        <v/>
      </c>
      <c r="AH58" s="40" t="str">
        <f t="shared" si="32"/>
        <v/>
      </c>
      <c r="AI58" s="41" t="str">
        <f t="shared" si="33"/>
        <v/>
      </c>
      <c r="AJ58" s="41" t="str">
        <f t="shared" si="34"/>
        <v/>
      </c>
      <c r="AK58" s="42">
        <f t="shared" si="35"/>
        <v>0</v>
      </c>
      <c r="AL58" s="40">
        <f t="shared" si="36"/>
        <v>-1.0000000000000001E-5</v>
      </c>
      <c r="AM58" s="41" t="str">
        <f t="shared" si="37"/>
        <v/>
      </c>
      <c r="AN58" s="41">
        <f t="shared" si="38"/>
        <v>0</v>
      </c>
      <c r="AO58" s="42" t="str">
        <f t="shared" si="39"/>
        <v/>
      </c>
      <c r="AP58" s="40" t="str">
        <f t="shared" si="40"/>
        <v/>
      </c>
      <c r="AQ58" s="41" t="str">
        <f t="shared" si="41"/>
        <v/>
      </c>
      <c r="AR58" s="41">
        <f t="shared" si="42"/>
        <v>0</v>
      </c>
      <c r="AS58" s="42" t="str">
        <f t="shared" si="43"/>
        <v/>
      </c>
      <c r="AT58" s="40" t="str">
        <f t="shared" si="44"/>
        <v/>
      </c>
      <c r="AU58" s="41" t="str">
        <f t="shared" si="45"/>
        <v/>
      </c>
      <c r="AV58" s="41">
        <f t="shared" si="46"/>
        <v>0</v>
      </c>
      <c r="AW58" s="42" t="str">
        <f t="shared" si="47"/>
        <v/>
      </c>
      <c r="AX58" s="40" t="str">
        <f t="shared" si="48"/>
        <v/>
      </c>
      <c r="AY58" s="41">
        <f t="shared" si="49"/>
        <v>0</v>
      </c>
      <c r="AZ58" s="41" t="str">
        <f t="shared" si="50"/>
        <v/>
      </c>
      <c r="BA58" s="42" t="str">
        <f t="shared" si="51"/>
        <v/>
      </c>
      <c r="BB58" s="37" t="s">
        <v>106</v>
      </c>
      <c r="BC58" s="21"/>
      <c r="BD58" s="21"/>
      <c r="BG58" t="str">
        <f>IF(NOT(ISERROR(HLOOKUP(Standings!BG$3,Entries!$C50:$K50,1,FALSE))),"x",IF(NOT(ISERROR(HLOOKUP(Standings!BG$3,Entries!$L50:$L50,1,FALSE))),"S",""))</f>
        <v/>
      </c>
      <c r="BH58" t="str">
        <f>IF(NOT(ISERROR(HLOOKUP(Standings!BH$3,Entries!$C50:$K50,1,FALSE))),"x",IF(NOT(ISERROR(HLOOKUP(Standings!BH$3,Entries!$L50:$L50,1,FALSE))),"S",""))</f>
        <v/>
      </c>
      <c r="BI58" t="str">
        <f>IF(NOT(ISERROR(HLOOKUP(Standings!BI$3,Entries!$C50:$K50,1,FALSE))),"x",IF(NOT(ISERROR(HLOOKUP(Standings!BI$3,Entries!$L50:$L50,1,FALSE))),"S",""))</f>
        <v/>
      </c>
      <c r="BJ58" t="str">
        <f>IF(NOT(ISERROR(HLOOKUP(Standings!BJ$3,Entries!$C50:$K50,1,FALSE))),"x",IF(NOT(ISERROR(HLOOKUP(Standings!BJ$3,Entries!$L50:$L50,1,FALSE))),"S",""))</f>
        <v>x</v>
      </c>
      <c r="BK58" t="str">
        <f>IF(NOT(ISERROR(HLOOKUP(Standings!BK$3,Entries!$C50:$K50,1,FALSE))),"x",IF(NOT(ISERROR(HLOOKUP(Standings!BK$3,Entries!$L50:$L50,1,FALSE))),"S",""))</f>
        <v>x</v>
      </c>
      <c r="BL58" t="str">
        <f>IF(NOT(ISERROR(HLOOKUP(Standings!BL$3,Entries!$C50:$K50,1,FALSE))),"x",IF(NOT(ISERROR(HLOOKUP(Standings!BL$3,Entries!$L50:$L50,1,FALSE))),"S",""))</f>
        <v>x</v>
      </c>
      <c r="BM58" t="str">
        <f>IF(NOT(ISERROR(HLOOKUP(Standings!BM$3,Entries!$C50:$K50,1,FALSE))),"x",IF(NOT(ISERROR(HLOOKUP(Standings!BM$3,Entries!$L50:$L50,1,FALSE))),"S",""))</f>
        <v/>
      </c>
      <c r="BN58" t="str">
        <f>IF(NOT(ISERROR(HLOOKUP(Standings!BN$3,Entries!$C50:$K50,1,FALSE))),"x",IF(NOT(ISERROR(HLOOKUP(Standings!BN$3,Entries!$L50:$L50,1,FALSE))),"S",""))</f>
        <v/>
      </c>
      <c r="BO58" t="str">
        <f>IF(NOT(ISERROR(HLOOKUP(Standings!BO$3,Entries!$C50:$K50,1,FALSE))),"x",IF(NOT(ISERROR(HLOOKUP(Standings!BO$3,Entries!$L50:$L50,1,FALSE))),"S",""))</f>
        <v/>
      </c>
      <c r="BP58" t="str">
        <f>IF(NOT(ISERROR(HLOOKUP(Standings!BP$3,Entries!$C50:$K50,1,FALSE))),"x",IF(NOT(ISERROR(HLOOKUP(Standings!BP$3,Entries!$L50:$L50,1,FALSE))),"S",""))</f>
        <v/>
      </c>
      <c r="BQ58" t="str">
        <f>IF(NOT(ISERROR(HLOOKUP(Standings!BQ$3,Entries!$C50:$K50,1,FALSE))),"x",IF(NOT(ISERROR(HLOOKUP(Standings!BQ$3,Entries!$L50:$L50,1,FALSE))),"S",""))</f>
        <v/>
      </c>
      <c r="BR58" t="str">
        <f>IF(NOT(ISERROR(HLOOKUP(Standings!BR$3,Entries!$C50:$K50,1,FALSE))),"x",IF(NOT(ISERROR(HLOOKUP(Standings!BR$3,Entries!$L50:$L50,1,FALSE))),"S",""))</f>
        <v/>
      </c>
      <c r="BS58" t="str">
        <f>IF(NOT(ISERROR(HLOOKUP(Standings!BS$3,Entries!$C50:$K50,1,FALSE))),"x",IF(NOT(ISERROR(HLOOKUP(Standings!BS$3,Entries!$L50:$L50,1,FALSE))),"S",""))</f>
        <v/>
      </c>
      <c r="BT58" t="str">
        <f>IF(NOT(ISERROR(HLOOKUP(Standings!BT$3,Entries!$C50:$K50,1,FALSE))),"x",IF(NOT(ISERROR(HLOOKUP(Standings!BT$3,Entries!$L50:$L50,1,FALSE))),"S",""))</f>
        <v/>
      </c>
      <c r="BU58" t="str">
        <f>IF(NOT(ISERROR(HLOOKUP(Standings!BU$3,Entries!$C50:$K50,1,FALSE))),"x",IF(NOT(ISERROR(HLOOKUP(Standings!BU$3,Entries!$L50:$L50,1,FALSE))),"S",""))</f>
        <v/>
      </c>
      <c r="BV58" t="str">
        <f>IF(NOT(ISERROR(HLOOKUP(Standings!BV$3,Entries!$C50:$K50,1,FALSE))),"x",IF(NOT(ISERROR(HLOOKUP(Standings!BV$3,Entries!$L50:$L50,1,FALSE))),"S",""))</f>
        <v/>
      </c>
      <c r="BW58" t="str">
        <f>IF(NOT(ISERROR(HLOOKUP(Standings!BW$3,Entries!$C50:$K50,1,FALSE))),"x",IF(NOT(ISERROR(HLOOKUP(Standings!BW$3,Entries!$L50:$L50,1,FALSE))),"S",""))</f>
        <v/>
      </c>
      <c r="BX58" t="str">
        <f>IF(NOT(ISERROR(HLOOKUP(Standings!BX$3,Entries!$C50:$K50,1,FALSE))),"x",IF(NOT(ISERROR(HLOOKUP(Standings!BX$3,Entries!$L50:$L50,1,FALSE))),"S",""))</f>
        <v/>
      </c>
      <c r="BY58" t="str">
        <f>IF(NOT(ISERROR(HLOOKUP(Standings!BY$3,Entries!$C50:$K50,1,FALSE))),"x",IF(NOT(ISERROR(HLOOKUP(Standings!BY$3,Entries!$L50:$L50,1,FALSE))),"S",""))</f>
        <v/>
      </c>
      <c r="BZ58" t="str">
        <f>IF(NOT(ISERROR(HLOOKUP(Standings!BZ$3,Entries!$C50:$K50,1,FALSE))),"x",IF(NOT(ISERROR(HLOOKUP(Standings!BZ$3,Entries!$L50:$L50,1,FALSE))),"S",""))</f>
        <v/>
      </c>
      <c r="CA58" t="str">
        <f>IF(NOT(ISERROR(HLOOKUP(Standings!CA$3,Entries!$C50:$K50,1,FALSE))),"x",IF(NOT(ISERROR(HLOOKUP(Standings!CA$3,Entries!$L50:$L50,1,FALSE))),"S",""))</f>
        <v/>
      </c>
      <c r="CB58" t="str">
        <f>IF(NOT(ISERROR(HLOOKUP(Standings!CB$3,Entries!$C50:$K50,1,FALSE))),"x",IF(NOT(ISERROR(HLOOKUP(Standings!CB$3,Entries!$L50:$L50,1,FALSE))),"S",""))</f>
        <v/>
      </c>
      <c r="CC58" t="str">
        <f>IF(NOT(ISERROR(HLOOKUP(Standings!CC$3,Entries!$C50:$K50,1,FALSE))),"x",IF(NOT(ISERROR(HLOOKUP(Standings!CC$3,Entries!$L50:$L50,1,FALSE))),"S",""))</f>
        <v/>
      </c>
      <c r="CD58" t="str">
        <f>IF(NOT(ISERROR(HLOOKUP(Standings!CD$3,Entries!$C50:$K50,1,FALSE))),"x",IF(NOT(ISERROR(HLOOKUP(Standings!CD$3,Entries!$L50:$L50,1,FALSE))),"S",""))</f>
        <v/>
      </c>
      <c r="CE58" t="str">
        <f>IF(NOT(ISERROR(HLOOKUP(Standings!CE$3,Entries!$C50:$K50,1,FALSE))),"x",IF(NOT(ISERROR(HLOOKUP(Standings!CE$3,Entries!$L50:$L50,1,FALSE))),"S",""))</f>
        <v/>
      </c>
      <c r="CF58" t="str">
        <f>IF(NOT(ISERROR(HLOOKUP(Standings!CF$3,Entries!$C50:$K50,1,FALSE))),"x",IF(NOT(ISERROR(HLOOKUP(Standings!CF$3,Entries!$L50:$L50,1,FALSE))),"S",""))</f>
        <v>x</v>
      </c>
      <c r="CG58" t="str">
        <f>IF(NOT(ISERROR(HLOOKUP(Standings!CG$3,Entries!$C50:$K50,1,FALSE))),"x",IF(NOT(ISERROR(HLOOKUP(Standings!CG$3,Entries!$L50:$L50,1,FALSE))),"S",""))</f>
        <v/>
      </c>
      <c r="CH58" t="str">
        <f>IF(NOT(ISERROR(HLOOKUP(Standings!CH$3,Entries!$C50:$K50,1,FALSE))),"x",IF(NOT(ISERROR(HLOOKUP(Standings!CH$3,Entries!$L50:$L50,1,FALSE))),"S",""))</f>
        <v/>
      </c>
      <c r="CI58" t="str">
        <f>IF(NOT(ISERROR(HLOOKUP(Standings!CI$3,Entries!$C50:$K50,1,FALSE))),"x",IF(NOT(ISERROR(HLOOKUP(Standings!CI$3,Entries!$L50:$L50,1,FALSE))),"S",""))</f>
        <v/>
      </c>
      <c r="CJ58" t="str">
        <f>IF(NOT(ISERROR(HLOOKUP(Standings!CJ$3,Entries!$C50:$K50,1,FALSE))),"x",IF(NOT(ISERROR(HLOOKUP(Standings!CJ$3,Entries!$L50:$L50,1,FALSE))),"S",""))</f>
        <v/>
      </c>
      <c r="CK58" t="str">
        <f>IF(NOT(ISERROR(HLOOKUP(Standings!CK$3,Entries!$C50:$K50,1,FALSE))),"x",IF(NOT(ISERROR(HLOOKUP(Standings!CK$3,Entries!$L50:$L50,1,FALSE))),"S",""))</f>
        <v/>
      </c>
      <c r="CL58" t="str">
        <f>IF(NOT(ISERROR(HLOOKUP(Standings!CL$3,Entries!$C50:$K50,1,FALSE))),"x",IF(NOT(ISERROR(HLOOKUP(Standings!CL$3,Entries!$L50:$L50,1,FALSE))),"S",""))</f>
        <v>x</v>
      </c>
      <c r="CM58" t="str">
        <f>IF(NOT(ISERROR(HLOOKUP(Standings!CM$3,Entries!$C50:$K50,1,FALSE))),"x",IF(NOT(ISERROR(HLOOKUP(Standings!CM$3,Entries!$L50:$L50,1,FALSE))),"S",""))</f>
        <v>S</v>
      </c>
      <c r="CN58" t="str">
        <f>IF(NOT(ISERROR(HLOOKUP(Standings!CN$3,Entries!$C50:$K50,1,FALSE))),"x",IF(NOT(ISERROR(HLOOKUP(Standings!CN$3,Entries!$L50:$L50,1,FALSE))),"S",""))</f>
        <v/>
      </c>
      <c r="CO58" t="str">
        <f>IF(NOT(ISERROR(HLOOKUP(Standings!CO$3,Entries!$C50:$K50,1,FALSE))),"x",IF(NOT(ISERROR(HLOOKUP(Standings!CO$3,Entries!$L50:$L50,1,FALSE))),"S",""))</f>
        <v>x</v>
      </c>
      <c r="CP58" t="str">
        <f>IF(NOT(ISERROR(HLOOKUP(Standings!CP$3,Entries!$C50:$K50,1,FALSE))),"x",IF(NOT(ISERROR(HLOOKUP(Standings!CP$3,Entries!$L50:$L50,1,FALSE))),"S",""))</f>
        <v/>
      </c>
      <c r="CQ58" t="str">
        <f>IF(NOT(ISERROR(HLOOKUP(Standings!CQ$3,Entries!$C50:$K50,1,FALSE))),"x",IF(NOT(ISERROR(HLOOKUP(Standings!CQ$3,Entries!$L50:$L50,1,FALSE))),"S",""))</f>
        <v/>
      </c>
      <c r="CR58" t="str">
        <f>IF(NOT(ISERROR(HLOOKUP(Standings!CR$3,Entries!$C50:$K50,1,FALSE))),"x",IF(NOT(ISERROR(HLOOKUP(Standings!CR$3,Entries!$L50:$L50,1,FALSE))),"S",""))</f>
        <v/>
      </c>
      <c r="CS58" t="str">
        <f>IF(NOT(ISERROR(HLOOKUP(Standings!CS$3,Entries!$C50:$K50,1,FALSE))),"x",IF(NOT(ISERROR(HLOOKUP(Standings!CS$3,Entries!$L50:$L50,1,FALSE))),"S",""))</f>
        <v>x</v>
      </c>
      <c r="CT58" t="str">
        <f>IF(NOT(ISERROR(HLOOKUP(Standings!CT$3,Entries!$C50:$K50,1,FALSE))),"x",IF(NOT(ISERROR(HLOOKUP(Standings!CT$3,Entries!$L50:$L50,1,FALSE))),"S",""))</f>
        <v/>
      </c>
      <c r="CU58" t="str">
        <f>IF(NOT(ISERROR(HLOOKUP(Standings!CU$3,Entries!$C50:$K50,1,FALSE))),"x",IF(NOT(ISERROR(HLOOKUP(Standings!CU$3,Entries!$L50:$L50,1,FALSE))),"S",""))</f>
        <v/>
      </c>
      <c r="CV58" t="str">
        <f>IF(NOT(ISERROR(HLOOKUP(Standings!CV$3,Entries!$C50:$K50,1,FALSE))),"x",IF(NOT(ISERROR(HLOOKUP(Standings!CV$3,Entries!$L50:$L50,1,FALSE))),"S",""))</f>
        <v/>
      </c>
      <c r="CW58" t="str">
        <f>IF(NOT(ISERROR(HLOOKUP(Standings!CW$3,Entries!$C50:$K50,1,FALSE))),"x",IF(NOT(ISERROR(HLOOKUP(Standings!CW$3,Entries!$L50:$L50,1,FALSE))),"S",""))</f>
        <v>x</v>
      </c>
      <c r="CX58" t="str">
        <f>IF(NOT(ISERROR(HLOOKUP(Standings!CX$3,Entries!$C50:$K50,1,FALSE))),"x",IF(NOT(ISERROR(HLOOKUP(Standings!CX$3,Entries!$L50:$L50,1,FALSE))),"S",""))</f>
        <v/>
      </c>
      <c r="CY58" t="str">
        <f>IF(NOT(ISERROR(HLOOKUP(Standings!CY$3,Entries!$C50:$K50,1,FALSE))),"x",IF(NOT(ISERROR(HLOOKUP(Standings!CY$3,Entries!$L50:$L50,1,FALSE))),"S",""))</f>
        <v/>
      </c>
      <c r="CZ58" t="str">
        <f>IF(NOT(ISERROR(HLOOKUP(Standings!CZ$3,Entries!$C50:$K50,1,FALSE))),"x",IF(NOT(ISERROR(HLOOKUP(Standings!CZ$3,Entries!$L50:$L50,1,FALSE))),"S",""))</f>
        <v>x</v>
      </c>
      <c r="DA58" t="str">
        <f>IF(NOT(ISERROR(HLOOKUP(Standings!DA$3,Entries!$C50:$K50,1,FALSE))),"x",IF(NOT(ISERROR(HLOOKUP(Standings!DA$3,Entries!$L50:$L50,1,FALSE))),"S",""))</f>
        <v/>
      </c>
      <c r="DB58" t="str">
        <f>IF(NOT(ISERROR(HLOOKUP(Standings!DB$3,Entries!$C50:$K50,1,FALSE))),"x",IF(NOT(ISERROR(HLOOKUP(Standings!DB$3,Entries!$L50:$L50,1,FALSE))),"S",""))</f>
        <v/>
      </c>
    </row>
    <row r="59" spans="1:106" x14ac:dyDescent="0.25">
      <c r="B59">
        <v>71</v>
      </c>
      <c r="C59" t="str">
        <f>Entries!B51</f>
        <v>Tony M Pick 2</v>
      </c>
      <c r="D59" s="4">
        <f t="shared" si="53"/>
        <v>18</v>
      </c>
      <c r="E59" s="31">
        <f t="shared" si="54"/>
        <v>2</v>
      </c>
      <c r="F59" s="40" t="str">
        <f t="shared" si="52"/>
        <v/>
      </c>
      <c r="G59" s="41" t="str">
        <f t="shared" si="5"/>
        <v/>
      </c>
      <c r="H59" s="41">
        <f t="shared" si="6"/>
        <v>2</v>
      </c>
      <c r="I59" s="42" t="str">
        <f t="shared" si="7"/>
        <v/>
      </c>
      <c r="J59" s="40" t="str">
        <f t="shared" si="8"/>
        <v/>
      </c>
      <c r="K59" s="41" t="str">
        <f t="shared" si="9"/>
        <v/>
      </c>
      <c r="L59" s="41" t="str">
        <f t="shared" si="10"/>
        <v/>
      </c>
      <c r="M59" s="42" t="str">
        <f t="shared" si="11"/>
        <v/>
      </c>
      <c r="N59" s="43" t="str">
        <f t="shared" si="12"/>
        <v/>
      </c>
      <c r="O59" s="41">
        <f t="shared" si="13"/>
        <v>0</v>
      </c>
      <c r="P59" s="41" t="str">
        <f t="shared" si="14"/>
        <v/>
      </c>
      <c r="Q59" s="42" t="str">
        <f t="shared" si="15"/>
        <v/>
      </c>
      <c r="R59" s="40" t="str">
        <f t="shared" si="16"/>
        <v/>
      </c>
      <c r="S59" s="41" t="str">
        <f t="shared" si="17"/>
        <v/>
      </c>
      <c r="T59" s="43" t="str">
        <f t="shared" si="18"/>
        <v/>
      </c>
      <c r="U59" s="42" t="str">
        <f t="shared" si="19"/>
        <v/>
      </c>
      <c r="V59" s="40" t="str">
        <f t="shared" si="20"/>
        <v/>
      </c>
      <c r="W59" s="41" t="str">
        <f t="shared" si="21"/>
        <v/>
      </c>
      <c r="X59" s="41" t="str">
        <f t="shared" si="22"/>
        <v/>
      </c>
      <c r="Y59" s="42" t="str">
        <f t="shared" si="23"/>
        <v/>
      </c>
      <c r="Z59" s="40" t="str">
        <f t="shared" si="24"/>
        <v/>
      </c>
      <c r="AA59" s="41" t="str">
        <f t="shared" si="25"/>
        <v/>
      </c>
      <c r="AB59" s="41" t="str">
        <f t="shared" si="26"/>
        <v/>
      </c>
      <c r="AC59" s="42" t="str">
        <f t="shared" si="27"/>
        <v/>
      </c>
      <c r="AD59" s="40">
        <f t="shared" si="28"/>
        <v>0</v>
      </c>
      <c r="AE59" s="41" t="str">
        <f t="shared" si="29"/>
        <v/>
      </c>
      <c r="AF59" s="41" t="str">
        <f t="shared" si="30"/>
        <v/>
      </c>
      <c r="AG59" s="42" t="str">
        <f t="shared" si="31"/>
        <v/>
      </c>
      <c r="AH59" s="40">
        <f t="shared" si="32"/>
        <v>0</v>
      </c>
      <c r="AI59" s="41" t="str">
        <f t="shared" si="33"/>
        <v/>
      </c>
      <c r="AJ59" s="41" t="str">
        <f t="shared" si="34"/>
        <v/>
      </c>
      <c r="AK59" s="42" t="str">
        <f t="shared" si="35"/>
        <v/>
      </c>
      <c r="AL59" s="40" t="str">
        <f t="shared" si="36"/>
        <v/>
      </c>
      <c r="AM59" s="41" t="str">
        <f t="shared" si="37"/>
        <v/>
      </c>
      <c r="AN59" s="41" t="str">
        <f t="shared" si="38"/>
        <v/>
      </c>
      <c r="AO59" s="42" t="str">
        <f t="shared" si="39"/>
        <v/>
      </c>
      <c r="AP59" s="40">
        <f t="shared" si="40"/>
        <v>-1.0000000000000001E-5</v>
      </c>
      <c r="AQ59" s="41" t="str">
        <f t="shared" si="41"/>
        <v/>
      </c>
      <c r="AR59" s="41">
        <f t="shared" si="42"/>
        <v>0</v>
      </c>
      <c r="AS59" s="42" t="str">
        <f t="shared" si="43"/>
        <v/>
      </c>
      <c r="AT59" s="40" t="str">
        <f t="shared" si="44"/>
        <v/>
      </c>
      <c r="AU59" s="41" t="str">
        <f t="shared" si="45"/>
        <v/>
      </c>
      <c r="AV59" s="41" t="str">
        <f t="shared" si="46"/>
        <v/>
      </c>
      <c r="AW59" s="42" t="str">
        <f t="shared" si="47"/>
        <v/>
      </c>
      <c r="AX59" s="40" t="str">
        <f t="shared" si="48"/>
        <v/>
      </c>
      <c r="AY59" s="41" t="str">
        <f t="shared" si="49"/>
        <v/>
      </c>
      <c r="AZ59" s="41" t="str">
        <f t="shared" si="50"/>
        <v/>
      </c>
      <c r="BA59" s="42" t="str">
        <f t="shared" si="51"/>
        <v/>
      </c>
      <c r="BB59" s="37" t="s">
        <v>106</v>
      </c>
      <c r="BC59" s="21"/>
      <c r="BD59" s="21"/>
      <c r="BG59" t="str">
        <f>IF(NOT(ISERROR(HLOOKUP(Standings!BG$3,Entries!$C51:$K51,1,FALSE))),"x",IF(NOT(ISERROR(HLOOKUP(Standings!BG$3,Entries!$L51:$L51,1,FALSE))),"S",""))</f>
        <v/>
      </c>
      <c r="BH59" t="str">
        <f>IF(NOT(ISERROR(HLOOKUP(Standings!BH$3,Entries!$C51:$K51,1,FALSE))),"x",IF(NOT(ISERROR(HLOOKUP(Standings!BH$3,Entries!$L51:$L51,1,FALSE))),"S",""))</f>
        <v/>
      </c>
      <c r="BI59" t="str">
        <f>IF(NOT(ISERROR(HLOOKUP(Standings!BI$3,Entries!$C51:$K51,1,FALSE))),"x",IF(NOT(ISERROR(HLOOKUP(Standings!BI$3,Entries!$L51:$L51,1,FALSE))),"S",""))</f>
        <v>x</v>
      </c>
      <c r="BJ59" t="str">
        <f>IF(NOT(ISERROR(HLOOKUP(Standings!BJ$3,Entries!$C51:$K51,1,FALSE))),"x",IF(NOT(ISERROR(HLOOKUP(Standings!BJ$3,Entries!$L51:$L51,1,FALSE))),"S",""))</f>
        <v/>
      </c>
      <c r="BK59" t="str">
        <f>IF(NOT(ISERROR(HLOOKUP(Standings!BK$3,Entries!$C51:$K51,1,FALSE))),"x",IF(NOT(ISERROR(HLOOKUP(Standings!BK$3,Entries!$L51:$L51,1,FALSE))),"S",""))</f>
        <v/>
      </c>
      <c r="BL59" t="str">
        <f>IF(NOT(ISERROR(HLOOKUP(Standings!BL$3,Entries!$C51:$K51,1,FALSE))),"x",IF(NOT(ISERROR(HLOOKUP(Standings!BL$3,Entries!$L51:$L51,1,FALSE))),"S",""))</f>
        <v/>
      </c>
      <c r="BM59" t="str">
        <f>IF(NOT(ISERROR(HLOOKUP(Standings!BM$3,Entries!$C51:$K51,1,FALSE))),"x",IF(NOT(ISERROR(HLOOKUP(Standings!BM$3,Entries!$L51:$L51,1,FALSE))),"S",""))</f>
        <v/>
      </c>
      <c r="BN59" t="str">
        <f>IF(NOT(ISERROR(HLOOKUP(Standings!BN$3,Entries!$C51:$K51,1,FALSE))),"x",IF(NOT(ISERROR(HLOOKUP(Standings!BN$3,Entries!$L51:$L51,1,FALSE))),"S",""))</f>
        <v/>
      </c>
      <c r="BO59" t="str">
        <f>IF(NOT(ISERROR(HLOOKUP(Standings!BO$3,Entries!$C51:$K51,1,FALSE))),"x",IF(NOT(ISERROR(HLOOKUP(Standings!BO$3,Entries!$L51:$L51,1,FALSE))),"S",""))</f>
        <v/>
      </c>
      <c r="BP59" t="str">
        <f>IF(NOT(ISERROR(HLOOKUP(Standings!BP$3,Entries!$C51:$K51,1,FALSE))),"x",IF(NOT(ISERROR(HLOOKUP(Standings!BP$3,Entries!$L51:$L51,1,FALSE))),"S",""))</f>
        <v>x</v>
      </c>
      <c r="BQ59" t="str">
        <f>IF(NOT(ISERROR(HLOOKUP(Standings!BQ$3,Entries!$C51:$K51,1,FALSE))),"x",IF(NOT(ISERROR(HLOOKUP(Standings!BQ$3,Entries!$L51:$L51,1,FALSE))),"S",""))</f>
        <v/>
      </c>
      <c r="BR59" t="str">
        <f>IF(NOT(ISERROR(HLOOKUP(Standings!BR$3,Entries!$C51:$K51,1,FALSE))),"x",IF(NOT(ISERROR(HLOOKUP(Standings!BR$3,Entries!$L51:$L51,1,FALSE))),"S",""))</f>
        <v/>
      </c>
      <c r="BS59" t="str">
        <f>IF(NOT(ISERROR(HLOOKUP(Standings!BS$3,Entries!$C51:$K51,1,FALSE))),"x",IF(NOT(ISERROR(HLOOKUP(Standings!BS$3,Entries!$L51:$L51,1,FALSE))),"S",""))</f>
        <v/>
      </c>
      <c r="BT59" t="str">
        <f>IF(NOT(ISERROR(HLOOKUP(Standings!BT$3,Entries!$C51:$K51,1,FALSE))),"x",IF(NOT(ISERROR(HLOOKUP(Standings!BT$3,Entries!$L51:$L51,1,FALSE))),"S",""))</f>
        <v/>
      </c>
      <c r="BU59" t="str">
        <f>IF(NOT(ISERROR(HLOOKUP(Standings!BU$3,Entries!$C51:$K51,1,FALSE))),"x",IF(NOT(ISERROR(HLOOKUP(Standings!BU$3,Entries!$L51:$L51,1,FALSE))),"S",""))</f>
        <v/>
      </c>
      <c r="BV59" t="str">
        <f>IF(NOT(ISERROR(HLOOKUP(Standings!BV$3,Entries!$C51:$K51,1,FALSE))),"x",IF(NOT(ISERROR(HLOOKUP(Standings!BV$3,Entries!$L51:$L51,1,FALSE))),"S",""))</f>
        <v/>
      </c>
      <c r="BW59" t="str">
        <f>IF(NOT(ISERROR(HLOOKUP(Standings!BW$3,Entries!$C51:$K51,1,FALSE))),"x",IF(NOT(ISERROR(HLOOKUP(Standings!BW$3,Entries!$L51:$L51,1,FALSE))),"S",""))</f>
        <v/>
      </c>
      <c r="BX59" t="str">
        <f>IF(NOT(ISERROR(HLOOKUP(Standings!BX$3,Entries!$C51:$K51,1,FALSE))),"x",IF(NOT(ISERROR(HLOOKUP(Standings!BX$3,Entries!$L51:$L51,1,FALSE))),"S",""))</f>
        <v/>
      </c>
      <c r="BY59" t="str">
        <f>IF(NOT(ISERROR(HLOOKUP(Standings!BY$3,Entries!$C51:$K51,1,FALSE))),"x",IF(NOT(ISERROR(HLOOKUP(Standings!BY$3,Entries!$L51:$L51,1,FALSE))),"S",""))</f>
        <v/>
      </c>
      <c r="BZ59" t="str">
        <f>IF(NOT(ISERROR(HLOOKUP(Standings!BZ$3,Entries!$C51:$K51,1,FALSE))),"x",IF(NOT(ISERROR(HLOOKUP(Standings!BZ$3,Entries!$L51:$L51,1,FALSE))),"S",""))</f>
        <v/>
      </c>
      <c r="CA59" t="str">
        <f>IF(NOT(ISERROR(HLOOKUP(Standings!CA$3,Entries!$C51:$K51,1,FALSE))),"x",IF(NOT(ISERROR(HLOOKUP(Standings!CA$3,Entries!$L51:$L51,1,FALSE))),"S",""))</f>
        <v/>
      </c>
      <c r="CB59" t="str">
        <f>IF(NOT(ISERROR(HLOOKUP(Standings!CB$3,Entries!$C51:$K51,1,FALSE))),"x",IF(NOT(ISERROR(HLOOKUP(Standings!CB$3,Entries!$L51:$L51,1,FALSE))),"S",""))</f>
        <v/>
      </c>
      <c r="CC59" t="str">
        <f>IF(NOT(ISERROR(HLOOKUP(Standings!CC$3,Entries!$C51:$K51,1,FALSE))),"x",IF(NOT(ISERROR(HLOOKUP(Standings!CC$3,Entries!$L51:$L51,1,FALSE))),"S",""))</f>
        <v/>
      </c>
      <c r="CD59" t="str">
        <f>IF(NOT(ISERROR(HLOOKUP(Standings!CD$3,Entries!$C51:$K51,1,FALSE))),"x",IF(NOT(ISERROR(HLOOKUP(Standings!CD$3,Entries!$L51:$L51,1,FALSE))),"S",""))</f>
        <v/>
      </c>
      <c r="CE59" t="str">
        <f>IF(NOT(ISERROR(HLOOKUP(Standings!CE$3,Entries!$C51:$K51,1,FALSE))),"x",IF(NOT(ISERROR(HLOOKUP(Standings!CE$3,Entries!$L51:$L51,1,FALSE))),"S",""))</f>
        <v>x</v>
      </c>
      <c r="CF59" t="str">
        <f>IF(NOT(ISERROR(HLOOKUP(Standings!CF$3,Entries!$C51:$K51,1,FALSE))),"x",IF(NOT(ISERROR(HLOOKUP(Standings!CF$3,Entries!$L51:$L51,1,FALSE))),"S",""))</f>
        <v/>
      </c>
      <c r="CG59" t="str">
        <f>IF(NOT(ISERROR(HLOOKUP(Standings!CG$3,Entries!$C51:$K51,1,FALSE))),"x",IF(NOT(ISERROR(HLOOKUP(Standings!CG$3,Entries!$L51:$L51,1,FALSE))),"S",""))</f>
        <v/>
      </c>
      <c r="CH59" t="str">
        <f>IF(NOT(ISERROR(HLOOKUP(Standings!CH$3,Entries!$C51:$K51,1,FALSE))),"x",IF(NOT(ISERROR(HLOOKUP(Standings!CH$3,Entries!$L51:$L51,1,FALSE))),"S",""))</f>
        <v/>
      </c>
      <c r="CI59" t="str">
        <f>IF(NOT(ISERROR(HLOOKUP(Standings!CI$3,Entries!$C51:$K51,1,FALSE))),"x",IF(NOT(ISERROR(HLOOKUP(Standings!CI$3,Entries!$L51:$L51,1,FALSE))),"S",""))</f>
        <v>x</v>
      </c>
      <c r="CJ59" t="str">
        <f>IF(NOT(ISERROR(HLOOKUP(Standings!CJ$3,Entries!$C51:$K51,1,FALSE))),"x",IF(NOT(ISERROR(HLOOKUP(Standings!CJ$3,Entries!$L51:$L51,1,FALSE))),"S",""))</f>
        <v/>
      </c>
      <c r="CK59" t="str">
        <f>IF(NOT(ISERROR(HLOOKUP(Standings!CK$3,Entries!$C51:$K51,1,FALSE))),"x",IF(NOT(ISERROR(HLOOKUP(Standings!CK$3,Entries!$L51:$L51,1,FALSE))),"S",""))</f>
        <v/>
      </c>
      <c r="CL59" t="str">
        <f>IF(NOT(ISERROR(HLOOKUP(Standings!CL$3,Entries!$C51:$K51,1,FALSE))),"x",IF(NOT(ISERROR(HLOOKUP(Standings!CL$3,Entries!$L51:$L51,1,FALSE))),"S",""))</f>
        <v/>
      </c>
      <c r="CM59" t="str">
        <f>IF(NOT(ISERROR(HLOOKUP(Standings!CM$3,Entries!$C51:$K51,1,FALSE))),"x",IF(NOT(ISERROR(HLOOKUP(Standings!CM$3,Entries!$L51:$L51,1,FALSE))),"S",""))</f>
        <v/>
      </c>
      <c r="CN59" t="str">
        <f>IF(NOT(ISERROR(HLOOKUP(Standings!CN$3,Entries!$C51:$K51,1,FALSE))),"x",IF(NOT(ISERROR(HLOOKUP(Standings!CN$3,Entries!$L51:$L51,1,FALSE))),"S",""))</f>
        <v/>
      </c>
      <c r="CO59" t="str">
        <f>IF(NOT(ISERROR(HLOOKUP(Standings!CO$3,Entries!$C51:$K51,1,FALSE))),"x",IF(NOT(ISERROR(HLOOKUP(Standings!CO$3,Entries!$L51:$L51,1,FALSE))),"S",""))</f>
        <v/>
      </c>
      <c r="CP59" t="str">
        <f>IF(NOT(ISERROR(HLOOKUP(Standings!CP$3,Entries!$C51:$K51,1,FALSE))),"x",IF(NOT(ISERROR(HLOOKUP(Standings!CP$3,Entries!$L51:$L51,1,FALSE))),"S",""))</f>
        <v/>
      </c>
      <c r="CQ59" t="str">
        <f>IF(NOT(ISERROR(HLOOKUP(Standings!CQ$3,Entries!$C51:$K51,1,FALSE))),"x",IF(NOT(ISERROR(HLOOKUP(Standings!CQ$3,Entries!$L51:$L51,1,FALSE))),"S",""))</f>
        <v>S</v>
      </c>
      <c r="CR59" t="str">
        <f>IF(NOT(ISERROR(HLOOKUP(Standings!CR$3,Entries!$C51:$K51,1,FALSE))),"x",IF(NOT(ISERROR(HLOOKUP(Standings!CR$3,Entries!$L51:$L51,1,FALSE))),"S",""))</f>
        <v/>
      </c>
      <c r="CS59" t="str">
        <f>IF(NOT(ISERROR(HLOOKUP(Standings!CS$3,Entries!$C51:$K51,1,FALSE))),"x",IF(NOT(ISERROR(HLOOKUP(Standings!CS$3,Entries!$L51:$L51,1,FALSE))),"S",""))</f>
        <v>x</v>
      </c>
      <c r="CT59" t="str">
        <f>IF(NOT(ISERROR(HLOOKUP(Standings!CT$3,Entries!$C51:$K51,1,FALSE))),"x",IF(NOT(ISERROR(HLOOKUP(Standings!CT$3,Entries!$L51:$L51,1,FALSE))),"S",""))</f>
        <v/>
      </c>
      <c r="CU59" t="str">
        <f>IF(NOT(ISERROR(HLOOKUP(Standings!CU$3,Entries!$C51:$K51,1,FALSE))),"x",IF(NOT(ISERROR(HLOOKUP(Standings!CU$3,Entries!$L51:$L51,1,FALSE))),"S",""))</f>
        <v/>
      </c>
      <c r="CV59" t="str">
        <f>IF(NOT(ISERROR(HLOOKUP(Standings!CV$3,Entries!$C51:$K51,1,FALSE))),"x",IF(NOT(ISERROR(HLOOKUP(Standings!CV$3,Entries!$L51:$L51,1,FALSE))),"S",""))</f>
        <v/>
      </c>
      <c r="CW59" t="str">
        <f>IF(NOT(ISERROR(HLOOKUP(Standings!CW$3,Entries!$C51:$K51,1,FALSE))),"x",IF(NOT(ISERROR(HLOOKUP(Standings!CW$3,Entries!$L51:$L51,1,FALSE))),"S",""))</f>
        <v/>
      </c>
      <c r="CX59" t="str">
        <f>IF(NOT(ISERROR(HLOOKUP(Standings!CX$3,Entries!$C51:$K51,1,FALSE))),"x",IF(NOT(ISERROR(HLOOKUP(Standings!CX$3,Entries!$L51:$L51,1,FALSE))),"S",""))</f>
        <v/>
      </c>
      <c r="CY59" t="str">
        <f>IF(NOT(ISERROR(HLOOKUP(Standings!CY$3,Entries!$C51:$K51,1,FALSE))),"x",IF(NOT(ISERROR(HLOOKUP(Standings!CY$3,Entries!$L51:$L51,1,FALSE))),"S",""))</f>
        <v/>
      </c>
      <c r="CZ59" t="str">
        <f>IF(NOT(ISERROR(HLOOKUP(Standings!CZ$3,Entries!$C51:$K51,1,FALSE))),"x",IF(NOT(ISERROR(HLOOKUP(Standings!CZ$3,Entries!$L51:$L51,1,FALSE))),"S",""))</f>
        <v/>
      </c>
      <c r="DA59" t="str">
        <f>IF(NOT(ISERROR(HLOOKUP(Standings!DA$3,Entries!$C51:$K51,1,FALSE))),"x",IF(NOT(ISERROR(HLOOKUP(Standings!DA$3,Entries!$L51:$L51,1,FALSE))),"S",""))</f>
        <v/>
      </c>
      <c r="DB59" t="str">
        <f>IF(NOT(ISERROR(HLOOKUP(Standings!DB$3,Entries!$C51:$K51,1,FALSE))),"x",IF(NOT(ISERROR(HLOOKUP(Standings!DB$3,Entries!$L51:$L51,1,FALSE))),"S",""))</f>
        <v/>
      </c>
    </row>
    <row r="60" spans="1:106" x14ac:dyDescent="0.25">
      <c r="B60">
        <v>44</v>
      </c>
      <c r="C60" t="str">
        <f>Entries!B52</f>
        <v>ZachSchaefer1</v>
      </c>
      <c r="D60" s="4">
        <f t="shared" si="53"/>
        <v>18</v>
      </c>
      <c r="E60" s="31">
        <f t="shared" si="54"/>
        <v>2</v>
      </c>
      <c r="F60" s="40" t="str">
        <f t="shared" si="52"/>
        <v/>
      </c>
      <c r="G60" s="41" t="str">
        <f t="shared" si="5"/>
        <v/>
      </c>
      <c r="H60" s="41">
        <f t="shared" si="6"/>
        <v>2</v>
      </c>
      <c r="I60" s="42" t="str">
        <f t="shared" si="7"/>
        <v/>
      </c>
      <c r="J60" s="40" t="str">
        <f t="shared" si="8"/>
        <v/>
      </c>
      <c r="K60" s="41" t="str">
        <f t="shared" si="9"/>
        <v/>
      </c>
      <c r="L60" s="41" t="str">
        <f t="shared" si="10"/>
        <v/>
      </c>
      <c r="M60" s="42" t="str">
        <f t="shared" si="11"/>
        <v/>
      </c>
      <c r="N60" s="43" t="str">
        <f t="shared" si="12"/>
        <v/>
      </c>
      <c r="O60" s="41">
        <f t="shared" si="13"/>
        <v>0</v>
      </c>
      <c r="P60" s="41" t="str">
        <f t="shared" si="14"/>
        <v/>
      </c>
      <c r="Q60" s="42" t="str">
        <f t="shared" si="15"/>
        <v/>
      </c>
      <c r="R60" s="40" t="str">
        <f t="shared" si="16"/>
        <v/>
      </c>
      <c r="S60" s="41" t="str">
        <f t="shared" si="17"/>
        <v/>
      </c>
      <c r="T60" s="43">
        <f t="shared" si="18"/>
        <v>0</v>
      </c>
      <c r="U60" s="42">
        <f t="shared" si="19"/>
        <v>-1.0000000000000001E-5</v>
      </c>
      <c r="V60" s="40" t="str">
        <f t="shared" si="20"/>
        <v/>
      </c>
      <c r="W60" s="41" t="str">
        <f t="shared" si="21"/>
        <v/>
      </c>
      <c r="X60" s="41" t="str">
        <f t="shared" si="22"/>
        <v/>
      </c>
      <c r="Y60" s="42">
        <f t="shared" si="23"/>
        <v>0</v>
      </c>
      <c r="Z60" s="40" t="str">
        <f t="shared" si="24"/>
        <v/>
      </c>
      <c r="AA60" s="41">
        <f t="shared" si="25"/>
        <v>0</v>
      </c>
      <c r="AB60" s="41" t="str">
        <f t="shared" si="26"/>
        <v/>
      </c>
      <c r="AC60" s="42" t="str">
        <f t="shared" si="27"/>
        <v/>
      </c>
      <c r="AD60" s="40" t="str">
        <f t="shared" si="28"/>
        <v/>
      </c>
      <c r="AE60" s="41" t="str">
        <f t="shared" si="29"/>
        <v/>
      </c>
      <c r="AF60" s="41">
        <f t="shared" si="30"/>
        <v>0</v>
      </c>
      <c r="AG60" s="42" t="str">
        <f t="shared" si="31"/>
        <v/>
      </c>
      <c r="AH60" s="40" t="str">
        <f t="shared" si="32"/>
        <v/>
      </c>
      <c r="AI60" s="41" t="str">
        <f t="shared" si="33"/>
        <v/>
      </c>
      <c r="AJ60" s="41" t="str">
        <f t="shared" si="34"/>
        <v/>
      </c>
      <c r="AK60" s="42" t="str">
        <f t="shared" si="35"/>
        <v/>
      </c>
      <c r="AL60" s="40" t="str">
        <f t="shared" si="36"/>
        <v/>
      </c>
      <c r="AM60" s="41">
        <f t="shared" si="37"/>
        <v>0</v>
      </c>
      <c r="AN60" s="41" t="str">
        <f t="shared" si="38"/>
        <v/>
      </c>
      <c r="AO60" s="42" t="str">
        <f t="shared" si="39"/>
        <v/>
      </c>
      <c r="AP60" s="40" t="str">
        <f t="shared" si="40"/>
        <v/>
      </c>
      <c r="AQ60" s="41" t="str">
        <f t="shared" si="41"/>
        <v/>
      </c>
      <c r="AR60" s="41" t="str">
        <f t="shared" si="42"/>
        <v/>
      </c>
      <c r="AS60" s="42" t="str">
        <f t="shared" si="43"/>
        <v/>
      </c>
      <c r="AT60" s="40" t="str">
        <f t="shared" si="44"/>
        <v/>
      </c>
      <c r="AU60" s="41" t="str">
        <f t="shared" si="45"/>
        <v/>
      </c>
      <c r="AV60" s="41" t="str">
        <f t="shared" si="46"/>
        <v/>
      </c>
      <c r="AW60" s="42">
        <f t="shared" si="47"/>
        <v>0</v>
      </c>
      <c r="AX60" s="40" t="str">
        <f t="shared" si="48"/>
        <v/>
      </c>
      <c r="AY60" s="41">
        <f t="shared" si="49"/>
        <v>0</v>
      </c>
      <c r="AZ60" s="41" t="str">
        <f t="shared" si="50"/>
        <v/>
      </c>
      <c r="BA60" s="42" t="str">
        <f t="shared" si="51"/>
        <v/>
      </c>
      <c r="BB60" s="37" t="s">
        <v>106</v>
      </c>
      <c r="BC60" s="21"/>
      <c r="BD60" s="21"/>
      <c r="BG60" t="str">
        <f>IF(NOT(ISERROR(HLOOKUP(Standings!BG$3,Entries!$C52:$K52,1,FALSE))),"x",IF(NOT(ISERROR(HLOOKUP(Standings!BG$3,Entries!$L52:$L52,1,FALSE))),"S",""))</f>
        <v/>
      </c>
      <c r="BH60" t="str">
        <f>IF(NOT(ISERROR(HLOOKUP(Standings!BH$3,Entries!$C52:$K52,1,FALSE))),"x",IF(NOT(ISERROR(HLOOKUP(Standings!BH$3,Entries!$L52:$L52,1,FALSE))),"S",""))</f>
        <v/>
      </c>
      <c r="BI60" t="str">
        <f>IF(NOT(ISERROR(HLOOKUP(Standings!BI$3,Entries!$C52:$K52,1,FALSE))),"x",IF(NOT(ISERROR(HLOOKUP(Standings!BI$3,Entries!$L52:$L52,1,FALSE))),"S",""))</f>
        <v>x</v>
      </c>
      <c r="BJ60" t="str">
        <f>IF(NOT(ISERROR(HLOOKUP(Standings!BJ$3,Entries!$C52:$K52,1,FALSE))),"x",IF(NOT(ISERROR(HLOOKUP(Standings!BJ$3,Entries!$L52:$L52,1,FALSE))),"S",""))</f>
        <v/>
      </c>
      <c r="BK60" t="str">
        <f>IF(NOT(ISERROR(HLOOKUP(Standings!BK$3,Entries!$C52:$K52,1,FALSE))),"x",IF(NOT(ISERROR(HLOOKUP(Standings!BK$3,Entries!$L52:$L52,1,FALSE))),"S",""))</f>
        <v/>
      </c>
      <c r="BL60" t="str">
        <f>IF(NOT(ISERROR(HLOOKUP(Standings!BL$3,Entries!$C52:$K52,1,FALSE))),"x",IF(NOT(ISERROR(HLOOKUP(Standings!BL$3,Entries!$L52:$L52,1,FALSE))),"S",""))</f>
        <v/>
      </c>
      <c r="BM60" t="str">
        <f>IF(NOT(ISERROR(HLOOKUP(Standings!BM$3,Entries!$C52:$K52,1,FALSE))),"x",IF(NOT(ISERROR(HLOOKUP(Standings!BM$3,Entries!$L52:$L52,1,FALSE))),"S",""))</f>
        <v/>
      </c>
      <c r="BN60" t="str">
        <f>IF(NOT(ISERROR(HLOOKUP(Standings!BN$3,Entries!$C52:$K52,1,FALSE))),"x",IF(NOT(ISERROR(HLOOKUP(Standings!BN$3,Entries!$L52:$L52,1,FALSE))),"S",""))</f>
        <v/>
      </c>
      <c r="BO60" t="str">
        <f>IF(NOT(ISERROR(HLOOKUP(Standings!BO$3,Entries!$C52:$K52,1,FALSE))),"x",IF(NOT(ISERROR(HLOOKUP(Standings!BO$3,Entries!$L52:$L52,1,FALSE))),"S",""))</f>
        <v/>
      </c>
      <c r="BP60" t="str">
        <f>IF(NOT(ISERROR(HLOOKUP(Standings!BP$3,Entries!$C52:$K52,1,FALSE))),"x",IF(NOT(ISERROR(HLOOKUP(Standings!BP$3,Entries!$L52:$L52,1,FALSE))),"S",""))</f>
        <v>x</v>
      </c>
      <c r="BQ60" t="str">
        <f>IF(NOT(ISERROR(HLOOKUP(Standings!BQ$3,Entries!$C52:$K52,1,FALSE))),"x",IF(NOT(ISERROR(HLOOKUP(Standings!BQ$3,Entries!$L52:$L52,1,FALSE))),"S",""))</f>
        <v/>
      </c>
      <c r="BR60" t="str">
        <f>IF(NOT(ISERROR(HLOOKUP(Standings!BR$3,Entries!$C52:$K52,1,FALSE))),"x",IF(NOT(ISERROR(HLOOKUP(Standings!BR$3,Entries!$L52:$L52,1,FALSE))),"S",""))</f>
        <v/>
      </c>
      <c r="BS60" t="str">
        <f>IF(NOT(ISERROR(HLOOKUP(Standings!BS$3,Entries!$C52:$K52,1,FALSE))),"x",IF(NOT(ISERROR(HLOOKUP(Standings!BS$3,Entries!$L52:$L52,1,FALSE))),"S",""))</f>
        <v/>
      </c>
      <c r="BT60" t="str">
        <f>IF(NOT(ISERROR(HLOOKUP(Standings!BT$3,Entries!$C52:$K52,1,FALSE))),"x",IF(NOT(ISERROR(HLOOKUP(Standings!BT$3,Entries!$L52:$L52,1,FALSE))),"S",""))</f>
        <v/>
      </c>
      <c r="BU60" t="str">
        <f>IF(NOT(ISERROR(HLOOKUP(Standings!BU$3,Entries!$C52:$K52,1,FALSE))),"x",IF(NOT(ISERROR(HLOOKUP(Standings!BU$3,Entries!$L52:$L52,1,FALSE))),"S",""))</f>
        <v>x</v>
      </c>
      <c r="BV60" t="str">
        <f>IF(NOT(ISERROR(HLOOKUP(Standings!BV$3,Entries!$C52:$K52,1,FALSE))),"x",IF(NOT(ISERROR(HLOOKUP(Standings!BV$3,Entries!$L52:$L52,1,FALSE))),"S",""))</f>
        <v>S</v>
      </c>
      <c r="BW60" t="str">
        <f>IF(NOT(ISERROR(HLOOKUP(Standings!BW$3,Entries!$C52:$K52,1,FALSE))),"x",IF(NOT(ISERROR(HLOOKUP(Standings!BW$3,Entries!$L52:$L52,1,FALSE))),"S",""))</f>
        <v/>
      </c>
      <c r="BX60" t="str">
        <f>IF(NOT(ISERROR(HLOOKUP(Standings!BX$3,Entries!$C52:$K52,1,FALSE))),"x",IF(NOT(ISERROR(HLOOKUP(Standings!BX$3,Entries!$L52:$L52,1,FALSE))),"S",""))</f>
        <v/>
      </c>
      <c r="BY60" t="str">
        <f>IF(NOT(ISERROR(HLOOKUP(Standings!BY$3,Entries!$C52:$K52,1,FALSE))),"x",IF(NOT(ISERROR(HLOOKUP(Standings!BY$3,Entries!$L52:$L52,1,FALSE))),"S",""))</f>
        <v/>
      </c>
      <c r="BZ60" t="str">
        <f>IF(NOT(ISERROR(HLOOKUP(Standings!BZ$3,Entries!$C52:$K52,1,FALSE))),"x",IF(NOT(ISERROR(HLOOKUP(Standings!BZ$3,Entries!$L52:$L52,1,FALSE))),"S",""))</f>
        <v>x</v>
      </c>
      <c r="CA60" t="str">
        <f>IF(NOT(ISERROR(HLOOKUP(Standings!CA$3,Entries!$C52:$K52,1,FALSE))),"x",IF(NOT(ISERROR(HLOOKUP(Standings!CA$3,Entries!$L52:$L52,1,FALSE))),"S",""))</f>
        <v/>
      </c>
      <c r="CB60" t="str">
        <f>IF(NOT(ISERROR(HLOOKUP(Standings!CB$3,Entries!$C52:$K52,1,FALSE))),"x",IF(NOT(ISERROR(HLOOKUP(Standings!CB$3,Entries!$L52:$L52,1,FALSE))),"S",""))</f>
        <v>x</v>
      </c>
      <c r="CC60" t="str">
        <f>IF(NOT(ISERROR(HLOOKUP(Standings!CC$3,Entries!$C52:$K52,1,FALSE))),"x",IF(NOT(ISERROR(HLOOKUP(Standings!CC$3,Entries!$L52:$L52,1,FALSE))),"S",""))</f>
        <v/>
      </c>
      <c r="CD60" t="str">
        <f>IF(NOT(ISERROR(HLOOKUP(Standings!CD$3,Entries!$C52:$K52,1,FALSE))),"x",IF(NOT(ISERROR(HLOOKUP(Standings!CD$3,Entries!$L52:$L52,1,FALSE))),"S",""))</f>
        <v/>
      </c>
      <c r="CE60" t="str">
        <f>IF(NOT(ISERROR(HLOOKUP(Standings!CE$3,Entries!$C52:$K52,1,FALSE))),"x",IF(NOT(ISERROR(HLOOKUP(Standings!CE$3,Entries!$L52:$L52,1,FALSE))),"S",""))</f>
        <v/>
      </c>
      <c r="CF60" t="str">
        <f>IF(NOT(ISERROR(HLOOKUP(Standings!CF$3,Entries!$C52:$K52,1,FALSE))),"x",IF(NOT(ISERROR(HLOOKUP(Standings!CF$3,Entries!$L52:$L52,1,FALSE))),"S",""))</f>
        <v/>
      </c>
      <c r="CG60" t="str">
        <f>IF(NOT(ISERROR(HLOOKUP(Standings!CG$3,Entries!$C52:$K52,1,FALSE))),"x",IF(NOT(ISERROR(HLOOKUP(Standings!CG$3,Entries!$L52:$L52,1,FALSE))),"S",""))</f>
        <v>x</v>
      </c>
      <c r="CH60" t="str">
        <f>IF(NOT(ISERROR(HLOOKUP(Standings!CH$3,Entries!$C52:$K52,1,FALSE))),"x",IF(NOT(ISERROR(HLOOKUP(Standings!CH$3,Entries!$L52:$L52,1,FALSE))),"S",""))</f>
        <v/>
      </c>
      <c r="CI60" t="str">
        <f>IF(NOT(ISERROR(HLOOKUP(Standings!CI$3,Entries!$C52:$K52,1,FALSE))),"x",IF(NOT(ISERROR(HLOOKUP(Standings!CI$3,Entries!$L52:$L52,1,FALSE))),"S",""))</f>
        <v/>
      </c>
      <c r="CJ60" t="str">
        <f>IF(NOT(ISERROR(HLOOKUP(Standings!CJ$3,Entries!$C52:$K52,1,FALSE))),"x",IF(NOT(ISERROR(HLOOKUP(Standings!CJ$3,Entries!$L52:$L52,1,FALSE))),"S",""))</f>
        <v/>
      </c>
      <c r="CK60" t="str">
        <f>IF(NOT(ISERROR(HLOOKUP(Standings!CK$3,Entries!$C52:$K52,1,FALSE))),"x",IF(NOT(ISERROR(HLOOKUP(Standings!CK$3,Entries!$L52:$L52,1,FALSE))),"S",""))</f>
        <v/>
      </c>
      <c r="CL60" t="str">
        <f>IF(NOT(ISERROR(HLOOKUP(Standings!CL$3,Entries!$C52:$K52,1,FALSE))),"x",IF(NOT(ISERROR(HLOOKUP(Standings!CL$3,Entries!$L52:$L52,1,FALSE))),"S",""))</f>
        <v/>
      </c>
      <c r="CM60" t="str">
        <f>IF(NOT(ISERROR(HLOOKUP(Standings!CM$3,Entries!$C52:$K52,1,FALSE))),"x",IF(NOT(ISERROR(HLOOKUP(Standings!CM$3,Entries!$L52:$L52,1,FALSE))),"S",""))</f>
        <v/>
      </c>
      <c r="CN60" t="str">
        <f>IF(NOT(ISERROR(HLOOKUP(Standings!CN$3,Entries!$C52:$K52,1,FALSE))),"x",IF(NOT(ISERROR(HLOOKUP(Standings!CN$3,Entries!$L52:$L52,1,FALSE))),"S",""))</f>
        <v>x</v>
      </c>
      <c r="CO60" t="str">
        <f>IF(NOT(ISERROR(HLOOKUP(Standings!CO$3,Entries!$C52:$K52,1,FALSE))),"x",IF(NOT(ISERROR(HLOOKUP(Standings!CO$3,Entries!$L52:$L52,1,FALSE))),"S",""))</f>
        <v/>
      </c>
      <c r="CP60" t="str">
        <f>IF(NOT(ISERROR(HLOOKUP(Standings!CP$3,Entries!$C52:$K52,1,FALSE))),"x",IF(NOT(ISERROR(HLOOKUP(Standings!CP$3,Entries!$L52:$L52,1,FALSE))),"S",""))</f>
        <v/>
      </c>
      <c r="CQ60" t="str">
        <f>IF(NOT(ISERROR(HLOOKUP(Standings!CQ$3,Entries!$C52:$K52,1,FALSE))),"x",IF(NOT(ISERROR(HLOOKUP(Standings!CQ$3,Entries!$L52:$L52,1,FALSE))),"S",""))</f>
        <v/>
      </c>
      <c r="CR60" t="str">
        <f>IF(NOT(ISERROR(HLOOKUP(Standings!CR$3,Entries!$C52:$K52,1,FALSE))),"x",IF(NOT(ISERROR(HLOOKUP(Standings!CR$3,Entries!$L52:$L52,1,FALSE))),"S",""))</f>
        <v/>
      </c>
      <c r="CS60" t="str">
        <f>IF(NOT(ISERROR(HLOOKUP(Standings!CS$3,Entries!$C52:$K52,1,FALSE))),"x",IF(NOT(ISERROR(HLOOKUP(Standings!CS$3,Entries!$L52:$L52,1,FALSE))),"S",""))</f>
        <v/>
      </c>
      <c r="CT60" t="str">
        <f>IF(NOT(ISERROR(HLOOKUP(Standings!CT$3,Entries!$C52:$K52,1,FALSE))),"x",IF(NOT(ISERROR(HLOOKUP(Standings!CT$3,Entries!$L52:$L52,1,FALSE))),"S",""))</f>
        <v/>
      </c>
      <c r="CU60" t="str">
        <f>IF(NOT(ISERROR(HLOOKUP(Standings!CU$3,Entries!$C52:$K52,1,FALSE))),"x",IF(NOT(ISERROR(HLOOKUP(Standings!CU$3,Entries!$L52:$L52,1,FALSE))),"S",""))</f>
        <v/>
      </c>
      <c r="CV60" t="str">
        <f>IF(NOT(ISERROR(HLOOKUP(Standings!CV$3,Entries!$C52:$K52,1,FALSE))),"x",IF(NOT(ISERROR(HLOOKUP(Standings!CV$3,Entries!$L52:$L52,1,FALSE))),"S",""))</f>
        <v/>
      </c>
      <c r="CW60" t="str">
        <f>IF(NOT(ISERROR(HLOOKUP(Standings!CW$3,Entries!$C52:$K52,1,FALSE))),"x",IF(NOT(ISERROR(HLOOKUP(Standings!CW$3,Entries!$L52:$L52,1,FALSE))),"S",""))</f>
        <v/>
      </c>
      <c r="CX60" t="str">
        <f>IF(NOT(ISERROR(HLOOKUP(Standings!CX$3,Entries!$C52:$K52,1,FALSE))),"x",IF(NOT(ISERROR(HLOOKUP(Standings!CX$3,Entries!$L52:$L52,1,FALSE))),"S",""))</f>
        <v>x</v>
      </c>
      <c r="CY60" t="str">
        <f>IF(NOT(ISERROR(HLOOKUP(Standings!CY$3,Entries!$C52:$K52,1,FALSE))),"x",IF(NOT(ISERROR(HLOOKUP(Standings!CY$3,Entries!$L52:$L52,1,FALSE))),"S",""))</f>
        <v/>
      </c>
      <c r="CZ60" t="str">
        <f>IF(NOT(ISERROR(HLOOKUP(Standings!CZ$3,Entries!$C52:$K52,1,FALSE))),"x",IF(NOT(ISERROR(HLOOKUP(Standings!CZ$3,Entries!$L52:$L52,1,FALSE))),"S",""))</f>
        <v>x</v>
      </c>
      <c r="DA60" t="str">
        <f>IF(NOT(ISERROR(HLOOKUP(Standings!DA$3,Entries!$C52:$K52,1,FALSE))),"x",IF(NOT(ISERROR(HLOOKUP(Standings!DA$3,Entries!$L52:$L52,1,FALSE))),"S",""))</f>
        <v/>
      </c>
      <c r="DB60" t="str">
        <f>IF(NOT(ISERROR(HLOOKUP(Standings!DB$3,Entries!$C52:$K52,1,FALSE))),"x",IF(NOT(ISERROR(HLOOKUP(Standings!DB$3,Entries!$L52:$L52,1,FALSE))),"S",""))</f>
        <v/>
      </c>
    </row>
    <row r="61" spans="1:106" x14ac:dyDescent="0.25">
      <c r="A61" s="18"/>
      <c r="B61">
        <v>58</v>
      </c>
      <c r="C61" t="str">
        <f>Entries!B53</f>
        <v>shoupmicah</v>
      </c>
      <c r="D61" s="4">
        <f t="shared" si="53"/>
        <v>55</v>
      </c>
      <c r="E61" s="31">
        <f t="shared" si="54"/>
        <v>0</v>
      </c>
      <c r="F61" s="40" t="str">
        <f t="shared" si="52"/>
        <v/>
      </c>
      <c r="G61" s="41" t="str">
        <f t="shared" si="5"/>
        <v/>
      </c>
      <c r="H61" s="41" t="str">
        <f t="shared" si="6"/>
        <v/>
      </c>
      <c r="I61" s="42" t="str">
        <f t="shared" si="7"/>
        <v/>
      </c>
      <c r="J61" s="40" t="str">
        <f t="shared" si="8"/>
        <v/>
      </c>
      <c r="K61" s="41" t="str">
        <f t="shared" si="9"/>
        <v/>
      </c>
      <c r="L61" s="41" t="str">
        <f t="shared" si="10"/>
        <v/>
      </c>
      <c r="M61" s="42" t="str">
        <f t="shared" si="11"/>
        <v/>
      </c>
      <c r="N61" s="43" t="str">
        <f t="shared" si="12"/>
        <v/>
      </c>
      <c r="O61" s="41">
        <f t="shared" si="13"/>
        <v>0</v>
      </c>
      <c r="P61" s="41" t="str">
        <f t="shared" si="14"/>
        <v/>
      </c>
      <c r="Q61" s="42" t="str">
        <f t="shared" si="15"/>
        <v/>
      </c>
      <c r="R61" s="40" t="str">
        <f t="shared" si="16"/>
        <v/>
      </c>
      <c r="S61" s="41" t="str">
        <f t="shared" si="17"/>
        <v/>
      </c>
      <c r="T61" s="43" t="str">
        <f t="shared" si="18"/>
        <v/>
      </c>
      <c r="U61" s="42" t="str">
        <f t="shared" si="19"/>
        <v/>
      </c>
      <c r="V61" s="40">
        <f t="shared" si="20"/>
        <v>-1.0000000000000001E-5</v>
      </c>
      <c r="W61" s="41" t="str">
        <f t="shared" si="21"/>
        <v/>
      </c>
      <c r="X61" s="41" t="str">
        <f t="shared" si="22"/>
        <v/>
      </c>
      <c r="Y61" s="42" t="str">
        <f t="shared" si="23"/>
        <v/>
      </c>
      <c r="Z61" s="40" t="str">
        <f t="shared" si="24"/>
        <v/>
      </c>
      <c r="AA61" s="41" t="str">
        <f t="shared" si="25"/>
        <v/>
      </c>
      <c r="AB61" s="41" t="str">
        <f t="shared" si="26"/>
        <v/>
      </c>
      <c r="AC61" s="42" t="str">
        <f t="shared" si="27"/>
        <v/>
      </c>
      <c r="AD61" s="40" t="str">
        <f t="shared" si="28"/>
        <v/>
      </c>
      <c r="AE61" s="41" t="str">
        <f t="shared" si="29"/>
        <v/>
      </c>
      <c r="AF61" s="41" t="str">
        <f t="shared" si="30"/>
        <v/>
      </c>
      <c r="AG61" s="42" t="str">
        <f t="shared" si="31"/>
        <v/>
      </c>
      <c r="AH61" s="40" t="str">
        <f t="shared" si="32"/>
        <v/>
      </c>
      <c r="AI61" s="41" t="str">
        <f t="shared" si="33"/>
        <v/>
      </c>
      <c r="AJ61" s="41" t="str">
        <f t="shared" si="34"/>
        <v/>
      </c>
      <c r="AK61" s="42" t="str">
        <f t="shared" si="35"/>
        <v/>
      </c>
      <c r="AL61" s="40" t="str">
        <f t="shared" si="36"/>
        <v/>
      </c>
      <c r="AM61" s="41" t="str">
        <f t="shared" si="37"/>
        <v/>
      </c>
      <c r="AN61" s="41" t="str">
        <f t="shared" si="38"/>
        <v/>
      </c>
      <c r="AO61" s="42" t="str">
        <f t="shared" si="39"/>
        <v/>
      </c>
      <c r="AP61" s="40">
        <f t="shared" si="40"/>
        <v>0</v>
      </c>
      <c r="AQ61" s="41" t="str">
        <f t="shared" si="41"/>
        <v/>
      </c>
      <c r="AR61" s="41">
        <f t="shared" si="42"/>
        <v>0</v>
      </c>
      <c r="AS61" s="42" t="str">
        <f t="shared" si="43"/>
        <v/>
      </c>
      <c r="AT61" s="40" t="str">
        <f t="shared" si="44"/>
        <v/>
      </c>
      <c r="AU61" s="41" t="str">
        <f t="shared" si="45"/>
        <v/>
      </c>
      <c r="AV61" s="41" t="str">
        <f t="shared" si="46"/>
        <v/>
      </c>
      <c r="AW61" s="42" t="str">
        <f t="shared" si="47"/>
        <v/>
      </c>
      <c r="AX61" s="40">
        <f t="shared" si="48"/>
        <v>0</v>
      </c>
      <c r="AY61" s="41" t="str">
        <f t="shared" si="49"/>
        <v/>
      </c>
      <c r="AZ61" s="41" t="str">
        <f t="shared" si="50"/>
        <v/>
      </c>
      <c r="BA61" s="42" t="str">
        <f t="shared" si="51"/>
        <v/>
      </c>
      <c r="BB61" s="37" t="s">
        <v>106</v>
      </c>
      <c r="BD61" s="21"/>
      <c r="BG61" t="str">
        <f>IF(NOT(ISERROR(HLOOKUP(Standings!BG$3,Entries!$C53:$K53,1,FALSE))),"x",IF(NOT(ISERROR(HLOOKUP(Standings!BG$3,Entries!$L53:$L53,1,FALSE))),"S",""))</f>
        <v/>
      </c>
      <c r="BH61" t="str">
        <f>IF(NOT(ISERROR(HLOOKUP(Standings!BH$3,Entries!$C53:$K53,1,FALSE))),"x",IF(NOT(ISERROR(HLOOKUP(Standings!BH$3,Entries!$L53:$L53,1,FALSE))),"S",""))</f>
        <v/>
      </c>
      <c r="BI61" t="str">
        <f>IF(NOT(ISERROR(HLOOKUP(Standings!BI$3,Entries!$C53:$K53,1,FALSE))),"x",IF(NOT(ISERROR(HLOOKUP(Standings!BI$3,Entries!$L53:$L53,1,FALSE))),"S",""))</f>
        <v/>
      </c>
      <c r="BJ61" t="str">
        <f>IF(NOT(ISERROR(HLOOKUP(Standings!BJ$3,Entries!$C53:$K53,1,FALSE))),"x",IF(NOT(ISERROR(HLOOKUP(Standings!BJ$3,Entries!$L53:$L53,1,FALSE))),"S",""))</f>
        <v/>
      </c>
      <c r="BK61" t="str">
        <f>IF(NOT(ISERROR(HLOOKUP(Standings!BK$3,Entries!$C53:$K53,1,FALSE))),"x",IF(NOT(ISERROR(HLOOKUP(Standings!BK$3,Entries!$L53:$L53,1,FALSE))),"S",""))</f>
        <v/>
      </c>
      <c r="BL61" t="str">
        <f>IF(NOT(ISERROR(HLOOKUP(Standings!BL$3,Entries!$C53:$K53,1,FALSE))),"x",IF(NOT(ISERROR(HLOOKUP(Standings!BL$3,Entries!$L53:$L53,1,FALSE))),"S",""))</f>
        <v/>
      </c>
      <c r="BM61" t="str">
        <f>IF(NOT(ISERROR(HLOOKUP(Standings!BM$3,Entries!$C53:$K53,1,FALSE))),"x",IF(NOT(ISERROR(HLOOKUP(Standings!BM$3,Entries!$L53:$L53,1,FALSE))),"S",""))</f>
        <v/>
      </c>
      <c r="BN61" t="str">
        <f>IF(NOT(ISERROR(HLOOKUP(Standings!BN$3,Entries!$C53:$K53,1,FALSE))),"x",IF(NOT(ISERROR(HLOOKUP(Standings!BN$3,Entries!$L53:$L53,1,FALSE))),"S",""))</f>
        <v/>
      </c>
      <c r="BO61" t="str">
        <f>IF(NOT(ISERROR(HLOOKUP(Standings!BO$3,Entries!$C53:$K53,1,FALSE))),"x",IF(NOT(ISERROR(HLOOKUP(Standings!BO$3,Entries!$L53:$L53,1,FALSE))),"S",""))</f>
        <v/>
      </c>
      <c r="BP61" t="str">
        <f>IF(NOT(ISERROR(HLOOKUP(Standings!BP$3,Entries!$C53:$K53,1,FALSE))),"x",IF(NOT(ISERROR(HLOOKUP(Standings!BP$3,Entries!$L53:$L53,1,FALSE))),"S",""))</f>
        <v>x</v>
      </c>
      <c r="BQ61" t="str">
        <f>IF(NOT(ISERROR(HLOOKUP(Standings!BQ$3,Entries!$C53:$K53,1,FALSE))),"x",IF(NOT(ISERROR(HLOOKUP(Standings!BQ$3,Entries!$L53:$L53,1,FALSE))),"S",""))</f>
        <v/>
      </c>
      <c r="BR61" t="str">
        <f>IF(NOT(ISERROR(HLOOKUP(Standings!BR$3,Entries!$C53:$K53,1,FALSE))),"x",IF(NOT(ISERROR(HLOOKUP(Standings!BR$3,Entries!$L53:$L53,1,FALSE))),"S",""))</f>
        <v/>
      </c>
      <c r="BS61" t="str">
        <f>IF(NOT(ISERROR(HLOOKUP(Standings!BS$3,Entries!$C53:$K53,1,FALSE))),"x",IF(NOT(ISERROR(HLOOKUP(Standings!BS$3,Entries!$L53:$L53,1,FALSE))),"S",""))</f>
        <v/>
      </c>
      <c r="BT61" t="str">
        <f>IF(NOT(ISERROR(HLOOKUP(Standings!BT$3,Entries!$C53:$K53,1,FALSE))),"x",IF(NOT(ISERROR(HLOOKUP(Standings!BT$3,Entries!$L53:$L53,1,FALSE))),"S",""))</f>
        <v/>
      </c>
      <c r="BU61" t="str">
        <f>IF(NOT(ISERROR(HLOOKUP(Standings!BU$3,Entries!$C53:$K53,1,FALSE))),"x",IF(NOT(ISERROR(HLOOKUP(Standings!BU$3,Entries!$L53:$L53,1,FALSE))),"S",""))</f>
        <v/>
      </c>
      <c r="BV61" t="str">
        <f>IF(NOT(ISERROR(HLOOKUP(Standings!BV$3,Entries!$C53:$K53,1,FALSE))),"x",IF(NOT(ISERROR(HLOOKUP(Standings!BV$3,Entries!$L53:$L53,1,FALSE))),"S",""))</f>
        <v/>
      </c>
      <c r="BW61" t="str">
        <f>IF(NOT(ISERROR(HLOOKUP(Standings!BW$3,Entries!$C53:$K53,1,FALSE))),"x",IF(NOT(ISERROR(HLOOKUP(Standings!BW$3,Entries!$L53:$L53,1,FALSE))),"S",""))</f>
        <v>S</v>
      </c>
      <c r="BX61" t="str">
        <f>IF(NOT(ISERROR(HLOOKUP(Standings!BX$3,Entries!$C53:$K53,1,FALSE))),"x",IF(NOT(ISERROR(HLOOKUP(Standings!BX$3,Entries!$L53:$L53,1,FALSE))),"S",""))</f>
        <v/>
      </c>
      <c r="BY61" t="str">
        <f>IF(NOT(ISERROR(HLOOKUP(Standings!BY$3,Entries!$C53:$K53,1,FALSE))),"x",IF(NOT(ISERROR(HLOOKUP(Standings!BY$3,Entries!$L53:$L53,1,FALSE))),"S",""))</f>
        <v/>
      </c>
      <c r="BZ61" t="str">
        <f>IF(NOT(ISERROR(HLOOKUP(Standings!BZ$3,Entries!$C53:$K53,1,FALSE))),"x",IF(NOT(ISERROR(HLOOKUP(Standings!BZ$3,Entries!$L53:$L53,1,FALSE))),"S",""))</f>
        <v/>
      </c>
      <c r="CA61" t="str">
        <f>IF(NOT(ISERROR(HLOOKUP(Standings!CA$3,Entries!$C53:$K53,1,FALSE))),"x",IF(NOT(ISERROR(HLOOKUP(Standings!CA$3,Entries!$L53:$L53,1,FALSE))),"S",""))</f>
        <v/>
      </c>
      <c r="CB61" t="str">
        <f>IF(NOT(ISERROR(HLOOKUP(Standings!CB$3,Entries!$C53:$K53,1,FALSE))),"x",IF(NOT(ISERROR(HLOOKUP(Standings!CB$3,Entries!$L53:$L53,1,FALSE))),"S",""))</f>
        <v/>
      </c>
      <c r="CC61" t="str">
        <f>IF(NOT(ISERROR(HLOOKUP(Standings!CC$3,Entries!$C53:$K53,1,FALSE))),"x",IF(NOT(ISERROR(HLOOKUP(Standings!CC$3,Entries!$L53:$L53,1,FALSE))),"S",""))</f>
        <v/>
      </c>
      <c r="CD61" t="str">
        <f>IF(NOT(ISERROR(HLOOKUP(Standings!CD$3,Entries!$C53:$K53,1,FALSE))),"x",IF(NOT(ISERROR(HLOOKUP(Standings!CD$3,Entries!$L53:$L53,1,FALSE))),"S",""))</f>
        <v/>
      </c>
      <c r="CE61" t="str">
        <f>IF(NOT(ISERROR(HLOOKUP(Standings!CE$3,Entries!$C53:$K53,1,FALSE))),"x",IF(NOT(ISERROR(HLOOKUP(Standings!CE$3,Entries!$L53:$L53,1,FALSE))),"S",""))</f>
        <v/>
      </c>
      <c r="CF61" t="str">
        <f>IF(NOT(ISERROR(HLOOKUP(Standings!CF$3,Entries!$C53:$K53,1,FALSE))),"x",IF(NOT(ISERROR(HLOOKUP(Standings!CF$3,Entries!$L53:$L53,1,FALSE))),"S",""))</f>
        <v/>
      </c>
      <c r="CG61" t="str">
        <f>IF(NOT(ISERROR(HLOOKUP(Standings!CG$3,Entries!$C53:$K53,1,FALSE))),"x",IF(NOT(ISERROR(HLOOKUP(Standings!CG$3,Entries!$L53:$L53,1,FALSE))),"S",""))</f>
        <v/>
      </c>
      <c r="CH61" t="str">
        <f>IF(NOT(ISERROR(HLOOKUP(Standings!CH$3,Entries!$C53:$K53,1,FALSE))),"x",IF(NOT(ISERROR(HLOOKUP(Standings!CH$3,Entries!$L53:$L53,1,FALSE))),"S",""))</f>
        <v/>
      </c>
      <c r="CI61" t="str">
        <f>IF(NOT(ISERROR(HLOOKUP(Standings!CI$3,Entries!$C53:$K53,1,FALSE))),"x",IF(NOT(ISERROR(HLOOKUP(Standings!CI$3,Entries!$L53:$L53,1,FALSE))),"S",""))</f>
        <v/>
      </c>
      <c r="CJ61" t="str">
        <f>IF(NOT(ISERROR(HLOOKUP(Standings!CJ$3,Entries!$C53:$K53,1,FALSE))),"x",IF(NOT(ISERROR(HLOOKUP(Standings!CJ$3,Entries!$L53:$L53,1,FALSE))),"S",""))</f>
        <v/>
      </c>
      <c r="CK61" t="str">
        <f>IF(NOT(ISERROR(HLOOKUP(Standings!CK$3,Entries!$C53:$K53,1,FALSE))),"x",IF(NOT(ISERROR(HLOOKUP(Standings!CK$3,Entries!$L53:$L53,1,FALSE))),"S",""))</f>
        <v/>
      </c>
      <c r="CL61" t="str">
        <f>IF(NOT(ISERROR(HLOOKUP(Standings!CL$3,Entries!$C53:$K53,1,FALSE))),"x",IF(NOT(ISERROR(HLOOKUP(Standings!CL$3,Entries!$L53:$L53,1,FALSE))),"S",""))</f>
        <v/>
      </c>
      <c r="CM61" t="str">
        <f>IF(NOT(ISERROR(HLOOKUP(Standings!CM$3,Entries!$C53:$K53,1,FALSE))),"x",IF(NOT(ISERROR(HLOOKUP(Standings!CM$3,Entries!$L53:$L53,1,FALSE))),"S",""))</f>
        <v/>
      </c>
      <c r="CN61" t="str">
        <f>IF(NOT(ISERROR(HLOOKUP(Standings!CN$3,Entries!$C53:$K53,1,FALSE))),"x",IF(NOT(ISERROR(HLOOKUP(Standings!CN$3,Entries!$L53:$L53,1,FALSE))),"S",""))</f>
        <v/>
      </c>
      <c r="CO61" t="str">
        <f>IF(NOT(ISERROR(HLOOKUP(Standings!CO$3,Entries!$C53:$K53,1,FALSE))),"x",IF(NOT(ISERROR(HLOOKUP(Standings!CO$3,Entries!$L53:$L53,1,FALSE))),"S",""))</f>
        <v/>
      </c>
      <c r="CP61" t="str">
        <f>IF(NOT(ISERROR(HLOOKUP(Standings!CP$3,Entries!$C53:$K53,1,FALSE))),"x",IF(NOT(ISERROR(HLOOKUP(Standings!CP$3,Entries!$L53:$L53,1,FALSE))),"S",""))</f>
        <v/>
      </c>
      <c r="CQ61" t="str">
        <f>IF(NOT(ISERROR(HLOOKUP(Standings!CQ$3,Entries!$C53:$K53,1,FALSE))),"x",IF(NOT(ISERROR(HLOOKUP(Standings!CQ$3,Entries!$L53:$L53,1,FALSE))),"S",""))</f>
        <v>x</v>
      </c>
      <c r="CR61" t="str">
        <f>IF(NOT(ISERROR(HLOOKUP(Standings!CR$3,Entries!$C53:$K53,1,FALSE))),"x",IF(NOT(ISERROR(HLOOKUP(Standings!CR$3,Entries!$L53:$L53,1,FALSE))),"S",""))</f>
        <v/>
      </c>
      <c r="CS61" t="str">
        <f>IF(NOT(ISERROR(HLOOKUP(Standings!CS$3,Entries!$C53:$K53,1,FALSE))),"x",IF(NOT(ISERROR(HLOOKUP(Standings!CS$3,Entries!$L53:$L53,1,FALSE))),"S",""))</f>
        <v>x</v>
      </c>
      <c r="CT61" t="str">
        <f>IF(NOT(ISERROR(HLOOKUP(Standings!CT$3,Entries!$C53:$K53,1,FALSE))),"x",IF(NOT(ISERROR(HLOOKUP(Standings!CT$3,Entries!$L53:$L53,1,FALSE))),"S",""))</f>
        <v/>
      </c>
      <c r="CU61" t="str">
        <f>IF(NOT(ISERROR(HLOOKUP(Standings!CU$3,Entries!$C53:$K53,1,FALSE))),"x",IF(NOT(ISERROR(HLOOKUP(Standings!CU$3,Entries!$L53:$L53,1,FALSE))),"S",""))</f>
        <v/>
      </c>
      <c r="CV61" t="str">
        <f>IF(NOT(ISERROR(HLOOKUP(Standings!CV$3,Entries!$C53:$K53,1,FALSE))),"x",IF(NOT(ISERROR(HLOOKUP(Standings!CV$3,Entries!$L53:$L53,1,FALSE))),"S",""))</f>
        <v/>
      </c>
      <c r="CW61" t="str">
        <f>IF(NOT(ISERROR(HLOOKUP(Standings!CW$3,Entries!$C53:$K53,1,FALSE))),"x",IF(NOT(ISERROR(HLOOKUP(Standings!CW$3,Entries!$L53:$L53,1,FALSE))),"S",""))</f>
        <v/>
      </c>
      <c r="CX61" t="str">
        <f>IF(NOT(ISERROR(HLOOKUP(Standings!CX$3,Entries!$C53:$K53,1,FALSE))),"x",IF(NOT(ISERROR(HLOOKUP(Standings!CX$3,Entries!$L53:$L53,1,FALSE))),"S",""))</f>
        <v/>
      </c>
      <c r="CY61" t="str">
        <f>IF(NOT(ISERROR(HLOOKUP(Standings!CY$3,Entries!$C53:$K53,1,FALSE))),"x",IF(NOT(ISERROR(HLOOKUP(Standings!CY$3,Entries!$L53:$L53,1,FALSE))),"S",""))</f>
        <v>x</v>
      </c>
      <c r="CZ61" t="str">
        <f>IF(NOT(ISERROR(HLOOKUP(Standings!CZ$3,Entries!$C53:$K53,1,FALSE))),"x",IF(NOT(ISERROR(HLOOKUP(Standings!CZ$3,Entries!$L53:$L53,1,FALSE))),"S",""))</f>
        <v/>
      </c>
      <c r="DA61" t="str">
        <f>IF(NOT(ISERROR(HLOOKUP(Standings!DA$3,Entries!$C53:$K53,1,FALSE))),"x",IF(NOT(ISERROR(HLOOKUP(Standings!DA$3,Entries!$L53:$L53,1,FALSE))),"S",""))</f>
        <v/>
      </c>
      <c r="DB61" t="str">
        <f>IF(NOT(ISERROR(HLOOKUP(Standings!DB$3,Entries!$C53:$K53,1,FALSE))),"x",IF(NOT(ISERROR(HLOOKUP(Standings!DB$3,Entries!$L53:$L53,1,FALSE))),"S",""))</f>
        <v/>
      </c>
    </row>
    <row r="62" spans="1:106" x14ac:dyDescent="0.25">
      <c r="A62" s="18"/>
      <c r="B62">
        <v>60</v>
      </c>
      <c r="C62" t="str">
        <f>Entries!B54</f>
        <v>Tim Skierka</v>
      </c>
      <c r="D62" s="4">
        <f t="shared" si="53"/>
        <v>2</v>
      </c>
      <c r="E62" s="31">
        <f t="shared" si="54"/>
        <v>5</v>
      </c>
      <c r="F62" s="40">
        <f t="shared" si="52"/>
        <v>2</v>
      </c>
      <c r="G62" s="41" t="str">
        <f t="shared" si="5"/>
        <v/>
      </c>
      <c r="H62" s="41" t="str">
        <f t="shared" si="6"/>
        <v/>
      </c>
      <c r="I62" s="42" t="str">
        <f t="shared" si="7"/>
        <v/>
      </c>
      <c r="J62" s="40">
        <f t="shared" si="8"/>
        <v>1</v>
      </c>
      <c r="K62" s="41" t="str">
        <f t="shared" si="9"/>
        <v/>
      </c>
      <c r="L62" s="41" t="str">
        <f t="shared" si="10"/>
        <v/>
      </c>
      <c r="M62" s="42" t="str">
        <f t="shared" si="11"/>
        <v/>
      </c>
      <c r="N62" s="43" t="str">
        <f t="shared" si="12"/>
        <v/>
      </c>
      <c r="O62" s="41" t="str">
        <f t="shared" si="13"/>
        <v/>
      </c>
      <c r="P62" s="41" t="str">
        <f t="shared" si="14"/>
        <v/>
      </c>
      <c r="Q62" s="42" t="str">
        <f t="shared" si="15"/>
        <v/>
      </c>
      <c r="R62" s="40">
        <f t="shared" si="16"/>
        <v>2</v>
      </c>
      <c r="S62" s="41" t="str">
        <f t="shared" si="17"/>
        <v/>
      </c>
      <c r="T62" s="43" t="str">
        <f t="shared" si="18"/>
        <v/>
      </c>
      <c r="U62" s="42" t="str">
        <f t="shared" si="19"/>
        <v/>
      </c>
      <c r="V62" s="40" t="str">
        <f t="shared" si="20"/>
        <v/>
      </c>
      <c r="W62" s="41" t="str">
        <f t="shared" si="21"/>
        <v/>
      </c>
      <c r="X62" s="41" t="str">
        <f t="shared" si="22"/>
        <v/>
      </c>
      <c r="Y62" s="42" t="str">
        <f t="shared" si="23"/>
        <v/>
      </c>
      <c r="Z62" s="40">
        <f t="shared" si="24"/>
        <v>-1.0000000000000001E-5</v>
      </c>
      <c r="AA62" s="41" t="str">
        <f t="shared" si="25"/>
        <v/>
      </c>
      <c r="AB62" s="41" t="str">
        <f t="shared" si="26"/>
        <v/>
      </c>
      <c r="AC62" s="42" t="str">
        <f t="shared" si="27"/>
        <v/>
      </c>
      <c r="AD62" s="40" t="str">
        <f t="shared" si="28"/>
        <v/>
      </c>
      <c r="AE62" s="41" t="str">
        <f t="shared" si="29"/>
        <v/>
      </c>
      <c r="AF62" s="41" t="str">
        <f t="shared" si="30"/>
        <v/>
      </c>
      <c r="AG62" s="42" t="str">
        <f t="shared" si="31"/>
        <v/>
      </c>
      <c r="AH62" s="40" t="str">
        <f t="shared" si="32"/>
        <v/>
      </c>
      <c r="AI62" s="41" t="str">
        <f t="shared" si="33"/>
        <v/>
      </c>
      <c r="AJ62" s="41" t="str">
        <f t="shared" si="34"/>
        <v/>
      </c>
      <c r="AK62" s="42" t="str">
        <f t="shared" si="35"/>
        <v/>
      </c>
      <c r="AL62" s="40" t="str">
        <f t="shared" si="36"/>
        <v/>
      </c>
      <c r="AM62" s="41">
        <f t="shared" si="37"/>
        <v>0</v>
      </c>
      <c r="AN62" s="41" t="str">
        <f t="shared" si="38"/>
        <v/>
      </c>
      <c r="AO62" s="42" t="str">
        <f t="shared" si="39"/>
        <v/>
      </c>
      <c r="AP62" s="40" t="str">
        <f t="shared" si="40"/>
        <v/>
      </c>
      <c r="AQ62" s="41" t="str">
        <f t="shared" si="41"/>
        <v/>
      </c>
      <c r="AR62" s="41">
        <f t="shared" si="42"/>
        <v>0</v>
      </c>
      <c r="AS62" s="42" t="str">
        <f t="shared" si="43"/>
        <v/>
      </c>
      <c r="AT62" s="40" t="str">
        <f t="shared" si="44"/>
        <v/>
      </c>
      <c r="AU62" s="41" t="str">
        <f t="shared" si="45"/>
        <v/>
      </c>
      <c r="AV62" s="41">
        <f t="shared" si="46"/>
        <v>0</v>
      </c>
      <c r="AW62" s="42" t="str">
        <f t="shared" si="47"/>
        <v/>
      </c>
      <c r="AX62" s="40" t="str">
        <f t="shared" si="48"/>
        <v/>
      </c>
      <c r="AY62" s="41">
        <f t="shared" si="49"/>
        <v>0</v>
      </c>
      <c r="AZ62" s="41" t="str">
        <f t="shared" si="50"/>
        <v/>
      </c>
      <c r="BA62" s="42" t="str">
        <f t="shared" si="51"/>
        <v/>
      </c>
      <c r="BB62" s="37" t="s">
        <v>106</v>
      </c>
      <c r="BC62" s="21"/>
      <c r="BD62" s="21"/>
      <c r="BG62" t="str">
        <f>IF(NOT(ISERROR(HLOOKUP(Standings!BG$3,Entries!$C54:$K54,1,FALSE))),"x",IF(NOT(ISERROR(HLOOKUP(Standings!BG$3,Entries!$L54:$L54,1,FALSE))),"S",""))</f>
        <v>x</v>
      </c>
      <c r="BH62" t="str">
        <f>IF(NOT(ISERROR(HLOOKUP(Standings!BH$3,Entries!$C54:$K54,1,FALSE))),"x",IF(NOT(ISERROR(HLOOKUP(Standings!BH$3,Entries!$L54:$L54,1,FALSE))),"S",""))</f>
        <v/>
      </c>
      <c r="BI62" t="str">
        <f>IF(NOT(ISERROR(HLOOKUP(Standings!BI$3,Entries!$C54:$K54,1,FALSE))),"x",IF(NOT(ISERROR(HLOOKUP(Standings!BI$3,Entries!$L54:$L54,1,FALSE))),"S",""))</f>
        <v/>
      </c>
      <c r="BJ62" t="str">
        <f>IF(NOT(ISERROR(HLOOKUP(Standings!BJ$3,Entries!$C54:$K54,1,FALSE))),"x",IF(NOT(ISERROR(HLOOKUP(Standings!BJ$3,Entries!$L54:$L54,1,FALSE))),"S",""))</f>
        <v/>
      </c>
      <c r="BK62" t="str">
        <f>IF(NOT(ISERROR(HLOOKUP(Standings!BK$3,Entries!$C54:$K54,1,FALSE))),"x",IF(NOT(ISERROR(HLOOKUP(Standings!BK$3,Entries!$L54:$L54,1,FALSE))),"S",""))</f>
        <v>x</v>
      </c>
      <c r="BL62" t="str">
        <f>IF(NOT(ISERROR(HLOOKUP(Standings!BL$3,Entries!$C54:$K54,1,FALSE))),"x",IF(NOT(ISERROR(HLOOKUP(Standings!BL$3,Entries!$L54:$L54,1,FALSE))),"S",""))</f>
        <v/>
      </c>
      <c r="BM62" t="str">
        <f>IF(NOT(ISERROR(HLOOKUP(Standings!BM$3,Entries!$C54:$K54,1,FALSE))),"x",IF(NOT(ISERROR(HLOOKUP(Standings!BM$3,Entries!$L54:$L54,1,FALSE))),"S",""))</f>
        <v/>
      </c>
      <c r="BN62" t="str">
        <f>IF(NOT(ISERROR(HLOOKUP(Standings!BN$3,Entries!$C54:$K54,1,FALSE))),"x",IF(NOT(ISERROR(HLOOKUP(Standings!BN$3,Entries!$L54:$L54,1,FALSE))),"S",""))</f>
        <v/>
      </c>
      <c r="BO62" t="str">
        <f>IF(NOT(ISERROR(HLOOKUP(Standings!BO$3,Entries!$C54:$K54,1,FALSE))),"x",IF(NOT(ISERROR(HLOOKUP(Standings!BO$3,Entries!$L54:$L54,1,FALSE))),"S",""))</f>
        <v/>
      </c>
      <c r="BP62" t="str">
        <f>IF(NOT(ISERROR(HLOOKUP(Standings!BP$3,Entries!$C54:$K54,1,FALSE))),"x",IF(NOT(ISERROR(HLOOKUP(Standings!BP$3,Entries!$L54:$L54,1,FALSE))),"S",""))</f>
        <v/>
      </c>
      <c r="BQ62" t="str">
        <f>IF(NOT(ISERROR(HLOOKUP(Standings!BQ$3,Entries!$C54:$K54,1,FALSE))),"x",IF(NOT(ISERROR(HLOOKUP(Standings!BQ$3,Entries!$L54:$L54,1,FALSE))),"S",""))</f>
        <v/>
      </c>
      <c r="BR62" t="str">
        <f>IF(NOT(ISERROR(HLOOKUP(Standings!BR$3,Entries!$C54:$K54,1,FALSE))),"x",IF(NOT(ISERROR(HLOOKUP(Standings!BR$3,Entries!$L54:$L54,1,FALSE))),"S",""))</f>
        <v/>
      </c>
      <c r="BS62" t="str">
        <f>IF(NOT(ISERROR(HLOOKUP(Standings!BS$3,Entries!$C54:$K54,1,FALSE))),"x",IF(NOT(ISERROR(HLOOKUP(Standings!BS$3,Entries!$L54:$L54,1,FALSE))),"S",""))</f>
        <v>x</v>
      </c>
      <c r="BT62" t="str">
        <f>IF(NOT(ISERROR(HLOOKUP(Standings!BT$3,Entries!$C54:$K54,1,FALSE))),"x",IF(NOT(ISERROR(HLOOKUP(Standings!BT$3,Entries!$L54:$L54,1,FALSE))),"S",""))</f>
        <v/>
      </c>
      <c r="BU62" t="str">
        <f>IF(NOT(ISERROR(HLOOKUP(Standings!BU$3,Entries!$C54:$K54,1,FALSE))),"x",IF(NOT(ISERROR(HLOOKUP(Standings!BU$3,Entries!$L54:$L54,1,FALSE))),"S",""))</f>
        <v/>
      </c>
      <c r="BV62" t="str">
        <f>IF(NOT(ISERROR(HLOOKUP(Standings!BV$3,Entries!$C54:$K54,1,FALSE))),"x",IF(NOT(ISERROR(HLOOKUP(Standings!BV$3,Entries!$L54:$L54,1,FALSE))),"S",""))</f>
        <v/>
      </c>
      <c r="BW62" t="str">
        <f>IF(NOT(ISERROR(HLOOKUP(Standings!BW$3,Entries!$C54:$K54,1,FALSE))),"x",IF(NOT(ISERROR(HLOOKUP(Standings!BW$3,Entries!$L54:$L54,1,FALSE))),"S",""))</f>
        <v/>
      </c>
      <c r="BX62" t="str">
        <f>IF(NOT(ISERROR(HLOOKUP(Standings!BX$3,Entries!$C54:$K54,1,FALSE))),"x",IF(NOT(ISERROR(HLOOKUP(Standings!BX$3,Entries!$L54:$L54,1,FALSE))),"S",""))</f>
        <v/>
      </c>
      <c r="BY62" t="str">
        <f>IF(NOT(ISERROR(HLOOKUP(Standings!BY$3,Entries!$C54:$K54,1,FALSE))),"x",IF(NOT(ISERROR(HLOOKUP(Standings!BY$3,Entries!$L54:$L54,1,FALSE))),"S",""))</f>
        <v/>
      </c>
      <c r="BZ62" t="str">
        <f>IF(NOT(ISERROR(HLOOKUP(Standings!BZ$3,Entries!$C54:$K54,1,FALSE))),"x",IF(NOT(ISERROR(HLOOKUP(Standings!BZ$3,Entries!$L54:$L54,1,FALSE))),"S",""))</f>
        <v/>
      </c>
      <c r="CA62" t="str">
        <f>IF(NOT(ISERROR(HLOOKUP(Standings!CA$3,Entries!$C54:$K54,1,FALSE))),"x",IF(NOT(ISERROR(HLOOKUP(Standings!CA$3,Entries!$L54:$L54,1,FALSE))),"S",""))</f>
        <v>S</v>
      </c>
      <c r="CB62" t="str">
        <f>IF(NOT(ISERROR(HLOOKUP(Standings!CB$3,Entries!$C54:$K54,1,FALSE))),"x",IF(NOT(ISERROR(HLOOKUP(Standings!CB$3,Entries!$L54:$L54,1,FALSE))),"S",""))</f>
        <v/>
      </c>
      <c r="CC62" t="str">
        <f>IF(NOT(ISERROR(HLOOKUP(Standings!CC$3,Entries!$C54:$K54,1,FALSE))),"x",IF(NOT(ISERROR(HLOOKUP(Standings!CC$3,Entries!$L54:$L54,1,FALSE))),"S",""))</f>
        <v/>
      </c>
      <c r="CD62" t="str">
        <f>IF(NOT(ISERROR(HLOOKUP(Standings!CD$3,Entries!$C54:$K54,1,FALSE))),"x",IF(NOT(ISERROR(HLOOKUP(Standings!CD$3,Entries!$L54:$L54,1,FALSE))),"S",""))</f>
        <v/>
      </c>
      <c r="CE62" t="str">
        <f>IF(NOT(ISERROR(HLOOKUP(Standings!CE$3,Entries!$C54:$K54,1,FALSE))),"x",IF(NOT(ISERROR(HLOOKUP(Standings!CE$3,Entries!$L54:$L54,1,FALSE))),"S",""))</f>
        <v/>
      </c>
      <c r="CF62" t="str">
        <f>IF(NOT(ISERROR(HLOOKUP(Standings!CF$3,Entries!$C54:$K54,1,FALSE))),"x",IF(NOT(ISERROR(HLOOKUP(Standings!CF$3,Entries!$L54:$L54,1,FALSE))),"S",""))</f>
        <v/>
      </c>
      <c r="CG62" t="str">
        <f>IF(NOT(ISERROR(HLOOKUP(Standings!CG$3,Entries!$C54:$K54,1,FALSE))),"x",IF(NOT(ISERROR(HLOOKUP(Standings!CG$3,Entries!$L54:$L54,1,FALSE))),"S",""))</f>
        <v/>
      </c>
      <c r="CH62" t="str">
        <f>IF(NOT(ISERROR(HLOOKUP(Standings!CH$3,Entries!$C54:$K54,1,FALSE))),"x",IF(NOT(ISERROR(HLOOKUP(Standings!CH$3,Entries!$L54:$L54,1,FALSE))),"S",""))</f>
        <v/>
      </c>
      <c r="CI62" t="str">
        <f>IF(NOT(ISERROR(HLOOKUP(Standings!CI$3,Entries!$C54:$K54,1,FALSE))),"x",IF(NOT(ISERROR(HLOOKUP(Standings!CI$3,Entries!$L54:$L54,1,FALSE))),"S",""))</f>
        <v/>
      </c>
      <c r="CJ62" t="str">
        <f>IF(NOT(ISERROR(HLOOKUP(Standings!CJ$3,Entries!$C54:$K54,1,FALSE))),"x",IF(NOT(ISERROR(HLOOKUP(Standings!CJ$3,Entries!$L54:$L54,1,FALSE))),"S",""))</f>
        <v/>
      </c>
      <c r="CK62" t="str">
        <f>IF(NOT(ISERROR(HLOOKUP(Standings!CK$3,Entries!$C54:$K54,1,FALSE))),"x",IF(NOT(ISERROR(HLOOKUP(Standings!CK$3,Entries!$L54:$L54,1,FALSE))),"S",""))</f>
        <v/>
      </c>
      <c r="CL62" t="str">
        <f>IF(NOT(ISERROR(HLOOKUP(Standings!CL$3,Entries!$C54:$K54,1,FALSE))),"x",IF(NOT(ISERROR(HLOOKUP(Standings!CL$3,Entries!$L54:$L54,1,FALSE))),"S",""))</f>
        <v/>
      </c>
      <c r="CM62" t="str">
        <f>IF(NOT(ISERROR(HLOOKUP(Standings!CM$3,Entries!$C54:$K54,1,FALSE))),"x",IF(NOT(ISERROR(HLOOKUP(Standings!CM$3,Entries!$L54:$L54,1,FALSE))),"S",""))</f>
        <v/>
      </c>
      <c r="CN62" t="str">
        <f>IF(NOT(ISERROR(HLOOKUP(Standings!CN$3,Entries!$C54:$K54,1,FALSE))),"x",IF(NOT(ISERROR(HLOOKUP(Standings!CN$3,Entries!$L54:$L54,1,FALSE))),"S",""))</f>
        <v>x</v>
      </c>
      <c r="CO62" t="str">
        <f>IF(NOT(ISERROR(HLOOKUP(Standings!CO$3,Entries!$C54:$K54,1,FALSE))),"x",IF(NOT(ISERROR(HLOOKUP(Standings!CO$3,Entries!$L54:$L54,1,FALSE))),"S",""))</f>
        <v/>
      </c>
      <c r="CP62" t="str">
        <f>IF(NOT(ISERROR(HLOOKUP(Standings!CP$3,Entries!$C54:$K54,1,FALSE))),"x",IF(NOT(ISERROR(HLOOKUP(Standings!CP$3,Entries!$L54:$L54,1,FALSE))),"S",""))</f>
        <v/>
      </c>
      <c r="CQ62" t="str">
        <f>IF(NOT(ISERROR(HLOOKUP(Standings!CQ$3,Entries!$C54:$K54,1,FALSE))),"x",IF(NOT(ISERROR(HLOOKUP(Standings!CQ$3,Entries!$L54:$L54,1,FALSE))),"S",""))</f>
        <v/>
      </c>
      <c r="CR62" t="str">
        <f>IF(NOT(ISERROR(HLOOKUP(Standings!CR$3,Entries!$C54:$K54,1,FALSE))),"x",IF(NOT(ISERROR(HLOOKUP(Standings!CR$3,Entries!$L54:$L54,1,FALSE))),"S",""))</f>
        <v/>
      </c>
      <c r="CS62" t="str">
        <f>IF(NOT(ISERROR(HLOOKUP(Standings!CS$3,Entries!$C54:$K54,1,FALSE))),"x",IF(NOT(ISERROR(HLOOKUP(Standings!CS$3,Entries!$L54:$L54,1,FALSE))),"S",""))</f>
        <v>x</v>
      </c>
      <c r="CT62" t="str">
        <f>IF(NOT(ISERROR(HLOOKUP(Standings!CT$3,Entries!$C54:$K54,1,FALSE))),"x",IF(NOT(ISERROR(HLOOKUP(Standings!CT$3,Entries!$L54:$L54,1,FALSE))),"S",""))</f>
        <v/>
      </c>
      <c r="CU62" t="str">
        <f>IF(NOT(ISERROR(HLOOKUP(Standings!CU$3,Entries!$C54:$K54,1,FALSE))),"x",IF(NOT(ISERROR(HLOOKUP(Standings!CU$3,Entries!$L54:$L54,1,FALSE))),"S",""))</f>
        <v/>
      </c>
      <c r="CV62" t="str">
        <f>IF(NOT(ISERROR(HLOOKUP(Standings!CV$3,Entries!$C54:$K54,1,FALSE))),"x",IF(NOT(ISERROR(HLOOKUP(Standings!CV$3,Entries!$L54:$L54,1,FALSE))),"S",""))</f>
        <v/>
      </c>
      <c r="CW62" t="str">
        <f>IF(NOT(ISERROR(HLOOKUP(Standings!CW$3,Entries!$C54:$K54,1,FALSE))),"x",IF(NOT(ISERROR(HLOOKUP(Standings!CW$3,Entries!$L54:$L54,1,FALSE))),"S",""))</f>
        <v>x</v>
      </c>
      <c r="CX62" t="str">
        <f>IF(NOT(ISERROR(HLOOKUP(Standings!CX$3,Entries!$C54:$K54,1,FALSE))),"x",IF(NOT(ISERROR(HLOOKUP(Standings!CX$3,Entries!$L54:$L54,1,FALSE))),"S",""))</f>
        <v/>
      </c>
      <c r="CY62" t="str">
        <f>IF(NOT(ISERROR(HLOOKUP(Standings!CY$3,Entries!$C54:$K54,1,FALSE))),"x",IF(NOT(ISERROR(HLOOKUP(Standings!CY$3,Entries!$L54:$L54,1,FALSE))),"S",""))</f>
        <v/>
      </c>
      <c r="CZ62" t="str">
        <f>IF(NOT(ISERROR(HLOOKUP(Standings!CZ$3,Entries!$C54:$K54,1,FALSE))),"x",IF(NOT(ISERROR(HLOOKUP(Standings!CZ$3,Entries!$L54:$L54,1,FALSE))),"S",""))</f>
        <v>x</v>
      </c>
      <c r="DA62" t="str">
        <f>IF(NOT(ISERROR(HLOOKUP(Standings!DA$3,Entries!$C54:$K54,1,FALSE))),"x",IF(NOT(ISERROR(HLOOKUP(Standings!DA$3,Entries!$L54:$L54,1,FALSE))),"S",""))</f>
        <v/>
      </c>
      <c r="DB62" t="str">
        <f>IF(NOT(ISERROR(HLOOKUP(Standings!DB$3,Entries!$C54:$K54,1,FALSE))),"x",IF(NOT(ISERROR(HLOOKUP(Standings!DB$3,Entries!$L54:$L54,1,FALSE))),"S",""))</f>
        <v/>
      </c>
    </row>
    <row r="63" spans="1:106" x14ac:dyDescent="0.25">
      <c r="B63">
        <v>42</v>
      </c>
      <c r="C63" t="str">
        <f>Entries!B55</f>
        <v>JHudd1</v>
      </c>
      <c r="D63" s="4">
        <f t="shared" si="53"/>
        <v>55</v>
      </c>
      <c r="E63" s="31">
        <f t="shared" si="54"/>
        <v>0</v>
      </c>
      <c r="F63" s="40" t="str">
        <f t="shared" si="52"/>
        <v/>
      </c>
      <c r="G63" s="41" t="str">
        <f t="shared" si="5"/>
        <v/>
      </c>
      <c r="H63" s="41" t="str">
        <f t="shared" si="6"/>
        <v/>
      </c>
      <c r="I63" s="42" t="str">
        <f t="shared" si="7"/>
        <v/>
      </c>
      <c r="J63" s="40" t="str">
        <f t="shared" si="8"/>
        <v/>
      </c>
      <c r="K63" s="41" t="str">
        <f t="shared" si="9"/>
        <v/>
      </c>
      <c r="L63" s="41" t="str">
        <f t="shared" si="10"/>
        <v/>
      </c>
      <c r="M63" s="42" t="str">
        <f t="shared" si="11"/>
        <v/>
      </c>
      <c r="N63" s="43">
        <f t="shared" si="12"/>
        <v>-1.0000000000000001E-5</v>
      </c>
      <c r="O63" s="41">
        <f t="shared" si="13"/>
        <v>0</v>
      </c>
      <c r="P63" s="41" t="str">
        <f t="shared" si="14"/>
        <v/>
      </c>
      <c r="Q63" s="42">
        <f t="shared" si="15"/>
        <v>0</v>
      </c>
      <c r="R63" s="40" t="str">
        <f t="shared" si="16"/>
        <v/>
      </c>
      <c r="S63" s="41" t="str">
        <f t="shared" si="17"/>
        <v/>
      </c>
      <c r="T63" s="43" t="str">
        <f t="shared" si="18"/>
        <v/>
      </c>
      <c r="U63" s="42" t="str">
        <f t="shared" si="19"/>
        <v/>
      </c>
      <c r="V63" s="40" t="str">
        <f t="shared" si="20"/>
        <v/>
      </c>
      <c r="W63" s="41" t="str">
        <f t="shared" si="21"/>
        <v/>
      </c>
      <c r="X63" s="41" t="str">
        <f t="shared" si="22"/>
        <v/>
      </c>
      <c r="Y63" s="42">
        <f t="shared" si="23"/>
        <v>0</v>
      </c>
      <c r="Z63" s="40">
        <f t="shared" si="24"/>
        <v>0</v>
      </c>
      <c r="AA63" s="41" t="str">
        <f t="shared" si="25"/>
        <v/>
      </c>
      <c r="AB63" s="41" t="str">
        <f t="shared" si="26"/>
        <v/>
      </c>
      <c r="AC63" s="42" t="str">
        <f t="shared" si="27"/>
        <v/>
      </c>
      <c r="AD63" s="40" t="str">
        <f t="shared" si="28"/>
        <v/>
      </c>
      <c r="AE63" s="41" t="str">
        <f t="shared" si="29"/>
        <v/>
      </c>
      <c r="AF63" s="41" t="str">
        <f t="shared" si="30"/>
        <v/>
      </c>
      <c r="AG63" s="42" t="str">
        <f t="shared" si="31"/>
        <v/>
      </c>
      <c r="AH63" s="40" t="str">
        <f t="shared" si="32"/>
        <v/>
      </c>
      <c r="AI63" s="41" t="str">
        <f t="shared" si="33"/>
        <v/>
      </c>
      <c r="AJ63" s="41" t="str">
        <f t="shared" si="34"/>
        <v/>
      </c>
      <c r="AK63" s="42" t="str">
        <f t="shared" si="35"/>
        <v/>
      </c>
      <c r="AL63" s="40" t="str">
        <f t="shared" si="36"/>
        <v/>
      </c>
      <c r="AM63" s="41" t="str">
        <f t="shared" si="37"/>
        <v/>
      </c>
      <c r="AN63" s="41" t="str">
        <f t="shared" si="38"/>
        <v/>
      </c>
      <c r="AO63" s="42" t="str">
        <f t="shared" si="39"/>
        <v/>
      </c>
      <c r="AP63" s="40" t="str">
        <f t="shared" si="40"/>
        <v/>
      </c>
      <c r="AQ63" s="41" t="str">
        <f t="shared" si="41"/>
        <v/>
      </c>
      <c r="AR63" s="41">
        <f t="shared" si="42"/>
        <v>0</v>
      </c>
      <c r="AS63" s="42" t="str">
        <f t="shared" si="43"/>
        <v/>
      </c>
      <c r="AT63" s="40" t="str">
        <f t="shared" si="44"/>
        <v/>
      </c>
      <c r="AU63" s="41" t="str">
        <f t="shared" si="45"/>
        <v/>
      </c>
      <c r="AV63" s="41" t="str">
        <f t="shared" si="46"/>
        <v/>
      </c>
      <c r="AW63" s="42" t="str">
        <f t="shared" si="47"/>
        <v/>
      </c>
      <c r="AX63" s="40">
        <f t="shared" si="48"/>
        <v>0</v>
      </c>
      <c r="AY63" s="41" t="str">
        <f t="shared" si="49"/>
        <v/>
      </c>
      <c r="AZ63" s="41" t="str">
        <f t="shared" si="50"/>
        <v/>
      </c>
      <c r="BA63" s="42" t="str">
        <f t="shared" si="51"/>
        <v/>
      </c>
      <c r="BB63" s="37" t="s">
        <v>106</v>
      </c>
      <c r="BD63" s="21"/>
      <c r="BG63" t="str">
        <f>IF(NOT(ISERROR(HLOOKUP(Standings!BG$3,Entries!$C55:$K55,1,FALSE))),"x",IF(NOT(ISERROR(HLOOKUP(Standings!BG$3,Entries!$L55:$L55,1,FALSE))),"S",""))</f>
        <v/>
      </c>
      <c r="BH63" t="str">
        <f>IF(NOT(ISERROR(HLOOKUP(Standings!BH$3,Entries!$C55:$K55,1,FALSE))),"x",IF(NOT(ISERROR(HLOOKUP(Standings!BH$3,Entries!$L55:$L55,1,FALSE))),"S",""))</f>
        <v/>
      </c>
      <c r="BI63" t="str">
        <f>IF(NOT(ISERROR(HLOOKUP(Standings!BI$3,Entries!$C55:$K55,1,FALSE))),"x",IF(NOT(ISERROR(HLOOKUP(Standings!BI$3,Entries!$L55:$L55,1,FALSE))),"S",""))</f>
        <v/>
      </c>
      <c r="BJ63" t="str">
        <f>IF(NOT(ISERROR(HLOOKUP(Standings!BJ$3,Entries!$C55:$K55,1,FALSE))),"x",IF(NOT(ISERROR(HLOOKUP(Standings!BJ$3,Entries!$L55:$L55,1,FALSE))),"S",""))</f>
        <v/>
      </c>
      <c r="BK63" t="str">
        <f>IF(NOT(ISERROR(HLOOKUP(Standings!BK$3,Entries!$C55:$K55,1,FALSE))),"x",IF(NOT(ISERROR(HLOOKUP(Standings!BK$3,Entries!$L55:$L55,1,FALSE))),"S",""))</f>
        <v/>
      </c>
      <c r="BL63" t="str">
        <f>IF(NOT(ISERROR(HLOOKUP(Standings!BL$3,Entries!$C55:$K55,1,FALSE))),"x",IF(NOT(ISERROR(HLOOKUP(Standings!BL$3,Entries!$L55:$L55,1,FALSE))),"S",""))</f>
        <v/>
      </c>
      <c r="BM63" t="str">
        <f>IF(NOT(ISERROR(HLOOKUP(Standings!BM$3,Entries!$C55:$K55,1,FALSE))),"x",IF(NOT(ISERROR(HLOOKUP(Standings!BM$3,Entries!$L55:$L55,1,FALSE))),"S",""))</f>
        <v/>
      </c>
      <c r="BN63" t="str">
        <f>IF(NOT(ISERROR(HLOOKUP(Standings!BN$3,Entries!$C55:$K55,1,FALSE))),"x",IF(NOT(ISERROR(HLOOKUP(Standings!BN$3,Entries!$L55:$L55,1,FALSE))),"S",""))</f>
        <v/>
      </c>
      <c r="BO63" t="str">
        <f>IF(NOT(ISERROR(HLOOKUP(Standings!BO$3,Entries!$C55:$K55,1,FALSE))),"x",IF(NOT(ISERROR(HLOOKUP(Standings!BO$3,Entries!$L55:$L55,1,FALSE))),"S",""))</f>
        <v>S</v>
      </c>
      <c r="BP63" t="str">
        <f>IF(NOT(ISERROR(HLOOKUP(Standings!BP$3,Entries!$C55:$K55,1,FALSE))),"x",IF(NOT(ISERROR(HLOOKUP(Standings!BP$3,Entries!$L55:$L55,1,FALSE))),"S",""))</f>
        <v>x</v>
      </c>
      <c r="BQ63" t="str">
        <f>IF(NOT(ISERROR(HLOOKUP(Standings!BQ$3,Entries!$C55:$K55,1,FALSE))),"x",IF(NOT(ISERROR(HLOOKUP(Standings!BQ$3,Entries!$L55:$L55,1,FALSE))),"S",""))</f>
        <v/>
      </c>
      <c r="BR63" t="str">
        <f>IF(NOT(ISERROR(HLOOKUP(Standings!BR$3,Entries!$C55:$K55,1,FALSE))),"x",IF(NOT(ISERROR(HLOOKUP(Standings!BR$3,Entries!$L55:$L55,1,FALSE))),"S",""))</f>
        <v>x</v>
      </c>
      <c r="BS63" t="str">
        <f>IF(NOT(ISERROR(HLOOKUP(Standings!BS$3,Entries!$C55:$K55,1,FALSE))),"x",IF(NOT(ISERROR(HLOOKUP(Standings!BS$3,Entries!$L55:$L55,1,FALSE))),"S",""))</f>
        <v/>
      </c>
      <c r="BT63" t="str">
        <f>IF(NOT(ISERROR(HLOOKUP(Standings!BT$3,Entries!$C55:$K55,1,FALSE))),"x",IF(NOT(ISERROR(HLOOKUP(Standings!BT$3,Entries!$L55:$L55,1,FALSE))),"S",""))</f>
        <v/>
      </c>
      <c r="BU63" t="str">
        <f>IF(NOT(ISERROR(HLOOKUP(Standings!BU$3,Entries!$C55:$K55,1,FALSE))),"x",IF(NOT(ISERROR(HLOOKUP(Standings!BU$3,Entries!$L55:$L55,1,FALSE))),"S",""))</f>
        <v/>
      </c>
      <c r="BV63" t="str">
        <f>IF(NOT(ISERROR(HLOOKUP(Standings!BV$3,Entries!$C55:$K55,1,FALSE))),"x",IF(NOT(ISERROR(HLOOKUP(Standings!BV$3,Entries!$L55:$L55,1,FALSE))),"S",""))</f>
        <v/>
      </c>
      <c r="BW63" t="str">
        <f>IF(NOT(ISERROR(HLOOKUP(Standings!BW$3,Entries!$C55:$K55,1,FALSE))),"x",IF(NOT(ISERROR(HLOOKUP(Standings!BW$3,Entries!$L55:$L55,1,FALSE))),"S",""))</f>
        <v/>
      </c>
      <c r="BX63" t="str">
        <f>IF(NOT(ISERROR(HLOOKUP(Standings!BX$3,Entries!$C55:$K55,1,FALSE))),"x",IF(NOT(ISERROR(HLOOKUP(Standings!BX$3,Entries!$L55:$L55,1,FALSE))),"S",""))</f>
        <v/>
      </c>
      <c r="BY63" t="str">
        <f>IF(NOT(ISERROR(HLOOKUP(Standings!BY$3,Entries!$C55:$K55,1,FALSE))),"x",IF(NOT(ISERROR(HLOOKUP(Standings!BY$3,Entries!$L55:$L55,1,FALSE))),"S",""))</f>
        <v/>
      </c>
      <c r="BZ63" t="str">
        <f>IF(NOT(ISERROR(HLOOKUP(Standings!BZ$3,Entries!$C55:$K55,1,FALSE))),"x",IF(NOT(ISERROR(HLOOKUP(Standings!BZ$3,Entries!$L55:$L55,1,FALSE))),"S",""))</f>
        <v>x</v>
      </c>
      <c r="CA63" t="str">
        <f>IF(NOT(ISERROR(HLOOKUP(Standings!CA$3,Entries!$C55:$K55,1,FALSE))),"x",IF(NOT(ISERROR(HLOOKUP(Standings!CA$3,Entries!$L55:$L55,1,FALSE))),"S",""))</f>
        <v>x</v>
      </c>
      <c r="CB63" t="str">
        <f>IF(NOT(ISERROR(HLOOKUP(Standings!CB$3,Entries!$C55:$K55,1,FALSE))),"x",IF(NOT(ISERROR(HLOOKUP(Standings!CB$3,Entries!$L55:$L55,1,FALSE))),"S",""))</f>
        <v/>
      </c>
      <c r="CC63" t="str">
        <f>IF(NOT(ISERROR(HLOOKUP(Standings!CC$3,Entries!$C55:$K55,1,FALSE))),"x",IF(NOT(ISERROR(HLOOKUP(Standings!CC$3,Entries!$L55:$L55,1,FALSE))),"S",""))</f>
        <v/>
      </c>
      <c r="CD63" t="str">
        <f>IF(NOT(ISERROR(HLOOKUP(Standings!CD$3,Entries!$C55:$K55,1,FALSE))),"x",IF(NOT(ISERROR(HLOOKUP(Standings!CD$3,Entries!$L55:$L55,1,FALSE))),"S",""))</f>
        <v/>
      </c>
      <c r="CE63" t="str">
        <f>IF(NOT(ISERROR(HLOOKUP(Standings!CE$3,Entries!$C55:$K55,1,FALSE))),"x",IF(NOT(ISERROR(HLOOKUP(Standings!CE$3,Entries!$L55:$L55,1,FALSE))),"S",""))</f>
        <v/>
      </c>
      <c r="CF63" t="str">
        <f>IF(NOT(ISERROR(HLOOKUP(Standings!CF$3,Entries!$C55:$K55,1,FALSE))),"x",IF(NOT(ISERROR(HLOOKUP(Standings!CF$3,Entries!$L55:$L55,1,FALSE))),"S",""))</f>
        <v/>
      </c>
      <c r="CG63" t="str">
        <f>IF(NOT(ISERROR(HLOOKUP(Standings!CG$3,Entries!$C55:$K55,1,FALSE))),"x",IF(NOT(ISERROR(HLOOKUP(Standings!CG$3,Entries!$L55:$L55,1,FALSE))),"S",""))</f>
        <v/>
      </c>
      <c r="CH63" t="str">
        <f>IF(NOT(ISERROR(HLOOKUP(Standings!CH$3,Entries!$C55:$K55,1,FALSE))),"x",IF(NOT(ISERROR(HLOOKUP(Standings!CH$3,Entries!$L55:$L55,1,FALSE))),"S",""))</f>
        <v/>
      </c>
      <c r="CI63" t="str">
        <f>IF(NOT(ISERROR(HLOOKUP(Standings!CI$3,Entries!$C55:$K55,1,FALSE))),"x",IF(NOT(ISERROR(HLOOKUP(Standings!CI$3,Entries!$L55:$L55,1,FALSE))),"S",""))</f>
        <v/>
      </c>
      <c r="CJ63" t="str">
        <f>IF(NOT(ISERROR(HLOOKUP(Standings!CJ$3,Entries!$C55:$K55,1,FALSE))),"x",IF(NOT(ISERROR(HLOOKUP(Standings!CJ$3,Entries!$L55:$L55,1,FALSE))),"S",""))</f>
        <v/>
      </c>
      <c r="CK63" t="str">
        <f>IF(NOT(ISERROR(HLOOKUP(Standings!CK$3,Entries!$C55:$K55,1,FALSE))),"x",IF(NOT(ISERROR(HLOOKUP(Standings!CK$3,Entries!$L55:$L55,1,FALSE))),"S",""))</f>
        <v/>
      </c>
      <c r="CL63" t="str">
        <f>IF(NOT(ISERROR(HLOOKUP(Standings!CL$3,Entries!$C55:$K55,1,FALSE))),"x",IF(NOT(ISERROR(HLOOKUP(Standings!CL$3,Entries!$L55:$L55,1,FALSE))),"S",""))</f>
        <v/>
      </c>
      <c r="CM63" t="str">
        <f>IF(NOT(ISERROR(HLOOKUP(Standings!CM$3,Entries!$C55:$K55,1,FALSE))),"x",IF(NOT(ISERROR(HLOOKUP(Standings!CM$3,Entries!$L55:$L55,1,FALSE))),"S",""))</f>
        <v/>
      </c>
      <c r="CN63" t="str">
        <f>IF(NOT(ISERROR(HLOOKUP(Standings!CN$3,Entries!$C55:$K55,1,FALSE))),"x",IF(NOT(ISERROR(HLOOKUP(Standings!CN$3,Entries!$L55:$L55,1,FALSE))),"S",""))</f>
        <v/>
      </c>
      <c r="CO63" t="str">
        <f>IF(NOT(ISERROR(HLOOKUP(Standings!CO$3,Entries!$C55:$K55,1,FALSE))),"x",IF(NOT(ISERROR(HLOOKUP(Standings!CO$3,Entries!$L55:$L55,1,FALSE))),"S",""))</f>
        <v/>
      </c>
      <c r="CP63" t="str">
        <f>IF(NOT(ISERROR(HLOOKUP(Standings!CP$3,Entries!$C55:$K55,1,FALSE))),"x",IF(NOT(ISERROR(HLOOKUP(Standings!CP$3,Entries!$L55:$L55,1,FALSE))),"S",""))</f>
        <v/>
      </c>
      <c r="CQ63" t="str">
        <f>IF(NOT(ISERROR(HLOOKUP(Standings!CQ$3,Entries!$C55:$K55,1,FALSE))),"x",IF(NOT(ISERROR(HLOOKUP(Standings!CQ$3,Entries!$L55:$L55,1,FALSE))),"S",""))</f>
        <v/>
      </c>
      <c r="CR63" t="str">
        <f>IF(NOT(ISERROR(HLOOKUP(Standings!CR$3,Entries!$C55:$K55,1,FALSE))),"x",IF(NOT(ISERROR(HLOOKUP(Standings!CR$3,Entries!$L55:$L55,1,FALSE))),"S",""))</f>
        <v/>
      </c>
      <c r="CS63" t="str">
        <f>IF(NOT(ISERROR(HLOOKUP(Standings!CS$3,Entries!$C55:$K55,1,FALSE))),"x",IF(NOT(ISERROR(HLOOKUP(Standings!CS$3,Entries!$L55:$L55,1,FALSE))),"S",""))</f>
        <v>x</v>
      </c>
      <c r="CT63" t="str">
        <f>IF(NOT(ISERROR(HLOOKUP(Standings!CT$3,Entries!$C55:$K55,1,FALSE))),"x",IF(NOT(ISERROR(HLOOKUP(Standings!CT$3,Entries!$L55:$L55,1,FALSE))),"S",""))</f>
        <v/>
      </c>
      <c r="CU63" t="str">
        <f>IF(NOT(ISERROR(HLOOKUP(Standings!CU$3,Entries!$C55:$K55,1,FALSE))),"x",IF(NOT(ISERROR(HLOOKUP(Standings!CU$3,Entries!$L55:$L55,1,FALSE))),"S",""))</f>
        <v/>
      </c>
      <c r="CV63" t="str">
        <f>IF(NOT(ISERROR(HLOOKUP(Standings!CV$3,Entries!$C55:$K55,1,FALSE))),"x",IF(NOT(ISERROR(HLOOKUP(Standings!CV$3,Entries!$L55:$L55,1,FALSE))),"S",""))</f>
        <v/>
      </c>
      <c r="CW63" t="str">
        <f>IF(NOT(ISERROR(HLOOKUP(Standings!CW$3,Entries!$C55:$K55,1,FALSE))),"x",IF(NOT(ISERROR(HLOOKUP(Standings!CW$3,Entries!$L55:$L55,1,FALSE))),"S",""))</f>
        <v/>
      </c>
      <c r="CX63" t="str">
        <f>IF(NOT(ISERROR(HLOOKUP(Standings!CX$3,Entries!$C55:$K55,1,FALSE))),"x",IF(NOT(ISERROR(HLOOKUP(Standings!CX$3,Entries!$L55:$L55,1,FALSE))),"S",""))</f>
        <v/>
      </c>
      <c r="CY63" t="str">
        <f>IF(NOT(ISERROR(HLOOKUP(Standings!CY$3,Entries!$C55:$K55,1,FALSE))),"x",IF(NOT(ISERROR(HLOOKUP(Standings!CY$3,Entries!$L55:$L55,1,FALSE))),"S",""))</f>
        <v>x</v>
      </c>
      <c r="CZ63" t="str">
        <f>IF(NOT(ISERROR(HLOOKUP(Standings!CZ$3,Entries!$C55:$K55,1,FALSE))),"x",IF(NOT(ISERROR(HLOOKUP(Standings!CZ$3,Entries!$L55:$L55,1,FALSE))),"S",""))</f>
        <v/>
      </c>
      <c r="DA63" t="str">
        <f>IF(NOT(ISERROR(HLOOKUP(Standings!DA$3,Entries!$C55:$K55,1,FALSE))),"x",IF(NOT(ISERROR(HLOOKUP(Standings!DA$3,Entries!$L55:$L55,1,FALSE))),"S",""))</f>
        <v/>
      </c>
      <c r="DB63" t="str">
        <f>IF(NOT(ISERROR(HLOOKUP(Standings!DB$3,Entries!$C55:$K55,1,FALSE))),"x",IF(NOT(ISERROR(HLOOKUP(Standings!DB$3,Entries!$L55:$L55,1,FALSE))),"S",""))</f>
        <v/>
      </c>
    </row>
    <row r="64" spans="1:106" x14ac:dyDescent="0.25">
      <c r="B64">
        <v>45</v>
      </c>
      <c r="C64" t="str">
        <f>Entries!B56</f>
        <v>JHudd2</v>
      </c>
      <c r="D64" s="4">
        <f t="shared" si="53"/>
        <v>18</v>
      </c>
      <c r="E64" s="31">
        <f t="shared" si="54"/>
        <v>2</v>
      </c>
      <c r="F64" s="40">
        <f t="shared" si="52"/>
        <v>2</v>
      </c>
      <c r="G64" s="41" t="str">
        <f t="shared" si="5"/>
        <v/>
      </c>
      <c r="H64" s="41" t="str">
        <f t="shared" si="6"/>
        <v/>
      </c>
      <c r="I64" s="42" t="str">
        <f t="shared" si="7"/>
        <v/>
      </c>
      <c r="J64" s="40" t="str">
        <f t="shared" si="8"/>
        <v/>
      </c>
      <c r="K64" s="41" t="str">
        <f t="shared" si="9"/>
        <v/>
      </c>
      <c r="L64" s="41" t="str">
        <f t="shared" si="10"/>
        <v/>
      </c>
      <c r="M64" s="42" t="str">
        <f t="shared" si="11"/>
        <v/>
      </c>
      <c r="N64" s="43" t="str">
        <f t="shared" si="12"/>
        <v/>
      </c>
      <c r="O64" s="41" t="str">
        <f t="shared" si="13"/>
        <v/>
      </c>
      <c r="P64" s="41" t="str">
        <f t="shared" si="14"/>
        <v/>
      </c>
      <c r="Q64" s="42">
        <f t="shared" si="15"/>
        <v>0</v>
      </c>
      <c r="R64" s="40" t="str">
        <f t="shared" si="16"/>
        <v/>
      </c>
      <c r="S64" s="41" t="str">
        <f t="shared" si="17"/>
        <v/>
      </c>
      <c r="T64" s="43" t="str">
        <f t="shared" si="18"/>
        <v/>
      </c>
      <c r="U64" s="42" t="str">
        <f t="shared" si="19"/>
        <v/>
      </c>
      <c r="V64" s="40" t="str">
        <f t="shared" si="20"/>
        <v/>
      </c>
      <c r="W64" s="41" t="str">
        <f t="shared" si="21"/>
        <v/>
      </c>
      <c r="X64" s="41" t="str">
        <f t="shared" si="22"/>
        <v/>
      </c>
      <c r="Y64" s="42">
        <f t="shared" si="23"/>
        <v>0</v>
      </c>
      <c r="Z64" s="40">
        <f t="shared" si="24"/>
        <v>-1.0000000000000001E-5</v>
      </c>
      <c r="AA64" s="41" t="str">
        <f t="shared" si="25"/>
        <v/>
      </c>
      <c r="AB64" s="41" t="str">
        <f t="shared" si="26"/>
        <v/>
      </c>
      <c r="AC64" s="42">
        <f t="shared" si="27"/>
        <v>0</v>
      </c>
      <c r="AD64" s="40">
        <f t="shared" si="28"/>
        <v>0</v>
      </c>
      <c r="AE64" s="41" t="str">
        <f t="shared" si="29"/>
        <v/>
      </c>
      <c r="AF64" s="41" t="str">
        <f t="shared" si="30"/>
        <v/>
      </c>
      <c r="AG64" s="42" t="str">
        <f t="shared" si="31"/>
        <v/>
      </c>
      <c r="AH64" s="40" t="str">
        <f t="shared" si="32"/>
        <v/>
      </c>
      <c r="AI64" s="41" t="str">
        <f t="shared" si="33"/>
        <v/>
      </c>
      <c r="AJ64" s="41" t="str">
        <f t="shared" si="34"/>
        <v/>
      </c>
      <c r="AK64" s="42" t="str">
        <f t="shared" si="35"/>
        <v/>
      </c>
      <c r="AL64" s="40" t="str">
        <f t="shared" si="36"/>
        <v/>
      </c>
      <c r="AM64" s="41" t="str">
        <f t="shared" si="37"/>
        <v/>
      </c>
      <c r="AN64" s="41">
        <f t="shared" si="38"/>
        <v>0</v>
      </c>
      <c r="AO64" s="42" t="str">
        <f t="shared" si="39"/>
        <v/>
      </c>
      <c r="AP64" s="40" t="str">
        <f t="shared" si="40"/>
        <v/>
      </c>
      <c r="AQ64" s="41" t="str">
        <f t="shared" si="41"/>
        <v/>
      </c>
      <c r="AR64" s="41" t="str">
        <f t="shared" si="42"/>
        <v/>
      </c>
      <c r="AS64" s="42" t="str">
        <f t="shared" si="43"/>
        <v/>
      </c>
      <c r="AT64" s="40" t="str">
        <f t="shared" si="44"/>
        <v/>
      </c>
      <c r="AU64" s="41" t="str">
        <f t="shared" si="45"/>
        <v/>
      </c>
      <c r="AV64" s="41" t="str">
        <f t="shared" si="46"/>
        <v/>
      </c>
      <c r="AW64" s="42" t="str">
        <f t="shared" si="47"/>
        <v/>
      </c>
      <c r="AX64" s="40" t="str">
        <f t="shared" si="48"/>
        <v/>
      </c>
      <c r="AY64" s="41" t="str">
        <f t="shared" si="49"/>
        <v/>
      </c>
      <c r="AZ64" s="41" t="str">
        <f t="shared" si="50"/>
        <v/>
      </c>
      <c r="BA64" s="42" t="str">
        <f t="shared" si="51"/>
        <v/>
      </c>
      <c r="BB64" s="37" t="s">
        <v>106</v>
      </c>
      <c r="BD64" s="21"/>
      <c r="BG64" t="str">
        <f>IF(NOT(ISERROR(HLOOKUP(Standings!BG$3,Entries!$C56:$K56,1,FALSE))),"x",IF(NOT(ISERROR(HLOOKUP(Standings!BG$3,Entries!$L56:$L56,1,FALSE))),"S",""))</f>
        <v>x</v>
      </c>
      <c r="BH64" t="str">
        <f>IF(NOT(ISERROR(HLOOKUP(Standings!BH$3,Entries!$C56:$K56,1,FALSE))),"x",IF(NOT(ISERROR(HLOOKUP(Standings!BH$3,Entries!$L56:$L56,1,FALSE))),"S",""))</f>
        <v/>
      </c>
      <c r="BI64" t="str">
        <f>IF(NOT(ISERROR(HLOOKUP(Standings!BI$3,Entries!$C56:$K56,1,FALSE))),"x",IF(NOT(ISERROR(HLOOKUP(Standings!BI$3,Entries!$L56:$L56,1,FALSE))),"S",""))</f>
        <v/>
      </c>
      <c r="BJ64" t="str">
        <f>IF(NOT(ISERROR(HLOOKUP(Standings!BJ$3,Entries!$C56:$K56,1,FALSE))),"x",IF(NOT(ISERROR(HLOOKUP(Standings!BJ$3,Entries!$L56:$L56,1,FALSE))),"S",""))</f>
        <v/>
      </c>
      <c r="BK64" t="str">
        <f>IF(NOT(ISERROR(HLOOKUP(Standings!BK$3,Entries!$C56:$K56,1,FALSE))),"x",IF(NOT(ISERROR(HLOOKUP(Standings!BK$3,Entries!$L56:$L56,1,FALSE))),"S",""))</f>
        <v/>
      </c>
      <c r="BL64" t="str">
        <f>IF(NOT(ISERROR(HLOOKUP(Standings!BL$3,Entries!$C56:$K56,1,FALSE))),"x",IF(NOT(ISERROR(HLOOKUP(Standings!BL$3,Entries!$L56:$L56,1,FALSE))),"S",""))</f>
        <v/>
      </c>
      <c r="BM64" t="str">
        <f>IF(NOT(ISERROR(HLOOKUP(Standings!BM$3,Entries!$C56:$K56,1,FALSE))),"x",IF(NOT(ISERROR(HLOOKUP(Standings!BM$3,Entries!$L56:$L56,1,FALSE))),"S",""))</f>
        <v/>
      </c>
      <c r="BN64" t="str">
        <f>IF(NOT(ISERROR(HLOOKUP(Standings!BN$3,Entries!$C56:$K56,1,FALSE))),"x",IF(NOT(ISERROR(HLOOKUP(Standings!BN$3,Entries!$L56:$L56,1,FALSE))),"S",""))</f>
        <v/>
      </c>
      <c r="BO64" t="str">
        <f>IF(NOT(ISERROR(HLOOKUP(Standings!BO$3,Entries!$C56:$K56,1,FALSE))),"x",IF(NOT(ISERROR(HLOOKUP(Standings!BO$3,Entries!$L56:$L56,1,FALSE))),"S",""))</f>
        <v/>
      </c>
      <c r="BP64" t="str">
        <f>IF(NOT(ISERROR(HLOOKUP(Standings!BP$3,Entries!$C56:$K56,1,FALSE))),"x",IF(NOT(ISERROR(HLOOKUP(Standings!BP$3,Entries!$L56:$L56,1,FALSE))),"S",""))</f>
        <v/>
      </c>
      <c r="BQ64" t="str">
        <f>IF(NOT(ISERROR(HLOOKUP(Standings!BQ$3,Entries!$C56:$K56,1,FALSE))),"x",IF(NOT(ISERROR(HLOOKUP(Standings!BQ$3,Entries!$L56:$L56,1,FALSE))),"S",""))</f>
        <v/>
      </c>
      <c r="BR64" t="str">
        <f>IF(NOT(ISERROR(HLOOKUP(Standings!BR$3,Entries!$C56:$K56,1,FALSE))),"x",IF(NOT(ISERROR(HLOOKUP(Standings!BR$3,Entries!$L56:$L56,1,FALSE))),"S",""))</f>
        <v>x</v>
      </c>
      <c r="BS64" t="str">
        <f>IF(NOT(ISERROR(HLOOKUP(Standings!BS$3,Entries!$C56:$K56,1,FALSE))),"x",IF(NOT(ISERROR(HLOOKUP(Standings!BS$3,Entries!$L56:$L56,1,FALSE))),"S",""))</f>
        <v/>
      </c>
      <c r="BT64" t="str">
        <f>IF(NOT(ISERROR(HLOOKUP(Standings!BT$3,Entries!$C56:$K56,1,FALSE))),"x",IF(NOT(ISERROR(HLOOKUP(Standings!BT$3,Entries!$L56:$L56,1,FALSE))),"S",""))</f>
        <v/>
      </c>
      <c r="BU64" t="str">
        <f>IF(NOT(ISERROR(HLOOKUP(Standings!BU$3,Entries!$C56:$K56,1,FALSE))),"x",IF(NOT(ISERROR(HLOOKUP(Standings!BU$3,Entries!$L56:$L56,1,FALSE))),"S",""))</f>
        <v/>
      </c>
      <c r="BV64" t="str">
        <f>IF(NOT(ISERROR(HLOOKUP(Standings!BV$3,Entries!$C56:$K56,1,FALSE))),"x",IF(NOT(ISERROR(HLOOKUP(Standings!BV$3,Entries!$L56:$L56,1,FALSE))),"S",""))</f>
        <v/>
      </c>
      <c r="BW64" t="str">
        <f>IF(NOT(ISERROR(HLOOKUP(Standings!BW$3,Entries!$C56:$K56,1,FALSE))),"x",IF(NOT(ISERROR(HLOOKUP(Standings!BW$3,Entries!$L56:$L56,1,FALSE))),"S",""))</f>
        <v/>
      </c>
      <c r="BX64" t="str">
        <f>IF(NOT(ISERROR(HLOOKUP(Standings!BX$3,Entries!$C56:$K56,1,FALSE))),"x",IF(NOT(ISERROR(HLOOKUP(Standings!BX$3,Entries!$L56:$L56,1,FALSE))),"S",""))</f>
        <v/>
      </c>
      <c r="BY64" t="str">
        <f>IF(NOT(ISERROR(HLOOKUP(Standings!BY$3,Entries!$C56:$K56,1,FALSE))),"x",IF(NOT(ISERROR(HLOOKUP(Standings!BY$3,Entries!$L56:$L56,1,FALSE))),"S",""))</f>
        <v/>
      </c>
      <c r="BZ64" t="str">
        <f>IF(NOT(ISERROR(HLOOKUP(Standings!BZ$3,Entries!$C56:$K56,1,FALSE))),"x",IF(NOT(ISERROR(HLOOKUP(Standings!BZ$3,Entries!$L56:$L56,1,FALSE))),"S",""))</f>
        <v>x</v>
      </c>
      <c r="CA64" t="str">
        <f>IF(NOT(ISERROR(HLOOKUP(Standings!CA$3,Entries!$C56:$K56,1,FALSE))),"x",IF(NOT(ISERROR(HLOOKUP(Standings!CA$3,Entries!$L56:$L56,1,FALSE))),"S",""))</f>
        <v>S</v>
      </c>
      <c r="CB64" t="str">
        <f>IF(NOT(ISERROR(HLOOKUP(Standings!CB$3,Entries!$C56:$K56,1,FALSE))),"x",IF(NOT(ISERROR(HLOOKUP(Standings!CB$3,Entries!$L56:$L56,1,FALSE))),"S",""))</f>
        <v/>
      </c>
      <c r="CC64" t="str">
        <f>IF(NOT(ISERROR(HLOOKUP(Standings!CC$3,Entries!$C56:$K56,1,FALSE))),"x",IF(NOT(ISERROR(HLOOKUP(Standings!CC$3,Entries!$L56:$L56,1,FALSE))),"S",""))</f>
        <v/>
      </c>
      <c r="CD64" t="str">
        <f>IF(NOT(ISERROR(HLOOKUP(Standings!CD$3,Entries!$C56:$K56,1,FALSE))),"x",IF(NOT(ISERROR(HLOOKUP(Standings!CD$3,Entries!$L56:$L56,1,FALSE))),"S",""))</f>
        <v>x</v>
      </c>
      <c r="CE64" t="str">
        <f>IF(NOT(ISERROR(HLOOKUP(Standings!CE$3,Entries!$C56:$K56,1,FALSE))),"x",IF(NOT(ISERROR(HLOOKUP(Standings!CE$3,Entries!$L56:$L56,1,FALSE))),"S",""))</f>
        <v>x</v>
      </c>
      <c r="CF64" t="str">
        <f>IF(NOT(ISERROR(HLOOKUP(Standings!CF$3,Entries!$C56:$K56,1,FALSE))),"x",IF(NOT(ISERROR(HLOOKUP(Standings!CF$3,Entries!$L56:$L56,1,FALSE))),"S",""))</f>
        <v/>
      </c>
      <c r="CG64" t="str">
        <f>IF(NOT(ISERROR(HLOOKUP(Standings!CG$3,Entries!$C56:$K56,1,FALSE))),"x",IF(NOT(ISERROR(HLOOKUP(Standings!CG$3,Entries!$L56:$L56,1,FALSE))),"S",""))</f>
        <v/>
      </c>
      <c r="CH64" t="str">
        <f>IF(NOT(ISERROR(HLOOKUP(Standings!CH$3,Entries!$C56:$K56,1,FALSE))),"x",IF(NOT(ISERROR(HLOOKUP(Standings!CH$3,Entries!$L56:$L56,1,FALSE))),"S",""))</f>
        <v/>
      </c>
      <c r="CI64" t="str">
        <f>IF(NOT(ISERROR(HLOOKUP(Standings!CI$3,Entries!$C56:$K56,1,FALSE))),"x",IF(NOT(ISERROR(HLOOKUP(Standings!CI$3,Entries!$L56:$L56,1,FALSE))),"S",""))</f>
        <v/>
      </c>
      <c r="CJ64" t="str">
        <f>IF(NOT(ISERROR(HLOOKUP(Standings!CJ$3,Entries!$C56:$K56,1,FALSE))),"x",IF(NOT(ISERROR(HLOOKUP(Standings!CJ$3,Entries!$L56:$L56,1,FALSE))),"S",""))</f>
        <v/>
      </c>
      <c r="CK64" t="str">
        <f>IF(NOT(ISERROR(HLOOKUP(Standings!CK$3,Entries!$C56:$K56,1,FALSE))),"x",IF(NOT(ISERROR(HLOOKUP(Standings!CK$3,Entries!$L56:$L56,1,FALSE))),"S",""))</f>
        <v/>
      </c>
      <c r="CL64" t="str">
        <f>IF(NOT(ISERROR(HLOOKUP(Standings!CL$3,Entries!$C56:$K56,1,FALSE))),"x",IF(NOT(ISERROR(HLOOKUP(Standings!CL$3,Entries!$L56:$L56,1,FALSE))),"S",""))</f>
        <v/>
      </c>
      <c r="CM64" t="str">
        <f>IF(NOT(ISERROR(HLOOKUP(Standings!CM$3,Entries!$C56:$K56,1,FALSE))),"x",IF(NOT(ISERROR(HLOOKUP(Standings!CM$3,Entries!$L56:$L56,1,FALSE))),"S",""))</f>
        <v/>
      </c>
      <c r="CN64" t="str">
        <f>IF(NOT(ISERROR(HLOOKUP(Standings!CN$3,Entries!$C56:$K56,1,FALSE))),"x",IF(NOT(ISERROR(HLOOKUP(Standings!CN$3,Entries!$L56:$L56,1,FALSE))),"S",""))</f>
        <v/>
      </c>
      <c r="CO64" t="str">
        <f>IF(NOT(ISERROR(HLOOKUP(Standings!CO$3,Entries!$C56:$K56,1,FALSE))),"x",IF(NOT(ISERROR(HLOOKUP(Standings!CO$3,Entries!$L56:$L56,1,FALSE))),"S",""))</f>
        <v>x</v>
      </c>
      <c r="CP64" t="str">
        <f>IF(NOT(ISERROR(HLOOKUP(Standings!CP$3,Entries!$C56:$K56,1,FALSE))),"x",IF(NOT(ISERROR(HLOOKUP(Standings!CP$3,Entries!$L56:$L56,1,FALSE))),"S",""))</f>
        <v/>
      </c>
      <c r="CQ64" t="str">
        <f>IF(NOT(ISERROR(HLOOKUP(Standings!CQ$3,Entries!$C56:$K56,1,FALSE))),"x",IF(NOT(ISERROR(HLOOKUP(Standings!CQ$3,Entries!$L56:$L56,1,FALSE))),"S",""))</f>
        <v/>
      </c>
      <c r="CR64" t="str">
        <f>IF(NOT(ISERROR(HLOOKUP(Standings!CR$3,Entries!$C56:$K56,1,FALSE))),"x",IF(NOT(ISERROR(HLOOKUP(Standings!CR$3,Entries!$L56:$L56,1,FALSE))),"S",""))</f>
        <v/>
      </c>
      <c r="CS64" t="str">
        <f>IF(NOT(ISERROR(HLOOKUP(Standings!CS$3,Entries!$C56:$K56,1,FALSE))),"x",IF(NOT(ISERROR(HLOOKUP(Standings!CS$3,Entries!$L56:$L56,1,FALSE))),"S",""))</f>
        <v/>
      </c>
      <c r="CT64" t="str">
        <f>IF(NOT(ISERROR(HLOOKUP(Standings!CT$3,Entries!$C56:$K56,1,FALSE))),"x",IF(NOT(ISERROR(HLOOKUP(Standings!CT$3,Entries!$L56:$L56,1,FALSE))),"S",""))</f>
        <v/>
      </c>
      <c r="CU64" t="str">
        <f>IF(NOT(ISERROR(HLOOKUP(Standings!CU$3,Entries!$C56:$K56,1,FALSE))),"x",IF(NOT(ISERROR(HLOOKUP(Standings!CU$3,Entries!$L56:$L56,1,FALSE))),"S",""))</f>
        <v/>
      </c>
      <c r="CV64" t="str">
        <f>IF(NOT(ISERROR(HLOOKUP(Standings!CV$3,Entries!$C56:$K56,1,FALSE))),"x",IF(NOT(ISERROR(HLOOKUP(Standings!CV$3,Entries!$L56:$L56,1,FALSE))),"S",""))</f>
        <v/>
      </c>
      <c r="CW64" t="str">
        <f>IF(NOT(ISERROR(HLOOKUP(Standings!CW$3,Entries!$C56:$K56,1,FALSE))),"x",IF(NOT(ISERROR(HLOOKUP(Standings!CW$3,Entries!$L56:$L56,1,FALSE))),"S",""))</f>
        <v/>
      </c>
      <c r="CX64" t="str">
        <f>IF(NOT(ISERROR(HLOOKUP(Standings!CX$3,Entries!$C56:$K56,1,FALSE))),"x",IF(NOT(ISERROR(HLOOKUP(Standings!CX$3,Entries!$L56:$L56,1,FALSE))),"S",""))</f>
        <v/>
      </c>
      <c r="CY64" t="str">
        <f>IF(NOT(ISERROR(HLOOKUP(Standings!CY$3,Entries!$C56:$K56,1,FALSE))),"x",IF(NOT(ISERROR(HLOOKUP(Standings!CY$3,Entries!$L56:$L56,1,FALSE))),"S",""))</f>
        <v/>
      </c>
      <c r="CZ64" t="str">
        <f>IF(NOT(ISERROR(HLOOKUP(Standings!CZ$3,Entries!$C56:$K56,1,FALSE))),"x",IF(NOT(ISERROR(HLOOKUP(Standings!CZ$3,Entries!$L56:$L56,1,FALSE))),"S",""))</f>
        <v/>
      </c>
      <c r="DA64" t="str">
        <f>IF(NOT(ISERROR(HLOOKUP(Standings!DA$3,Entries!$C56:$K56,1,FALSE))),"x",IF(NOT(ISERROR(HLOOKUP(Standings!DA$3,Entries!$L56:$L56,1,FALSE))),"S",""))</f>
        <v/>
      </c>
      <c r="DB64" t="str">
        <f>IF(NOT(ISERROR(HLOOKUP(Standings!DB$3,Entries!$C56:$K56,1,FALSE))),"x",IF(NOT(ISERROR(HLOOKUP(Standings!DB$3,Entries!$L56:$L56,1,FALSE))),"S",""))</f>
        <v/>
      </c>
    </row>
    <row r="65" spans="1:106" x14ac:dyDescent="0.25">
      <c r="B65">
        <v>71</v>
      </c>
      <c r="C65" t="str">
        <f>Entries!B57</f>
        <v>Anne H</v>
      </c>
      <c r="D65" s="4">
        <f t="shared" si="53"/>
        <v>55</v>
      </c>
      <c r="E65" s="31">
        <f t="shared" si="54"/>
        <v>0</v>
      </c>
      <c r="F65" s="40" t="str">
        <f t="shared" si="52"/>
        <v/>
      </c>
      <c r="G65" s="41" t="str">
        <f t="shared" si="5"/>
        <v/>
      </c>
      <c r="H65" s="41" t="str">
        <f t="shared" si="6"/>
        <v/>
      </c>
      <c r="I65" s="42" t="str">
        <f t="shared" si="7"/>
        <v/>
      </c>
      <c r="J65" s="40" t="str">
        <f t="shared" si="8"/>
        <v/>
      </c>
      <c r="K65" s="41" t="str">
        <f t="shared" si="9"/>
        <v/>
      </c>
      <c r="L65" s="41" t="str">
        <f t="shared" si="10"/>
        <v/>
      </c>
      <c r="M65" s="42" t="str">
        <f t="shared" si="11"/>
        <v/>
      </c>
      <c r="N65" s="43">
        <f t="shared" si="12"/>
        <v>0</v>
      </c>
      <c r="O65" s="41" t="str">
        <f t="shared" si="13"/>
        <v/>
      </c>
      <c r="P65" s="41" t="str">
        <f t="shared" si="14"/>
        <v/>
      </c>
      <c r="Q65" s="42" t="str">
        <f t="shared" si="15"/>
        <v/>
      </c>
      <c r="R65" s="40" t="str">
        <f t="shared" si="16"/>
        <v/>
      </c>
      <c r="S65" s="41" t="str">
        <f t="shared" si="17"/>
        <v/>
      </c>
      <c r="T65" s="43" t="str">
        <f t="shared" si="18"/>
        <v/>
      </c>
      <c r="U65" s="42" t="str">
        <f t="shared" si="19"/>
        <v/>
      </c>
      <c r="V65" s="40" t="str">
        <f t="shared" si="20"/>
        <v/>
      </c>
      <c r="W65" s="41" t="str">
        <f t="shared" si="21"/>
        <v/>
      </c>
      <c r="X65" s="41" t="str">
        <f t="shared" si="22"/>
        <v/>
      </c>
      <c r="Y65" s="42" t="str">
        <f t="shared" si="23"/>
        <v/>
      </c>
      <c r="Z65" s="40" t="str">
        <f t="shared" si="24"/>
        <v/>
      </c>
      <c r="AA65" s="41">
        <f t="shared" si="25"/>
        <v>-1.0000000000000001E-5</v>
      </c>
      <c r="AB65" s="41" t="str">
        <f t="shared" si="26"/>
        <v/>
      </c>
      <c r="AC65" s="42" t="str">
        <f t="shared" si="27"/>
        <v/>
      </c>
      <c r="AD65" s="40" t="str">
        <f t="shared" si="28"/>
        <v/>
      </c>
      <c r="AE65" s="41" t="str">
        <f t="shared" si="29"/>
        <v/>
      </c>
      <c r="AF65" s="41" t="str">
        <f t="shared" si="30"/>
        <v/>
      </c>
      <c r="AG65" s="42" t="str">
        <f t="shared" si="31"/>
        <v/>
      </c>
      <c r="AH65" s="40" t="str">
        <f t="shared" si="32"/>
        <v/>
      </c>
      <c r="AI65" s="41" t="str">
        <f t="shared" si="33"/>
        <v/>
      </c>
      <c r="AJ65" s="41" t="str">
        <f t="shared" si="34"/>
        <v/>
      </c>
      <c r="AK65" s="42" t="str">
        <f t="shared" si="35"/>
        <v/>
      </c>
      <c r="AL65" s="40" t="str">
        <f t="shared" si="36"/>
        <v/>
      </c>
      <c r="AM65" s="41">
        <f t="shared" si="37"/>
        <v>0</v>
      </c>
      <c r="AN65" s="41" t="str">
        <f t="shared" si="38"/>
        <v/>
      </c>
      <c r="AO65" s="42" t="str">
        <f t="shared" si="39"/>
        <v/>
      </c>
      <c r="AP65" s="40">
        <f t="shared" si="40"/>
        <v>0</v>
      </c>
      <c r="AQ65" s="41" t="str">
        <f t="shared" si="41"/>
        <v/>
      </c>
      <c r="AR65" s="41" t="str">
        <f t="shared" si="42"/>
        <v/>
      </c>
      <c r="AS65" s="42" t="str">
        <f t="shared" si="43"/>
        <v/>
      </c>
      <c r="AT65" s="40" t="str">
        <f t="shared" si="44"/>
        <v/>
      </c>
      <c r="AU65" s="41" t="str">
        <f t="shared" si="45"/>
        <v/>
      </c>
      <c r="AV65" s="41" t="str">
        <f t="shared" si="46"/>
        <v/>
      </c>
      <c r="AW65" s="42" t="str">
        <f t="shared" si="47"/>
        <v/>
      </c>
      <c r="AX65" s="40" t="str">
        <f t="shared" si="48"/>
        <v/>
      </c>
      <c r="AY65" s="41" t="str">
        <f t="shared" si="49"/>
        <v/>
      </c>
      <c r="AZ65" s="41" t="str">
        <f t="shared" si="50"/>
        <v/>
      </c>
      <c r="BA65" s="42" t="str">
        <f t="shared" si="51"/>
        <v/>
      </c>
      <c r="BB65" s="37" t="s">
        <v>106</v>
      </c>
      <c r="BC65" s="21"/>
      <c r="BD65" s="21"/>
      <c r="BG65" t="str">
        <f>IF(NOT(ISERROR(HLOOKUP(Standings!BG$3,Entries!$C57:$K57,1,FALSE))),"x",IF(NOT(ISERROR(HLOOKUP(Standings!BG$3,Entries!$L57:$L57,1,FALSE))),"S",""))</f>
        <v/>
      </c>
      <c r="BH65" t="str">
        <f>IF(NOT(ISERROR(HLOOKUP(Standings!BH$3,Entries!$C57:$K57,1,FALSE))),"x",IF(NOT(ISERROR(HLOOKUP(Standings!BH$3,Entries!$L57:$L57,1,FALSE))),"S",""))</f>
        <v/>
      </c>
      <c r="BI65" t="str">
        <f>IF(NOT(ISERROR(HLOOKUP(Standings!BI$3,Entries!$C57:$K57,1,FALSE))),"x",IF(NOT(ISERROR(HLOOKUP(Standings!BI$3,Entries!$L57:$L57,1,FALSE))),"S",""))</f>
        <v/>
      </c>
      <c r="BJ65" t="str">
        <f>IF(NOT(ISERROR(HLOOKUP(Standings!BJ$3,Entries!$C57:$K57,1,FALSE))),"x",IF(NOT(ISERROR(HLOOKUP(Standings!BJ$3,Entries!$L57:$L57,1,FALSE))),"S",""))</f>
        <v/>
      </c>
      <c r="BK65" t="str">
        <f>IF(NOT(ISERROR(HLOOKUP(Standings!BK$3,Entries!$C57:$K57,1,FALSE))),"x",IF(NOT(ISERROR(HLOOKUP(Standings!BK$3,Entries!$L57:$L57,1,FALSE))),"S",""))</f>
        <v/>
      </c>
      <c r="BL65" t="str">
        <f>IF(NOT(ISERROR(HLOOKUP(Standings!BL$3,Entries!$C57:$K57,1,FALSE))),"x",IF(NOT(ISERROR(HLOOKUP(Standings!BL$3,Entries!$L57:$L57,1,FALSE))),"S",""))</f>
        <v/>
      </c>
      <c r="BM65" t="str">
        <f>IF(NOT(ISERROR(HLOOKUP(Standings!BM$3,Entries!$C57:$K57,1,FALSE))),"x",IF(NOT(ISERROR(HLOOKUP(Standings!BM$3,Entries!$L57:$L57,1,FALSE))),"S",""))</f>
        <v/>
      </c>
      <c r="BN65" t="str">
        <f>IF(NOT(ISERROR(HLOOKUP(Standings!BN$3,Entries!$C57:$K57,1,FALSE))),"x",IF(NOT(ISERROR(HLOOKUP(Standings!BN$3,Entries!$L57:$L57,1,FALSE))),"S",""))</f>
        <v/>
      </c>
      <c r="BO65" t="str">
        <f>IF(NOT(ISERROR(HLOOKUP(Standings!BO$3,Entries!$C57:$K57,1,FALSE))),"x",IF(NOT(ISERROR(HLOOKUP(Standings!BO$3,Entries!$L57:$L57,1,FALSE))),"S",""))</f>
        <v>x</v>
      </c>
      <c r="BP65" t="str">
        <f>IF(NOT(ISERROR(HLOOKUP(Standings!BP$3,Entries!$C57:$K57,1,FALSE))),"x",IF(NOT(ISERROR(HLOOKUP(Standings!BP$3,Entries!$L57:$L57,1,FALSE))),"S",""))</f>
        <v/>
      </c>
      <c r="BQ65" t="str">
        <f>IF(NOT(ISERROR(HLOOKUP(Standings!BQ$3,Entries!$C57:$K57,1,FALSE))),"x",IF(NOT(ISERROR(HLOOKUP(Standings!BQ$3,Entries!$L57:$L57,1,FALSE))),"S",""))</f>
        <v/>
      </c>
      <c r="BR65" t="str">
        <f>IF(NOT(ISERROR(HLOOKUP(Standings!BR$3,Entries!$C57:$K57,1,FALSE))),"x",IF(NOT(ISERROR(HLOOKUP(Standings!BR$3,Entries!$L57:$L57,1,FALSE))),"S",""))</f>
        <v/>
      </c>
      <c r="BS65" t="str">
        <f>IF(NOT(ISERROR(HLOOKUP(Standings!BS$3,Entries!$C57:$K57,1,FALSE))),"x",IF(NOT(ISERROR(HLOOKUP(Standings!BS$3,Entries!$L57:$L57,1,FALSE))),"S",""))</f>
        <v/>
      </c>
      <c r="BT65" t="str">
        <f>IF(NOT(ISERROR(HLOOKUP(Standings!BT$3,Entries!$C57:$K57,1,FALSE))),"x",IF(NOT(ISERROR(HLOOKUP(Standings!BT$3,Entries!$L57:$L57,1,FALSE))),"S",""))</f>
        <v/>
      </c>
      <c r="BU65" t="str">
        <f>IF(NOT(ISERROR(HLOOKUP(Standings!BU$3,Entries!$C57:$K57,1,FALSE))),"x",IF(NOT(ISERROR(HLOOKUP(Standings!BU$3,Entries!$L57:$L57,1,FALSE))),"S",""))</f>
        <v/>
      </c>
      <c r="BV65" t="str">
        <f>IF(NOT(ISERROR(HLOOKUP(Standings!BV$3,Entries!$C57:$K57,1,FALSE))),"x",IF(NOT(ISERROR(HLOOKUP(Standings!BV$3,Entries!$L57:$L57,1,FALSE))),"S",""))</f>
        <v/>
      </c>
      <c r="BW65" t="str">
        <f>IF(NOT(ISERROR(HLOOKUP(Standings!BW$3,Entries!$C57:$K57,1,FALSE))),"x",IF(NOT(ISERROR(HLOOKUP(Standings!BW$3,Entries!$L57:$L57,1,FALSE))),"S",""))</f>
        <v/>
      </c>
      <c r="BX65" t="str">
        <f>IF(NOT(ISERROR(HLOOKUP(Standings!BX$3,Entries!$C57:$K57,1,FALSE))),"x",IF(NOT(ISERROR(HLOOKUP(Standings!BX$3,Entries!$L57:$L57,1,FALSE))),"S",""))</f>
        <v/>
      </c>
      <c r="BY65" t="str">
        <f>IF(NOT(ISERROR(HLOOKUP(Standings!BY$3,Entries!$C57:$K57,1,FALSE))),"x",IF(NOT(ISERROR(HLOOKUP(Standings!BY$3,Entries!$L57:$L57,1,FALSE))),"S",""))</f>
        <v/>
      </c>
      <c r="BZ65" t="str">
        <f>IF(NOT(ISERROR(HLOOKUP(Standings!BZ$3,Entries!$C57:$K57,1,FALSE))),"x",IF(NOT(ISERROR(HLOOKUP(Standings!BZ$3,Entries!$L57:$L57,1,FALSE))),"S",""))</f>
        <v/>
      </c>
      <c r="CA65" t="str">
        <f>IF(NOT(ISERROR(HLOOKUP(Standings!CA$3,Entries!$C57:$K57,1,FALSE))),"x",IF(NOT(ISERROR(HLOOKUP(Standings!CA$3,Entries!$L57:$L57,1,FALSE))),"S",""))</f>
        <v/>
      </c>
      <c r="CB65" t="str">
        <f>IF(NOT(ISERROR(HLOOKUP(Standings!CB$3,Entries!$C57:$K57,1,FALSE))),"x",IF(NOT(ISERROR(HLOOKUP(Standings!CB$3,Entries!$L57:$L57,1,FALSE))),"S",""))</f>
        <v>S</v>
      </c>
      <c r="CC65" t="str">
        <f>IF(NOT(ISERROR(HLOOKUP(Standings!CC$3,Entries!$C57:$K57,1,FALSE))),"x",IF(NOT(ISERROR(HLOOKUP(Standings!CC$3,Entries!$L57:$L57,1,FALSE))),"S",""))</f>
        <v/>
      </c>
      <c r="CD65" t="str">
        <f>IF(NOT(ISERROR(HLOOKUP(Standings!CD$3,Entries!$C57:$K57,1,FALSE))),"x",IF(NOT(ISERROR(HLOOKUP(Standings!CD$3,Entries!$L57:$L57,1,FALSE))),"S",""))</f>
        <v/>
      </c>
      <c r="CE65" t="str">
        <f>IF(NOT(ISERROR(HLOOKUP(Standings!CE$3,Entries!$C57:$K57,1,FALSE))),"x",IF(NOT(ISERROR(HLOOKUP(Standings!CE$3,Entries!$L57:$L57,1,FALSE))),"S",""))</f>
        <v/>
      </c>
      <c r="CF65" t="str">
        <f>IF(NOT(ISERROR(HLOOKUP(Standings!CF$3,Entries!$C57:$K57,1,FALSE))),"x",IF(NOT(ISERROR(HLOOKUP(Standings!CF$3,Entries!$L57:$L57,1,FALSE))),"S",""))</f>
        <v/>
      </c>
      <c r="CG65" t="str">
        <f>IF(NOT(ISERROR(HLOOKUP(Standings!CG$3,Entries!$C57:$K57,1,FALSE))),"x",IF(NOT(ISERROR(HLOOKUP(Standings!CG$3,Entries!$L57:$L57,1,FALSE))),"S",""))</f>
        <v/>
      </c>
      <c r="CH65" t="str">
        <f>IF(NOT(ISERROR(HLOOKUP(Standings!CH$3,Entries!$C57:$K57,1,FALSE))),"x",IF(NOT(ISERROR(HLOOKUP(Standings!CH$3,Entries!$L57:$L57,1,FALSE))),"S",""))</f>
        <v/>
      </c>
      <c r="CI65" t="str">
        <f>IF(NOT(ISERROR(HLOOKUP(Standings!CI$3,Entries!$C57:$K57,1,FALSE))),"x",IF(NOT(ISERROR(HLOOKUP(Standings!CI$3,Entries!$L57:$L57,1,FALSE))),"S",""))</f>
        <v/>
      </c>
      <c r="CJ65" t="str">
        <f>IF(NOT(ISERROR(HLOOKUP(Standings!CJ$3,Entries!$C57:$K57,1,FALSE))),"x",IF(NOT(ISERROR(HLOOKUP(Standings!CJ$3,Entries!$L57:$L57,1,FALSE))),"S",""))</f>
        <v/>
      </c>
      <c r="CK65" t="str">
        <f>IF(NOT(ISERROR(HLOOKUP(Standings!CK$3,Entries!$C57:$K57,1,FALSE))),"x",IF(NOT(ISERROR(HLOOKUP(Standings!CK$3,Entries!$L57:$L57,1,FALSE))),"S",""))</f>
        <v/>
      </c>
      <c r="CL65" t="str">
        <f>IF(NOT(ISERROR(HLOOKUP(Standings!CL$3,Entries!$C57:$K57,1,FALSE))),"x",IF(NOT(ISERROR(HLOOKUP(Standings!CL$3,Entries!$L57:$L57,1,FALSE))),"S",""))</f>
        <v/>
      </c>
      <c r="CM65" t="str">
        <f>IF(NOT(ISERROR(HLOOKUP(Standings!CM$3,Entries!$C57:$K57,1,FALSE))),"x",IF(NOT(ISERROR(HLOOKUP(Standings!CM$3,Entries!$L57:$L57,1,FALSE))),"S",""))</f>
        <v/>
      </c>
      <c r="CN65" t="str">
        <f>IF(NOT(ISERROR(HLOOKUP(Standings!CN$3,Entries!$C57:$K57,1,FALSE))),"x",IF(NOT(ISERROR(HLOOKUP(Standings!CN$3,Entries!$L57:$L57,1,FALSE))),"S",""))</f>
        <v>x</v>
      </c>
      <c r="CO65" t="str">
        <f>IF(NOT(ISERROR(HLOOKUP(Standings!CO$3,Entries!$C57:$K57,1,FALSE))),"x",IF(NOT(ISERROR(HLOOKUP(Standings!CO$3,Entries!$L57:$L57,1,FALSE))),"S",""))</f>
        <v/>
      </c>
      <c r="CP65" t="str">
        <f>IF(NOT(ISERROR(HLOOKUP(Standings!CP$3,Entries!$C57:$K57,1,FALSE))),"x",IF(NOT(ISERROR(HLOOKUP(Standings!CP$3,Entries!$L57:$L57,1,FALSE))),"S",""))</f>
        <v/>
      </c>
      <c r="CQ65" t="str">
        <f>IF(NOT(ISERROR(HLOOKUP(Standings!CQ$3,Entries!$C57:$K57,1,FALSE))),"x",IF(NOT(ISERROR(HLOOKUP(Standings!CQ$3,Entries!$L57:$L57,1,FALSE))),"S",""))</f>
        <v>x</v>
      </c>
      <c r="CR65" t="str">
        <f>IF(NOT(ISERROR(HLOOKUP(Standings!CR$3,Entries!$C57:$K57,1,FALSE))),"x",IF(NOT(ISERROR(HLOOKUP(Standings!CR$3,Entries!$L57:$L57,1,FALSE))),"S",""))</f>
        <v/>
      </c>
      <c r="CS65" t="str">
        <f>IF(NOT(ISERROR(HLOOKUP(Standings!CS$3,Entries!$C57:$K57,1,FALSE))),"x",IF(NOT(ISERROR(HLOOKUP(Standings!CS$3,Entries!$L57:$L57,1,FALSE))),"S",""))</f>
        <v/>
      </c>
      <c r="CT65" t="str">
        <f>IF(NOT(ISERROR(HLOOKUP(Standings!CT$3,Entries!$C57:$K57,1,FALSE))),"x",IF(NOT(ISERROR(HLOOKUP(Standings!CT$3,Entries!$L57:$L57,1,FALSE))),"S",""))</f>
        <v/>
      </c>
      <c r="CU65" t="str">
        <f>IF(NOT(ISERROR(HLOOKUP(Standings!CU$3,Entries!$C57:$K57,1,FALSE))),"x",IF(NOT(ISERROR(HLOOKUP(Standings!CU$3,Entries!$L57:$L57,1,FALSE))),"S",""))</f>
        <v/>
      </c>
      <c r="CV65" t="str">
        <f>IF(NOT(ISERROR(HLOOKUP(Standings!CV$3,Entries!$C57:$K57,1,FALSE))),"x",IF(NOT(ISERROR(HLOOKUP(Standings!CV$3,Entries!$L57:$L57,1,FALSE))),"S",""))</f>
        <v/>
      </c>
      <c r="CW65" t="str">
        <f>IF(NOT(ISERROR(HLOOKUP(Standings!CW$3,Entries!$C57:$K57,1,FALSE))),"x",IF(NOT(ISERROR(HLOOKUP(Standings!CW$3,Entries!$L57:$L57,1,FALSE))),"S",""))</f>
        <v/>
      </c>
      <c r="CX65" t="str">
        <f>IF(NOT(ISERROR(HLOOKUP(Standings!CX$3,Entries!$C57:$K57,1,FALSE))),"x",IF(NOT(ISERROR(HLOOKUP(Standings!CX$3,Entries!$L57:$L57,1,FALSE))),"S",""))</f>
        <v/>
      </c>
      <c r="CY65" t="str">
        <f>IF(NOT(ISERROR(HLOOKUP(Standings!CY$3,Entries!$C57:$K57,1,FALSE))),"x",IF(NOT(ISERROR(HLOOKUP(Standings!CY$3,Entries!$L57:$L57,1,FALSE))),"S",""))</f>
        <v/>
      </c>
      <c r="CZ65" t="str">
        <f>IF(NOT(ISERROR(HLOOKUP(Standings!CZ$3,Entries!$C57:$K57,1,FALSE))),"x",IF(NOT(ISERROR(HLOOKUP(Standings!CZ$3,Entries!$L57:$L57,1,FALSE))),"S",""))</f>
        <v/>
      </c>
      <c r="DA65" t="str">
        <f>IF(NOT(ISERROR(HLOOKUP(Standings!DA$3,Entries!$C57:$K57,1,FALSE))),"x",IF(NOT(ISERROR(HLOOKUP(Standings!DA$3,Entries!$L57:$L57,1,FALSE))),"S",""))</f>
        <v/>
      </c>
      <c r="DB65" t="str">
        <f>IF(NOT(ISERROR(HLOOKUP(Standings!DB$3,Entries!$C57:$K57,1,FALSE))),"x",IF(NOT(ISERROR(HLOOKUP(Standings!DB$3,Entries!$L57:$L57,1,FALSE))),"S",""))</f>
        <v/>
      </c>
    </row>
    <row r="66" spans="1:106" x14ac:dyDescent="0.25">
      <c r="A66" s="18"/>
      <c r="B66">
        <v>50</v>
      </c>
      <c r="C66" t="str">
        <f>Entries!B58</f>
        <v>Sam H</v>
      </c>
      <c r="D66" s="4">
        <f t="shared" si="53"/>
        <v>99</v>
      </c>
      <c r="E66" s="31">
        <f t="shared" si="54"/>
        <v>-1</v>
      </c>
      <c r="F66" s="40" t="str">
        <f t="shared" si="52"/>
        <v/>
      </c>
      <c r="G66" s="41" t="str">
        <f t="shared" si="5"/>
        <v/>
      </c>
      <c r="H66" s="41" t="str">
        <f t="shared" si="6"/>
        <v/>
      </c>
      <c r="I66" s="42" t="str">
        <f t="shared" si="7"/>
        <v/>
      </c>
      <c r="J66" s="40" t="str">
        <f t="shared" si="8"/>
        <v/>
      </c>
      <c r="K66" s="41" t="str">
        <f t="shared" si="9"/>
        <v/>
      </c>
      <c r="L66" s="41" t="str">
        <f t="shared" si="10"/>
        <v/>
      </c>
      <c r="M66" s="42">
        <f t="shared" si="11"/>
        <v>-1.0000100000000001</v>
      </c>
      <c r="N66" s="43" t="str">
        <f t="shared" si="12"/>
        <v/>
      </c>
      <c r="O66" s="41" t="str">
        <f t="shared" si="13"/>
        <v/>
      </c>
      <c r="P66" s="41" t="str">
        <f t="shared" si="14"/>
        <v/>
      </c>
      <c r="Q66" s="42" t="str">
        <f t="shared" si="15"/>
        <v/>
      </c>
      <c r="R66" s="40" t="str">
        <f t="shared" si="16"/>
        <v/>
      </c>
      <c r="S66" s="41" t="str">
        <f t="shared" si="17"/>
        <v/>
      </c>
      <c r="T66" s="43" t="str">
        <f t="shared" si="18"/>
        <v/>
      </c>
      <c r="U66" s="42" t="str">
        <f t="shared" si="19"/>
        <v/>
      </c>
      <c r="V66" s="40" t="str">
        <f t="shared" si="20"/>
        <v/>
      </c>
      <c r="W66" s="41" t="str">
        <f t="shared" si="21"/>
        <v/>
      </c>
      <c r="X66" s="41" t="str">
        <f t="shared" si="22"/>
        <v/>
      </c>
      <c r="Y66" s="42" t="str">
        <f t="shared" si="23"/>
        <v/>
      </c>
      <c r="Z66" s="40">
        <f t="shared" si="24"/>
        <v>0</v>
      </c>
      <c r="AA66" s="41" t="str">
        <f t="shared" si="25"/>
        <v/>
      </c>
      <c r="AB66" s="41" t="str">
        <f t="shared" si="26"/>
        <v/>
      </c>
      <c r="AC66" s="42" t="str">
        <f t="shared" si="27"/>
        <v/>
      </c>
      <c r="AD66" s="40" t="str">
        <f t="shared" si="28"/>
        <v/>
      </c>
      <c r="AE66" s="41" t="str">
        <f t="shared" si="29"/>
        <v/>
      </c>
      <c r="AF66" s="41" t="str">
        <f t="shared" si="30"/>
        <v/>
      </c>
      <c r="AG66" s="42" t="str">
        <f t="shared" si="31"/>
        <v/>
      </c>
      <c r="AH66" s="40" t="str">
        <f t="shared" si="32"/>
        <v/>
      </c>
      <c r="AI66" s="41" t="str">
        <f t="shared" si="33"/>
        <v/>
      </c>
      <c r="AJ66" s="41" t="str">
        <f t="shared" si="34"/>
        <v/>
      </c>
      <c r="AK66" s="42" t="str">
        <f t="shared" si="35"/>
        <v/>
      </c>
      <c r="AL66" s="40" t="str">
        <f t="shared" si="36"/>
        <v/>
      </c>
      <c r="AM66" s="41" t="str">
        <f t="shared" si="37"/>
        <v/>
      </c>
      <c r="AN66" s="41" t="str">
        <f t="shared" si="38"/>
        <v/>
      </c>
      <c r="AO66" s="42" t="str">
        <f t="shared" si="39"/>
        <v/>
      </c>
      <c r="AP66" s="40" t="str">
        <f t="shared" si="40"/>
        <v/>
      </c>
      <c r="AQ66" s="41" t="str">
        <f t="shared" si="41"/>
        <v/>
      </c>
      <c r="AR66" s="41" t="str">
        <f t="shared" si="42"/>
        <v/>
      </c>
      <c r="AS66" s="42" t="str">
        <f t="shared" si="43"/>
        <v/>
      </c>
      <c r="AT66" s="40">
        <f t="shared" si="44"/>
        <v>0</v>
      </c>
      <c r="AU66" s="41" t="str">
        <f t="shared" si="45"/>
        <v/>
      </c>
      <c r="AV66" s="41">
        <f t="shared" si="46"/>
        <v>0</v>
      </c>
      <c r="AW66" s="42" t="str">
        <f t="shared" si="47"/>
        <v/>
      </c>
      <c r="AX66" s="40" t="str">
        <f t="shared" si="48"/>
        <v/>
      </c>
      <c r="AY66" s="41" t="str">
        <f t="shared" si="49"/>
        <v/>
      </c>
      <c r="AZ66" s="41" t="str">
        <f t="shared" si="50"/>
        <v/>
      </c>
      <c r="BA66" s="42" t="str">
        <f t="shared" si="51"/>
        <v/>
      </c>
      <c r="BB66" s="37" t="s">
        <v>106</v>
      </c>
      <c r="BD66" s="21"/>
      <c r="BG66" t="str">
        <f>IF(NOT(ISERROR(HLOOKUP(Standings!BG$3,Entries!$C58:$K58,1,FALSE))),"x",IF(NOT(ISERROR(HLOOKUP(Standings!BG$3,Entries!$L58:$L58,1,FALSE))),"S",""))</f>
        <v/>
      </c>
      <c r="BH66" t="str">
        <f>IF(NOT(ISERROR(HLOOKUP(Standings!BH$3,Entries!$C58:$K58,1,FALSE))),"x",IF(NOT(ISERROR(HLOOKUP(Standings!BH$3,Entries!$L58:$L58,1,FALSE))),"S",""))</f>
        <v/>
      </c>
      <c r="BI66" t="str">
        <f>IF(NOT(ISERROR(HLOOKUP(Standings!BI$3,Entries!$C58:$K58,1,FALSE))),"x",IF(NOT(ISERROR(HLOOKUP(Standings!BI$3,Entries!$L58:$L58,1,FALSE))),"S",""))</f>
        <v/>
      </c>
      <c r="BJ66" t="str">
        <f>IF(NOT(ISERROR(HLOOKUP(Standings!BJ$3,Entries!$C58:$K58,1,FALSE))),"x",IF(NOT(ISERROR(HLOOKUP(Standings!BJ$3,Entries!$L58:$L58,1,FALSE))),"S",""))</f>
        <v/>
      </c>
      <c r="BK66" t="str">
        <f>IF(NOT(ISERROR(HLOOKUP(Standings!BK$3,Entries!$C58:$K58,1,FALSE))),"x",IF(NOT(ISERROR(HLOOKUP(Standings!BK$3,Entries!$L58:$L58,1,FALSE))),"S",""))</f>
        <v/>
      </c>
      <c r="BL66" t="str">
        <f>IF(NOT(ISERROR(HLOOKUP(Standings!BL$3,Entries!$C58:$K58,1,FALSE))),"x",IF(NOT(ISERROR(HLOOKUP(Standings!BL$3,Entries!$L58:$L58,1,FALSE))),"S",""))</f>
        <v/>
      </c>
      <c r="BM66" t="str">
        <f>IF(NOT(ISERROR(HLOOKUP(Standings!BM$3,Entries!$C58:$K58,1,FALSE))),"x",IF(NOT(ISERROR(HLOOKUP(Standings!BM$3,Entries!$L58:$L58,1,FALSE))),"S",""))</f>
        <v/>
      </c>
      <c r="BN66" t="str">
        <f>IF(NOT(ISERROR(HLOOKUP(Standings!BN$3,Entries!$C58:$K58,1,FALSE))),"x",IF(NOT(ISERROR(HLOOKUP(Standings!BN$3,Entries!$L58:$L58,1,FALSE))),"S",""))</f>
        <v>S</v>
      </c>
      <c r="BO66" t="str">
        <f>IF(NOT(ISERROR(HLOOKUP(Standings!BO$3,Entries!$C58:$K58,1,FALSE))),"x",IF(NOT(ISERROR(HLOOKUP(Standings!BO$3,Entries!$L58:$L58,1,FALSE))),"S",""))</f>
        <v/>
      </c>
      <c r="BP66" t="str">
        <f>IF(NOT(ISERROR(HLOOKUP(Standings!BP$3,Entries!$C58:$K58,1,FALSE))),"x",IF(NOT(ISERROR(HLOOKUP(Standings!BP$3,Entries!$L58:$L58,1,FALSE))),"S",""))</f>
        <v/>
      </c>
      <c r="BQ66" t="str">
        <f>IF(NOT(ISERROR(HLOOKUP(Standings!BQ$3,Entries!$C58:$K58,1,FALSE))),"x",IF(NOT(ISERROR(HLOOKUP(Standings!BQ$3,Entries!$L58:$L58,1,FALSE))),"S",""))</f>
        <v/>
      </c>
      <c r="BR66" t="str">
        <f>IF(NOT(ISERROR(HLOOKUP(Standings!BR$3,Entries!$C58:$K58,1,FALSE))),"x",IF(NOT(ISERROR(HLOOKUP(Standings!BR$3,Entries!$L58:$L58,1,FALSE))),"S",""))</f>
        <v/>
      </c>
      <c r="BS66" t="str">
        <f>IF(NOT(ISERROR(HLOOKUP(Standings!BS$3,Entries!$C58:$K58,1,FALSE))),"x",IF(NOT(ISERROR(HLOOKUP(Standings!BS$3,Entries!$L58:$L58,1,FALSE))),"S",""))</f>
        <v/>
      </c>
      <c r="BT66" t="str">
        <f>IF(NOT(ISERROR(HLOOKUP(Standings!BT$3,Entries!$C58:$K58,1,FALSE))),"x",IF(NOT(ISERROR(HLOOKUP(Standings!BT$3,Entries!$L58:$L58,1,FALSE))),"S",""))</f>
        <v/>
      </c>
      <c r="BU66" t="str">
        <f>IF(NOT(ISERROR(HLOOKUP(Standings!BU$3,Entries!$C58:$K58,1,FALSE))),"x",IF(NOT(ISERROR(HLOOKUP(Standings!BU$3,Entries!$L58:$L58,1,FALSE))),"S",""))</f>
        <v/>
      </c>
      <c r="BV66" t="str">
        <f>IF(NOT(ISERROR(HLOOKUP(Standings!BV$3,Entries!$C58:$K58,1,FALSE))),"x",IF(NOT(ISERROR(HLOOKUP(Standings!BV$3,Entries!$L58:$L58,1,FALSE))),"S",""))</f>
        <v/>
      </c>
      <c r="BW66" t="str">
        <f>IF(NOT(ISERROR(HLOOKUP(Standings!BW$3,Entries!$C58:$K58,1,FALSE))),"x",IF(NOT(ISERROR(HLOOKUP(Standings!BW$3,Entries!$L58:$L58,1,FALSE))),"S",""))</f>
        <v/>
      </c>
      <c r="BX66" t="str">
        <f>IF(NOT(ISERROR(HLOOKUP(Standings!BX$3,Entries!$C58:$K58,1,FALSE))),"x",IF(NOT(ISERROR(HLOOKUP(Standings!BX$3,Entries!$L58:$L58,1,FALSE))),"S",""))</f>
        <v/>
      </c>
      <c r="BY66" t="str">
        <f>IF(NOT(ISERROR(HLOOKUP(Standings!BY$3,Entries!$C58:$K58,1,FALSE))),"x",IF(NOT(ISERROR(HLOOKUP(Standings!BY$3,Entries!$L58:$L58,1,FALSE))),"S",""))</f>
        <v/>
      </c>
      <c r="BZ66" t="str">
        <f>IF(NOT(ISERROR(HLOOKUP(Standings!BZ$3,Entries!$C58:$K58,1,FALSE))),"x",IF(NOT(ISERROR(HLOOKUP(Standings!BZ$3,Entries!$L58:$L58,1,FALSE))),"S",""))</f>
        <v/>
      </c>
      <c r="CA66" t="str">
        <f>IF(NOT(ISERROR(HLOOKUP(Standings!CA$3,Entries!$C58:$K58,1,FALSE))),"x",IF(NOT(ISERROR(HLOOKUP(Standings!CA$3,Entries!$L58:$L58,1,FALSE))),"S",""))</f>
        <v>x</v>
      </c>
      <c r="CB66" t="str">
        <f>IF(NOT(ISERROR(HLOOKUP(Standings!CB$3,Entries!$C58:$K58,1,FALSE))),"x",IF(NOT(ISERROR(HLOOKUP(Standings!CB$3,Entries!$L58:$L58,1,FALSE))),"S",""))</f>
        <v/>
      </c>
      <c r="CC66" t="str">
        <f>IF(NOT(ISERROR(HLOOKUP(Standings!CC$3,Entries!$C58:$K58,1,FALSE))),"x",IF(NOT(ISERROR(HLOOKUP(Standings!CC$3,Entries!$L58:$L58,1,FALSE))),"S",""))</f>
        <v/>
      </c>
      <c r="CD66" t="str">
        <f>IF(NOT(ISERROR(HLOOKUP(Standings!CD$3,Entries!$C58:$K58,1,FALSE))),"x",IF(NOT(ISERROR(HLOOKUP(Standings!CD$3,Entries!$L58:$L58,1,FALSE))),"S",""))</f>
        <v/>
      </c>
      <c r="CE66" t="str">
        <f>IF(NOT(ISERROR(HLOOKUP(Standings!CE$3,Entries!$C58:$K58,1,FALSE))),"x",IF(NOT(ISERROR(HLOOKUP(Standings!CE$3,Entries!$L58:$L58,1,FALSE))),"S",""))</f>
        <v/>
      </c>
      <c r="CF66" t="str">
        <f>IF(NOT(ISERROR(HLOOKUP(Standings!CF$3,Entries!$C58:$K58,1,FALSE))),"x",IF(NOT(ISERROR(HLOOKUP(Standings!CF$3,Entries!$L58:$L58,1,FALSE))),"S",""))</f>
        <v/>
      </c>
      <c r="CG66" t="str">
        <f>IF(NOT(ISERROR(HLOOKUP(Standings!CG$3,Entries!$C58:$K58,1,FALSE))),"x",IF(NOT(ISERROR(HLOOKUP(Standings!CG$3,Entries!$L58:$L58,1,FALSE))),"S",""))</f>
        <v/>
      </c>
      <c r="CH66" t="str">
        <f>IF(NOT(ISERROR(HLOOKUP(Standings!CH$3,Entries!$C58:$K58,1,FALSE))),"x",IF(NOT(ISERROR(HLOOKUP(Standings!CH$3,Entries!$L58:$L58,1,FALSE))),"S",""))</f>
        <v/>
      </c>
      <c r="CI66" t="str">
        <f>IF(NOT(ISERROR(HLOOKUP(Standings!CI$3,Entries!$C58:$K58,1,FALSE))),"x",IF(NOT(ISERROR(HLOOKUP(Standings!CI$3,Entries!$L58:$L58,1,FALSE))),"S",""))</f>
        <v/>
      </c>
      <c r="CJ66" t="str">
        <f>IF(NOT(ISERROR(HLOOKUP(Standings!CJ$3,Entries!$C58:$K58,1,FALSE))),"x",IF(NOT(ISERROR(HLOOKUP(Standings!CJ$3,Entries!$L58:$L58,1,FALSE))),"S",""))</f>
        <v/>
      </c>
      <c r="CK66" t="str">
        <f>IF(NOT(ISERROR(HLOOKUP(Standings!CK$3,Entries!$C58:$K58,1,FALSE))),"x",IF(NOT(ISERROR(HLOOKUP(Standings!CK$3,Entries!$L58:$L58,1,FALSE))),"S",""))</f>
        <v/>
      </c>
      <c r="CL66" t="str">
        <f>IF(NOT(ISERROR(HLOOKUP(Standings!CL$3,Entries!$C58:$K58,1,FALSE))),"x",IF(NOT(ISERROR(HLOOKUP(Standings!CL$3,Entries!$L58:$L58,1,FALSE))),"S",""))</f>
        <v/>
      </c>
      <c r="CM66" t="str">
        <f>IF(NOT(ISERROR(HLOOKUP(Standings!CM$3,Entries!$C58:$K58,1,FALSE))),"x",IF(NOT(ISERROR(HLOOKUP(Standings!CM$3,Entries!$L58:$L58,1,FALSE))),"S",""))</f>
        <v/>
      </c>
      <c r="CN66" t="str">
        <f>IF(NOT(ISERROR(HLOOKUP(Standings!CN$3,Entries!$C58:$K58,1,FALSE))),"x",IF(NOT(ISERROR(HLOOKUP(Standings!CN$3,Entries!$L58:$L58,1,FALSE))),"S",""))</f>
        <v/>
      </c>
      <c r="CO66" t="str">
        <f>IF(NOT(ISERROR(HLOOKUP(Standings!CO$3,Entries!$C58:$K58,1,FALSE))),"x",IF(NOT(ISERROR(HLOOKUP(Standings!CO$3,Entries!$L58:$L58,1,FALSE))),"S",""))</f>
        <v/>
      </c>
      <c r="CP66" t="str">
        <f>IF(NOT(ISERROR(HLOOKUP(Standings!CP$3,Entries!$C58:$K58,1,FALSE))),"x",IF(NOT(ISERROR(HLOOKUP(Standings!CP$3,Entries!$L58:$L58,1,FALSE))),"S",""))</f>
        <v/>
      </c>
      <c r="CQ66" t="str">
        <f>IF(NOT(ISERROR(HLOOKUP(Standings!CQ$3,Entries!$C58:$K58,1,FALSE))),"x",IF(NOT(ISERROR(HLOOKUP(Standings!CQ$3,Entries!$L58:$L58,1,FALSE))),"S",""))</f>
        <v/>
      </c>
      <c r="CR66" t="str">
        <f>IF(NOT(ISERROR(HLOOKUP(Standings!CR$3,Entries!$C58:$K58,1,FALSE))),"x",IF(NOT(ISERROR(HLOOKUP(Standings!CR$3,Entries!$L58:$L58,1,FALSE))),"S",""))</f>
        <v/>
      </c>
      <c r="CS66" t="str">
        <f>IF(NOT(ISERROR(HLOOKUP(Standings!CS$3,Entries!$C58:$K58,1,FALSE))),"x",IF(NOT(ISERROR(HLOOKUP(Standings!CS$3,Entries!$L58:$L58,1,FALSE))),"S",""))</f>
        <v/>
      </c>
      <c r="CT66" t="str">
        <f>IF(NOT(ISERROR(HLOOKUP(Standings!CT$3,Entries!$C58:$K58,1,FALSE))),"x",IF(NOT(ISERROR(HLOOKUP(Standings!CT$3,Entries!$L58:$L58,1,FALSE))),"S",""))</f>
        <v/>
      </c>
      <c r="CU66" t="str">
        <f>IF(NOT(ISERROR(HLOOKUP(Standings!CU$3,Entries!$C58:$K58,1,FALSE))),"x",IF(NOT(ISERROR(HLOOKUP(Standings!CU$3,Entries!$L58:$L58,1,FALSE))),"S",""))</f>
        <v>x</v>
      </c>
      <c r="CV66" t="str">
        <f>IF(NOT(ISERROR(HLOOKUP(Standings!CV$3,Entries!$C58:$K58,1,FALSE))),"x",IF(NOT(ISERROR(HLOOKUP(Standings!CV$3,Entries!$L58:$L58,1,FALSE))),"S",""))</f>
        <v/>
      </c>
      <c r="CW66" t="str">
        <f>IF(NOT(ISERROR(HLOOKUP(Standings!CW$3,Entries!$C58:$K58,1,FALSE))),"x",IF(NOT(ISERROR(HLOOKUP(Standings!CW$3,Entries!$L58:$L58,1,FALSE))),"S",""))</f>
        <v>x</v>
      </c>
      <c r="CX66" t="str">
        <f>IF(NOT(ISERROR(HLOOKUP(Standings!CX$3,Entries!$C58:$K58,1,FALSE))),"x",IF(NOT(ISERROR(HLOOKUP(Standings!CX$3,Entries!$L58:$L58,1,FALSE))),"S",""))</f>
        <v/>
      </c>
      <c r="CY66" t="str">
        <f>IF(NOT(ISERROR(HLOOKUP(Standings!CY$3,Entries!$C58:$K58,1,FALSE))),"x",IF(NOT(ISERROR(HLOOKUP(Standings!CY$3,Entries!$L58:$L58,1,FALSE))),"S",""))</f>
        <v/>
      </c>
      <c r="CZ66" t="str">
        <f>IF(NOT(ISERROR(HLOOKUP(Standings!CZ$3,Entries!$C58:$K58,1,FALSE))),"x",IF(NOT(ISERROR(HLOOKUP(Standings!CZ$3,Entries!$L58:$L58,1,FALSE))),"S",""))</f>
        <v/>
      </c>
      <c r="DA66" t="str">
        <f>IF(NOT(ISERROR(HLOOKUP(Standings!DA$3,Entries!$C58:$K58,1,FALSE))),"x",IF(NOT(ISERROR(HLOOKUP(Standings!DA$3,Entries!$L58:$L58,1,FALSE))),"S",""))</f>
        <v/>
      </c>
      <c r="DB66" t="str">
        <f>IF(NOT(ISERROR(HLOOKUP(Standings!DB$3,Entries!$C58:$K58,1,FALSE))),"x",IF(NOT(ISERROR(HLOOKUP(Standings!DB$3,Entries!$L58:$L58,1,FALSE))),"S",""))</f>
        <v/>
      </c>
    </row>
    <row r="67" spans="1:106" x14ac:dyDescent="0.25">
      <c r="B67">
        <v>71</v>
      </c>
      <c r="C67" t="str">
        <f>Entries!B59</f>
        <v>Maddie/Quinn</v>
      </c>
      <c r="D67" s="4">
        <f t="shared" si="53"/>
        <v>18</v>
      </c>
      <c r="E67" s="31">
        <f t="shared" si="54"/>
        <v>2</v>
      </c>
      <c r="F67" s="40" t="str">
        <f t="shared" si="52"/>
        <v/>
      </c>
      <c r="G67" s="41" t="str">
        <f t="shared" si="5"/>
        <v/>
      </c>
      <c r="H67" s="41" t="str">
        <f t="shared" si="6"/>
        <v/>
      </c>
      <c r="I67" s="42">
        <f t="shared" si="7"/>
        <v>-1.0000000000000001E-5</v>
      </c>
      <c r="J67" s="40" t="str">
        <f t="shared" si="8"/>
        <v/>
      </c>
      <c r="K67" s="41" t="str">
        <f t="shared" si="9"/>
        <v/>
      </c>
      <c r="L67" s="41" t="str">
        <f t="shared" si="10"/>
        <v/>
      </c>
      <c r="M67" s="42" t="str">
        <f t="shared" si="11"/>
        <v/>
      </c>
      <c r="N67" s="43" t="str">
        <f t="shared" si="12"/>
        <v/>
      </c>
      <c r="O67" s="41">
        <f t="shared" si="13"/>
        <v>0</v>
      </c>
      <c r="P67" s="41" t="str">
        <f t="shared" si="14"/>
        <v/>
      </c>
      <c r="Q67" s="42" t="str">
        <f t="shared" si="15"/>
        <v/>
      </c>
      <c r="R67" s="40">
        <f t="shared" si="16"/>
        <v>2</v>
      </c>
      <c r="S67" s="41" t="str">
        <f t="shared" si="17"/>
        <v/>
      </c>
      <c r="T67" s="43" t="str">
        <f t="shared" si="18"/>
        <v/>
      </c>
      <c r="U67" s="42" t="str">
        <f t="shared" si="19"/>
        <v/>
      </c>
      <c r="V67" s="40" t="str">
        <f t="shared" si="20"/>
        <v/>
      </c>
      <c r="W67" s="41" t="str">
        <f t="shared" si="21"/>
        <v/>
      </c>
      <c r="X67" s="41" t="str">
        <f t="shared" si="22"/>
        <v/>
      </c>
      <c r="Y67" s="42" t="str">
        <f t="shared" si="23"/>
        <v/>
      </c>
      <c r="Z67" s="40" t="str">
        <f t="shared" si="24"/>
        <v/>
      </c>
      <c r="AA67" s="41" t="str">
        <f t="shared" si="25"/>
        <v/>
      </c>
      <c r="AB67" s="41" t="str">
        <f t="shared" si="26"/>
        <v/>
      </c>
      <c r="AC67" s="42" t="str">
        <f t="shared" si="27"/>
        <v/>
      </c>
      <c r="AD67" s="40">
        <f t="shared" si="28"/>
        <v>0</v>
      </c>
      <c r="AE67" s="41" t="str">
        <f t="shared" si="29"/>
        <v/>
      </c>
      <c r="AF67" s="41" t="str">
        <f t="shared" si="30"/>
        <v/>
      </c>
      <c r="AG67" s="42" t="str">
        <f t="shared" si="31"/>
        <v/>
      </c>
      <c r="AH67" s="40" t="str">
        <f t="shared" si="32"/>
        <v/>
      </c>
      <c r="AI67" s="41" t="str">
        <f t="shared" si="33"/>
        <v/>
      </c>
      <c r="AJ67" s="41" t="str">
        <f t="shared" si="34"/>
        <v/>
      </c>
      <c r="AK67" s="42" t="str">
        <f t="shared" si="35"/>
        <v/>
      </c>
      <c r="AL67" s="40" t="str">
        <f t="shared" si="36"/>
        <v/>
      </c>
      <c r="AM67" s="41" t="str">
        <f t="shared" si="37"/>
        <v/>
      </c>
      <c r="AN67" s="41">
        <f t="shared" si="38"/>
        <v>0</v>
      </c>
      <c r="AO67" s="42" t="str">
        <f t="shared" si="39"/>
        <v/>
      </c>
      <c r="AP67" s="40" t="str">
        <f t="shared" si="40"/>
        <v/>
      </c>
      <c r="AQ67" s="41" t="str">
        <f t="shared" si="41"/>
        <v/>
      </c>
      <c r="AR67" s="41" t="str">
        <f t="shared" si="42"/>
        <v/>
      </c>
      <c r="AS67" s="42" t="str">
        <f t="shared" si="43"/>
        <v/>
      </c>
      <c r="AT67" s="40" t="str">
        <f t="shared" si="44"/>
        <v/>
      </c>
      <c r="AU67" s="41" t="str">
        <f t="shared" si="45"/>
        <v/>
      </c>
      <c r="AV67" s="41" t="str">
        <f t="shared" si="46"/>
        <v/>
      </c>
      <c r="AW67" s="42" t="str">
        <f t="shared" si="47"/>
        <v/>
      </c>
      <c r="AX67" s="40" t="str">
        <f t="shared" si="48"/>
        <v/>
      </c>
      <c r="AY67" s="41" t="str">
        <f t="shared" si="49"/>
        <v/>
      </c>
      <c r="AZ67" s="41" t="str">
        <f t="shared" si="50"/>
        <v/>
      </c>
      <c r="BA67" s="42" t="str">
        <f t="shared" si="51"/>
        <v/>
      </c>
      <c r="BB67" s="37" t="s">
        <v>106</v>
      </c>
      <c r="BC67" s="21"/>
      <c r="BD67" s="21"/>
      <c r="BG67" t="str">
        <f>IF(NOT(ISERROR(HLOOKUP(Standings!BG$3,Entries!$C59:$K59,1,FALSE))),"x",IF(NOT(ISERROR(HLOOKUP(Standings!BG$3,Entries!$L59:$L59,1,FALSE))),"S",""))</f>
        <v/>
      </c>
      <c r="BH67" t="str">
        <f>IF(NOT(ISERROR(HLOOKUP(Standings!BH$3,Entries!$C59:$K59,1,FALSE))),"x",IF(NOT(ISERROR(HLOOKUP(Standings!BH$3,Entries!$L59:$L59,1,FALSE))),"S",""))</f>
        <v/>
      </c>
      <c r="BI67" t="str">
        <f>IF(NOT(ISERROR(HLOOKUP(Standings!BI$3,Entries!$C59:$K59,1,FALSE))),"x",IF(NOT(ISERROR(HLOOKUP(Standings!BI$3,Entries!$L59:$L59,1,FALSE))),"S",""))</f>
        <v/>
      </c>
      <c r="BJ67" t="str">
        <f>IF(NOT(ISERROR(HLOOKUP(Standings!BJ$3,Entries!$C59:$K59,1,FALSE))),"x",IF(NOT(ISERROR(HLOOKUP(Standings!BJ$3,Entries!$L59:$L59,1,FALSE))),"S",""))</f>
        <v>S</v>
      </c>
      <c r="BK67" t="str">
        <f>IF(NOT(ISERROR(HLOOKUP(Standings!BK$3,Entries!$C59:$K59,1,FALSE))),"x",IF(NOT(ISERROR(HLOOKUP(Standings!BK$3,Entries!$L59:$L59,1,FALSE))),"S",""))</f>
        <v/>
      </c>
      <c r="BL67" t="str">
        <f>IF(NOT(ISERROR(HLOOKUP(Standings!BL$3,Entries!$C59:$K59,1,FALSE))),"x",IF(NOT(ISERROR(HLOOKUP(Standings!BL$3,Entries!$L59:$L59,1,FALSE))),"S",""))</f>
        <v/>
      </c>
      <c r="BM67" t="str">
        <f>IF(NOT(ISERROR(HLOOKUP(Standings!BM$3,Entries!$C59:$K59,1,FALSE))),"x",IF(NOT(ISERROR(HLOOKUP(Standings!BM$3,Entries!$L59:$L59,1,FALSE))),"S",""))</f>
        <v/>
      </c>
      <c r="BN67" t="str">
        <f>IF(NOT(ISERROR(HLOOKUP(Standings!BN$3,Entries!$C59:$K59,1,FALSE))),"x",IF(NOT(ISERROR(HLOOKUP(Standings!BN$3,Entries!$L59:$L59,1,FALSE))),"S",""))</f>
        <v/>
      </c>
      <c r="BO67" t="str">
        <f>IF(NOT(ISERROR(HLOOKUP(Standings!BO$3,Entries!$C59:$K59,1,FALSE))),"x",IF(NOT(ISERROR(HLOOKUP(Standings!BO$3,Entries!$L59:$L59,1,FALSE))),"S",""))</f>
        <v/>
      </c>
      <c r="BP67" t="str">
        <f>IF(NOT(ISERROR(HLOOKUP(Standings!BP$3,Entries!$C59:$K59,1,FALSE))),"x",IF(NOT(ISERROR(HLOOKUP(Standings!BP$3,Entries!$L59:$L59,1,FALSE))),"S",""))</f>
        <v>x</v>
      </c>
      <c r="BQ67" t="str">
        <f>IF(NOT(ISERROR(HLOOKUP(Standings!BQ$3,Entries!$C59:$K59,1,FALSE))),"x",IF(NOT(ISERROR(HLOOKUP(Standings!BQ$3,Entries!$L59:$L59,1,FALSE))),"S",""))</f>
        <v/>
      </c>
      <c r="BR67" t="str">
        <f>IF(NOT(ISERROR(HLOOKUP(Standings!BR$3,Entries!$C59:$K59,1,FALSE))),"x",IF(NOT(ISERROR(HLOOKUP(Standings!BR$3,Entries!$L59:$L59,1,FALSE))),"S",""))</f>
        <v/>
      </c>
      <c r="BS67" t="str">
        <f>IF(NOT(ISERROR(HLOOKUP(Standings!BS$3,Entries!$C59:$K59,1,FALSE))),"x",IF(NOT(ISERROR(HLOOKUP(Standings!BS$3,Entries!$L59:$L59,1,FALSE))),"S",""))</f>
        <v>x</v>
      </c>
      <c r="BT67" t="str">
        <f>IF(NOT(ISERROR(HLOOKUP(Standings!BT$3,Entries!$C59:$K59,1,FALSE))),"x",IF(NOT(ISERROR(HLOOKUP(Standings!BT$3,Entries!$L59:$L59,1,FALSE))),"S",""))</f>
        <v/>
      </c>
      <c r="BU67" t="str">
        <f>IF(NOT(ISERROR(HLOOKUP(Standings!BU$3,Entries!$C59:$K59,1,FALSE))),"x",IF(NOT(ISERROR(HLOOKUP(Standings!BU$3,Entries!$L59:$L59,1,FALSE))),"S",""))</f>
        <v/>
      </c>
      <c r="BV67" t="str">
        <f>IF(NOT(ISERROR(HLOOKUP(Standings!BV$3,Entries!$C59:$K59,1,FALSE))),"x",IF(NOT(ISERROR(HLOOKUP(Standings!BV$3,Entries!$L59:$L59,1,FALSE))),"S",""))</f>
        <v/>
      </c>
      <c r="BW67" t="str">
        <f>IF(NOT(ISERROR(HLOOKUP(Standings!BW$3,Entries!$C59:$K59,1,FALSE))),"x",IF(NOT(ISERROR(HLOOKUP(Standings!BW$3,Entries!$L59:$L59,1,FALSE))),"S",""))</f>
        <v/>
      </c>
      <c r="BX67" t="str">
        <f>IF(NOT(ISERROR(HLOOKUP(Standings!BX$3,Entries!$C59:$K59,1,FALSE))),"x",IF(NOT(ISERROR(HLOOKUP(Standings!BX$3,Entries!$L59:$L59,1,FALSE))),"S",""))</f>
        <v/>
      </c>
      <c r="BY67" t="str">
        <f>IF(NOT(ISERROR(HLOOKUP(Standings!BY$3,Entries!$C59:$K59,1,FALSE))),"x",IF(NOT(ISERROR(HLOOKUP(Standings!BY$3,Entries!$L59:$L59,1,FALSE))),"S",""))</f>
        <v/>
      </c>
      <c r="BZ67" t="str">
        <f>IF(NOT(ISERROR(HLOOKUP(Standings!BZ$3,Entries!$C59:$K59,1,FALSE))),"x",IF(NOT(ISERROR(HLOOKUP(Standings!BZ$3,Entries!$L59:$L59,1,FALSE))),"S",""))</f>
        <v/>
      </c>
      <c r="CA67" t="str">
        <f>IF(NOT(ISERROR(HLOOKUP(Standings!CA$3,Entries!$C59:$K59,1,FALSE))),"x",IF(NOT(ISERROR(HLOOKUP(Standings!CA$3,Entries!$L59:$L59,1,FALSE))),"S",""))</f>
        <v/>
      </c>
      <c r="CB67" t="str">
        <f>IF(NOT(ISERROR(HLOOKUP(Standings!CB$3,Entries!$C59:$K59,1,FALSE))),"x",IF(NOT(ISERROR(HLOOKUP(Standings!CB$3,Entries!$L59:$L59,1,FALSE))),"S",""))</f>
        <v/>
      </c>
      <c r="CC67" t="str">
        <f>IF(NOT(ISERROR(HLOOKUP(Standings!CC$3,Entries!$C59:$K59,1,FALSE))),"x",IF(NOT(ISERROR(HLOOKUP(Standings!CC$3,Entries!$L59:$L59,1,FALSE))),"S",""))</f>
        <v/>
      </c>
      <c r="CD67" t="str">
        <f>IF(NOT(ISERROR(HLOOKUP(Standings!CD$3,Entries!$C59:$K59,1,FALSE))),"x",IF(NOT(ISERROR(HLOOKUP(Standings!CD$3,Entries!$L59:$L59,1,FALSE))),"S",""))</f>
        <v/>
      </c>
      <c r="CE67" t="str">
        <f>IF(NOT(ISERROR(HLOOKUP(Standings!CE$3,Entries!$C59:$K59,1,FALSE))),"x",IF(NOT(ISERROR(HLOOKUP(Standings!CE$3,Entries!$L59:$L59,1,FALSE))),"S",""))</f>
        <v>x</v>
      </c>
      <c r="CF67" t="str">
        <f>IF(NOT(ISERROR(HLOOKUP(Standings!CF$3,Entries!$C59:$K59,1,FALSE))),"x",IF(NOT(ISERROR(HLOOKUP(Standings!CF$3,Entries!$L59:$L59,1,FALSE))),"S",""))</f>
        <v/>
      </c>
      <c r="CG67" t="str">
        <f>IF(NOT(ISERROR(HLOOKUP(Standings!CG$3,Entries!$C59:$K59,1,FALSE))),"x",IF(NOT(ISERROR(HLOOKUP(Standings!CG$3,Entries!$L59:$L59,1,FALSE))),"S",""))</f>
        <v/>
      </c>
      <c r="CH67" t="str">
        <f>IF(NOT(ISERROR(HLOOKUP(Standings!CH$3,Entries!$C59:$K59,1,FALSE))),"x",IF(NOT(ISERROR(HLOOKUP(Standings!CH$3,Entries!$L59:$L59,1,FALSE))),"S",""))</f>
        <v/>
      </c>
      <c r="CI67" t="str">
        <f>IF(NOT(ISERROR(HLOOKUP(Standings!CI$3,Entries!$C59:$K59,1,FALSE))),"x",IF(NOT(ISERROR(HLOOKUP(Standings!CI$3,Entries!$L59:$L59,1,FALSE))),"S",""))</f>
        <v/>
      </c>
      <c r="CJ67" t="str">
        <f>IF(NOT(ISERROR(HLOOKUP(Standings!CJ$3,Entries!$C59:$K59,1,FALSE))),"x",IF(NOT(ISERROR(HLOOKUP(Standings!CJ$3,Entries!$L59:$L59,1,FALSE))),"S",""))</f>
        <v/>
      </c>
      <c r="CK67" t="str">
        <f>IF(NOT(ISERROR(HLOOKUP(Standings!CK$3,Entries!$C59:$K59,1,FALSE))),"x",IF(NOT(ISERROR(HLOOKUP(Standings!CK$3,Entries!$L59:$L59,1,FALSE))),"S",""))</f>
        <v/>
      </c>
      <c r="CL67" t="str">
        <f>IF(NOT(ISERROR(HLOOKUP(Standings!CL$3,Entries!$C59:$K59,1,FALSE))),"x",IF(NOT(ISERROR(HLOOKUP(Standings!CL$3,Entries!$L59:$L59,1,FALSE))),"S",""))</f>
        <v/>
      </c>
      <c r="CM67" t="str">
        <f>IF(NOT(ISERROR(HLOOKUP(Standings!CM$3,Entries!$C59:$K59,1,FALSE))),"x",IF(NOT(ISERROR(HLOOKUP(Standings!CM$3,Entries!$L59:$L59,1,FALSE))),"S",""))</f>
        <v/>
      </c>
      <c r="CN67" t="str">
        <f>IF(NOT(ISERROR(HLOOKUP(Standings!CN$3,Entries!$C59:$K59,1,FALSE))),"x",IF(NOT(ISERROR(HLOOKUP(Standings!CN$3,Entries!$L59:$L59,1,FALSE))),"S",""))</f>
        <v/>
      </c>
      <c r="CO67" t="str">
        <f>IF(NOT(ISERROR(HLOOKUP(Standings!CO$3,Entries!$C59:$K59,1,FALSE))),"x",IF(NOT(ISERROR(HLOOKUP(Standings!CO$3,Entries!$L59:$L59,1,FALSE))),"S",""))</f>
        <v>x</v>
      </c>
      <c r="CP67" t="str">
        <f>IF(NOT(ISERROR(HLOOKUP(Standings!CP$3,Entries!$C59:$K59,1,FALSE))),"x",IF(NOT(ISERROR(HLOOKUP(Standings!CP$3,Entries!$L59:$L59,1,FALSE))),"S",""))</f>
        <v/>
      </c>
      <c r="CQ67" t="str">
        <f>IF(NOT(ISERROR(HLOOKUP(Standings!CQ$3,Entries!$C59:$K59,1,FALSE))),"x",IF(NOT(ISERROR(HLOOKUP(Standings!CQ$3,Entries!$L59:$L59,1,FALSE))),"S",""))</f>
        <v/>
      </c>
      <c r="CR67" t="str">
        <f>IF(NOT(ISERROR(HLOOKUP(Standings!CR$3,Entries!$C59:$K59,1,FALSE))),"x",IF(NOT(ISERROR(HLOOKUP(Standings!CR$3,Entries!$L59:$L59,1,FALSE))),"S",""))</f>
        <v/>
      </c>
      <c r="CS67" t="str">
        <f>IF(NOT(ISERROR(HLOOKUP(Standings!CS$3,Entries!$C59:$K59,1,FALSE))),"x",IF(NOT(ISERROR(HLOOKUP(Standings!CS$3,Entries!$L59:$L59,1,FALSE))),"S",""))</f>
        <v/>
      </c>
      <c r="CT67" t="str">
        <f>IF(NOT(ISERROR(HLOOKUP(Standings!CT$3,Entries!$C59:$K59,1,FALSE))),"x",IF(NOT(ISERROR(HLOOKUP(Standings!CT$3,Entries!$L59:$L59,1,FALSE))),"S",""))</f>
        <v/>
      </c>
      <c r="CU67" t="str">
        <f>IF(NOT(ISERROR(HLOOKUP(Standings!CU$3,Entries!$C59:$K59,1,FALSE))),"x",IF(NOT(ISERROR(HLOOKUP(Standings!CU$3,Entries!$L59:$L59,1,FALSE))),"S",""))</f>
        <v/>
      </c>
      <c r="CV67" t="str">
        <f>IF(NOT(ISERROR(HLOOKUP(Standings!CV$3,Entries!$C59:$K59,1,FALSE))),"x",IF(NOT(ISERROR(HLOOKUP(Standings!CV$3,Entries!$L59:$L59,1,FALSE))),"S",""))</f>
        <v/>
      </c>
      <c r="CW67" t="str">
        <f>IF(NOT(ISERROR(HLOOKUP(Standings!CW$3,Entries!$C59:$K59,1,FALSE))),"x",IF(NOT(ISERROR(HLOOKUP(Standings!CW$3,Entries!$L59:$L59,1,FALSE))),"S",""))</f>
        <v/>
      </c>
      <c r="CX67" t="str">
        <f>IF(NOT(ISERROR(HLOOKUP(Standings!CX$3,Entries!$C59:$K59,1,FALSE))),"x",IF(NOT(ISERROR(HLOOKUP(Standings!CX$3,Entries!$L59:$L59,1,FALSE))),"S",""))</f>
        <v/>
      </c>
      <c r="CY67" t="str">
        <f>IF(NOT(ISERROR(HLOOKUP(Standings!CY$3,Entries!$C59:$K59,1,FALSE))),"x",IF(NOT(ISERROR(HLOOKUP(Standings!CY$3,Entries!$L59:$L59,1,FALSE))),"S",""))</f>
        <v/>
      </c>
      <c r="CZ67" t="str">
        <f>IF(NOT(ISERROR(HLOOKUP(Standings!CZ$3,Entries!$C59:$K59,1,FALSE))),"x",IF(NOT(ISERROR(HLOOKUP(Standings!CZ$3,Entries!$L59:$L59,1,FALSE))),"S",""))</f>
        <v/>
      </c>
      <c r="DA67" t="str">
        <f>IF(NOT(ISERROR(HLOOKUP(Standings!DA$3,Entries!$C59:$K59,1,FALSE))),"x",IF(NOT(ISERROR(HLOOKUP(Standings!DA$3,Entries!$L59:$L59,1,FALSE))),"S",""))</f>
        <v/>
      </c>
      <c r="DB67" t="str">
        <f>IF(NOT(ISERROR(HLOOKUP(Standings!DB$3,Entries!$C59:$K59,1,FALSE))),"x",IF(NOT(ISERROR(HLOOKUP(Standings!DB$3,Entries!$L59:$L59,1,FALSE))),"S",""))</f>
        <v/>
      </c>
    </row>
    <row r="68" spans="1:106" x14ac:dyDescent="0.25">
      <c r="B68">
        <v>65</v>
      </c>
      <c r="C68" t="str">
        <f>Entries!B60</f>
        <v>Brianco1</v>
      </c>
      <c r="D68" s="4">
        <f t="shared" si="53"/>
        <v>2</v>
      </c>
      <c r="E68" s="31">
        <f t="shared" si="54"/>
        <v>5</v>
      </c>
      <c r="F68" s="40">
        <f t="shared" si="52"/>
        <v>2</v>
      </c>
      <c r="G68" s="41" t="str">
        <f t="shared" si="5"/>
        <v/>
      </c>
      <c r="H68" s="41" t="str">
        <f t="shared" si="6"/>
        <v/>
      </c>
      <c r="I68" s="42" t="str">
        <f t="shared" si="7"/>
        <v/>
      </c>
      <c r="J68" s="40">
        <f t="shared" si="8"/>
        <v>1</v>
      </c>
      <c r="K68" s="41" t="str">
        <f t="shared" si="9"/>
        <v/>
      </c>
      <c r="L68" s="41" t="str">
        <f t="shared" si="10"/>
        <v/>
      </c>
      <c r="M68" s="42" t="str">
        <f t="shared" si="11"/>
        <v/>
      </c>
      <c r="N68" s="43" t="str">
        <f t="shared" si="12"/>
        <v/>
      </c>
      <c r="O68" s="41" t="str">
        <f t="shared" si="13"/>
        <v/>
      </c>
      <c r="P68" s="41" t="str">
        <f t="shared" si="14"/>
        <v/>
      </c>
      <c r="Q68" s="42" t="str">
        <f t="shared" si="15"/>
        <v/>
      </c>
      <c r="R68" s="40">
        <f t="shared" si="16"/>
        <v>2</v>
      </c>
      <c r="S68" s="41" t="str">
        <f t="shared" si="17"/>
        <v/>
      </c>
      <c r="T68" s="43" t="str">
        <f t="shared" si="18"/>
        <v/>
      </c>
      <c r="U68" s="42">
        <f t="shared" si="19"/>
        <v>-1.0000000000000001E-5</v>
      </c>
      <c r="V68" s="40" t="str">
        <f t="shared" si="20"/>
        <v/>
      </c>
      <c r="W68" s="41" t="str">
        <f t="shared" si="21"/>
        <v/>
      </c>
      <c r="X68" s="41" t="str">
        <f t="shared" si="22"/>
        <v/>
      </c>
      <c r="Y68" s="42" t="str">
        <f t="shared" si="23"/>
        <v/>
      </c>
      <c r="Z68" s="40" t="str">
        <f t="shared" si="24"/>
        <v/>
      </c>
      <c r="AA68" s="41" t="str">
        <f t="shared" si="25"/>
        <v/>
      </c>
      <c r="AB68" s="41" t="str">
        <f t="shared" si="26"/>
        <v/>
      </c>
      <c r="AC68" s="42" t="str">
        <f t="shared" si="27"/>
        <v/>
      </c>
      <c r="AD68" s="40" t="str">
        <f t="shared" si="28"/>
        <v/>
      </c>
      <c r="AE68" s="41" t="str">
        <f t="shared" si="29"/>
        <v/>
      </c>
      <c r="AF68" s="41" t="str">
        <f t="shared" si="30"/>
        <v/>
      </c>
      <c r="AG68" s="42" t="str">
        <f t="shared" si="31"/>
        <v/>
      </c>
      <c r="AH68" s="40" t="str">
        <f t="shared" si="32"/>
        <v/>
      </c>
      <c r="AI68" s="41" t="str">
        <f t="shared" si="33"/>
        <v/>
      </c>
      <c r="AJ68" s="41" t="str">
        <f t="shared" si="34"/>
        <v/>
      </c>
      <c r="AK68" s="42" t="str">
        <f t="shared" si="35"/>
        <v/>
      </c>
      <c r="AL68" s="40" t="str">
        <f t="shared" si="36"/>
        <v/>
      </c>
      <c r="AM68" s="41" t="str">
        <f t="shared" si="37"/>
        <v/>
      </c>
      <c r="AN68" s="41" t="str">
        <f t="shared" si="38"/>
        <v/>
      </c>
      <c r="AO68" s="42" t="str">
        <f t="shared" si="39"/>
        <v/>
      </c>
      <c r="AP68" s="40" t="str">
        <f t="shared" si="40"/>
        <v/>
      </c>
      <c r="AQ68" s="41" t="str">
        <f t="shared" si="41"/>
        <v/>
      </c>
      <c r="AR68" s="41" t="str">
        <f t="shared" si="42"/>
        <v/>
      </c>
      <c r="AS68" s="42" t="str">
        <f t="shared" si="43"/>
        <v/>
      </c>
      <c r="AT68" s="40">
        <f t="shared" si="44"/>
        <v>0</v>
      </c>
      <c r="AU68" s="41" t="str">
        <f t="shared" si="45"/>
        <v/>
      </c>
      <c r="AV68" s="41" t="str">
        <f t="shared" si="46"/>
        <v/>
      </c>
      <c r="AW68" s="42" t="str">
        <f t="shared" si="47"/>
        <v/>
      </c>
      <c r="AX68" s="40" t="str">
        <f t="shared" si="48"/>
        <v/>
      </c>
      <c r="AY68" s="41" t="str">
        <f t="shared" si="49"/>
        <v/>
      </c>
      <c r="AZ68" s="41" t="str">
        <f t="shared" si="50"/>
        <v/>
      </c>
      <c r="BA68" s="42" t="str">
        <f t="shared" si="51"/>
        <v/>
      </c>
      <c r="BB68" s="37" t="s">
        <v>106</v>
      </c>
      <c r="BC68" s="21"/>
      <c r="BD68" s="21"/>
      <c r="BG68" t="str">
        <f>IF(NOT(ISERROR(HLOOKUP(Standings!BG$3,Entries!$C60:$K60,1,FALSE))),"x",IF(NOT(ISERROR(HLOOKUP(Standings!BG$3,Entries!$L60:$L60,1,FALSE))),"S",""))</f>
        <v>x</v>
      </c>
      <c r="BH68" t="str">
        <f>IF(NOT(ISERROR(HLOOKUP(Standings!BH$3,Entries!$C60:$K60,1,FALSE))),"x",IF(NOT(ISERROR(HLOOKUP(Standings!BH$3,Entries!$L60:$L60,1,FALSE))),"S",""))</f>
        <v/>
      </c>
      <c r="BI68" t="str">
        <f>IF(NOT(ISERROR(HLOOKUP(Standings!BI$3,Entries!$C60:$K60,1,FALSE))),"x",IF(NOT(ISERROR(HLOOKUP(Standings!BI$3,Entries!$L60:$L60,1,FALSE))),"S",""))</f>
        <v/>
      </c>
      <c r="BJ68" t="str">
        <f>IF(NOT(ISERROR(HLOOKUP(Standings!BJ$3,Entries!$C60:$K60,1,FALSE))),"x",IF(NOT(ISERROR(HLOOKUP(Standings!BJ$3,Entries!$L60:$L60,1,FALSE))),"S",""))</f>
        <v/>
      </c>
      <c r="BK68" t="str">
        <f>IF(NOT(ISERROR(HLOOKUP(Standings!BK$3,Entries!$C60:$K60,1,FALSE))),"x",IF(NOT(ISERROR(HLOOKUP(Standings!BK$3,Entries!$L60:$L60,1,FALSE))),"S",""))</f>
        <v>x</v>
      </c>
      <c r="BL68" t="str">
        <f>IF(NOT(ISERROR(HLOOKUP(Standings!BL$3,Entries!$C60:$K60,1,FALSE))),"x",IF(NOT(ISERROR(HLOOKUP(Standings!BL$3,Entries!$L60:$L60,1,FALSE))),"S",""))</f>
        <v/>
      </c>
      <c r="BM68" t="str">
        <f>IF(NOT(ISERROR(HLOOKUP(Standings!BM$3,Entries!$C60:$K60,1,FALSE))),"x",IF(NOT(ISERROR(HLOOKUP(Standings!BM$3,Entries!$L60:$L60,1,FALSE))),"S",""))</f>
        <v/>
      </c>
      <c r="BN68" t="str">
        <f>IF(NOT(ISERROR(HLOOKUP(Standings!BN$3,Entries!$C60:$K60,1,FALSE))),"x",IF(NOT(ISERROR(HLOOKUP(Standings!BN$3,Entries!$L60:$L60,1,FALSE))),"S",""))</f>
        <v/>
      </c>
      <c r="BO68" t="str">
        <f>IF(NOT(ISERROR(HLOOKUP(Standings!BO$3,Entries!$C60:$K60,1,FALSE))),"x",IF(NOT(ISERROR(HLOOKUP(Standings!BO$3,Entries!$L60:$L60,1,FALSE))),"S",""))</f>
        <v/>
      </c>
      <c r="BP68" t="str">
        <f>IF(NOT(ISERROR(HLOOKUP(Standings!BP$3,Entries!$C60:$K60,1,FALSE))),"x",IF(NOT(ISERROR(HLOOKUP(Standings!BP$3,Entries!$L60:$L60,1,FALSE))),"S",""))</f>
        <v/>
      </c>
      <c r="BQ68" t="str">
        <f>IF(NOT(ISERROR(HLOOKUP(Standings!BQ$3,Entries!$C60:$K60,1,FALSE))),"x",IF(NOT(ISERROR(HLOOKUP(Standings!BQ$3,Entries!$L60:$L60,1,FALSE))),"S",""))</f>
        <v/>
      </c>
      <c r="BR68" t="str">
        <f>IF(NOT(ISERROR(HLOOKUP(Standings!BR$3,Entries!$C60:$K60,1,FALSE))),"x",IF(NOT(ISERROR(HLOOKUP(Standings!BR$3,Entries!$L60:$L60,1,FALSE))),"S",""))</f>
        <v/>
      </c>
      <c r="BS68" t="str">
        <f>IF(NOT(ISERROR(HLOOKUP(Standings!BS$3,Entries!$C60:$K60,1,FALSE))),"x",IF(NOT(ISERROR(HLOOKUP(Standings!BS$3,Entries!$L60:$L60,1,FALSE))),"S",""))</f>
        <v>x</v>
      </c>
      <c r="BT68" t="str">
        <f>IF(NOT(ISERROR(HLOOKUP(Standings!BT$3,Entries!$C60:$K60,1,FALSE))),"x",IF(NOT(ISERROR(HLOOKUP(Standings!BT$3,Entries!$L60:$L60,1,FALSE))),"S",""))</f>
        <v/>
      </c>
      <c r="BU68" t="str">
        <f>IF(NOT(ISERROR(HLOOKUP(Standings!BU$3,Entries!$C60:$K60,1,FALSE))),"x",IF(NOT(ISERROR(HLOOKUP(Standings!BU$3,Entries!$L60:$L60,1,FALSE))),"S",""))</f>
        <v/>
      </c>
      <c r="BV68" t="str">
        <f>IF(NOT(ISERROR(HLOOKUP(Standings!BV$3,Entries!$C60:$K60,1,FALSE))),"x",IF(NOT(ISERROR(HLOOKUP(Standings!BV$3,Entries!$L60:$L60,1,FALSE))),"S",""))</f>
        <v>S</v>
      </c>
      <c r="BW68" t="str">
        <f>IF(NOT(ISERROR(HLOOKUP(Standings!BW$3,Entries!$C60:$K60,1,FALSE))),"x",IF(NOT(ISERROR(HLOOKUP(Standings!BW$3,Entries!$L60:$L60,1,FALSE))),"S",""))</f>
        <v/>
      </c>
      <c r="BX68" t="str">
        <f>IF(NOT(ISERROR(HLOOKUP(Standings!BX$3,Entries!$C60:$K60,1,FALSE))),"x",IF(NOT(ISERROR(HLOOKUP(Standings!BX$3,Entries!$L60:$L60,1,FALSE))),"S",""))</f>
        <v/>
      </c>
      <c r="BY68" t="str">
        <f>IF(NOT(ISERROR(HLOOKUP(Standings!BY$3,Entries!$C60:$K60,1,FALSE))),"x",IF(NOT(ISERROR(HLOOKUP(Standings!BY$3,Entries!$L60:$L60,1,FALSE))),"S",""))</f>
        <v/>
      </c>
      <c r="BZ68" t="str">
        <f>IF(NOT(ISERROR(HLOOKUP(Standings!BZ$3,Entries!$C60:$K60,1,FALSE))),"x",IF(NOT(ISERROR(HLOOKUP(Standings!BZ$3,Entries!$L60:$L60,1,FALSE))),"S",""))</f>
        <v/>
      </c>
      <c r="CA68" t="str">
        <f>IF(NOT(ISERROR(HLOOKUP(Standings!CA$3,Entries!$C60:$K60,1,FALSE))),"x",IF(NOT(ISERROR(HLOOKUP(Standings!CA$3,Entries!$L60:$L60,1,FALSE))),"S",""))</f>
        <v/>
      </c>
      <c r="CB68" t="str">
        <f>IF(NOT(ISERROR(HLOOKUP(Standings!CB$3,Entries!$C60:$K60,1,FALSE))),"x",IF(NOT(ISERROR(HLOOKUP(Standings!CB$3,Entries!$L60:$L60,1,FALSE))),"S",""))</f>
        <v/>
      </c>
      <c r="CC68" t="str">
        <f>IF(NOT(ISERROR(HLOOKUP(Standings!CC$3,Entries!$C60:$K60,1,FALSE))),"x",IF(NOT(ISERROR(HLOOKUP(Standings!CC$3,Entries!$L60:$L60,1,FALSE))),"S",""))</f>
        <v/>
      </c>
      <c r="CD68" t="str">
        <f>IF(NOT(ISERROR(HLOOKUP(Standings!CD$3,Entries!$C60:$K60,1,FALSE))),"x",IF(NOT(ISERROR(HLOOKUP(Standings!CD$3,Entries!$L60:$L60,1,FALSE))),"S",""))</f>
        <v/>
      </c>
      <c r="CE68" t="str">
        <f>IF(NOT(ISERROR(HLOOKUP(Standings!CE$3,Entries!$C60:$K60,1,FALSE))),"x",IF(NOT(ISERROR(HLOOKUP(Standings!CE$3,Entries!$L60:$L60,1,FALSE))),"S",""))</f>
        <v/>
      </c>
      <c r="CF68" t="str">
        <f>IF(NOT(ISERROR(HLOOKUP(Standings!CF$3,Entries!$C60:$K60,1,FALSE))),"x",IF(NOT(ISERROR(HLOOKUP(Standings!CF$3,Entries!$L60:$L60,1,FALSE))),"S",""))</f>
        <v/>
      </c>
      <c r="CG68" t="str">
        <f>IF(NOT(ISERROR(HLOOKUP(Standings!CG$3,Entries!$C60:$K60,1,FALSE))),"x",IF(NOT(ISERROR(HLOOKUP(Standings!CG$3,Entries!$L60:$L60,1,FALSE))),"S",""))</f>
        <v/>
      </c>
      <c r="CH68" t="str">
        <f>IF(NOT(ISERROR(HLOOKUP(Standings!CH$3,Entries!$C60:$K60,1,FALSE))),"x",IF(NOT(ISERROR(HLOOKUP(Standings!CH$3,Entries!$L60:$L60,1,FALSE))),"S",""))</f>
        <v/>
      </c>
      <c r="CI68" t="str">
        <f>IF(NOT(ISERROR(HLOOKUP(Standings!CI$3,Entries!$C60:$K60,1,FALSE))),"x",IF(NOT(ISERROR(HLOOKUP(Standings!CI$3,Entries!$L60:$L60,1,FALSE))),"S",""))</f>
        <v/>
      </c>
      <c r="CJ68" t="str">
        <f>IF(NOT(ISERROR(HLOOKUP(Standings!CJ$3,Entries!$C60:$K60,1,FALSE))),"x",IF(NOT(ISERROR(HLOOKUP(Standings!CJ$3,Entries!$L60:$L60,1,FALSE))),"S",""))</f>
        <v/>
      </c>
      <c r="CK68" t="str">
        <f>IF(NOT(ISERROR(HLOOKUP(Standings!CK$3,Entries!$C60:$K60,1,FALSE))),"x",IF(NOT(ISERROR(HLOOKUP(Standings!CK$3,Entries!$L60:$L60,1,FALSE))),"S",""))</f>
        <v/>
      </c>
      <c r="CL68" t="str">
        <f>IF(NOT(ISERROR(HLOOKUP(Standings!CL$3,Entries!$C60:$K60,1,FALSE))),"x",IF(NOT(ISERROR(HLOOKUP(Standings!CL$3,Entries!$L60:$L60,1,FALSE))),"S",""))</f>
        <v/>
      </c>
      <c r="CM68" t="str">
        <f>IF(NOT(ISERROR(HLOOKUP(Standings!CM$3,Entries!$C60:$K60,1,FALSE))),"x",IF(NOT(ISERROR(HLOOKUP(Standings!CM$3,Entries!$L60:$L60,1,FALSE))),"S",""))</f>
        <v/>
      </c>
      <c r="CN68" t="str">
        <f>IF(NOT(ISERROR(HLOOKUP(Standings!CN$3,Entries!$C60:$K60,1,FALSE))),"x",IF(NOT(ISERROR(HLOOKUP(Standings!CN$3,Entries!$L60:$L60,1,FALSE))),"S",""))</f>
        <v/>
      </c>
      <c r="CO68" t="str">
        <f>IF(NOT(ISERROR(HLOOKUP(Standings!CO$3,Entries!$C60:$K60,1,FALSE))),"x",IF(NOT(ISERROR(HLOOKUP(Standings!CO$3,Entries!$L60:$L60,1,FALSE))),"S",""))</f>
        <v/>
      </c>
      <c r="CP68" t="str">
        <f>IF(NOT(ISERROR(HLOOKUP(Standings!CP$3,Entries!$C60:$K60,1,FALSE))),"x",IF(NOT(ISERROR(HLOOKUP(Standings!CP$3,Entries!$L60:$L60,1,FALSE))),"S",""))</f>
        <v/>
      </c>
      <c r="CQ68" t="str">
        <f>IF(NOT(ISERROR(HLOOKUP(Standings!CQ$3,Entries!$C60:$K60,1,FALSE))),"x",IF(NOT(ISERROR(HLOOKUP(Standings!CQ$3,Entries!$L60:$L60,1,FALSE))),"S",""))</f>
        <v/>
      </c>
      <c r="CR68" t="str">
        <f>IF(NOT(ISERROR(HLOOKUP(Standings!CR$3,Entries!$C60:$K60,1,FALSE))),"x",IF(NOT(ISERROR(HLOOKUP(Standings!CR$3,Entries!$L60:$L60,1,FALSE))),"S",""))</f>
        <v/>
      </c>
      <c r="CS68" t="str">
        <f>IF(NOT(ISERROR(HLOOKUP(Standings!CS$3,Entries!$C60:$K60,1,FALSE))),"x",IF(NOT(ISERROR(HLOOKUP(Standings!CS$3,Entries!$L60:$L60,1,FALSE))),"S",""))</f>
        <v/>
      </c>
      <c r="CT68" t="str">
        <f>IF(NOT(ISERROR(HLOOKUP(Standings!CT$3,Entries!$C60:$K60,1,FALSE))),"x",IF(NOT(ISERROR(HLOOKUP(Standings!CT$3,Entries!$L60:$L60,1,FALSE))),"S",""))</f>
        <v/>
      </c>
      <c r="CU68" t="str">
        <f>IF(NOT(ISERROR(HLOOKUP(Standings!CU$3,Entries!$C60:$K60,1,FALSE))),"x",IF(NOT(ISERROR(HLOOKUP(Standings!CU$3,Entries!$L60:$L60,1,FALSE))),"S",""))</f>
        <v>x</v>
      </c>
      <c r="CV68" t="str">
        <f>IF(NOT(ISERROR(HLOOKUP(Standings!CV$3,Entries!$C60:$K60,1,FALSE))),"x",IF(NOT(ISERROR(HLOOKUP(Standings!CV$3,Entries!$L60:$L60,1,FALSE))),"S",""))</f>
        <v/>
      </c>
      <c r="CW68" t="str">
        <f>IF(NOT(ISERROR(HLOOKUP(Standings!CW$3,Entries!$C60:$K60,1,FALSE))),"x",IF(NOT(ISERROR(HLOOKUP(Standings!CW$3,Entries!$L60:$L60,1,FALSE))),"S",""))</f>
        <v/>
      </c>
      <c r="CX68" t="str">
        <f>IF(NOT(ISERROR(HLOOKUP(Standings!CX$3,Entries!$C60:$K60,1,FALSE))),"x",IF(NOT(ISERROR(HLOOKUP(Standings!CX$3,Entries!$L60:$L60,1,FALSE))),"S",""))</f>
        <v/>
      </c>
      <c r="CY68" t="str">
        <f>IF(NOT(ISERROR(HLOOKUP(Standings!CY$3,Entries!$C60:$K60,1,FALSE))),"x",IF(NOT(ISERROR(HLOOKUP(Standings!CY$3,Entries!$L60:$L60,1,FALSE))),"S",""))</f>
        <v/>
      </c>
      <c r="CZ68" t="str">
        <f>IF(NOT(ISERROR(HLOOKUP(Standings!CZ$3,Entries!$C60:$K60,1,FALSE))),"x",IF(NOT(ISERROR(HLOOKUP(Standings!CZ$3,Entries!$L60:$L60,1,FALSE))),"S",""))</f>
        <v/>
      </c>
      <c r="DA68" t="str">
        <f>IF(NOT(ISERROR(HLOOKUP(Standings!DA$3,Entries!$C60:$K60,1,FALSE))),"x",IF(NOT(ISERROR(HLOOKUP(Standings!DA$3,Entries!$L60:$L60,1,FALSE))),"S",""))</f>
        <v/>
      </c>
      <c r="DB68" t="str">
        <f>IF(NOT(ISERROR(HLOOKUP(Standings!DB$3,Entries!$C60:$K60,1,FALSE))),"x",IF(NOT(ISERROR(HLOOKUP(Standings!DB$3,Entries!$L60:$L60,1,FALSE))),"S",""))</f>
        <v/>
      </c>
    </row>
    <row r="69" spans="1:106" x14ac:dyDescent="0.25">
      <c r="B69">
        <v>61</v>
      </c>
      <c r="C69" t="str">
        <f>Entries!B61</f>
        <v>Brianco2</v>
      </c>
      <c r="D69" s="4">
        <f t="shared" si="53"/>
        <v>55</v>
      </c>
      <c r="E69" s="31">
        <f t="shared" si="54"/>
        <v>0</v>
      </c>
      <c r="F69" s="40" t="str">
        <f t="shared" si="52"/>
        <v/>
      </c>
      <c r="G69" s="41" t="str">
        <f t="shared" si="5"/>
        <v/>
      </c>
      <c r="H69" s="41" t="str">
        <f t="shared" si="6"/>
        <v/>
      </c>
      <c r="I69" s="42">
        <f t="shared" si="7"/>
        <v>0</v>
      </c>
      <c r="J69" s="40" t="str">
        <f t="shared" si="8"/>
        <v/>
      </c>
      <c r="K69" s="41" t="str">
        <f t="shared" si="9"/>
        <v/>
      </c>
      <c r="L69" s="41" t="str">
        <f t="shared" si="10"/>
        <v/>
      </c>
      <c r="M69" s="42" t="str">
        <f t="shared" si="11"/>
        <v/>
      </c>
      <c r="N69" s="43" t="str">
        <f t="shared" si="12"/>
        <v/>
      </c>
      <c r="O69" s="41" t="str">
        <f t="shared" si="13"/>
        <v/>
      </c>
      <c r="P69" s="41" t="str">
        <f t="shared" si="14"/>
        <v/>
      </c>
      <c r="Q69" s="42" t="str">
        <f t="shared" si="15"/>
        <v/>
      </c>
      <c r="R69" s="40" t="str">
        <f t="shared" si="16"/>
        <v/>
      </c>
      <c r="S69" s="41" t="str">
        <f t="shared" si="17"/>
        <v/>
      </c>
      <c r="T69" s="43" t="str">
        <f t="shared" si="18"/>
        <v/>
      </c>
      <c r="U69" s="42" t="str">
        <f t="shared" si="19"/>
        <v/>
      </c>
      <c r="V69" s="40" t="str">
        <f t="shared" si="20"/>
        <v/>
      </c>
      <c r="W69" s="41" t="str">
        <f t="shared" si="21"/>
        <v/>
      </c>
      <c r="X69" s="41" t="str">
        <f t="shared" si="22"/>
        <v/>
      </c>
      <c r="Y69" s="42" t="str">
        <f t="shared" si="23"/>
        <v/>
      </c>
      <c r="Z69" s="40" t="str">
        <f t="shared" si="24"/>
        <v/>
      </c>
      <c r="AA69" s="41">
        <f t="shared" si="25"/>
        <v>-1.0000000000000001E-5</v>
      </c>
      <c r="AB69" s="41" t="str">
        <f t="shared" si="26"/>
        <v/>
      </c>
      <c r="AC69" s="42">
        <f t="shared" si="27"/>
        <v>0</v>
      </c>
      <c r="AD69" s="40" t="str">
        <f t="shared" si="28"/>
        <v/>
      </c>
      <c r="AE69" s="41" t="str">
        <f t="shared" si="29"/>
        <v/>
      </c>
      <c r="AF69" s="41" t="str">
        <f t="shared" si="30"/>
        <v/>
      </c>
      <c r="AG69" s="42">
        <f t="shared" si="31"/>
        <v>0</v>
      </c>
      <c r="AH69" s="40" t="str">
        <f t="shared" si="32"/>
        <v/>
      </c>
      <c r="AI69" s="41" t="str">
        <f t="shared" si="33"/>
        <v/>
      </c>
      <c r="AJ69" s="41" t="str">
        <f t="shared" si="34"/>
        <v/>
      </c>
      <c r="AK69" s="42" t="str">
        <f t="shared" si="35"/>
        <v/>
      </c>
      <c r="AL69" s="40" t="str">
        <f t="shared" si="36"/>
        <v/>
      </c>
      <c r="AM69" s="41" t="str">
        <f t="shared" si="37"/>
        <v/>
      </c>
      <c r="AN69" s="41">
        <f t="shared" si="38"/>
        <v>0</v>
      </c>
      <c r="AO69" s="42" t="str">
        <f t="shared" si="39"/>
        <v/>
      </c>
      <c r="AP69" s="40" t="str">
        <f t="shared" si="40"/>
        <v/>
      </c>
      <c r="AQ69" s="41" t="str">
        <f t="shared" si="41"/>
        <v/>
      </c>
      <c r="AR69" s="41" t="str">
        <f t="shared" si="42"/>
        <v/>
      </c>
      <c r="AS69" s="42" t="str">
        <f t="shared" si="43"/>
        <v/>
      </c>
      <c r="AT69" s="40" t="str">
        <f t="shared" si="44"/>
        <v/>
      </c>
      <c r="AU69" s="41" t="str">
        <f t="shared" si="45"/>
        <v/>
      </c>
      <c r="AV69" s="41" t="str">
        <f t="shared" si="46"/>
        <v/>
      </c>
      <c r="AW69" s="42" t="str">
        <f t="shared" si="47"/>
        <v/>
      </c>
      <c r="AX69" s="40">
        <f t="shared" si="48"/>
        <v>0</v>
      </c>
      <c r="AY69" s="41" t="str">
        <f t="shared" si="49"/>
        <v/>
      </c>
      <c r="AZ69" s="41" t="str">
        <f t="shared" si="50"/>
        <v/>
      </c>
      <c r="BA69" s="42" t="str">
        <f t="shared" si="51"/>
        <v/>
      </c>
      <c r="BB69" s="37" t="s">
        <v>106</v>
      </c>
      <c r="BC69" s="21"/>
      <c r="BD69" s="21"/>
      <c r="BG69" t="str">
        <f>IF(NOT(ISERROR(HLOOKUP(Standings!BG$3,Entries!$C61:$K61,1,FALSE))),"x",IF(NOT(ISERROR(HLOOKUP(Standings!BG$3,Entries!$L61:$L61,1,FALSE))),"S",""))</f>
        <v/>
      </c>
      <c r="BH69" t="str">
        <f>IF(NOT(ISERROR(HLOOKUP(Standings!BH$3,Entries!$C61:$K61,1,FALSE))),"x",IF(NOT(ISERROR(HLOOKUP(Standings!BH$3,Entries!$L61:$L61,1,FALSE))),"S",""))</f>
        <v/>
      </c>
      <c r="BI69" t="str">
        <f>IF(NOT(ISERROR(HLOOKUP(Standings!BI$3,Entries!$C61:$K61,1,FALSE))),"x",IF(NOT(ISERROR(HLOOKUP(Standings!BI$3,Entries!$L61:$L61,1,FALSE))),"S",""))</f>
        <v/>
      </c>
      <c r="BJ69" t="str">
        <f>IF(NOT(ISERROR(HLOOKUP(Standings!BJ$3,Entries!$C61:$K61,1,FALSE))),"x",IF(NOT(ISERROR(HLOOKUP(Standings!BJ$3,Entries!$L61:$L61,1,FALSE))),"S",""))</f>
        <v>x</v>
      </c>
      <c r="BK69" t="str">
        <f>IF(NOT(ISERROR(HLOOKUP(Standings!BK$3,Entries!$C61:$K61,1,FALSE))),"x",IF(NOT(ISERROR(HLOOKUP(Standings!BK$3,Entries!$L61:$L61,1,FALSE))),"S",""))</f>
        <v/>
      </c>
      <c r="BL69" t="str">
        <f>IF(NOT(ISERROR(HLOOKUP(Standings!BL$3,Entries!$C61:$K61,1,FALSE))),"x",IF(NOT(ISERROR(HLOOKUP(Standings!BL$3,Entries!$L61:$L61,1,FALSE))),"S",""))</f>
        <v/>
      </c>
      <c r="BM69" t="str">
        <f>IF(NOT(ISERROR(HLOOKUP(Standings!BM$3,Entries!$C61:$K61,1,FALSE))),"x",IF(NOT(ISERROR(HLOOKUP(Standings!BM$3,Entries!$L61:$L61,1,FALSE))),"S",""))</f>
        <v/>
      </c>
      <c r="BN69" t="str">
        <f>IF(NOT(ISERROR(HLOOKUP(Standings!BN$3,Entries!$C61:$K61,1,FALSE))),"x",IF(NOT(ISERROR(HLOOKUP(Standings!BN$3,Entries!$L61:$L61,1,FALSE))),"S",""))</f>
        <v/>
      </c>
      <c r="BO69" t="str">
        <f>IF(NOT(ISERROR(HLOOKUP(Standings!BO$3,Entries!$C61:$K61,1,FALSE))),"x",IF(NOT(ISERROR(HLOOKUP(Standings!BO$3,Entries!$L61:$L61,1,FALSE))),"S",""))</f>
        <v/>
      </c>
      <c r="BP69" t="str">
        <f>IF(NOT(ISERROR(HLOOKUP(Standings!BP$3,Entries!$C61:$K61,1,FALSE))),"x",IF(NOT(ISERROR(HLOOKUP(Standings!BP$3,Entries!$L61:$L61,1,FALSE))),"S",""))</f>
        <v/>
      </c>
      <c r="BQ69" t="str">
        <f>IF(NOT(ISERROR(HLOOKUP(Standings!BQ$3,Entries!$C61:$K61,1,FALSE))),"x",IF(NOT(ISERROR(HLOOKUP(Standings!BQ$3,Entries!$L61:$L61,1,FALSE))),"S",""))</f>
        <v/>
      </c>
      <c r="BR69" t="str">
        <f>IF(NOT(ISERROR(HLOOKUP(Standings!BR$3,Entries!$C61:$K61,1,FALSE))),"x",IF(NOT(ISERROR(HLOOKUP(Standings!BR$3,Entries!$L61:$L61,1,FALSE))),"S",""))</f>
        <v/>
      </c>
      <c r="BS69" t="str">
        <f>IF(NOT(ISERROR(HLOOKUP(Standings!BS$3,Entries!$C61:$K61,1,FALSE))),"x",IF(NOT(ISERROR(HLOOKUP(Standings!BS$3,Entries!$L61:$L61,1,FALSE))),"S",""))</f>
        <v/>
      </c>
      <c r="BT69" t="str">
        <f>IF(NOT(ISERROR(HLOOKUP(Standings!BT$3,Entries!$C61:$K61,1,FALSE))),"x",IF(NOT(ISERROR(HLOOKUP(Standings!BT$3,Entries!$L61:$L61,1,FALSE))),"S",""))</f>
        <v/>
      </c>
      <c r="BU69" t="str">
        <f>IF(NOT(ISERROR(HLOOKUP(Standings!BU$3,Entries!$C61:$K61,1,FALSE))),"x",IF(NOT(ISERROR(HLOOKUP(Standings!BU$3,Entries!$L61:$L61,1,FALSE))),"S",""))</f>
        <v/>
      </c>
      <c r="BV69" t="str">
        <f>IF(NOT(ISERROR(HLOOKUP(Standings!BV$3,Entries!$C61:$K61,1,FALSE))),"x",IF(NOT(ISERROR(HLOOKUP(Standings!BV$3,Entries!$L61:$L61,1,FALSE))),"S",""))</f>
        <v/>
      </c>
      <c r="BW69" t="str">
        <f>IF(NOT(ISERROR(HLOOKUP(Standings!BW$3,Entries!$C61:$K61,1,FALSE))),"x",IF(NOT(ISERROR(HLOOKUP(Standings!BW$3,Entries!$L61:$L61,1,FALSE))),"S",""))</f>
        <v/>
      </c>
      <c r="BX69" t="str">
        <f>IF(NOT(ISERROR(HLOOKUP(Standings!BX$3,Entries!$C61:$K61,1,FALSE))),"x",IF(NOT(ISERROR(HLOOKUP(Standings!BX$3,Entries!$L61:$L61,1,FALSE))),"S",""))</f>
        <v/>
      </c>
      <c r="BY69" t="str">
        <f>IF(NOT(ISERROR(HLOOKUP(Standings!BY$3,Entries!$C61:$K61,1,FALSE))),"x",IF(NOT(ISERROR(HLOOKUP(Standings!BY$3,Entries!$L61:$L61,1,FALSE))),"S",""))</f>
        <v/>
      </c>
      <c r="BZ69" t="str">
        <f>IF(NOT(ISERROR(HLOOKUP(Standings!BZ$3,Entries!$C61:$K61,1,FALSE))),"x",IF(NOT(ISERROR(HLOOKUP(Standings!BZ$3,Entries!$L61:$L61,1,FALSE))),"S",""))</f>
        <v/>
      </c>
      <c r="CA69" t="str">
        <f>IF(NOT(ISERROR(HLOOKUP(Standings!CA$3,Entries!$C61:$K61,1,FALSE))),"x",IF(NOT(ISERROR(HLOOKUP(Standings!CA$3,Entries!$L61:$L61,1,FALSE))),"S",""))</f>
        <v/>
      </c>
      <c r="CB69" t="str">
        <f>IF(NOT(ISERROR(HLOOKUP(Standings!CB$3,Entries!$C61:$K61,1,FALSE))),"x",IF(NOT(ISERROR(HLOOKUP(Standings!CB$3,Entries!$L61:$L61,1,FALSE))),"S",""))</f>
        <v>S</v>
      </c>
      <c r="CC69" t="str">
        <f>IF(NOT(ISERROR(HLOOKUP(Standings!CC$3,Entries!$C61:$K61,1,FALSE))),"x",IF(NOT(ISERROR(HLOOKUP(Standings!CC$3,Entries!$L61:$L61,1,FALSE))),"S",""))</f>
        <v/>
      </c>
      <c r="CD69" t="str">
        <f>IF(NOT(ISERROR(HLOOKUP(Standings!CD$3,Entries!$C61:$K61,1,FALSE))),"x",IF(NOT(ISERROR(HLOOKUP(Standings!CD$3,Entries!$L61:$L61,1,FALSE))),"S",""))</f>
        <v>x</v>
      </c>
      <c r="CE69" t="str">
        <f>IF(NOT(ISERROR(HLOOKUP(Standings!CE$3,Entries!$C61:$K61,1,FALSE))),"x",IF(NOT(ISERROR(HLOOKUP(Standings!CE$3,Entries!$L61:$L61,1,FALSE))),"S",""))</f>
        <v/>
      </c>
      <c r="CF69" t="str">
        <f>IF(NOT(ISERROR(HLOOKUP(Standings!CF$3,Entries!$C61:$K61,1,FALSE))),"x",IF(NOT(ISERROR(HLOOKUP(Standings!CF$3,Entries!$L61:$L61,1,FALSE))),"S",""))</f>
        <v/>
      </c>
      <c r="CG69" t="str">
        <f>IF(NOT(ISERROR(HLOOKUP(Standings!CG$3,Entries!$C61:$K61,1,FALSE))),"x",IF(NOT(ISERROR(HLOOKUP(Standings!CG$3,Entries!$L61:$L61,1,FALSE))),"S",""))</f>
        <v/>
      </c>
      <c r="CH69" t="str">
        <f>IF(NOT(ISERROR(HLOOKUP(Standings!CH$3,Entries!$C61:$K61,1,FALSE))),"x",IF(NOT(ISERROR(HLOOKUP(Standings!CH$3,Entries!$L61:$L61,1,FALSE))),"S",""))</f>
        <v>x</v>
      </c>
      <c r="CI69" t="str">
        <f>IF(NOT(ISERROR(HLOOKUP(Standings!CI$3,Entries!$C61:$K61,1,FALSE))),"x",IF(NOT(ISERROR(HLOOKUP(Standings!CI$3,Entries!$L61:$L61,1,FALSE))),"S",""))</f>
        <v/>
      </c>
      <c r="CJ69" t="str">
        <f>IF(NOT(ISERROR(HLOOKUP(Standings!CJ$3,Entries!$C61:$K61,1,FALSE))),"x",IF(NOT(ISERROR(HLOOKUP(Standings!CJ$3,Entries!$L61:$L61,1,FALSE))),"S",""))</f>
        <v/>
      </c>
      <c r="CK69" t="str">
        <f>IF(NOT(ISERROR(HLOOKUP(Standings!CK$3,Entries!$C61:$K61,1,FALSE))),"x",IF(NOT(ISERROR(HLOOKUP(Standings!CK$3,Entries!$L61:$L61,1,FALSE))),"S",""))</f>
        <v/>
      </c>
      <c r="CL69" t="str">
        <f>IF(NOT(ISERROR(HLOOKUP(Standings!CL$3,Entries!$C61:$K61,1,FALSE))),"x",IF(NOT(ISERROR(HLOOKUP(Standings!CL$3,Entries!$L61:$L61,1,FALSE))),"S",""))</f>
        <v/>
      </c>
      <c r="CM69" t="str">
        <f>IF(NOT(ISERROR(HLOOKUP(Standings!CM$3,Entries!$C61:$K61,1,FALSE))),"x",IF(NOT(ISERROR(HLOOKUP(Standings!CM$3,Entries!$L61:$L61,1,FALSE))),"S",""))</f>
        <v/>
      </c>
      <c r="CN69" t="str">
        <f>IF(NOT(ISERROR(HLOOKUP(Standings!CN$3,Entries!$C61:$K61,1,FALSE))),"x",IF(NOT(ISERROR(HLOOKUP(Standings!CN$3,Entries!$L61:$L61,1,FALSE))),"S",""))</f>
        <v/>
      </c>
      <c r="CO69" t="str">
        <f>IF(NOT(ISERROR(HLOOKUP(Standings!CO$3,Entries!$C61:$K61,1,FALSE))),"x",IF(NOT(ISERROR(HLOOKUP(Standings!CO$3,Entries!$L61:$L61,1,FALSE))),"S",""))</f>
        <v>x</v>
      </c>
      <c r="CP69" t="str">
        <f>IF(NOT(ISERROR(HLOOKUP(Standings!CP$3,Entries!$C61:$K61,1,FALSE))),"x",IF(NOT(ISERROR(HLOOKUP(Standings!CP$3,Entries!$L61:$L61,1,FALSE))),"S",""))</f>
        <v/>
      </c>
      <c r="CQ69" t="str">
        <f>IF(NOT(ISERROR(HLOOKUP(Standings!CQ$3,Entries!$C61:$K61,1,FALSE))),"x",IF(NOT(ISERROR(HLOOKUP(Standings!CQ$3,Entries!$L61:$L61,1,FALSE))),"S",""))</f>
        <v/>
      </c>
      <c r="CR69" t="str">
        <f>IF(NOT(ISERROR(HLOOKUP(Standings!CR$3,Entries!$C61:$K61,1,FALSE))),"x",IF(NOT(ISERROR(HLOOKUP(Standings!CR$3,Entries!$L61:$L61,1,FALSE))),"S",""))</f>
        <v/>
      </c>
      <c r="CS69" t="str">
        <f>IF(NOT(ISERROR(HLOOKUP(Standings!CS$3,Entries!$C61:$K61,1,FALSE))),"x",IF(NOT(ISERROR(HLOOKUP(Standings!CS$3,Entries!$L61:$L61,1,FALSE))),"S",""))</f>
        <v/>
      </c>
      <c r="CT69" t="str">
        <f>IF(NOT(ISERROR(HLOOKUP(Standings!CT$3,Entries!$C61:$K61,1,FALSE))),"x",IF(NOT(ISERROR(HLOOKUP(Standings!CT$3,Entries!$L61:$L61,1,FALSE))),"S",""))</f>
        <v/>
      </c>
      <c r="CU69" t="str">
        <f>IF(NOT(ISERROR(HLOOKUP(Standings!CU$3,Entries!$C61:$K61,1,FALSE))),"x",IF(NOT(ISERROR(HLOOKUP(Standings!CU$3,Entries!$L61:$L61,1,FALSE))),"S",""))</f>
        <v/>
      </c>
      <c r="CV69" t="str">
        <f>IF(NOT(ISERROR(HLOOKUP(Standings!CV$3,Entries!$C61:$K61,1,FALSE))),"x",IF(NOT(ISERROR(HLOOKUP(Standings!CV$3,Entries!$L61:$L61,1,FALSE))),"S",""))</f>
        <v/>
      </c>
      <c r="CW69" t="str">
        <f>IF(NOT(ISERROR(HLOOKUP(Standings!CW$3,Entries!$C61:$K61,1,FALSE))),"x",IF(NOT(ISERROR(HLOOKUP(Standings!CW$3,Entries!$L61:$L61,1,FALSE))),"S",""))</f>
        <v/>
      </c>
      <c r="CX69" t="str">
        <f>IF(NOT(ISERROR(HLOOKUP(Standings!CX$3,Entries!$C61:$K61,1,FALSE))),"x",IF(NOT(ISERROR(HLOOKUP(Standings!CX$3,Entries!$L61:$L61,1,FALSE))),"S",""))</f>
        <v/>
      </c>
      <c r="CY69" t="str">
        <f>IF(NOT(ISERROR(HLOOKUP(Standings!CY$3,Entries!$C61:$K61,1,FALSE))),"x",IF(NOT(ISERROR(HLOOKUP(Standings!CY$3,Entries!$L61:$L61,1,FALSE))),"S",""))</f>
        <v>x</v>
      </c>
      <c r="CZ69" t="str">
        <f>IF(NOT(ISERROR(HLOOKUP(Standings!CZ$3,Entries!$C61:$K61,1,FALSE))),"x",IF(NOT(ISERROR(HLOOKUP(Standings!CZ$3,Entries!$L61:$L61,1,FALSE))),"S",""))</f>
        <v/>
      </c>
      <c r="DA69" t="str">
        <f>IF(NOT(ISERROR(HLOOKUP(Standings!DA$3,Entries!$C61:$K61,1,FALSE))),"x",IF(NOT(ISERROR(HLOOKUP(Standings!DA$3,Entries!$L61:$L61,1,FALSE))),"S",""))</f>
        <v/>
      </c>
      <c r="DB69" t="str">
        <f>IF(NOT(ISERROR(HLOOKUP(Standings!DB$3,Entries!$C61:$K61,1,FALSE))),"x",IF(NOT(ISERROR(HLOOKUP(Standings!DB$3,Entries!$L61:$L61,1,FALSE))),"S",""))</f>
        <v/>
      </c>
    </row>
    <row r="70" spans="1:106" x14ac:dyDescent="0.25">
      <c r="B70">
        <v>71</v>
      </c>
      <c r="C70" t="str">
        <f>Entries!B62</f>
        <v>Ben Ritz Picks</v>
      </c>
      <c r="D70" s="4">
        <f t="shared" si="53"/>
        <v>18</v>
      </c>
      <c r="E70" s="31">
        <f t="shared" si="54"/>
        <v>2</v>
      </c>
      <c r="F70" s="40" t="str">
        <f t="shared" si="52"/>
        <v/>
      </c>
      <c r="G70" s="41" t="str">
        <f t="shared" si="5"/>
        <v/>
      </c>
      <c r="H70" s="41">
        <f t="shared" si="6"/>
        <v>2</v>
      </c>
      <c r="I70" s="42" t="str">
        <f t="shared" si="7"/>
        <v/>
      </c>
      <c r="J70" s="40" t="str">
        <f t="shared" si="8"/>
        <v/>
      </c>
      <c r="K70" s="41" t="str">
        <f t="shared" si="9"/>
        <v/>
      </c>
      <c r="L70" s="41" t="str">
        <f t="shared" si="10"/>
        <v/>
      </c>
      <c r="M70" s="42" t="str">
        <f t="shared" si="11"/>
        <v/>
      </c>
      <c r="N70" s="43" t="str">
        <f t="shared" si="12"/>
        <v/>
      </c>
      <c r="O70" s="41" t="str">
        <f t="shared" si="13"/>
        <v/>
      </c>
      <c r="P70" s="41" t="str">
        <f t="shared" si="14"/>
        <v/>
      </c>
      <c r="Q70" s="42" t="str">
        <f t="shared" si="15"/>
        <v/>
      </c>
      <c r="R70" s="40" t="str">
        <f t="shared" si="16"/>
        <v/>
      </c>
      <c r="S70" s="41" t="str">
        <f t="shared" si="17"/>
        <v/>
      </c>
      <c r="T70" s="43" t="str">
        <f t="shared" si="18"/>
        <v/>
      </c>
      <c r="U70" s="42" t="str">
        <f t="shared" si="19"/>
        <v/>
      </c>
      <c r="V70" s="40" t="str">
        <f t="shared" si="20"/>
        <v/>
      </c>
      <c r="W70" s="41" t="str">
        <f t="shared" si="21"/>
        <v/>
      </c>
      <c r="X70" s="41" t="str">
        <f t="shared" si="22"/>
        <v/>
      </c>
      <c r="Y70" s="42" t="str">
        <f t="shared" si="23"/>
        <v/>
      </c>
      <c r="Z70" s="40" t="str">
        <f t="shared" si="24"/>
        <v/>
      </c>
      <c r="AA70" s="41" t="str">
        <f t="shared" si="25"/>
        <v/>
      </c>
      <c r="AB70" s="41" t="str">
        <f t="shared" si="26"/>
        <v/>
      </c>
      <c r="AC70" s="42">
        <f t="shared" si="27"/>
        <v>-1.0000000000000001E-5</v>
      </c>
      <c r="AD70" s="40">
        <f t="shared" si="28"/>
        <v>0</v>
      </c>
      <c r="AE70" s="41" t="str">
        <f t="shared" si="29"/>
        <v/>
      </c>
      <c r="AF70" s="41" t="str">
        <f t="shared" si="30"/>
        <v/>
      </c>
      <c r="AG70" s="42" t="str">
        <f t="shared" si="31"/>
        <v/>
      </c>
      <c r="AH70" s="40" t="str">
        <f t="shared" si="32"/>
        <v/>
      </c>
      <c r="AI70" s="41" t="str">
        <f t="shared" si="33"/>
        <v/>
      </c>
      <c r="AJ70" s="41" t="str">
        <f t="shared" si="34"/>
        <v/>
      </c>
      <c r="AK70" s="42" t="str">
        <f t="shared" si="35"/>
        <v/>
      </c>
      <c r="AL70" s="40" t="str">
        <f t="shared" si="36"/>
        <v/>
      </c>
      <c r="AM70" s="41">
        <f t="shared" si="37"/>
        <v>0</v>
      </c>
      <c r="AN70" s="41" t="str">
        <f t="shared" si="38"/>
        <v/>
      </c>
      <c r="AO70" s="42" t="str">
        <f t="shared" si="39"/>
        <v/>
      </c>
      <c r="AP70" s="40">
        <f t="shared" si="40"/>
        <v>0</v>
      </c>
      <c r="AQ70" s="41" t="str">
        <f t="shared" si="41"/>
        <v/>
      </c>
      <c r="AR70" s="41" t="str">
        <f t="shared" si="42"/>
        <v/>
      </c>
      <c r="AS70" s="42" t="str">
        <f t="shared" si="43"/>
        <v/>
      </c>
      <c r="AT70" s="40" t="str">
        <f t="shared" si="44"/>
        <v/>
      </c>
      <c r="AU70" s="41" t="str">
        <f t="shared" si="45"/>
        <v/>
      </c>
      <c r="AV70" s="41" t="str">
        <f t="shared" si="46"/>
        <v/>
      </c>
      <c r="AW70" s="42" t="str">
        <f t="shared" si="47"/>
        <v/>
      </c>
      <c r="AX70" s="40" t="str">
        <f t="shared" si="48"/>
        <v/>
      </c>
      <c r="AY70" s="41" t="str">
        <f t="shared" si="49"/>
        <v/>
      </c>
      <c r="AZ70" s="41" t="str">
        <f t="shared" si="50"/>
        <v/>
      </c>
      <c r="BA70" s="42" t="str">
        <f t="shared" si="51"/>
        <v/>
      </c>
      <c r="BB70" s="37" t="s">
        <v>106</v>
      </c>
      <c r="BC70" s="21"/>
      <c r="BD70" s="21"/>
      <c r="BG70" t="str">
        <f>IF(NOT(ISERROR(HLOOKUP(Standings!BG$3,Entries!$C62:$K62,1,FALSE))),"x",IF(NOT(ISERROR(HLOOKUP(Standings!BG$3,Entries!$L62:$L62,1,FALSE))),"S",""))</f>
        <v/>
      </c>
      <c r="BH70" t="str">
        <f>IF(NOT(ISERROR(HLOOKUP(Standings!BH$3,Entries!$C62:$K62,1,FALSE))),"x",IF(NOT(ISERROR(HLOOKUP(Standings!BH$3,Entries!$L62:$L62,1,FALSE))),"S",""))</f>
        <v/>
      </c>
      <c r="BI70" t="str">
        <f>IF(NOT(ISERROR(HLOOKUP(Standings!BI$3,Entries!$C62:$K62,1,FALSE))),"x",IF(NOT(ISERROR(HLOOKUP(Standings!BI$3,Entries!$L62:$L62,1,FALSE))),"S",""))</f>
        <v>x</v>
      </c>
      <c r="BJ70" t="str">
        <f>IF(NOT(ISERROR(HLOOKUP(Standings!BJ$3,Entries!$C62:$K62,1,FALSE))),"x",IF(NOT(ISERROR(HLOOKUP(Standings!BJ$3,Entries!$L62:$L62,1,FALSE))),"S",""))</f>
        <v/>
      </c>
      <c r="BK70" t="str">
        <f>IF(NOT(ISERROR(HLOOKUP(Standings!BK$3,Entries!$C62:$K62,1,FALSE))),"x",IF(NOT(ISERROR(HLOOKUP(Standings!BK$3,Entries!$L62:$L62,1,FALSE))),"S",""))</f>
        <v/>
      </c>
      <c r="BL70" t="str">
        <f>IF(NOT(ISERROR(HLOOKUP(Standings!BL$3,Entries!$C62:$K62,1,FALSE))),"x",IF(NOT(ISERROR(HLOOKUP(Standings!BL$3,Entries!$L62:$L62,1,FALSE))),"S",""))</f>
        <v/>
      </c>
      <c r="BM70" t="str">
        <f>IF(NOT(ISERROR(HLOOKUP(Standings!BM$3,Entries!$C62:$K62,1,FALSE))),"x",IF(NOT(ISERROR(HLOOKUP(Standings!BM$3,Entries!$L62:$L62,1,FALSE))),"S",""))</f>
        <v/>
      </c>
      <c r="BN70" t="str">
        <f>IF(NOT(ISERROR(HLOOKUP(Standings!BN$3,Entries!$C62:$K62,1,FALSE))),"x",IF(NOT(ISERROR(HLOOKUP(Standings!BN$3,Entries!$L62:$L62,1,FALSE))),"S",""))</f>
        <v/>
      </c>
      <c r="BO70" t="str">
        <f>IF(NOT(ISERROR(HLOOKUP(Standings!BO$3,Entries!$C62:$K62,1,FALSE))),"x",IF(NOT(ISERROR(HLOOKUP(Standings!BO$3,Entries!$L62:$L62,1,FALSE))),"S",""))</f>
        <v/>
      </c>
      <c r="BP70" t="str">
        <f>IF(NOT(ISERROR(HLOOKUP(Standings!BP$3,Entries!$C62:$K62,1,FALSE))),"x",IF(NOT(ISERROR(HLOOKUP(Standings!BP$3,Entries!$L62:$L62,1,FALSE))),"S",""))</f>
        <v/>
      </c>
      <c r="BQ70" t="str">
        <f>IF(NOT(ISERROR(HLOOKUP(Standings!BQ$3,Entries!$C62:$K62,1,FALSE))),"x",IF(NOT(ISERROR(HLOOKUP(Standings!BQ$3,Entries!$L62:$L62,1,FALSE))),"S",""))</f>
        <v/>
      </c>
      <c r="BR70" t="str">
        <f>IF(NOT(ISERROR(HLOOKUP(Standings!BR$3,Entries!$C62:$K62,1,FALSE))),"x",IF(NOT(ISERROR(HLOOKUP(Standings!BR$3,Entries!$L62:$L62,1,FALSE))),"S",""))</f>
        <v/>
      </c>
      <c r="BS70" t="str">
        <f>IF(NOT(ISERROR(HLOOKUP(Standings!BS$3,Entries!$C62:$K62,1,FALSE))),"x",IF(NOT(ISERROR(HLOOKUP(Standings!BS$3,Entries!$L62:$L62,1,FALSE))),"S",""))</f>
        <v/>
      </c>
      <c r="BT70" t="str">
        <f>IF(NOT(ISERROR(HLOOKUP(Standings!BT$3,Entries!$C62:$K62,1,FALSE))),"x",IF(NOT(ISERROR(HLOOKUP(Standings!BT$3,Entries!$L62:$L62,1,FALSE))),"S",""))</f>
        <v/>
      </c>
      <c r="BU70" t="str">
        <f>IF(NOT(ISERROR(HLOOKUP(Standings!BU$3,Entries!$C62:$K62,1,FALSE))),"x",IF(NOT(ISERROR(HLOOKUP(Standings!BU$3,Entries!$L62:$L62,1,FALSE))),"S",""))</f>
        <v/>
      </c>
      <c r="BV70" t="str">
        <f>IF(NOT(ISERROR(HLOOKUP(Standings!BV$3,Entries!$C62:$K62,1,FALSE))),"x",IF(NOT(ISERROR(HLOOKUP(Standings!BV$3,Entries!$L62:$L62,1,FALSE))),"S",""))</f>
        <v/>
      </c>
      <c r="BW70" t="str">
        <f>IF(NOT(ISERROR(HLOOKUP(Standings!BW$3,Entries!$C62:$K62,1,FALSE))),"x",IF(NOT(ISERROR(HLOOKUP(Standings!BW$3,Entries!$L62:$L62,1,FALSE))),"S",""))</f>
        <v/>
      </c>
      <c r="BX70" t="str">
        <f>IF(NOT(ISERROR(HLOOKUP(Standings!BX$3,Entries!$C62:$K62,1,FALSE))),"x",IF(NOT(ISERROR(HLOOKUP(Standings!BX$3,Entries!$L62:$L62,1,FALSE))),"S",""))</f>
        <v/>
      </c>
      <c r="BY70" t="str">
        <f>IF(NOT(ISERROR(HLOOKUP(Standings!BY$3,Entries!$C62:$K62,1,FALSE))),"x",IF(NOT(ISERROR(HLOOKUP(Standings!BY$3,Entries!$L62:$L62,1,FALSE))),"S",""))</f>
        <v/>
      </c>
      <c r="BZ70" t="str">
        <f>IF(NOT(ISERROR(HLOOKUP(Standings!BZ$3,Entries!$C62:$K62,1,FALSE))),"x",IF(NOT(ISERROR(HLOOKUP(Standings!BZ$3,Entries!$L62:$L62,1,FALSE))),"S",""))</f>
        <v/>
      </c>
      <c r="CA70" t="str">
        <f>IF(NOT(ISERROR(HLOOKUP(Standings!CA$3,Entries!$C62:$K62,1,FALSE))),"x",IF(NOT(ISERROR(HLOOKUP(Standings!CA$3,Entries!$L62:$L62,1,FALSE))),"S",""))</f>
        <v/>
      </c>
      <c r="CB70" t="str">
        <f>IF(NOT(ISERROR(HLOOKUP(Standings!CB$3,Entries!$C62:$K62,1,FALSE))),"x",IF(NOT(ISERROR(HLOOKUP(Standings!CB$3,Entries!$L62:$L62,1,FALSE))),"S",""))</f>
        <v/>
      </c>
      <c r="CC70" t="str">
        <f>IF(NOT(ISERROR(HLOOKUP(Standings!CC$3,Entries!$C62:$K62,1,FALSE))),"x",IF(NOT(ISERROR(HLOOKUP(Standings!CC$3,Entries!$L62:$L62,1,FALSE))),"S",""))</f>
        <v/>
      </c>
      <c r="CD70" t="str">
        <f>IF(NOT(ISERROR(HLOOKUP(Standings!CD$3,Entries!$C62:$K62,1,FALSE))),"x",IF(NOT(ISERROR(HLOOKUP(Standings!CD$3,Entries!$L62:$L62,1,FALSE))),"S",""))</f>
        <v>S</v>
      </c>
      <c r="CE70" t="str">
        <f>IF(NOT(ISERROR(HLOOKUP(Standings!CE$3,Entries!$C62:$K62,1,FALSE))),"x",IF(NOT(ISERROR(HLOOKUP(Standings!CE$3,Entries!$L62:$L62,1,FALSE))),"S",""))</f>
        <v>x</v>
      </c>
      <c r="CF70" t="str">
        <f>IF(NOT(ISERROR(HLOOKUP(Standings!CF$3,Entries!$C62:$K62,1,FALSE))),"x",IF(NOT(ISERROR(HLOOKUP(Standings!CF$3,Entries!$L62:$L62,1,FALSE))),"S",""))</f>
        <v/>
      </c>
      <c r="CG70" t="str">
        <f>IF(NOT(ISERROR(HLOOKUP(Standings!CG$3,Entries!$C62:$K62,1,FALSE))),"x",IF(NOT(ISERROR(HLOOKUP(Standings!CG$3,Entries!$L62:$L62,1,FALSE))),"S",""))</f>
        <v/>
      </c>
      <c r="CH70" t="str">
        <f>IF(NOT(ISERROR(HLOOKUP(Standings!CH$3,Entries!$C62:$K62,1,FALSE))),"x",IF(NOT(ISERROR(HLOOKUP(Standings!CH$3,Entries!$L62:$L62,1,FALSE))),"S",""))</f>
        <v/>
      </c>
      <c r="CI70" t="str">
        <f>IF(NOT(ISERROR(HLOOKUP(Standings!CI$3,Entries!$C62:$K62,1,FALSE))),"x",IF(NOT(ISERROR(HLOOKUP(Standings!CI$3,Entries!$L62:$L62,1,FALSE))),"S",""))</f>
        <v/>
      </c>
      <c r="CJ70" t="str">
        <f>IF(NOT(ISERROR(HLOOKUP(Standings!CJ$3,Entries!$C62:$K62,1,FALSE))),"x",IF(NOT(ISERROR(HLOOKUP(Standings!CJ$3,Entries!$L62:$L62,1,FALSE))),"S",""))</f>
        <v/>
      </c>
      <c r="CK70" t="str">
        <f>IF(NOT(ISERROR(HLOOKUP(Standings!CK$3,Entries!$C62:$K62,1,FALSE))),"x",IF(NOT(ISERROR(HLOOKUP(Standings!CK$3,Entries!$L62:$L62,1,FALSE))),"S",""))</f>
        <v/>
      </c>
      <c r="CL70" t="str">
        <f>IF(NOT(ISERROR(HLOOKUP(Standings!CL$3,Entries!$C62:$K62,1,FALSE))),"x",IF(NOT(ISERROR(HLOOKUP(Standings!CL$3,Entries!$L62:$L62,1,FALSE))),"S",""))</f>
        <v/>
      </c>
      <c r="CM70" t="str">
        <f>IF(NOT(ISERROR(HLOOKUP(Standings!CM$3,Entries!$C62:$K62,1,FALSE))),"x",IF(NOT(ISERROR(HLOOKUP(Standings!CM$3,Entries!$L62:$L62,1,FALSE))),"S",""))</f>
        <v/>
      </c>
      <c r="CN70" t="str">
        <f>IF(NOT(ISERROR(HLOOKUP(Standings!CN$3,Entries!$C62:$K62,1,FALSE))),"x",IF(NOT(ISERROR(HLOOKUP(Standings!CN$3,Entries!$L62:$L62,1,FALSE))),"S",""))</f>
        <v>x</v>
      </c>
      <c r="CO70" t="str">
        <f>IF(NOT(ISERROR(HLOOKUP(Standings!CO$3,Entries!$C62:$K62,1,FALSE))),"x",IF(NOT(ISERROR(HLOOKUP(Standings!CO$3,Entries!$L62:$L62,1,FALSE))),"S",""))</f>
        <v/>
      </c>
      <c r="CP70" t="str">
        <f>IF(NOT(ISERROR(HLOOKUP(Standings!CP$3,Entries!$C62:$K62,1,FALSE))),"x",IF(NOT(ISERROR(HLOOKUP(Standings!CP$3,Entries!$L62:$L62,1,FALSE))),"S",""))</f>
        <v/>
      </c>
      <c r="CQ70" t="str">
        <f>IF(NOT(ISERROR(HLOOKUP(Standings!CQ$3,Entries!$C62:$K62,1,FALSE))),"x",IF(NOT(ISERROR(HLOOKUP(Standings!CQ$3,Entries!$L62:$L62,1,FALSE))),"S",""))</f>
        <v>x</v>
      </c>
      <c r="CR70" t="str">
        <f>IF(NOT(ISERROR(HLOOKUP(Standings!CR$3,Entries!$C62:$K62,1,FALSE))),"x",IF(NOT(ISERROR(HLOOKUP(Standings!CR$3,Entries!$L62:$L62,1,FALSE))),"S",""))</f>
        <v/>
      </c>
      <c r="CS70" t="str">
        <f>IF(NOT(ISERROR(HLOOKUP(Standings!CS$3,Entries!$C62:$K62,1,FALSE))),"x",IF(NOT(ISERROR(HLOOKUP(Standings!CS$3,Entries!$L62:$L62,1,FALSE))),"S",""))</f>
        <v/>
      </c>
      <c r="CT70" t="str">
        <f>IF(NOT(ISERROR(HLOOKUP(Standings!CT$3,Entries!$C62:$K62,1,FALSE))),"x",IF(NOT(ISERROR(HLOOKUP(Standings!CT$3,Entries!$L62:$L62,1,FALSE))),"S",""))</f>
        <v/>
      </c>
      <c r="CU70" t="str">
        <f>IF(NOT(ISERROR(HLOOKUP(Standings!CU$3,Entries!$C62:$K62,1,FALSE))),"x",IF(NOT(ISERROR(HLOOKUP(Standings!CU$3,Entries!$L62:$L62,1,FALSE))),"S",""))</f>
        <v/>
      </c>
      <c r="CV70" t="str">
        <f>IF(NOT(ISERROR(HLOOKUP(Standings!CV$3,Entries!$C62:$K62,1,FALSE))),"x",IF(NOT(ISERROR(HLOOKUP(Standings!CV$3,Entries!$L62:$L62,1,FALSE))),"S",""))</f>
        <v/>
      </c>
      <c r="CW70" t="str">
        <f>IF(NOT(ISERROR(HLOOKUP(Standings!CW$3,Entries!$C62:$K62,1,FALSE))),"x",IF(NOT(ISERROR(HLOOKUP(Standings!CW$3,Entries!$L62:$L62,1,FALSE))),"S",""))</f>
        <v/>
      </c>
      <c r="CX70" t="str">
        <f>IF(NOT(ISERROR(HLOOKUP(Standings!CX$3,Entries!$C62:$K62,1,FALSE))),"x",IF(NOT(ISERROR(HLOOKUP(Standings!CX$3,Entries!$L62:$L62,1,FALSE))),"S",""))</f>
        <v/>
      </c>
      <c r="CY70" t="str">
        <f>IF(NOT(ISERROR(HLOOKUP(Standings!CY$3,Entries!$C62:$K62,1,FALSE))),"x",IF(NOT(ISERROR(HLOOKUP(Standings!CY$3,Entries!$L62:$L62,1,FALSE))),"S",""))</f>
        <v/>
      </c>
      <c r="CZ70" t="str">
        <f>IF(NOT(ISERROR(HLOOKUP(Standings!CZ$3,Entries!$C62:$K62,1,FALSE))),"x",IF(NOT(ISERROR(HLOOKUP(Standings!CZ$3,Entries!$L62:$L62,1,FALSE))),"S",""))</f>
        <v/>
      </c>
      <c r="DA70" t="str">
        <f>IF(NOT(ISERROR(HLOOKUP(Standings!DA$3,Entries!$C62:$K62,1,FALSE))),"x",IF(NOT(ISERROR(HLOOKUP(Standings!DA$3,Entries!$L62:$L62,1,FALSE))),"S",""))</f>
        <v/>
      </c>
      <c r="DB70" t="str">
        <f>IF(NOT(ISERROR(HLOOKUP(Standings!DB$3,Entries!$C62:$K62,1,FALSE))),"x",IF(NOT(ISERROR(HLOOKUP(Standings!DB$3,Entries!$L62:$L62,1,FALSE))),"S",""))</f>
        <v/>
      </c>
    </row>
    <row r="71" spans="1:106" x14ac:dyDescent="0.25">
      <c r="A71" s="18"/>
      <c r="B71">
        <v>11</v>
      </c>
      <c r="C71" t="str">
        <f>Entries!B63</f>
        <v>chrishalverson1</v>
      </c>
      <c r="D71" s="4">
        <f t="shared" si="53"/>
        <v>18</v>
      </c>
      <c r="E71" s="31">
        <f t="shared" si="54"/>
        <v>2</v>
      </c>
      <c r="F71" s="40" t="str">
        <f t="shared" si="52"/>
        <v/>
      </c>
      <c r="G71" s="41" t="str">
        <f t="shared" si="5"/>
        <v/>
      </c>
      <c r="H71" s="41" t="str">
        <f t="shared" si="6"/>
        <v/>
      </c>
      <c r="I71" s="42" t="str">
        <f t="shared" si="7"/>
        <v/>
      </c>
      <c r="J71" s="40" t="str">
        <f t="shared" si="8"/>
        <v/>
      </c>
      <c r="K71" s="41" t="str">
        <f t="shared" si="9"/>
        <v/>
      </c>
      <c r="L71" s="41" t="str">
        <f t="shared" si="10"/>
        <v/>
      </c>
      <c r="M71" s="42" t="str">
        <f t="shared" si="11"/>
        <v/>
      </c>
      <c r="N71" s="43" t="str">
        <f t="shared" si="12"/>
        <v/>
      </c>
      <c r="O71" s="41" t="str">
        <f t="shared" si="13"/>
        <v/>
      </c>
      <c r="P71" s="41" t="str">
        <f t="shared" si="14"/>
        <v/>
      </c>
      <c r="Q71" s="42" t="str">
        <f t="shared" si="15"/>
        <v/>
      </c>
      <c r="R71" s="40">
        <f t="shared" si="16"/>
        <v>2</v>
      </c>
      <c r="S71" s="41" t="str">
        <f t="shared" si="17"/>
        <v/>
      </c>
      <c r="T71" s="43" t="str">
        <f t="shared" si="18"/>
        <v/>
      </c>
      <c r="U71" s="42" t="str">
        <f t="shared" si="19"/>
        <v/>
      </c>
      <c r="V71" s="40">
        <f t="shared" si="20"/>
        <v>0</v>
      </c>
      <c r="W71" s="41" t="str">
        <f t="shared" si="21"/>
        <v/>
      </c>
      <c r="X71" s="41" t="str">
        <f t="shared" si="22"/>
        <v/>
      </c>
      <c r="Y71" s="42" t="str">
        <f t="shared" si="23"/>
        <v/>
      </c>
      <c r="Z71" s="40">
        <f t="shared" si="24"/>
        <v>0</v>
      </c>
      <c r="AA71" s="41" t="str">
        <f t="shared" si="25"/>
        <v/>
      </c>
      <c r="AB71" s="41" t="str">
        <f t="shared" si="26"/>
        <v/>
      </c>
      <c r="AC71" s="42" t="str">
        <f t="shared" si="27"/>
        <v/>
      </c>
      <c r="AD71" s="40" t="str">
        <f t="shared" si="28"/>
        <v/>
      </c>
      <c r="AE71" s="41" t="str">
        <f t="shared" si="29"/>
        <v/>
      </c>
      <c r="AF71" s="41" t="str">
        <f t="shared" si="30"/>
        <v/>
      </c>
      <c r="AG71" s="42" t="str">
        <f t="shared" si="31"/>
        <v/>
      </c>
      <c r="AH71" s="40" t="str">
        <f t="shared" si="32"/>
        <v/>
      </c>
      <c r="AI71" s="41" t="str">
        <f t="shared" si="33"/>
        <v/>
      </c>
      <c r="AJ71" s="41" t="str">
        <f t="shared" si="34"/>
        <v/>
      </c>
      <c r="AK71" s="42" t="str">
        <f t="shared" si="35"/>
        <v/>
      </c>
      <c r="AL71" s="40" t="str">
        <f t="shared" si="36"/>
        <v/>
      </c>
      <c r="AM71" s="41" t="str">
        <f t="shared" si="37"/>
        <v/>
      </c>
      <c r="AN71" s="41" t="str">
        <f t="shared" si="38"/>
        <v/>
      </c>
      <c r="AO71" s="42" t="str">
        <f t="shared" si="39"/>
        <v/>
      </c>
      <c r="AP71" s="40" t="str">
        <f t="shared" si="40"/>
        <v/>
      </c>
      <c r="AQ71" s="41" t="str">
        <f t="shared" si="41"/>
        <v/>
      </c>
      <c r="AR71" s="41" t="str">
        <f t="shared" si="42"/>
        <v/>
      </c>
      <c r="AS71" s="42">
        <f t="shared" si="43"/>
        <v>-1.0000000000000001E-5</v>
      </c>
      <c r="AT71" s="40" t="str">
        <f t="shared" si="44"/>
        <v/>
      </c>
      <c r="AU71" s="41" t="str">
        <f t="shared" si="45"/>
        <v/>
      </c>
      <c r="AV71" s="41" t="str">
        <f t="shared" si="46"/>
        <v/>
      </c>
      <c r="AW71" s="42" t="str">
        <f t="shared" si="47"/>
        <v/>
      </c>
      <c r="AX71" s="40" t="str">
        <f t="shared" si="48"/>
        <v/>
      </c>
      <c r="AY71" s="41" t="str">
        <f t="shared" si="49"/>
        <v/>
      </c>
      <c r="AZ71" s="41" t="str">
        <f t="shared" si="50"/>
        <v/>
      </c>
      <c r="BA71" s="42" t="str">
        <f t="shared" si="51"/>
        <v/>
      </c>
      <c r="BB71" s="37" t="s">
        <v>106</v>
      </c>
      <c r="BC71" s="21"/>
      <c r="BG71" t="str">
        <f>IF(NOT(ISERROR(HLOOKUP(Standings!BG$3,Entries!$C63:$K63,1,FALSE))),"x",IF(NOT(ISERROR(HLOOKUP(Standings!BG$3,Entries!$L63:$L63,1,FALSE))),"S",""))</f>
        <v/>
      </c>
      <c r="BH71" t="str">
        <f>IF(NOT(ISERROR(HLOOKUP(Standings!BH$3,Entries!$C63:$K63,1,FALSE))),"x",IF(NOT(ISERROR(HLOOKUP(Standings!BH$3,Entries!$L63:$L63,1,FALSE))),"S",""))</f>
        <v/>
      </c>
      <c r="BI71" t="str">
        <f>IF(NOT(ISERROR(HLOOKUP(Standings!BI$3,Entries!$C63:$K63,1,FALSE))),"x",IF(NOT(ISERROR(HLOOKUP(Standings!BI$3,Entries!$L63:$L63,1,FALSE))),"S",""))</f>
        <v/>
      </c>
      <c r="BJ71" t="str">
        <f>IF(NOT(ISERROR(HLOOKUP(Standings!BJ$3,Entries!$C63:$K63,1,FALSE))),"x",IF(NOT(ISERROR(HLOOKUP(Standings!BJ$3,Entries!$L63:$L63,1,FALSE))),"S",""))</f>
        <v/>
      </c>
      <c r="BK71" t="str">
        <f>IF(NOT(ISERROR(HLOOKUP(Standings!BK$3,Entries!$C63:$K63,1,FALSE))),"x",IF(NOT(ISERROR(HLOOKUP(Standings!BK$3,Entries!$L63:$L63,1,FALSE))),"S",""))</f>
        <v/>
      </c>
      <c r="BL71" t="str">
        <f>IF(NOT(ISERROR(HLOOKUP(Standings!BL$3,Entries!$C63:$K63,1,FALSE))),"x",IF(NOT(ISERROR(HLOOKUP(Standings!BL$3,Entries!$L63:$L63,1,FALSE))),"S",""))</f>
        <v/>
      </c>
      <c r="BM71" t="str">
        <f>IF(NOT(ISERROR(HLOOKUP(Standings!BM$3,Entries!$C63:$K63,1,FALSE))),"x",IF(NOT(ISERROR(HLOOKUP(Standings!BM$3,Entries!$L63:$L63,1,FALSE))),"S",""))</f>
        <v/>
      </c>
      <c r="BN71" t="str">
        <f>IF(NOT(ISERROR(HLOOKUP(Standings!BN$3,Entries!$C63:$K63,1,FALSE))),"x",IF(NOT(ISERROR(HLOOKUP(Standings!BN$3,Entries!$L63:$L63,1,FALSE))),"S",""))</f>
        <v/>
      </c>
      <c r="BO71" t="str">
        <f>IF(NOT(ISERROR(HLOOKUP(Standings!BO$3,Entries!$C63:$K63,1,FALSE))),"x",IF(NOT(ISERROR(HLOOKUP(Standings!BO$3,Entries!$L63:$L63,1,FALSE))),"S",""))</f>
        <v/>
      </c>
      <c r="BP71" t="str">
        <f>IF(NOT(ISERROR(HLOOKUP(Standings!BP$3,Entries!$C63:$K63,1,FALSE))),"x",IF(NOT(ISERROR(HLOOKUP(Standings!BP$3,Entries!$L63:$L63,1,FALSE))),"S",""))</f>
        <v/>
      </c>
      <c r="BQ71" t="str">
        <f>IF(NOT(ISERROR(HLOOKUP(Standings!BQ$3,Entries!$C63:$K63,1,FALSE))),"x",IF(NOT(ISERROR(HLOOKUP(Standings!BQ$3,Entries!$L63:$L63,1,FALSE))),"S",""))</f>
        <v/>
      </c>
      <c r="BR71" t="str">
        <f>IF(NOT(ISERROR(HLOOKUP(Standings!BR$3,Entries!$C63:$K63,1,FALSE))),"x",IF(NOT(ISERROR(HLOOKUP(Standings!BR$3,Entries!$L63:$L63,1,FALSE))),"S",""))</f>
        <v/>
      </c>
      <c r="BS71" t="str">
        <f>IF(NOT(ISERROR(HLOOKUP(Standings!BS$3,Entries!$C63:$K63,1,FALSE))),"x",IF(NOT(ISERROR(HLOOKUP(Standings!BS$3,Entries!$L63:$L63,1,FALSE))),"S",""))</f>
        <v>x</v>
      </c>
      <c r="BT71" t="str">
        <f>IF(NOT(ISERROR(HLOOKUP(Standings!BT$3,Entries!$C63:$K63,1,FALSE))),"x",IF(NOT(ISERROR(HLOOKUP(Standings!BT$3,Entries!$L63:$L63,1,FALSE))),"S",""))</f>
        <v/>
      </c>
      <c r="BU71" t="str">
        <f>IF(NOT(ISERROR(HLOOKUP(Standings!BU$3,Entries!$C63:$K63,1,FALSE))),"x",IF(NOT(ISERROR(HLOOKUP(Standings!BU$3,Entries!$L63:$L63,1,FALSE))),"S",""))</f>
        <v/>
      </c>
      <c r="BV71" t="str">
        <f>IF(NOT(ISERROR(HLOOKUP(Standings!BV$3,Entries!$C63:$K63,1,FALSE))),"x",IF(NOT(ISERROR(HLOOKUP(Standings!BV$3,Entries!$L63:$L63,1,FALSE))),"S",""))</f>
        <v/>
      </c>
      <c r="BW71" t="str">
        <f>IF(NOT(ISERROR(HLOOKUP(Standings!BW$3,Entries!$C63:$K63,1,FALSE))),"x",IF(NOT(ISERROR(HLOOKUP(Standings!BW$3,Entries!$L63:$L63,1,FALSE))),"S",""))</f>
        <v>x</v>
      </c>
      <c r="BX71" t="str">
        <f>IF(NOT(ISERROR(HLOOKUP(Standings!BX$3,Entries!$C63:$K63,1,FALSE))),"x",IF(NOT(ISERROR(HLOOKUP(Standings!BX$3,Entries!$L63:$L63,1,FALSE))),"S",""))</f>
        <v/>
      </c>
      <c r="BY71" t="str">
        <f>IF(NOT(ISERROR(HLOOKUP(Standings!BY$3,Entries!$C63:$K63,1,FALSE))),"x",IF(NOT(ISERROR(HLOOKUP(Standings!BY$3,Entries!$L63:$L63,1,FALSE))),"S",""))</f>
        <v/>
      </c>
      <c r="BZ71" t="str">
        <f>IF(NOT(ISERROR(HLOOKUP(Standings!BZ$3,Entries!$C63:$K63,1,FALSE))),"x",IF(NOT(ISERROR(HLOOKUP(Standings!BZ$3,Entries!$L63:$L63,1,FALSE))),"S",""))</f>
        <v/>
      </c>
      <c r="CA71" t="str">
        <f>IF(NOT(ISERROR(HLOOKUP(Standings!CA$3,Entries!$C63:$K63,1,FALSE))),"x",IF(NOT(ISERROR(HLOOKUP(Standings!CA$3,Entries!$L63:$L63,1,FALSE))),"S",""))</f>
        <v>x</v>
      </c>
      <c r="CB71" t="str">
        <f>IF(NOT(ISERROR(HLOOKUP(Standings!CB$3,Entries!$C63:$K63,1,FALSE))),"x",IF(NOT(ISERROR(HLOOKUP(Standings!CB$3,Entries!$L63:$L63,1,FALSE))),"S",""))</f>
        <v/>
      </c>
      <c r="CC71" t="str">
        <f>IF(NOT(ISERROR(HLOOKUP(Standings!CC$3,Entries!$C63:$K63,1,FALSE))),"x",IF(NOT(ISERROR(HLOOKUP(Standings!CC$3,Entries!$L63:$L63,1,FALSE))),"S",""))</f>
        <v/>
      </c>
      <c r="CD71" t="str">
        <f>IF(NOT(ISERROR(HLOOKUP(Standings!CD$3,Entries!$C63:$K63,1,FALSE))),"x",IF(NOT(ISERROR(HLOOKUP(Standings!CD$3,Entries!$L63:$L63,1,FALSE))),"S",""))</f>
        <v/>
      </c>
      <c r="CE71" t="str">
        <f>IF(NOT(ISERROR(HLOOKUP(Standings!CE$3,Entries!$C63:$K63,1,FALSE))),"x",IF(NOT(ISERROR(HLOOKUP(Standings!CE$3,Entries!$L63:$L63,1,FALSE))),"S",""))</f>
        <v/>
      </c>
      <c r="CF71" t="str">
        <f>IF(NOT(ISERROR(HLOOKUP(Standings!CF$3,Entries!$C63:$K63,1,FALSE))),"x",IF(NOT(ISERROR(HLOOKUP(Standings!CF$3,Entries!$L63:$L63,1,FALSE))),"S",""))</f>
        <v/>
      </c>
      <c r="CG71" t="str">
        <f>IF(NOT(ISERROR(HLOOKUP(Standings!CG$3,Entries!$C63:$K63,1,FALSE))),"x",IF(NOT(ISERROR(HLOOKUP(Standings!CG$3,Entries!$L63:$L63,1,FALSE))),"S",""))</f>
        <v/>
      </c>
      <c r="CH71" t="str">
        <f>IF(NOT(ISERROR(HLOOKUP(Standings!CH$3,Entries!$C63:$K63,1,FALSE))),"x",IF(NOT(ISERROR(HLOOKUP(Standings!CH$3,Entries!$L63:$L63,1,FALSE))),"S",""))</f>
        <v/>
      </c>
      <c r="CI71" t="str">
        <f>IF(NOT(ISERROR(HLOOKUP(Standings!CI$3,Entries!$C63:$K63,1,FALSE))),"x",IF(NOT(ISERROR(HLOOKUP(Standings!CI$3,Entries!$L63:$L63,1,FALSE))),"S",""))</f>
        <v/>
      </c>
      <c r="CJ71" t="str">
        <f>IF(NOT(ISERROR(HLOOKUP(Standings!CJ$3,Entries!$C63:$K63,1,FALSE))),"x",IF(NOT(ISERROR(HLOOKUP(Standings!CJ$3,Entries!$L63:$L63,1,FALSE))),"S",""))</f>
        <v/>
      </c>
      <c r="CK71" t="str">
        <f>IF(NOT(ISERROR(HLOOKUP(Standings!CK$3,Entries!$C63:$K63,1,FALSE))),"x",IF(NOT(ISERROR(HLOOKUP(Standings!CK$3,Entries!$L63:$L63,1,FALSE))),"S",""))</f>
        <v/>
      </c>
      <c r="CL71" t="str">
        <f>IF(NOT(ISERROR(HLOOKUP(Standings!CL$3,Entries!$C63:$K63,1,FALSE))),"x",IF(NOT(ISERROR(HLOOKUP(Standings!CL$3,Entries!$L63:$L63,1,FALSE))),"S",""))</f>
        <v/>
      </c>
      <c r="CM71" t="str">
        <f>IF(NOT(ISERROR(HLOOKUP(Standings!CM$3,Entries!$C63:$K63,1,FALSE))),"x",IF(NOT(ISERROR(HLOOKUP(Standings!CM$3,Entries!$L63:$L63,1,FALSE))),"S",""))</f>
        <v/>
      </c>
      <c r="CN71" t="str">
        <f>IF(NOT(ISERROR(HLOOKUP(Standings!CN$3,Entries!$C63:$K63,1,FALSE))),"x",IF(NOT(ISERROR(HLOOKUP(Standings!CN$3,Entries!$L63:$L63,1,FALSE))),"S",""))</f>
        <v/>
      </c>
      <c r="CO71" t="str">
        <f>IF(NOT(ISERROR(HLOOKUP(Standings!CO$3,Entries!$C63:$K63,1,FALSE))),"x",IF(NOT(ISERROR(HLOOKUP(Standings!CO$3,Entries!$L63:$L63,1,FALSE))),"S",""))</f>
        <v/>
      </c>
      <c r="CP71" t="str">
        <f>IF(NOT(ISERROR(HLOOKUP(Standings!CP$3,Entries!$C63:$K63,1,FALSE))),"x",IF(NOT(ISERROR(HLOOKUP(Standings!CP$3,Entries!$L63:$L63,1,FALSE))),"S",""))</f>
        <v/>
      </c>
      <c r="CQ71" t="str">
        <f>IF(NOT(ISERROR(HLOOKUP(Standings!CQ$3,Entries!$C63:$K63,1,FALSE))),"x",IF(NOT(ISERROR(HLOOKUP(Standings!CQ$3,Entries!$L63:$L63,1,FALSE))),"S",""))</f>
        <v/>
      </c>
      <c r="CR71" t="str">
        <f>IF(NOT(ISERROR(HLOOKUP(Standings!CR$3,Entries!$C63:$K63,1,FALSE))),"x",IF(NOT(ISERROR(HLOOKUP(Standings!CR$3,Entries!$L63:$L63,1,FALSE))),"S",""))</f>
        <v/>
      </c>
      <c r="CS71" t="str">
        <f>IF(NOT(ISERROR(HLOOKUP(Standings!CS$3,Entries!$C63:$K63,1,FALSE))),"x",IF(NOT(ISERROR(HLOOKUP(Standings!CS$3,Entries!$L63:$L63,1,FALSE))),"S",""))</f>
        <v/>
      </c>
      <c r="CT71" t="str">
        <f>IF(NOT(ISERROR(HLOOKUP(Standings!CT$3,Entries!$C63:$K63,1,FALSE))),"x",IF(NOT(ISERROR(HLOOKUP(Standings!CT$3,Entries!$L63:$L63,1,FALSE))),"S",""))</f>
        <v>S</v>
      </c>
      <c r="CU71" t="str">
        <f>IF(NOT(ISERROR(HLOOKUP(Standings!CU$3,Entries!$C63:$K63,1,FALSE))),"x",IF(NOT(ISERROR(HLOOKUP(Standings!CU$3,Entries!$L63:$L63,1,FALSE))),"S",""))</f>
        <v/>
      </c>
      <c r="CV71" t="str">
        <f>IF(NOT(ISERROR(HLOOKUP(Standings!CV$3,Entries!$C63:$K63,1,FALSE))),"x",IF(NOT(ISERROR(HLOOKUP(Standings!CV$3,Entries!$L63:$L63,1,FALSE))),"S",""))</f>
        <v/>
      </c>
      <c r="CW71" t="str">
        <f>IF(NOT(ISERROR(HLOOKUP(Standings!CW$3,Entries!$C63:$K63,1,FALSE))),"x",IF(NOT(ISERROR(HLOOKUP(Standings!CW$3,Entries!$L63:$L63,1,FALSE))),"S",""))</f>
        <v/>
      </c>
      <c r="CX71" t="str">
        <f>IF(NOT(ISERROR(HLOOKUP(Standings!CX$3,Entries!$C63:$K63,1,FALSE))),"x",IF(NOT(ISERROR(HLOOKUP(Standings!CX$3,Entries!$L63:$L63,1,FALSE))),"S",""))</f>
        <v/>
      </c>
      <c r="CY71" t="str">
        <f>IF(NOT(ISERROR(HLOOKUP(Standings!CY$3,Entries!$C63:$K63,1,FALSE))),"x",IF(NOT(ISERROR(HLOOKUP(Standings!CY$3,Entries!$L63:$L63,1,FALSE))),"S",""))</f>
        <v/>
      </c>
      <c r="CZ71" t="str">
        <f>IF(NOT(ISERROR(HLOOKUP(Standings!CZ$3,Entries!$C63:$K63,1,FALSE))),"x",IF(NOT(ISERROR(HLOOKUP(Standings!CZ$3,Entries!$L63:$L63,1,FALSE))),"S",""))</f>
        <v/>
      </c>
      <c r="DA71" t="str">
        <f>IF(NOT(ISERROR(HLOOKUP(Standings!DA$3,Entries!$C63:$K63,1,FALSE))),"x",IF(NOT(ISERROR(HLOOKUP(Standings!DA$3,Entries!$L63:$L63,1,FALSE))),"S",""))</f>
        <v/>
      </c>
      <c r="DB71" t="str">
        <f>IF(NOT(ISERROR(HLOOKUP(Standings!DB$3,Entries!$C63:$K63,1,FALSE))),"x",IF(NOT(ISERROR(HLOOKUP(Standings!DB$3,Entries!$L63:$L63,1,FALSE))),"S",""))</f>
        <v/>
      </c>
    </row>
    <row r="72" spans="1:106" x14ac:dyDescent="0.25">
      <c r="A72" s="18"/>
      <c r="B72">
        <v>27</v>
      </c>
      <c r="C72" t="str">
        <f>Entries!B64</f>
        <v>chrishalverson2</v>
      </c>
      <c r="D72" s="4">
        <f t="shared" si="53"/>
        <v>18</v>
      </c>
      <c r="E72" s="31">
        <f t="shared" si="54"/>
        <v>2</v>
      </c>
      <c r="F72" s="40" t="str">
        <f t="shared" si="52"/>
        <v/>
      </c>
      <c r="G72" s="41" t="str">
        <f t="shared" si="5"/>
        <v/>
      </c>
      <c r="H72" s="41">
        <f t="shared" si="6"/>
        <v>2</v>
      </c>
      <c r="I72" s="42" t="str">
        <f t="shared" si="7"/>
        <v/>
      </c>
      <c r="J72" s="40" t="str">
        <f t="shared" si="8"/>
        <v/>
      </c>
      <c r="K72" s="41" t="str">
        <f t="shared" si="9"/>
        <v/>
      </c>
      <c r="L72" s="41">
        <f t="shared" si="10"/>
        <v>-1.0000000000000001E-5</v>
      </c>
      <c r="M72" s="42" t="str">
        <f t="shared" si="11"/>
        <v/>
      </c>
      <c r="N72" s="43" t="str">
        <f t="shared" si="12"/>
        <v/>
      </c>
      <c r="O72" s="41" t="str">
        <f t="shared" si="13"/>
        <v/>
      </c>
      <c r="P72" s="41" t="str">
        <f t="shared" si="14"/>
        <v/>
      </c>
      <c r="Q72" s="42" t="str">
        <f t="shared" si="15"/>
        <v/>
      </c>
      <c r="R72" s="40" t="str">
        <f t="shared" si="16"/>
        <v/>
      </c>
      <c r="S72" s="41" t="str">
        <f t="shared" si="17"/>
        <v/>
      </c>
      <c r="T72" s="43" t="str">
        <f t="shared" si="18"/>
        <v/>
      </c>
      <c r="U72" s="42" t="str">
        <f t="shared" si="19"/>
        <v/>
      </c>
      <c r="V72" s="40" t="str">
        <f t="shared" si="20"/>
        <v/>
      </c>
      <c r="W72" s="41" t="str">
        <f t="shared" si="21"/>
        <v/>
      </c>
      <c r="X72" s="41" t="str">
        <f t="shared" si="22"/>
        <v/>
      </c>
      <c r="Y72" s="42" t="str">
        <f t="shared" si="23"/>
        <v/>
      </c>
      <c r="Z72" s="40" t="str">
        <f t="shared" si="24"/>
        <v/>
      </c>
      <c r="AA72" s="41">
        <f t="shared" si="25"/>
        <v>0</v>
      </c>
      <c r="AB72" s="41" t="str">
        <f t="shared" si="26"/>
        <v/>
      </c>
      <c r="AC72" s="42" t="str">
        <f t="shared" si="27"/>
        <v/>
      </c>
      <c r="AD72" s="40" t="str">
        <f t="shared" si="28"/>
        <v/>
      </c>
      <c r="AE72" s="41" t="str">
        <f t="shared" si="29"/>
        <v/>
      </c>
      <c r="AF72" s="41" t="str">
        <f t="shared" si="30"/>
        <v/>
      </c>
      <c r="AG72" s="42" t="str">
        <f t="shared" si="31"/>
        <v/>
      </c>
      <c r="AH72" s="40" t="str">
        <f t="shared" si="32"/>
        <v/>
      </c>
      <c r="AI72" s="41" t="str">
        <f t="shared" si="33"/>
        <v/>
      </c>
      <c r="AJ72" s="41" t="str">
        <f t="shared" si="34"/>
        <v/>
      </c>
      <c r="AK72" s="42">
        <f t="shared" si="35"/>
        <v>0</v>
      </c>
      <c r="AL72" s="40" t="str">
        <f t="shared" si="36"/>
        <v/>
      </c>
      <c r="AM72" s="41" t="str">
        <f t="shared" si="37"/>
        <v/>
      </c>
      <c r="AN72" s="41" t="str">
        <f t="shared" si="38"/>
        <v/>
      </c>
      <c r="AO72" s="42" t="str">
        <f t="shared" si="39"/>
        <v/>
      </c>
      <c r="AP72" s="40" t="str">
        <f t="shared" si="40"/>
        <v/>
      </c>
      <c r="AQ72" s="41" t="str">
        <f t="shared" si="41"/>
        <v/>
      </c>
      <c r="AR72" s="41">
        <f t="shared" si="42"/>
        <v>0</v>
      </c>
      <c r="AS72" s="42" t="str">
        <f t="shared" si="43"/>
        <v/>
      </c>
      <c r="AT72" s="40" t="str">
        <f t="shared" si="44"/>
        <v/>
      </c>
      <c r="AU72" s="41" t="str">
        <f t="shared" si="45"/>
        <v/>
      </c>
      <c r="AV72" s="41">
        <f t="shared" si="46"/>
        <v>0</v>
      </c>
      <c r="AW72" s="42" t="str">
        <f t="shared" si="47"/>
        <v/>
      </c>
      <c r="AX72" s="40" t="str">
        <f t="shared" si="48"/>
        <v/>
      </c>
      <c r="AY72" s="41">
        <f t="shared" si="49"/>
        <v>0</v>
      </c>
      <c r="AZ72" s="41" t="str">
        <f t="shared" si="50"/>
        <v/>
      </c>
      <c r="BA72" s="42" t="str">
        <f t="shared" si="51"/>
        <v/>
      </c>
      <c r="BB72" s="37" t="s">
        <v>106</v>
      </c>
      <c r="BC72" s="21"/>
      <c r="BD72" s="21"/>
      <c r="BG72" t="str">
        <f>IF(NOT(ISERROR(HLOOKUP(Standings!BG$3,Entries!$C64:$K64,1,FALSE))),"x",IF(NOT(ISERROR(HLOOKUP(Standings!BG$3,Entries!$L64:$L64,1,FALSE))),"S",""))</f>
        <v/>
      </c>
      <c r="BH72" t="str">
        <f>IF(NOT(ISERROR(HLOOKUP(Standings!BH$3,Entries!$C64:$K64,1,FALSE))),"x",IF(NOT(ISERROR(HLOOKUP(Standings!BH$3,Entries!$L64:$L64,1,FALSE))),"S",""))</f>
        <v/>
      </c>
      <c r="BI72" t="str">
        <f>IF(NOT(ISERROR(HLOOKUP(Standings!BI$3,Entries!$C64:$K64,1,FALSE))),"x",IF(NOT(ISERROR(HLOOKUP(Standings!BI$3,Entries!$L64:$L64,1,FALSE))),"S",""))</f>
        <v>x</v>
      </c>
      <c r="BJ72" t="str">
        <f>IF(NOT(ISERROR(HLOOKUP(Standings!BJ$3,Entries!$C64:$K64,1,FALSE))),"x",IF(NOT(ISERROR(HLOOKUP(Standings!BJ$3,Entries!$L64:$L64,1,FALSE))),"S",""))</f>
        <v/>
      </c>
      <c r="BK72" t="str">
        <f>IF(NOT(ISERROR(HLOOKUP(Standings!BK$3,Entries!$C64:$K64,1,FALSE))),"x",IF(NOT(ISERROR(HLOOKUP(Standings!BK$3,Entries!$L64:$L64,1,FALSE))),"S",""))</f>
        <v/>
      </c>
      <c r="BL72" t="str">
        <f>IF(NOT(ISERROR(HLOOKUP(Standings!BL$3,Entries!$C64:$K64,1,FALSE))),"x",IF(NOT(ISERROR(HLOOKUP(Standings!BL$3,Entries!$L64:$L64,1,FALSE))),"S",""))</f>
        <v/>
      </c>
      <c r="BM72" t="str">
        <f>IF(NOT(ISERROR(HLOOKUP(Standings!BM$3,Entries!$C64:$K64,1,FALSE))),"x",IF(NOT(ISERROR(HLOOKUP(Standings!BM$3,Entries!$L64:$L64,1,FALSE))),"S",""))</f>
        <v>S</v>
      </c>
      <c r="BN72" t="str">
        <f>IF(NOT(ISERROR(HLOOKUP(Standings!BN$3,Entries!$C64:$K64,1,FALSE))),"x",IF(NOT(ISERROR(HLOOKUP(Standings!BN$3,Entries!$L64:$L64,1,FALSE))),"S",""))</f>
        <v/>
      </c>
      <c r="BO72" t="str">
        <f>IF(NOT(ISERROR(HLOOKUP(Standings!BO$3,Entries!$C64:$K64,1,FALSE))),"x",IF(NOT(ISERROR(HLOOKUP(Standings!BO$3,Entries!$L64:$L64,1,FALSE))),"S",""))</f>
        <v/>
      </c>
      <c r="BP72" t="str">
        <f>IF(NOT(ISERROR(HLOOKUP(Standings!BP$3,Entries!$C64:$K64,1,FALSE))),"x",IF(NOT(ISERROR(HLOOKUP(Standings!BP$3,Entries!$L64:$L64,1,FALSE))),"S",""))</f>
        <v/>
      </c>
      <c r="BQ72" t="str">
        <f>IF(NOT(ISERROR(HLOOKUP(Standings!BQ$3,Entries!$C64:$K64,1,FALSE))),"x",IF(NOT(ISERROR(HLOOKUP(Standings!BQ$3,Entries!$L64:$L64,1,FALSE))),"S",""))</f>
        <v/>
      </c>
      <c r="BR72" t="str">
        <f>IF(NOT(ISERROR(HLOOKUP(Standings!BR$3,Entries!$C64:$K64,1,FALSE))),"x",IF(NOT(ISERROR(HLOOKUP(Standings!BR$3,Entries!$L64:$L64,1,FALSE))),"S",""))</f>
        <v/>
      </c>
      <c r="BS72" t="str">
        <f>IF(NOT(ISERROR(HLOOKUP(Standings!BS$3,Entries!$C64:$K64,1,FALSE))),"x",IF(NOT(ISERROR(HLOOKUP(Standings!BS$3,Entries!$L64:$L64,1,FALSE))),"S",""))</f>
        <v/>
      </c>
      <c r="BT72" t="str">
        <f>IF(NOT(ISERROR(HLOOKUP(Standings!BT$3,Entries!$C64:$K64,1,FALSE))),"x",IF(NOT(ISERROR(HLOOKUP(Standings!BT$3,Entries!$L64:$L64,1,FALSE))),"S",""))</f>
        <v/>
      </c>
      <c r="BU72" t="str">
        <f>IF(NOT(ISERROR(HLOOKUP(Standings!BU$3,Entries!$C64:$K64,1,FALSE))),"x",IF(NOT(ISERROR(HLOOKUP(Standings!BU$3,Entries!$L64:$L64,1,FALSE))),"S",""))</f>
        <v/>
      </c>
      <c r="BV72" t="str">
        <f>IF(NOT(ISERROR(HLOOKUP(Standings!BV$3,Entries!$C64:$K64,1,FALSE))),"x",IF(NOT(ISERROR(HLOOKUP(Standings!BV$3,Entries!$L64:$L64,1,FALSE))),"S",""))</f>
        <v/>
      </c>
      <c r="BW72" t="str">
        <f>IF(NOT(ISERROR(HLOOKUP(Standings!BW$3,Entries!$C64:$K64,1,FALSE))),"x",IF(NOT(ISERROR(HLOOKUP(Standings!BW$3,Entries!$L64:$L64,1,FALSE))),"S",""))</f>
        <v/>
      </c>
      <c r="BX72" t="str">
        <f>IF(NOT(ISERROR(HLOOKUP(Standings!BX$3,Entries!$C64:$K64,1,FALSE))),"x",IF(NOT(ISERROR(HLOOKUP(Standings!BX$3,Entries!$L64:$L64,1,FALSE))),"S",""))</f>
        <v/>
      </c>
      <c r="BY72" t="str">
        <f>IF(NOT(ISERROR(HLOOKUP(Standings!BY$3,Entries!$C64:$K64,1,FALSE))),"x",IF(NOT(ISERROR(HLOOKUP(Standings!BY$3,Entries!$L64:$L64,1,FALSE))),"S",""))</f>
        <v/>
      </c>
      <c r="BZ72" t="str">
        <f>IF(NOT(ISERROR(HLOOKUP(Standings!BZ$3,Entries!$C64:$K64,1,FALSE))),"x",IF(NOT(ISERROR(HLOOKUP(Standings!BZ$3,Entries!$L64:$L64,1,FALSE))),"S",""))</f>
        <v/>
      </c>
      <c r="CA72" t="str">
        <f>IF(NOT(ISERROR(HLOOKUP(Standings!CA$3,Entries!$C64:$K64,1,FALSE))),"x",IF(NOT(ISERROR(HLOOKUP(Standings!CA$3,Entries!$L64:$L64,1,FALSE))),"S",""))</f>
        <v/>
      </c>
      <c r="CB72" t="str">
        <f>IF(NOT(ISERROR(HLOOKUP(Standings!CB$3,Entries!$C64:$K64,1,FALSE))),"x",IF(NOT(ISERROR(HLOOKUP(Standings!CB$3,Entries!$L64:$L64,1,FALSE))),"S",""))</f>
        <v>x</v>
      </c>
      <c r="CC72" t="str">
        <f>IF(NOT(ISERROR(HLOOKUP(Standings!CC$3,Entries!$C64:$K64,1,FALSE))),"x",IF(NOT(ISERROR(HLOOKUP(Standings!CC$3,Entries!$L64:$L64,1,FALSE))),"S",""))</f>
        <v/>
      </c>
      <c r="CD72" t="str">
        <f>IF(NOT(ISERROR(HLOOKUP(Standings!CD$3,Entries!$C64:$K64,1,FALSE))),"x",IF(NOT(ISERROR(HLOOKUP(Standings!CD$3,Entries!$L64:$L64,1,FALSE))),"S",""))</f>
        <v/>
      </c>
      <c r="CE72" t="str">
        <f>IF(NOT(ISERROR(HLOOKUP(Standings!CE$3,Entries!$C64:$K64,1,FALSE))),"x",IF(NOT(ISERROR(HLOOKUP(Standings!CE$3,Entries!$L64:$L64,1,FALSE))),"S",""))</f>
        <v/>
      </c>
      <c r="CF72" t="str">
        <f>IF(NOT(ISERROR(HLOOKUP(Standings!CF$3,Entries!$C64:$K64,1,FALSE))),"x",IF(NOT(ISERROR(HLOOKUP(Standings!CF$3,Entries!$L64:$L64,1,FALSE))),"S",""))</f>
        <v/>
      </c>
      <c r="CG72" t="str">
        <f>IF(NOT(ISERROR(HLOOKUP(Standings!CG$3,Entries!$C64:$K64,1,FALSE))),"x",IF(NOT(ISERROR(HLOOKUP(Standings!CG$3,Entries!$L64:$L64,1,FALSE))),"S",""))</f>
        <v/>
      </c>
      <c r="CH72" t="str">
        <f>IF(NOT(ISERROR(HLOOKUP(Standings!CH$3,Entries!$C64:$K64,1,FALSE))),"x",IF(NOT(ISERROR(HLOOKUP(Standings!CH$3,Entries!$L64:$L64,1,FALSE))),"S",""))</f>
        <v/>
      </c>
      <c r="CI72" t="str">
        <f>IF(NOT(ISERROR(HLOOKUP(Standings!CI$3,Entries!$C64:$K64,1,FALSE))),"x",IF(NOT(ISERROR(HLOOKUP(Standings!CI$3,Entries!$L64:$L64,1,FALSE))),"S",""))</f>
        <v/>
      </c>
      <c r="CJ72" t="str">
        <f>IF(NOT(ISERROR(HLOOKUP(Standings!CJ$3,Entries!$C64:$K64,1,FALSE))),"x",IF(NOT(ISERROR(HLOOKUP(Standings!CJ$3,Entries!$L64:$L64,1,FALSE))),"S",""))</f>
        <v/>
      </c>
      <c r="CK72" t="str">
        <f>IF(NOT(ISERROR(HLOOKUP(Standings!CK$3,Entries!$C64:$K64,1,FALSE))),"x",IF(NOT(ISERROR(HLOOKUP(Standings!CK$3,Entries!$L64:$L64,1,FALSE))),"S",""))</f>
        <v/>
      </c>
      <c r="CL72" t="str">
        <f>IF(NOT(ISERROR(HLOOKUP(Standings!CL$3,Entries!$C64:$K64,1,FALSE))),"x",IF(NOT(ISERROR(HLOOKUP(Standings!CL$3,Entries!$L64:$L64,1,FALSE))),"S",""))</f>
        <v>x</v>
      </c>
      <c r="CM72" t="str">
        <f>IF(NOT(ISERROR(HLOOKUP(Standings!CM$3,Entries!$C64:$K64,1,FALSE))),"x",IF(NOT(ISERROR(HLOOKUP(Standings!CM$3,Entries!$L64:$L64,1,FALSE))),"S",""))</f>
        <v/>
      </c>
      <c r="CN72" t="str">
        <f>IF(NOT(ISERROR(HLOOKUP(Standings!CN$3,Entries!$C64:$K64,1,FALSE))),"x",IF(NOT(ISERROR(HLOOKUP(Standings!CN$3,Entries!$L64:$L64,1,FALSE))),"S",""))</f>
        <v/>
      </c>
      <c r="CO72" t="str">
        <f>IF(NOT(ISERROR(HLOOKUP(Standings!CO$3,Entries!$C64:$K64,1,FALSE))),"x",IF(NOT(ISERROR(HLOOKUP(Standings!CO$3,Entries!$L64:$L64,1,FALSE))),"S",""))</f>
        <v/>
      </c>
      <c r="CP72" t="str">
        <f>IF(NOT(ISERROR(HLOOKUP(Standings!CP$3,Entries!$C64:$K64,1,FALSE))),"x",IF(NOT(ISERROR(HLOOKUP(Standings!CP$3,Entries!$L64:$L64,1,FALSE))),"S",""))</f>
        <v/>
      </c>
      <c r="CQ72" t="str">
        <f>IF(NOT(ISERROR(HLOOKUP(Standings!CQ$3,Entries!$C64:$K64,1,FALSE))),"x",IF(NOT(ISERROR(HLOOKUP(Standings!CQ$3,Entries!$L64:$L64,1,FALSE))),"S",""))</f>
        <v/>
      </c>
      <c r="CR72" t="str">
        <f>IF(NOT(ISERROR(HLOOKUP(Standings!CR$3,Entries!$C64:$K64,1,FALSE))),"x",IF(NOT(ISERROR(HLOOKUP(Standings!CR$3,Entries!$L64:$L64,1,FALSE))),"S",""))</f>
        <v/>
      </c>
      <c r="CS72" t="str">
        <f>IF(NOT(ISERROR(HLOOKUP(Standings!CS$3,Entries!$C64:$K64,1,FALSE))),"x",IF(NOT(ISERROR(HLOOKUP(Standings!CS$3,Entries!$L64:$L64,1,FALSE))),"S",""))</f>
        <v>x</v>
      </c>
      <c r="CT72" t="str">
        <f>IF(NOT(ISERROR(HLOOKUP(Standings!CT$3,Entries!$C64:$K64,1,FALSE))),"x",IF(NOT(ISERROR(HLOOKUP(Standings!CT$3,Entries!$L64:$L64,1,FALSE))),"S",""))</f>
        <v/>
      </c>
      <c r="CU72" t="str">
        <f>IF(NOT(ISERROR(HLOOKUP(Standings!CU$3,Entries!$C64:$K64,1,FALSE))),"x",IF(NOT(ISERROR(HLOOKUP(Standings!CU$3,Entries!$L64:$L64,1,FALSE))),"S",""))</f>
        <v/>
      </c>
      <c r="CV72" t="str">
        <f>IF(NOT(ISERROR(HLOOKUP(Standings!CV$3,Entries!$C64:$K64,1,FALSE))),"x",IF(NOT(ISERROR(HLOOKUP(Standings!CV$3,Entries!$L64:$L64,1,FALSE))),"S",""))</f>
        <v/>
      </c>
      <c r="CW72" t="str">
        <f>IF(NOT(ISERROR(HLOOKUP(Standings!CW$3,Entries!$C64:$K64,1,FALSE))),"x",IF(NOT(ISERROR(HLOOKUP(Standings!CW$3,Entries!$L64:$L64,1,FALSE))),"S",""))</f>
        <v>x</v>
      </c>
      <c r="CX72" t="str">
        <f>IF(NOT(ISERROR(HLOOKUP(Standings!CX$3,Entries!$C64:$K64,1,FALSE))),"x",IF(NOT(ISERROR(HLOOKUP(Standings!CX$3,Entries!$L64:$L64,1,FALSE))),"S",""))</f>
        <v/>
      </c>
      <c r="CY72" t="str">
        <f>IF(NOT(ISERROR(HLOOKUP(Standings!CY$3,Entries!$C64:$K64,1,FALSE))),"x",IF(NOT(ISERROR(HLOOKUP(Standings!CY$3,Entries!$L64:$L64,1,FALSE))),"S",""))</f>
        <v/>
      </c>
      <c r="CZ72" t="str">
        <f>IF(NOT(ISERROR(HLOOKUP(Standings!CZ$3,Entries!$C64:$K64,1,FALSE))),"x",IF(NOT(ISERROR(HLOOKUP(Standings!CZ$3,Entries!$L64:$L64,1,FALSE))),"S",""))</f>
        <v>x</v>
      </c>
      <c r="DA72" t="str">
        <f>IF(NOT(ISERROR(HLOOKUP(Standings!DA$3,Entries!$C64:$K64,1,FALSE))),"x",IF(NOT(ISERROR(HLOOKUP(Standings!DA$3,Entries!$L64:$L64,1,FALSE))),"S",""))</f>
        <v/>
      </c>
      <c r="DB72" t="str">
        <f>IF(NOT(ISERROR(HLOOKUP(Standings!DB$3,Entries!$C64:$K64,1,FALSE))),"x",IF(NOT(ISERROR(HLOOKUP(Standings!DB$3,Entries!$L64:$L64,1,FALSE))),"S",""))</f>
        <v/>
      </c>
    </row>
    <row r="73" spans="1:106" x14ac:dyDescent="0.25">
      <c r="B73">
        <v>71</v>
      </c>
      <c r="C73" t="str">
        <f>Entries!B65</f>
        <v>D*Rock</v>
      </c>
      <c r="D73" s="4">
        <f t="shared" si="53"/>
        <v>18</v>
      </c>
      <c r="E73" s="31">
        <f t="shared" si="54"/>
        <v>2</v>
      </c>
      <c r="F73" s="40" t="str">
        <f t="shared" si="52"/>
        <v/>
      </c>
      <c r="G73" s="41" t="str">
        <f t="shared" si="5"/>
        <v/>
      </c>
      <c r="H73" s="41">
        <f t="shared" si="6"/>
        <v>2</v>
      </c>
      <c r="I73" s="42" t="str">
        <f t="shared" si="7"/>
        <v/>
      </c>
      <c r="J73" s="40" t="str">
        <f t="shared" si="8"/>
        <v/>
      </c>
      <c r="K73" s="41" t="str">
        <f t="shared" si="9"/>
        <v/>
      </c>
      <c r="L73" s="41" t="str">
        <f t="shared" si="10"/>
        <v/>
      </c>
      <c r="M73" s="42" t="str">
        <f t="shared" si="11"/>
        <v/>
      </c>
      <c r="N73" s="43" t="str">
        <f t="shared" si="12"/>
        <v/>
      </c>
      <c r="O73" s="41">
        <f t="shared" si="13"/>
        <v>0</v>
      </c>
      <c r="P73" s="41" t="str">
        <f t="shared" si="14"/>
        <v/>
      </c>
      <c r="Q73" s="42" t="str">
        <f t="shared" si="15"/>
        <v/>
      </c>
      <c r="R73" s="40" t="str">
        <f t="shared" si="16"/>
        <v/>
      </c>
      <c r="S73" s="41">
        <f t="shared" si="17"/>
        <v>0</v>
      </c>
      <c r="T73" s="43">
        <f t="shared" si="18"/>
        <v>0</v>
      </c>
      <c r="U73" s="42" t="str">
        <f t="shared" si="19"/>
        <v/>
      </c>
      <c r="V73" s="40">
        <f t="shared" si="20"/>
        <v>0</v>
      </c>
      <c r="W73" s="41" t="str">
        <f t="shared" si="21"/>
        <v/>
      </c>
      <c r="X73" s="41" t="str">
        <f t="shared" si="22"/>
        <v/>
      </c>
      <c r="Y73" s="42" t="str">
        <f t="shared" si="23"/>
        <v/>
      </c>
      <c r="Z73" s="40">
        <f t="shared" si="24"/>
        <v>-1.0000000000000001E-5</v>
      </c>
      <c r="AA73" s="41" t="str">
        <f t="shared" si="25"/>
        <v/>
      </c>
      <c r="AB73" s="41">
        <f t="shared" si="26"/>
        <v>0</v>
      </c>
      <c r="AC73" s="42" t="str">
        <f t="shared" si="27"/>
        <v/>
      </c>
      <c r="AD73" s="40" t="str">
        <f t="shared" si="28"/>
        <v/>
      </c>
      <c r="AE73" s="41" t="str">
        <f t="shared" si="29"/>
        <v/>
      </c>
      <c r="AF73" s="41" t="str">
        <f t="shared" si="30"/>
        <v/>
      </c>
      <c r="AG73" s="42" t="str">
        <f t="shared" si="31"/>
        <v/>
      </c>
      <c r="AH73" s="40" t="str">
        <f t="shared" si="32"/>
        <v/>
      </c>
      <c r="AI73" s="41" t="str">
        <f t="shared" si="33"/>
        <v/>
      </c>
      <c r="AJ73" s="41" t="str">
        <f t="shared" si="34"/>
        <v/>
      </c>
      <c r="AK73" s="42" t="str">
        <f t="shared" si="35"/>
        <v/>
      </c>
      <c r="AL73" s="40" t="str">
        <f t="shared" si="36"/>
        <v/>
      </c>
      <c r="AM73" s="41">
        <f t="shared" si="37"/>
        <v>0</v>
      </c>
      <c r="AN73" s="41" t="str">
        <f t="shared" si="38"/>
        <v/>
      </c>
      <c r="AO73" s="42" t="str">
        <f t="shared" si="39"/>
        <v/>
      </c>
      <c r="AP73" s="40" t="str">
        <f t="shared" si="40"/>
        <v/>
      </c>
      <c r="AQ73" s="41" t="str">
        <f t="shared" si="41"/>
        <v/>
      </c>
      <c r="AR73" s="41">
        <f t="shared" si="42"/>
        <v>0</v>
      </c>
      <c r="AS73" s="42" t="str">
        <f t="shared" si="43"/>
        <v/>
      </c>
      <c r="AT73" s="40" t="str">
        <f t="shared" si="44"/>
        <v/>
      </c>
      <c r="AU73" s="41" t="str">
        <f t="shared" si="45"/>
        <v/>
      </c>
      <c r="AV73" s="41" t="str">
        <f t="shared" si="46"/>
        <v/>
      </c>
      <c r="AW73" s="42">
        <f t="shared" si="47"/>
        <v>0</v>
      </c>
      <c r="AX73" s="40" t="str">
        <f t="shared" si="48"/>
        <v/>
      </c>
      <c r="AY73" s="41" t="str">
        <f t="shared" si="49"/>
        <v/>
      </c>
      <c r="AZ73" s="41" t="str">
        <f t="shared" si="50"/>
        <v/>
      </c>
      <c r="BA73" s="42" t="str">
        <f t="shared" si="51"/>
        <v/>
      </c>
      <c r="BB73" s="37" t="s">
        <v>106</v>
      </c>
      <c r="BC73" s="21"/>
      <c r="BD73" s="21"/>
      <c r="BG73" t="str">
        <f>IF(NOT(ISERROR(HLOOKUP(Standings!BG$3,Entries!$C65:$K65,1,FALSE))),"x",IF(NOT(ISERROR(HLOOKUP(Standings!BG$3,Entries!$L65:$L65,1,FALSE))),"S",""))</f>
        <v/>
      </c>
      <c r="BH73" t="str">
        <f>IF(NOT(ISERROR(HLOOKUP(Standings!BH$3,Entries!$C65:$K65,1,FALSE))),"x",IF(NOT(ISERROR(HLOOKUP(Standings!BH$3,Entries!$L65:$L65,1,FALSE))),"S",""))</f>
        <v/>
      </c>
      <c r="BI73" t="str">
        <f>IF(NOT(ISERROR(HLOOKUP(Standings!BI$3,Entries!$C65:$K65,1,FALSE))),"x",IF(NOT(ISERROR(HLOOKUP(Standings!BI$3,Entries!$L65:$L65,1,FALSE))),"S",""))</f>
        <v>x</v>
      </c>
      <c r="BJ73" t="str">
        <f>IF(NOT(ISERROR(HLOOKUP(Standings!BJ$3,Entries!$C65:$K65,1,FALSE))),"x",IF(NOT(ISERROR(HLOOKUP(Standings!BJ$3,Entries!$L65:$L65,1,FALSE))),"S",""))</f>
        <v/>
      </c>
      <c r="BK73" t="str">
        <f>IF(NOT(ISERROR(HLOOKUP(Standings!BK$3,Entries!$C65:$K65,1,FALSE))),"x",IF(NOT(ISERROR(HLOOKUP(Standings!BK$3,Entries!$L65:$L65,1,FALSE))),"S",""))</f>
        <v/>
      </c>
      <c r="BL73" t="str">
        <f>IF(NOT(ISERROR(HLOOKUP(Standings!BL$3,Entries!$C65:$K65,1,FALSE))),"x",IF(NOT(ISERROR(HLOOKUP(Standings!BL$3,Entries!$L65:$L65,1,FALSE))),"S",""))</f>
        <v/>
      </c>
      <c r="BM73" t="str">
        <f>IF(NOT(ISERROR(HLOOKUP(Standings!BM$3,Entries!$C65:$K65,1,FALSE))),"x",IF(NOT(ISERROR(HLOOKUP(Standings!BM$3,Entries!$L65:$L65,1,FALSE))),"S",""))</f>
        <v/>
      </c>
      <c r="BN73" t="str">
        <f>IF(NOT(ISERROR(HLOOKUP(Standings!BN$3,Entries!$C65:$K65,1,FALSE))),"x",IF(NOT(ISERROR(HLOOKUP(Standings!BN$3,Entries!$L65:$L65,1,FALSE))),"S",""))</f>
        <v/>
      </c>
      <c r="BO73" t="str">
        <f>IF(NOT(ISERROR(HLOOKUP(Standings!BO$3,Entries!$C65:$K65,1,FALSE))),"x",IF(NOT(ISERROR(HLOOKUP(Standings!BO$3,Entries!$L65:$L65,1,FALSE))),"S",""))</f>
        <v/>
      </c>
      <c r="BP73" t="str">
        <f>IF(NOT(ISERROR(HLOOKUP(Standings!BP$3,Entries!$C65:$K65,1,FALSE))),"x",IF(NOT(ISERROR(HLOOKUP(Standings!BP$3,Entries!$L65:$L65,1,FALSE))),"S",""))</f>
        <v>x</v>
      </c>
      <c r="BQ73" t="str">
        <f>IF(NOT(ISERROR(HLOOKUP(Standings!BQ$3,Entries!$C65:$K65,1,FALSE))),"x",IF(NOT(ISERROR(HLOOKUP(Standings!BQ$3,Entries!$L65:$L65,1,FALSE))),"S",""))</f>
        <v/>
      </c>
      <c r="BR73" t="str">
        <f>IF(NOT(ISERROR(HLOOKUP(Standings!BR$3,Entries!$C65:$K65,1,FALSE))),"x",IF(NOT(ISERROR(HLOOKUP(Standings!BR$3,Entries!$L65:$L65,1,FALSE))),"S",""))</f>
        <v/>
      </c>
      <c r="BS73" t="str">
        <f>IF(NOT(ISERROR(HLOOKUP(Standings!BS$3,Entries!$C65:$K65,1,FALSE))),"x",IF(NOT(ISERROR(HLOOKUP(Standings!BS$3,Entries!$L65:$L65,1,FALSE))),"S",""))</f>
        <v/>
      </c>
      <c r="BT73" t="str">
        <f>IF(NOT(ISERROR(HLOOKUP(Standings!BT$3,Entries!$C65:$K65,1,FALSE))),"x",IF(NOT(ISERROR(HLOOKUP(Standings!BT$3,Entries!$L65:$L65,1,FALSE))),"S",""))</f>
        <v>x</v>
      </c>
      <c r="BU73" t="str">
        <f>IF(NOT(ISERROR(HLOOKUP(Standings!BU$3,Entries!$C65:$K65,1,FALSE))),"x",IF(NOT(ISERROR(HLOOKUP(Standings!BU$3,Entries!$L65:$L65,1,FALSE))),"S",""))</f>
        <v>x</v>
      </c>
      <c r="BV73" t="str">
        <f>IF(NOT(ISERROR(HLOOKUP(Standings!BV$3,Entries!$C65:$K65,1,FALSE))),"x",IF(NOT(ISERROR(HLOOKUP(Standings!BV$3,Entries!$L65:$L65,1,FALSE))),"S",""))</f>
        <v/>
      </c>
      <c r="BW73" t="str">
        <f>IF(NOT(ISERROR(HLOOKUP(Standings!BW$3,Entries!$C65:$K65,1,FALSE))),"x",IF(NOT(ISERROR(HLOOKUP(Standings!BW$3,Entries!$L65:$L65,1,FALSE))),"S",""))</f>
        <v>x</v>
      </c>
      <c r="BX73" t="str">
        <f>IF(NOT(ISERROR(HLOOKUP(Standings!BX$3,Entries!$C65:$K65,1,FALSE))),"x",IF(NOT(ISERROR(HLOOKUP(Standings!BX$3,Entries!$L65:$L65,1,FALSE))),"S",""))</f>
        <v/>
      </c>
      <c r="BY73" t="str">
        <f>IF(NOT(ISERROR(HLOOKUP(Standings!BY$3,Entries!$C65:$K65,1,FALSE))),"x",IF(NOT(ISERROR(HLOOKUP(Standings!BY$3,Entries!$L65:$L65,1,FALSE))),"S",""))</f>
        <v/>
      </c>
      <c r="BZ73" t="str">
        <f>IF(NOT(ISERROR(HLOOKUP(Standings!BZ$3,Entries!$C65:$K65,1,FALSE))),"x",IF(NOT(ISERROR(HLOOKUP(Standings!BZ$3,Entries!$L65:$L65,1,FALSE))),"S",""))</f>
        <v/>
      </c>
      <c r="CA73" t="str">
        <f>IF(NOT(ISERROR(HLOOKUP(Standings!CA$3,Entries!$C65:$K65,1,FALSE))),"x",IF(NOT(ISERROR(HLOOKUP(Standings!CA$3,Entries!$L65:$L65,1,FALSE))),"S",""))</f>
        <v>S</v>
      </c>
      <c r="CB73" t="str">
        <f>IF(NOT(ISERROR(HLOOKUP(Standings!CB$3,Entries!$C65:$K65,1,FALSE))),"x",IF(NOT(ISERROR(HLOOKUP(Standings!CB$3,Entries!$L65:$L65,1,FALSE))),"S",""))</f>
        <v/>
      </c>
      <c r="CC73" t="str">
        <f>IF(NOT(ISERROR(HLOOKUP(Standings!CC$3,Entries!$C65:$K65,1,FALSE))),"x",IF(NOT(ISERROR(HLOOKUP(Standings!CC$3,Entries!$L65:$L65,1,FALSE))),"S",""))</f>
        <v>x</v>
      </c>
      <c r="CD73" t="str">
        <f>IF(NOT(ISERROR(HLOOKUP(Standings!CD$3,Entries!$C65:$K65,1,FALSE))),"x",IF(NOT(ISERROR(HLOOKUP(Standings!CD$3,Entries!$L65:$L65,1,FALSE))),"S",""))</f>
        <v/>
      </c>
      <c r="CE73" t="str">
        <f>IF(NOT(ISERROR(HLOOKUP(Standings!CE$3,Entries!$C65:$K65,1,FALSE))),"x",IF(NOT(ISERROR(HLOOKUP(Standings!CE$3,Entries!$L65:$L65,1,FALSE))),"S",""))</f>
        <v/>
      </c>
      <c r="CF73" t="str">
        <f>IF(NOT(ISERROR(HLOOKUP(Standings!CF$3,Entries!$C65:$K65,1,FALSE))),"x",IF(NOT(ISERROR(HLOOKUP(Standings!CF$3,Entries!$L65:$L65,1,FALSE))),"S",""))</f>
        <v/>
      </c>
      <c r="CG73" t="str">
        <f>IF(NOT(ISERROR(HLOOKUP(Standings!CG$3,Entries!$C65:$K65,1,FALSE))),"x",IF(NOT(ISERROR(HLOOKUP(Standings!CG$3,Entries!$L65:$L65,1,FALSE))),"S",""))</f>
        <v/>
      </c>
      <c r="CH73" t="str">
        <f>IF(NOT(ISERROR(HLOOKUP(Standings!CH$3,Entries!$C65:$K65,1,FALSE))),"x",IF(NOT(ISERROR(HLOOKUP(Standings!CH$3,Entries!$L65:$L65,1,FALSE))),"S",""))</f>
        <v/>
      </c>
      <c r="CI73" t="str">
        <f>IF(NOT(ISERROR(HLOOKUP(Standings!CI$3,Entries!$C65:$K65,1,FALSE))),"x",IF(NOT(ISERROR(HLOOKUP(Standings!CI$3,Entries!$L65:$L65,1,FALSE))),"S",""))</f>
        <v/>
      </c>
      <c r="CJ73" t="str">
        <f>IF(NOT(ISERROR(HLOOKUP(Standings!CJ$3,Entries!$C65:$K65,1,FALSE))),"x",IF(NOT(ISERROR(HLOOKUP(Standings!CJ$3,Entries!$L65:$L65,1,FALSE))),"S",""))</f>
        <v/>
      </c>
      <c r="CK73" t="str">
        <f>IF(NOT(ISERROR(HLOOKUP(Standings!CK$3,Entries!$C65:$K65,1,FALSE))),"x",IF(NOT(ISERROR(HLOOKUP(Standings!CK$3,Entries!$L65:$L65,1,FALSE))),"S",""))</f>
        <v/>
      </c>
      <c r="CL73" t="str">
        <f>IF(NOT(ISERROR(HLOOKUP(Standings!CL$3,Entries!$C65:$K65,1,FALSE))),"x",IF(NOT(ISERROR(HLOOKUP(Standings!CL$3,Entries!$L65:$L65,1,FALSE))),"S",""))</f>
        <v/>
      </c>
      <c r="CM73" t="str">
        <f>IF(NOT(ISERROR(HLOOKUP(Standings!CM$3,Entries!$C65:$K65,1,FALSE))),"x",IF(NOT(ISERROR(HLOOKUP(Standings!CM$3,Entries!$L65:$L65,1,FALSE))),"S",""))</f>
        <v/>
      </c>
      <c r="CN73" t="str">
        <f>IF(NOT(ISERROR(HLOOKUP(Standings!CN$3,Entries!$C65:$K65,1,FALSE))),"x",IF(NOT(ISERROR(HLOOKUP(Standings!CN$3,Entries!$L65:$L65,1,FALSE))),"S",""))</f>
        <v>x</v>
      </c>
      <c r="CO73" t="str">
        <f>IF(NOT(ISERROR(HLOOKUP(Standings!CO$3,Entries!$C65:$K65,1,FALSE))),"x",IF(NOT(ISERROR(HLOOKUP(Standings!CO$3,Entries!$L65:$L65,1,FALSE))),"S",""))</f>
        <v/>
      </c>
      <c r="CP73" t="str">
        <f>IF(NOT(ISERROR(HLOOKUP(Standings!CP$3,Entries!$C65:$K65,1,FALSE))),"x",IF(NOT(ISERROR(HLOOKUP(Standings!CP$3,Entries!$L65:$L65,1,FALSE))),"S",""))</f>
        <v/>
      </c>
      <c r="CQ73" t="str">
        <f>IF(NOT(ISERROR(HLOOKUP(Standings!CQ$3,Entries!$C65:$K65,1,FALSE))),"x",IF(NOT(ISERROR(HLOOKUP(Standings!CQ$3,Entries!$L65:$L65,1,FALSE))),"S",""))</f>
        <v/>
      </c>
      <c r="CR73" t="str">
        <f>IF(NOT(ISERROR(HLOOKUP(Standings!CR$3,Entries!$C65:$K65,1,FALSE))),"x",IF(NOT(ISERROR(HLOOKUP(Standings!CR$3,Entries!$L65:$L65,1,FALSE))),"S",""))</f>
        <v/>
      </c>
      <c r="CS73" t="str">
        <f>IF(NOT(ISERROR(HLOOKUP(Standings!CS$3,Entries!$C65:$K65,1,FALSE))),"x",IF(NOT(ISERROR(HLOOKUP(Standings!CS$3,Entries!$L65:$L65,1,FALSE))),"S",""))</f>
        <v>x</v>
      </c>
      <c r="CT73" t="str">
        <f>IF(NOT(ISERROR(HLOOKUP(Standings!CT$3,Entries!$C65:$K65,1,FALSE))),"x",IF(NOT(ISERROR(HLOOKUP(Standings!CT$3,Entries!$L65:$L65,1,FALSE))),"S",""))</f>
        <v/>
      </c>
      <c r="CU73" t="str">
        <f>IF(NOT(ISERROR(HLOOKUP(Standings!CU$3,Entries!$C65:$K65,1,FALSE))),"x",IF(NOT(ISERROR(HLOOKUP(Standings!CU$3,Entries!$L65:$L65,1,FALSE))),"S",""))</f>
        <v/>
      </c>
      <c r="CV73" t="str">
        <f>IF(NOT(ISERROR(HLOOKUP(Standings!CV$3,Entries!$C65:$K65,1,FALSE))),"x",IF(NOT(ISERROR(HLOOKUP(Standings!CV$3,Entries!$L65:$L65,1,FALSE))),"S",""))</f>
        <v/>
      </c>
      <c r="CW73" t="str">
        <f>IF(NOT(ISERROR(HLOOKUP(Standings!CW$3,Entries!$C65:$K65,1,FALSE))),"x",IF(NOT(ISERROR(HLOOKUP(Standings!CW$3,Entries!$L65:$L65,1,FALSE))),"S",""))</f>
        <v/>
      </c>
      <c r="CX73" t="str">
        <f>IF(NOT(ISERROR(HLOOKUP(Standings!CX$3,Entries!$C65:$K65,1,FALSE))),"x",IF(NOT(ISERROR(HLOOKUP(Standings!CX$3,Entries!$L65:$L65,1,FALSE))),"S",""))</f>
        <v>x</v>
      </c>
      <c r="CY73" t="str">
        <f>IF(NOT(ISERROR(HLOOKUP(Standings!CY$3,Entries!$C65:$K65,1,FALSE))),"x",IF(NOT(ISERROR(HLOOKUP(Standings!CY$3,Entries!$L65:$L65,1,FALSE))),"S",""))</f>
        <v/>
      </c>
      <c r="CZ73" t="str">
        <f>IF(NOT(ISERROR(HLOOKUP(Standings!CZ$3,Entries!$C65:$K65,1,FALSE))),"x",IF(NOT(ISERROR(HLOOKUP(Standings!CZ$3,Entries!$L65:$L65,1,FALSE))),"S",""))</f>
        <v/>
      </c>
      <c r="DA73" t="str">
        <f>IF(NOT(ISERROR(HLOOKUP(Standings!DA$3,Entries!$C65:$K65,1,FALSE))),"x",IF(NOT(ISERROR(HLOOKUP(Standings!DA$3,Entries!$L65:$L65,1,FALSE))),"S",""))</f>
        <v/>
      </c>
      <c r="DB73" t="str">
        <f>IF(NOT(ISERROR(HLOOKUP(Standings!DB$3,Entries!$C65:$K65,1,FALSE))),"x",IF(NOT(ISERROR(HLOOKUP(Standings!DB$3,Entries!$L65:$L65,1,FALSE))),"S",""))</f>
        <v/>
      </c>
    </row>
    <row r="74" spans="1:106" x14ac:dyDescent="0.25">
      <c r="A74" s="18"/>
      <c r="B74">
        <v>24</v>
      </c>
      <c r="C74" t="str">
        <f>Entries!B66</f>
        <v>JonHendrickson</v>
      </c>
      <c r="D74" s="4">
        <f t="shared" ref="D74:D104" si="55">IF(C74="","",RANK(E74,$E$10:$E$111))</f>
        <v>55</v>
      </c>
      <c r="E74" s="31">
        <f t="shared" ref="E74:E82" si="56">IF(C74="","",ROUND(SUM(F74:AK74),0))</f>
        <v>0</v>
      </c>
      <c r="F74" s="40" t="str">
        <f t="shared" si="52"/>
        <v/>
      </c>
      <c r="G74" s="41" t="str">
        <f t="shared" ref="G74:G82" si="57">IF(BH74="","",IF(BH74="x",G$6,0)+IF(BH74="S",-G$6-0.00001,0))</f>
        <v/>
      </c>
      <c r="H74" s="41" t="str">
        <f t="shared" ref="H74:H82" si="58">IF(BI74="","",IF(BI74="x",H$6,0)+IF(BI74="S",-H$6-0.00001,0))</f>
        <v/>
      </c>
      <c r="I74" s="42" t="str">
        <f t="shared" ref="I74:I82" si="59">IF(BJ74="","",IF(BJ74="x",I$6,0)+IF(BJ74="S",-I$6-0.00001,0))</f>
        <v/>
      </c>
      <c r="J74" s="40" t="str">
        <f t="shared" ref="J74:J82" si="60">IF(BK74="","",IF(BK74="x",J$6,0)+IF(BK74="S",-J$6-0.00001,0))</f>
        <v/>
      </c>
      <c r="K74" s="41" t="str">
        <f t="shared" ref="K74:K82" si="61">IF(BL74="","",IF(BL74="x",K$6,0)+IF(BL74="S",-K$6-0.00001,0))</f>
        <v/>
      </c>
      <c r="L74" s="41">
        <f t="shared" ref="L74:L82" si="62">IF(BM74="","",IF(BM74="x",L$6,0)+IF(BM74="S",-L$6-0.00001,0))</f>
        <v>0</v>
      </c>
      <c r="M74" s="42" t="str">
        <f t="shared" ref="M74:M82" si="63">IF(BN74="","",IF(BN74="x",M$6,0)+IF(BN74="S",-M$6-0.00001,0))</f>
        <v/>
      </c>
      <c r="N74" s="43" t="str">
        <f t="shared" ref="N74:N82" si="64">IF(BO74="","",IF(BO74="x",N$6,0)+IF(BO74="S",-N$6-0.00001,0))</f>
        <v/>
      </c>
      <c r="O74" s="41">
        <f t="shared" ref="O74:O82" si="65">IF(BP74="","",IF(BP74="x",O$6,0)+IF(BP74="S",-O$6-0.00001,0))</f>
        <v>0</v>
      </c>
      <c r="P74" s="41" t="str">
        <f t="shared" ref="P74:P82" si="66">IF(BQ74="","",IF(BQ74="x",P$6,0)+IF(BQ74="S",-P$6-0.00001,0))</f>
        <v/>
      </c>
      <c r="Q74" s="42" t="str">
        <f t="shared" ref="Q74:Q82" si="67">IF(BR74="","",IF(BR74="x",Q$6,0)+IF(BR74="S",-Q$6-0.00001,0))</f>
        <v/>
      </c>
      <c r="R74" s="40" t="str">
        <f t="shared" ref="R74:R82" si="68">IF(BS74="","",IF(BS74="x",R$6,0)+IF(BS74="S",-R$6-0.00001,0))</f>
        <v/>
      </c>
      <c r="S74" s="41" t="str">
        <f t="shared" ref="S74:S82" si="69">IF(BT74="","",IF(BT74="x",S$6,0)+IF(BT74="S",-S$6-0.00001,0))</f>
        <v/>
      </c>
      <c r="T74" s="43" t="str">
        <f t="shared" ref="T74:T82" si="70">IF(BU74="","",IF(BU74="x",T$6,0)+IF(BU74="S",-T$6-0.00001,0))</f>
        <v/>
      </c>
      <c r="U74" s="42" t="str">
        <f t="shared" ref="U74:U82" si="71">IF(BV74="","",IF(BV74="x",U$6,0)+IF(BV74="S",-U$6-0.00001,0))</f>
        <v/>
      </c>
      <c r="V74" s="40" t="str">
        <f t="shared" ref="V74:V82" si="72">IF(BW74="","",IF(BW74="x",V$6,0)+IF(BW74="S",-V$6-0.00001,0))</f>
        <v/>
      </c>
      <c r="W74" s="41" t="str">
        <f t="shared" ref="W74:W82" si="73">IF(BX74="","",IF(BX74="x",W$6,0)+IF(BX74="S",-W$6-0.00001,0))</f>
        <v/>
      </c>
      <c r="X74" s="41" t="str">
        <f t="shared" ref="X74:X82" si="74">IF(BY74="","",IF(BY74="x",X$6,0)+IF(BY74="S",-X$6-0.00001,0))</f>
        <v/>
      </c>
      <c r="Y74" s="42" t="str">
        <f t="shared" ref="Y74:Y82" si="75">IF(BZ74="","",IF(BZ74="x",Y$6,0)+IF(BZ74="S",-Y$6-0.00001,0))</f>
        <v/>
      </c>
      <c r="Z74" s="40" t="str">
        <f t="shared" ref="Z74:Z82" si="76">IF(CA74="","",IF(CA74="x",Z$6,0)+IF(CA74="S",-Z$6-0.00001,0))</f>
        <v/>
      </c>
      <c r="AA74" s="41" t="str">
        <f t="shared" ref="AA74:AA82" si="77">IF(CB74="","",IF(CB74="x",AA$6,0)+IF(CB74="S",-AA$6-0.00001,0))</f>
        <v/>
      </c>
      <c r="AB74" s="41" t="str">
        <f t="shared" ref="AB74:AB82" si="78">IF(CC74="","",IF(CC74="x",AB$6,0)+IF(CC74="S",-AB$6-0.00001,0))</f>
        <v/>
      </c>
      <c r="AC74" s="42" t="str">
        <f t="shared" ref="AC74:AC82" si="79">IF(CD74="","",IF(CD74="x",AC$6,0)+IF(CD74="S",-AC$6-0.00001,0))</f>
        <v/>
      </c>
      <c r="AD74" s="40">
        <f t="shared" ref="AD74:AD82" si="80">IF(CE74="","",IF(CE74="x",AD$6,0)+IF(CE74="S",-AD$6-0.00001,0))</f>
        <v>0</v>
      </c>
      <c r="AE74" s="41" t="str">
        <f t="shared" ref="AE74:AE82" si="81">IF(CF74="","",IF(CF74="x",AE$6,0)+IF(CF74="S",-AE$6-0.00001,0))</f>
        <v/>
      </c>
      <c r="AF74" s="41" t="str">
        <f t="shared" ref="AF74:AF82" si="82">IF(CG74="","",IF(CG74="x",AF$6,0)+IF(CG74="S",-AF$6-0.00001,0))</f>
        <v/>
      </c>
      <c r="AG74" s="42" t="str">
        <f t="shared" ref="AG74:AG82" si="83">IF(CH74="","",IF(CH74="x",AG$6,0)+IF(CH74="S",-AG$6-0.00001,0))</f>
        <v/>
      </c>
      <c r="AH74" s="40" t="str">
        <f t="shared" ref="AH74:AH82" si="84">IF(CI74="","",IF(CI74="x",AH$6,0)+IF(CI74="S",-AH$6-0.00001,0))</f>
        <v/>
      </c>
      <c r="AI74" s="41" t="str">
        <f t="shared" ref="AI74:AI82" si="85">IF(CJ74="","",IF(CJ74="x",AI$6,0)+IF(CJ74="S",-AI$6-0.00001,0))</f>
        <v/>
      </c>
      <c r="AJ74" s="41" t="str">
        <f t="shared" ref="AJ74:AJ82" si="86">IF(CK74="","",IF(CK74="x",AJ$6,0)+IF(CK74="S",-AJ$6-0.00001,0))</f>
        <v/>
      </c>
      <c r="AK74" s="42" t="str">
        <f t="shared" ref="AK74:AK82" si="87">IF(CL74="","",IF(CL74="x",AK$6,0)+IF(CL74="S",-AK$6-0.00001,0))</f>
        <v/>
      </c>
      <c r="AL74" s="40">
        <f t="shared" ref="AL74:AL82" si="88">IF(CM74="","",IF(CM74="x",AL$6,0)+IF(CM74="S",-AL$6-0.00001,0))</f>
        <v>0</v>
      </c>
      <c r="AM74" s="41" t="str">
        <f t="shared" ref="AM74:AM82" si="89">IF(CN74="","",IF(CN74="x",AM$6,0)+IF(CN74="S",-AM$6-0.00001,0))</f>
        <v/>
      </c>
      <c r="AN74" s="41">
        <f t="shared" ref="AN74:AN82" si="90">IF(CO74="","",IF(CO74="x",AN$6,0)+IF(CO74="S",-AN$6-0.00001,0))</f>
        <v>0</v>
      </c>
      <c r="AO74" s="42" t="str">
        <f t="shared" ref="AO74:AO82" si="91">IF(CP74="","",IF(CP74="x",AO$6,0)+IF(CP74="S",-AO$6-0.00001,0))</f>
        <v/>
      </c>
      <c r="AP74" s="40" t="str">
        <f t="shared" ref="AP74:AP82" si="92">IF(CQ74="","",IF(CQ74="x",AP$6,0)+IF(CQ74="S",-AP$6-0.00001,0))</f>
        <v/>
      </c>
      <c r="AQ74" s="41" t="str">
        <f t="shared" ref="AQ74:AQ82" si="93">IF(CR74="","",IF(CR74="x",AQ$6,0)+IF(CR74="S",-AQ$6-0.00001,0))</f>
        <v/>
      </c>
      <c r="AR74" s="41" t="str">
        <f t="shared" ref="AR74:AR82" si="94">IF(CS74="","",IF(CS74="x",AR$6,0)+IF(CS74="S",-AR$6-0.00001,0))</f>
        <v/>
      </c>
      <c r="AS74" s="42" t="str">
        <f t="shared" ref="AS74:AS82" si="95">IF(CT74="","",IF(CT74="x",AS$6,0)+IF(CT74="S",-AS$6-0.00001,0))</f>
        <v/>
      </c>
      <c r="AT74" s="40" t="str">
        <f t="shared" ref="AT74:AT82" si="96">IF(CU74="","",IF(CU74="x",AT$6,0)+IF(CU74="S",-AT$6-0.00001,0))</f>
        <v/>
      </c>
      <c r="AU74" s="41" t="str">
        <f t="shared" ref="AU74:AU82" si="97">IF(CV74="","",IF(CV74="x",AU$6,0)+IF(CV74="S",-AU$6-0.00001,0))</f>
        <v/>
      </c>
      <c r="AV74" s="41" t="str">
        <f t="shared" ref="AV74:AV82" si="98">IF(CW74="","",IF(CW74="x",AV$6,0)+IF(CW74="S",-AV$6-0.00001,0))</f>
        <v/>
      </c>
      <c r="AW74" s="42" t="str">
        <f t="shared" ref="AW74:AW82" si="99">IF(CX74="","",IF(CX74="x",AW$6,0)+IF(CX74="S",-AW$6-0.00001,0))</f>
        <v/>
      </c>
      <c r="AX74" s="40">
        <f t="shared" ref="AX74:AX82" si="100">IF(CY74="","",IF(CY74="x",AX$6,0)+IF(CY74="S",-AX$6-0.00001,0))</f>
        <v>-1.0000000000000001E-5</v>
      </c>
      <c r="AY74" s="41" t="str">
        <f t="shared" ref="AY74:AY82" si="101">IF(CZ74="","",IF(CZ74="x",AY$6,0)+IF(CZ74="S",-AY$6-0.00001,0))</f>
        <v/>
      </c>
      <c r="AZ74" s="41" t="str">
        <f t="shared" ref="AZ74:AZ82" si="102">IF(DA74="","",IF(DA74="x",AZ$6,0)+IF(DA74="S",-AZ$6-0.00001,0))</f>
        <v/>
      </c>
      <c r="BA74" s="42" t="str">
        <f t="shared" ref="BA74:BA82" si="103">IF(DB74="","",IF(DB74="x",BA$6,0)+IF(DB74="S",-BA$6-0.00001,0))</f>
        <v/>
      </c>
      <c r="BB74" s="37" t="s">
        <v>106</v>
      </c>
      <c r="BC74" s="21"/>
      <c r="BD74" s="21"/>
      <c r="BG74" t="str">
        <f>IF(NOT(ISERROR(HLOOKUP(Standings!BG$3,Entries!$C66:$K66,1,FALSE))),"x",IF(NOT(ISERROR(HLOOKUP(Standings!BG$3,Entries!$L66:$L66,1,FALSE))),"S",""))</f>
        <v/>
      </c>
      <c r="BH74" t="str">
        <f>IF(NOT(ISERROR(HLOOKUP(Standings!BH$3,Entries!$C66:$K66,1,FALSE))),"x",IF(NOT(ISERROR(HLOOKUP(Standings!BH$3,Entries!$L66:$L66,1,FALSE))),"S",""))</f>
        <v/>
      </c>
      <c r="BI74" t="str">
        <f>IF(NOT(ISERROR(HLOOKUP(Standings!BI$3,Entries!$C66:$K66,1,FALSE))),"x",IF(NOT(ISERROR(HLOOKUP(Standings!BI$3,Entries!$L66:$L66,1,FALSE))),"S",""))</f>
        <v/>
      </c>
      <c r="BJ74" t="str">
        <f>IF(NOT(ISERROR(HLOOKUP(Standings!BJ$3,Entries!$C66:$K66,1,FALSE))),"x",IF(NOT(ISERROR(HLOOKUP(Standings!BJ$3,Entries!$L66:$L66,1,FALSE))),"S",""))</f>
        <v/>
      </c>
      <c r="BK74" t="str">
        <f>IF(NOT(ISERROR(HLOOKUP(Standings!BK$3,Entries!$C66:$K66,1,FALSE))),"x",IF(NOT(ISERROR(HLOOKUP(Standings!BK$3,Entries!$L66:$L66,1,FALSE))),"S",""))</f>
        <v/>
      </c>
      <c r="BL74" t="str">
        <f>IF(NOT(ISERROR(HLOOKUP(Standings!BL$3,Entries!$C66:$K66,1,FALSE))),"x",IF(NOT(ISERROR(HLOOKUP(Standings!BL$3,Entries!$L66:$L66,1,FALSE))),"S",""))</f>
        <v/>
      </c>
      <c r="BM74" t="str">
        <f>IF(NOT(ISERROR(HLOOKUP(Standings!BM$3,Entries!$C66:$K66,1,FALSE))),"x",IF(NOT(ISERROR(HLOOKUP(Standings!BM$3,Entries!$L66:$L66,1,FALSE))),"S",""))</f>
        <v>x</v>
      </c>
      <c r="BN74" t="str">
        <f>IF(NOT(ISERROR(HLOOKUP(Standings!BN$3,Entries!$C66:$K66,1,FALSE))),"x",IF(NOT(ISERROR(HLOOKUP(Standings!BN$3,Entries!$L66:$L66,1,FALSE))),"S",""))</f>
        <v/>
      </c>
      <c r="BO74" t="str">
        <f>IF(NOT(ISERROR(HLOOKUP(Standings!BO$3,Entries!$C66:$K66,1,FALSE))),"x",IF(NOT(ISERROR(HLOOKUP(Standings!BO$3,Entries!$L66:$L66,1,FALSE))),"S",""))</f>
        <v/>
      </c>
      <c r="BP74" t="str">
        <f>IF(NOT(ISERROR(HLOOKUP(Standings!BP$3,Entries!$C66:$K66,1,FALSE))),"x",IF(NOT(ISERROR(HLOOKUP(Standings!BP$3,Entries!$L66:$L66,1,FALSE))),"S",""))</f>
        <v>x</v>
      </c>
      <c r="BQ74" t="str">
        <f>IF(NOT(ISERROR(HLOOKUP(Standings!BQ$3,Entries!$C66:$K66,1,FALSE))),"x",IF(NOT(ISERROR(HLOOKUP(Standings!BQ$3,Entries!$L66:$L66,1,FALSE))),"S",""))</f>
        <v/>
      </c>
      <c r="BR74" t="str">
        <f>IF(NOT(ISERROR(HLOOKUP(Standings!BR$3,Entries!$C66:$K66,1,FALSE))),"x",IF(NOT(ISERROR(HLOOKUP(Standings!BR$3,Entries!$L66:$L66,1,FALSE))),"S",""))</f>
        <v/>
      </c>
      <c r="BS74" t="str">
        <f>IF(NOT(ISERROR(HLOOKUP(Standings!BS$3,Entries!$C66:$K66,1,FALSE))),"x",IF(NOT(ISERROR(HLOOKUP(Standings!BS$3,Entries!$L66:$L66,1,FALSE))),"S",""))</f>
        <v/>
      </c>
      <c r="BT74" t="str">
        <f>IF(NOT(ISERROR(HLOOKUP(Standings!BT$3,Entries!$C66:$K66,1,FALSE))),"x",IF(NOT(ISERROR(HLOOKUP(Standings!BT$3,Entries!$L66:$L66,1,FALSE))),"S",""))</f>
        <v/>
      </c>
      <c r="BU74" t="str">
        <f>IF(NOT(ISERROR(HLOOKUP(Standings!BU$3,Entries!$C66:$K66,1,FALSE))),"x",IF(NOT(ISERROR(HLOOKUP(Standings!BU$3,Entries!$L66:$L66,1,FALSE))),"S",""))</f>
        <v/>
      </c>
      <c r="BV74" t="str">
        <f>IF(NOT(ISERROR(HLOOKUP(Standings!BV$3,Entries!$C66:$K66,1,FALSE))),"x",IF(NOT(ISERROR(HLOOKUP(Standings!BV$3,Entries!$L66:$L66,1,FALSE))),"S",""))</f>
        <v/>
      </c>
      <c r="BW74" t="str">
        <f>IF(NOT(ISERROR(HLOOKUP(Standings!BW$3,Entries!$C66:$K66,1,FALSE))),"x",IF(NOT(ISERROR(HLOOKUP(Standings!BW$3,Entries!$L66:$L66,1,FALSE))),"S",""))</f>
        <v/>
      </c>
      <c r="BX74" t="str">
        <f>IF(NOT(ISERROR(HLOOKUP(Standings!BX$3,Entries!$C66:$K66,1,FALSE))),"x",IF(NOT(ISERROR(HLOOKUP(Standings!BX$3,Entries!$L66:$L66,1,FALSE))),"S",""))</f>
        <v/>
      </c>
      <c r="BY74" t="str">
        <f>IF(NOT(ISERROR(HLOOKUP(Standings!BY$3,Entries!$C66:$K66,1,FALSE))),"x",IF(NOT(ISERROR(HLOOKUP(Standings!BY$3,Entries!$L66:$L66,1,FALSE))),"S",""))</f>
        <v/>
      </c>
      <c r="BZ74" t="str">
        <f>IF(NOT(ISERROR(HLOOKUP(Standings!BZ$3,Entries!$C66:$K66,1,FALSE))),"x",IF(NOT(ISERROR(HLOOKUP(Standings!BZ$3,Entries!$L66:$L66,1,FALSE))),"S",""))</f>
        <v/>
      </c>
      <c r="CA74" t="str">
        <f>IF(NOT(ISERROR(HLOOKUP(Standings!CA$3,Entries!$C66:$K66,1,FALSE))),"x",IF(NOT(ISERROR(HLOOKUP(Standings!CA$3,Entries!$L66:$L66,1,FALSE))),"S",""))</f>
        <v/>
      </c>
      <c r="CB74" t="str">
        <f>IF(NOT(ISERROR(HLOOKUP(Standings!CB$3,Entries!$C66:$K66,1,FALSE))),"x",IF(NOT(ISERROR(HLOOKUP(Standings!CB$3,Entries!$L66:$L66,1,FALSE))),"S",""))</f>
        <v/>
      </c>
      <c r="CC74" t="str">
        <f>IF(NOT(ISERROR(HLOOKUP(Standings!CC$3,Entries!$C66:$K66,1,FALSE))),"x",IF(NOT(ISERROR(HLOOKUP(Standings!CC$3,Entries!$L66:$L66,1,FALSE))),"S",""))</f>
        <v/>
      </c>
      <c r="CD74" t="str">
        <f>IF(NOT(ISERROR(HLOOKUP(Standings!CD$3,Entries!$C66:$K66,1,FALSE))),"x",IF(NOT(ISERROR(HLOOKUP(Standings!CD$3,Entries!$L66:$L66,1,FALSE))),"S",""))</f>
        <v/>
      </c>
      <c r="CE74" t="str">
        <f>IF(NOT(ISERROR(HLOOKUP(Standings!CE$3,Entries!$C66:$K66,1,FALSE))),"x",IF(NOT(ISERROR(HLOOKUP(Standings!CE$3,Entries!$L66:$L66,1,FALSE))),"S",""))</f>
        <v>x</v>
      </c>
      <c r="CF74" t="str">
        <f>IF(NOT(ISERROR(HLOOKUP(Standings!CF$3,Entries!$C66:$K66,1,FALSE))),"x",IF(NOT(ISERROR(HLOOKUP(Standings!CF$3,Entries!$L66:$L66,1,FALSE))),"S",""))</f>
        <v/>
      </c>
      <c r="CG74" t="str">
        <f>IF(NOT(ISERROR(HLOOKUP(Standings!CG$3,Entries!$C66:$K66,1,FALSE))),"x",IF(NOT(ISERROR(HLOOKUP(Standings!CG$3,Entries!$L66:$L66,1,FALSE))),"S",""))</f>
        <v/>
      </c>
      <c r="CH74" t="str">
        <f>IF(NOT(ISERROR(HLOOKUP(Standings!CH$3,Entries!$C66:$K66,1,FALSE))),"x",IF(NOT(ISERROR(HLOOKUP(Standings!CH$3,Entries!$L66:$L66,1,FALSE))),"S",""))</f>
        <v/>
      </c>
      <c r="CI74" t="str">
        <f>IF(NOT(ISERROR(HLOOKUP(Standings!CI$3,Entries!$C66:$K66,1,FALSE))),"x",IF(NOT(ISERROR(HLOOKUP(Standings!CI$3,Entries!$L66:$L66,1,FALSE))),"S",""))</f>
        <v/>
      </c>
      <c r="CJ74" t="str">
        <f>IF(NOT(ISERROR(HLOOKUP(Standings!CJ$3,Entries!$C66:$K66,1,FALSE))),"x",IF(NOT(ISERROR(HLOOKUP(Standings!CJ$3,Entries!$L66:$L66,1,FALSE))),"S",""))</f>
        <v/>
      </c>
      <c r="CK74" t="str">
        <f>IF(NOT(ISERROR(HLOOKUP(Standings!CK$3,Entries!$C66:$K66,1,FALSE))),"x",IF(NOT(ISERROR(HLOOKUP(Standings!CK$3,Entries!$L66:$L66,1,FALSE))),"S",""))</f>
        <v/>
      </c>
      <c r="CL74" t="str">
        <f>IF(NOT(ISERROR(HLOOKUP(Standings!CL$3,Entries!$C66:$K66,1,FALSE))),"x",IF(NOT(ISERROR(HLOOKUP(Standings!CL$3,Entries!$L66:$L66,1,FALSE))),"S",""))</f>
        <v/>
      </c>
      <c r="CM74" t="str">
        <f>IF(NOT(ISERROR(HLOOKUP(Standings!CM$3,Entries!$C66:$K66,1,FALSE))),"x",IF(NOT(ISERROR(HLOOKUP(Standings!CM$3,Entries!$L66:$L66,1,FALSE))),"S",""))</f>
        <v>x</v>
      </c>
      <c r="CN74" t="str">
        <f>IF(NOT(ISERROR(HLOOKUP(Standings!CN$3,Entries!$C66:$K66,1,FALSE))),"x",IF(NOT(ISERROR(HLOOKUP(Standings!CN$3,Entries!$L66:$L66,1,FALSE))),"S",""))</f>
        <v/>
      </c>
      <c r="CO74" t="str">
        <f>IF(NOT(ISERROR(HLOOKUP(Standings!CO$3,Entries!$C66:$K66,1,FALSE))),"x",IF(NOT(ISERROR(HLOOKUP(Standings!CO$3,Entries!$L66:$L66,1,FALSE))),"S",""))</f>
        <v>x</v>
      </c>
      <c r="CP74" t="str">
        <f>IF(NOT(ISERROR(HLOOKUP(Standings!CP$3,Entries!$C66:$K66,1,FALSE))),"x",IF(NOT(ISERROR(HLOOKUP(Standings!CP$3,Entries!$L66:$L66,1,FALSE))),"S",""))</f>
        <v/>
      </c>
      <c r="CQ74" t="str">
        <f>IF(NOT(ISERROR(HLOOKUP(Standings!CQ$3,Entries!$C66:$K66,1,FALSE))),"x",IF(NOT(ISERROR(HLOOKUP(Standings!CQ$3,Entries!$L66:$L66,1,FALSE))),"S",""))</f>
        <v/>
      </c>
      <c r="CR74" t="str">
        <f>IF(NOT(ISERROR(HLOOKUP(Standings!CR$3,Entries!$C66:$K66,1,FALSE))),"x",IF(NOT(ISERROR(HLOOKUP(Standings!CR$3,Entries!$L66:$L66,1,FALSE))),"S",""))</f>
        <v/>
      </c>
      <c r="CS74" t="str">
        <f>IF(NOT(ISERROR(HLOOKUP(Standings!CS$3,Entries!$C66:$K66,1,FALSE))),"x",IF(NOT(ISERROR(HLOOKUP(Standings!CS$3,Entries!$L66:$L66,1,FALSE))),"S",""))</f>
        <v/>
      </c>
      <c r="CT74" t="str">
        <f>IF(NOT(ISERROR(HLOOKUP(Standings!CT$3,Entries!$C66:$K66,1,FALSE))),"x",IF(NOT(ISERROR(HLOOKUP(Standings!CT$3,Entries!$L66:$L66,1,FALSE))),"S",""))</f>
        <v/>
      </c>
      <c r="CU74" t="str">
        <f>IF(NOT(ISERROR(HLOOKUP(Standings!CU$3,Entries!$C66:$K66,1,FALSE))),"x",IF(NOT(ISERROR(HLOOKUP(Standings!CU$3,Entries!$L66:$L66,1,FALSE))),"S",""))</f>
        <v/>
      </c>
      <c r="CV74" t="str">
        <f>IF(NOT(ISERROR(HLOOKUP(Standings!CV$3,Entries!$C66:$K66,1,FALSE))),"x",IF(NOT(ISERROR(HLOOKUP(Standings!CV$3,Entries!$L66:$L66,1,FALSE))),"S",""))</f>
        <v/>
      </c>
      <c r="CW74" t="str">
        <f>IF(NOT(ISERROR(HLOOKUP(Standings!CW$3,Entries!$C66:$K66,1,FALSE))),"x",IF(NOT(ISERROR(HLOOKUP(Standings!CW$3,Entries!$L66:$L66,1,FALSE))),"S",""))</f>
        <v/>
      </c>
      <c r="CX74" t="str">
        <f>IF(NOT(ISERROR(HLOOKUP(Standings!CX$3,Entries!$C66:$K66,1,FALSE))),"x",IF(NOT(ISERROR(HLOOKUP(Standings!CX$3,Entries!$L66:$L66,1,FALSE))),"S",""))</f>
        <v/>
      </c>
      <c r="CY74" t="str">
        <f>IF(NOT(ISERROR(HLOOKUP(Standings!CY$3,Entries!$C66:$K66,1,FALSE))),"x",IF(NOT(ISERROR(HLOOKUP(Standings!CY$3,Entries!$L66:$L66,1,FALSE))),"S",""))</f>
        <v>S</v>
      </c>
      <c r="CZ74" t="str">
        <f>IF(NOT(ISERROR(HLOOKUP(Standings!CZ$3,Entries!$C66:$K66,1,FALSE))),"x",IF(NOT(ISERROR(HLOOKUP(Standings!CZ$3,Entries!$L66:$L66,1,FALSE))),"S",""))</f>
        <v/>
      </c>
      <c r="DA74" t="str">
        <f>IF(NOT(ISERROR(HLOOKUP(Standings!DA$3,Entries!$C66:$K66,1,FALSE))),"x",IF(NOT(ISERROR(HLOOKUP(Standings!DA$3,Entries!$L66:$L66,1,FALSE))),"S",""))</f>
        <v/>
      </c>
      <c r="DB74" t="str">
        <f>IF(NOT(ISERROR(HLOOKUP(Standings!DB$3,Entries!$C66:$K66,1,FALSE))),"x",IF(NOT(ISERROR(HLOOKUP(Standings!DB$3,Entries!$L66:$L66,1,FALSE))),"S",""))</f>
        <v/>
      </c>
    </row>
    <row r="75" spans="1:106" x14ac:dyDescent="0.25">
      <c r="A75" s="18"/>
      <c r="B75">
        <v>31</v>
      </c>
      <c r="C75" t="str">
        <f>Entries!B67</f>
        <v>Bwelter</v>
      </c>
      <c r="D75" s="4">
        <f t="shared" si="55"/>
        <v>51</v>
      </c>
      <c r="E75" s="31">
        <f t="shared" si="56"/>
        <v>1</v>
      </c>
      <c r="F75" s="40" t="str">
        <f t="shared" ref="F75:F82" si="104">IF(BG75="","",IF(BG75="x",F$6,0)+IF(BG75="S",-F$6-0.00001,0))</f>
        <v/>
      </c>
      <c r="G75" s="41" t="str">
        <f t="shared" si="57"/>
        <v/>
      </c>
      <c r="H75" s="41" t="str">
        <f t="shared" si="58"/>
        <v/>
      </c>
      <c r="I75" s="42" t="str">
        <f t="shared" si="59"/>
        <v/>
      </c>
      <c r="J75" s="40">
        <f t="shared" si="60"/>
        <v>1</v>
      </c>
      <c r="K75" s="41" t="str">
        <f t="shared" si="61"/>
        <v/>
      </c>
      <c r="L75" s="41" t="str">
        <f t="shared" si="62"/>
        <v/>
      </c>
      <c r="M75" s="42" t="str">
        <f t="shared" si="63"/>
        <v/>
      </c>
      <c r="N75" s="43">
        <f t="shared" si="64"/>
        <v>0</v>
      </c>
      <c r="O75" s="41" t="str">
        <f t="shared" si="65"/>
        <v/>
      </c>
      <c r="P75" s="41" t="str">
        <f t="shared" si="66"/>
        <v/>
      </c>
      <c r="Q75" s="42" t="str">
        <f t="shared" si="67"/>
        <v/>
      </c>
      <c r="R75" s="40" t="str">
        <f t="shared" si="68"/>
        <v/>
      </c>
      <c r="S75" s="41" t="str">
        <f t="shared" si="69"/>
        <v/>
      </c>
      <c r="T75" s="43" t="str">
        <f t="shared" si="70"/>
        <v/>
      </c>
      <c r="U75" s="42" t="str">
        <f t="shared" si="71"/>
        <v/>
      </c>
      <c r="V75" s="40">
        <f t="shared" si="72"/>
        <v>0</v>
      </c>
      <c r="W75" s="41" t="str">
        <f t="shared" si="73"/>
        <v/>
      </c>
      <c r="X75" s="41" t="str">
        <f t="shared" si="74"/>
        <v/>
      </c>
      <c r="Y75" s="42" t="str">
        <f t="shared" si="75"/>
        <v/>
      </c>
      <c r="Z75" s="40" t="str">
        <f t="shared" si="76"/>
        <v/>
      </c>
      <c r="AA75" s="41">
        <f t="shared" si="77"/>
        <v>0</v>
      </c>
      <c r="AB75" s="41" t="str">
        <f t="shared" si="78"/>
        <v/>
      </c>
      <c r="AC75" s="42" t="str">
        <f t="shared" si="79"/>
        <v/>
      </c>
      <c r="AD75" s="40" t="str">
        <f t="shared" si="80"/>
        <v/>
      </c>
      <c r="AE75" s="41">
        <f t="shared" si="81"/>
        <v>0</v>
      </c>
      <c r="AF75" s="41" t="str">
        <f t="shared" si="82"/>
        <v/>
      </c>
      <c r="AG75" s="42" t="str">
        <f t="shared" si="83"/>
        <v/>
      </c>
      <c r="AH75" s="40" t="str">
        <f t="shared" si="84"/>
        <v/>
      </c>
      <c r="AI75" s="41" t="str">
        <f t="shared" si="85"/>
        <v/>
      </c>
      <c r="AJ75" s="41" t="str">
        <f t="shared" si="86"/>
        <v/>
      </c>
      <c r="AK75" s="42" t="str">
        <f t="shared" si="87"/>
        <v/>
      </c>
      <c r="AL75" s="40" t="str">
        <f t="shared" si="88"/>
        <v/>
      </c>
      <c r="AM75" s="41" t="str">
        <f t="shared" si="89"/>
        <v/>
      </c>
      <c r="AN75" s="41" t="str">
        <f t="shared" si="90"/>
        <v/>
      </c>
      <c r="AO75" s="42" t="str">
        <f t="shared" si="91"/>
        <v/>
      </c>
      <c r="AP75" s="40" t="str">
        <f t="shared" si="92"/>
        <v/>
      </c>
      <c r="AQ75" s="41" t="str">
        <f t="shared" si="93"/>
        <v/>
      </c>
      <c r="AR75" s="41" t="str">
        <f t="shared" si="94"/>
        <v/>
      </c>
      <c r="AS75" s="42" t="str">
        <f t="shared" si="95"/>
        <v/>
      </c>
      <c r="AT75" s="40">
        <f t="shared" si="96"/>
        <v>-1.0000000000000001E-5</v>
      </c>
      <c r="AU75" s="41" t="str">
        <f t="shared" si="97"/>
        <v/>
      </c>
      <c r="AV75" s="41" t="str">
        <f t="shared" si="98"/>
        <v/>
      </c>
      <c r="AW75" s="42" t="str">
        <f t="shared" si="99"/>
        <v/>
      </c>
      <c r="AX75" s="40" t="str">
        <f t="shared" si="100"/>
        <v/>
      </c>
      <c r="AY75" s="41" t="str">
        <f t="shared" si="101"/>
        <v/>
      </c>
      <c r="AZ75" s="41" t="str">
        <f t="shared" si="102"/>
        <v/>
      </c>
      <c r="BA75" s="42" t="str">
        <f t="shared" si="103"/>
        <v/>
      </c>
      <c r="BB75" s="37" t="s">
        <v>106</v>
      </c>
      <c r="BD75" s="21"/>
      <c r="BG75" t="str">
        <f>IF(NOT(ISERROR(HLOOKUP(Standings!BG$3,Entries!$C67:$K67,1,FALSE))),"x",IF(NOT(ISERROR(HLOOKUP(Standings!BG$3,Entries!$L67:$L67,1,FALSE))),"S",""))</f>
        <v/>
      </c>
      <c r="BH75" t="str">
        <f>IF(NOT(ISERROR(HLOOKUP(Standings!BH$3,Entries!$C67:$K67,1,FALSE))),"x",IF(NOT(ISERROR(HLOOKUP(Standings!BH$3,Entries!$L67:$L67,1,FALSE))),"S",""))</f>
        <v/>
      </c>
      <c r="BI75" t="str">
        <f>IF(NOT(ISERROR(HLOOKUP(Standings!BI$3,Entries!$C67:$K67,1,FALSE))),"x",IF(NOT(ISERROR(HLOOKUP(Standings!BI$3,Entries!$L67:$L67,1,FALSE))),"S",""))</f>
        <v/>
      </c>
      <c r="BJ75" t="str">
        <f>IF(NOT(ISERROR(HLOOKUP(Standings!BJ$3,Entries!$C67:$K67,1,FALSE))),"x",IF(NOT(ISERROR(HLOOKUP(Standings!BJ$3,Entries!$L67:$L67,1,FALSE))),"S",""))</f>
        <v/>
      </c>
      <c r="BK75" t="str">
        <f>IF(NOT(ISERROR(HLOOKUP(Standings!BK$3,Entries!$C67:$K67,1,FALSE))),"x",IF(NOT(ISERROR(HLOOKUP(Standings!BK$3,Entries!$L67:$L67,1,FALSE))),"S",""))</f>
        <v>x</v>
      </c>
      <c r="BL75" t="str">
        <f>IF(NOT(ISERROR(HLOOKUP(Standings!BL$3,Entries!$C67:$K67,1,FALSE))),"x",IF(NOT(ISERROR(HLOOKUP(Standings!BL$3,Entries!$L67:$L67,1,FALSE))),"S",""))</f>
        <v/>
      </c>
      <c r="BM75" t="str">
        <f>IF(NOT(ISERROR(HLOOKUP(Standings!BM$3,Entries!$C67:$K67,1,FALSE))),"x",IF(NOT(ISERROR(HLOOKUP(Standings!BM$3,Entries!$L67:$L67,1,FALSE))),"S",""))</f>
        <v/>
      </c>
      <c r="BN75" t="str">
        <f>IF(NOT(ISERROR(HLOOKUP(Standings!BN$3,Entries!$C67:$K67,1,FALSE))),"x",IF(NOT(ISERROR(HLOOKUP(Standings!BN$3,Entries!$L67:$L67,1,FALSE))),"S",""))</f>
        <v/>
      </c>
      <c r="BO75" t="str">
        <f>IF(NOT(ISERROR(HLOOKUP(Standings!BO$3,Entries!$C67:$K67,1,FALSE))),"x",IF(NOT(ISERROR(HLOOKUP(Standings!BO$3,Entries!$L67:$L67,1,FALSE))),"S",""))</f>
        <v>x</v>
      </c>
      <c r="BP75" t="str">
        <f>IF(NOT(ISERROR(HLOOKUP(Standings!BP$3,Entries!$C67:$K67,1,FALSE))),"x",IF(NOT(ISERROR(HLOOKUP(Standings!BP$3,Entries!$L67:$L67,1,FALSE))),"S",""))</f>
        <v/>
      </c>
      <c r="BQ75" t="str">
        <f>IF(NOT(ISERROR(HLOOKUP(Standings!BQ$3,Entries!$C67:$K67,1,FALSE))),"x",IF(NOT(ISERROR(HLOOKUP(Standings!BQ$3,Entries!$L67:$L67,1,FALSE))),"S",""))</f>
        <v/>
      </c>
      <c r="BR75" t="str">
        <f>IF(NOT(ISERROR(HLOOKUP(Standings!BR$3,Entries!$C67:$K67,1,FALSE))),"x",IF(NOT(ISERROR(HLOOKUP(Standings!BR$3,Entries!$L67:$L67,1,FALSE))),"S",""))</f>
        <v/>
      </c>
      <c r="BS75" t="str">
        <f>IF(NOT(ISERROR(HLOOKUP(Standings!BS$3,Entries!$C67:$K67,1,FALSE))),"x",IF(NOT(ISERROR(HLOOKUP(Standings!BS$3,Entries!$L67:$L67,1,FALSE))),"S",""))</f>
        <v/>
      </c>
      <c r="BT75" t="str">
        <f>IF(NOT(ISERROR(HLOOKUP(Standings!BT$3,Entries!$C67:$K67,1,FALSE))),"x",IF(NOT(ISERROR(HLOOKUP(Standings!BT$3,Entries!$L67:$L67,1,FALSE))),"S",""))</f>
        <v/>
      </c>
      <c r="BU75" t="str">
        <f>IF(NOT(ISERROR(HLOOKUP(Standings!BU$3,Entries!$C67:$K67,1,FALSE))),"x",IF(NOT(ISERROR(HLOOKUP(Standings!BU$3,Entries!$L67:$L67,1,FALSE))),"S",""))</f>
        <v/>
      </c>
      <c r="BV75" t="str">
        <f>IF(NOT(ISERROR(HLOOKUP(Standings!BV$3,Entries!$C67:$K67,1,FALSE))),"x",IF(NOT(ISERROR(HLOOKUP(Standings!BV$3,Entries!$L67:$L67,1,FALSE))),"S",""))</f>
        <v/>
      </c>
      <c r="BW75" t="str">
        <f>IF(NOT(ISERROR(HLOOKUP(Standings!BW$3,Entries!$C67:$K67,1,FALSE))),"x",IF(NOT(ISERROR(HLOOKUP(Standings!BW$3,Entries!$L67:$L67,1,FALSE))),"S",""))</f>
        <v>x</v>
      </c>
      <c r="BX75" t="str">
        <f>IF(NOT(ISERROR(HLOOKUP(Standings!BX$3,Entries!$C67:$K67,1,FALSE))),"x",IF(NOT(ISERROR(HLOOKUP(Standings!BX$3,Entries!$L67:$L67,1,FALSE))),"S",""))</f>
        <v/>
      </c>
      <c r="BY75" t="str">
        <f>IF(NOT(ISERROR(HLOOKUP(Standings!BY$3,Entries!$C67:$K67,1,FALSE))),"x",IF(NOT(ISERROR(HLOOKUP(Standings!BY$3,Entries!$L67:$L67,1,FALSE))),"S",""))</f>
        <v/>
      </c>
      <c r="BZ75" t="str">
        <f>IF(NOT(ISERROR(HLOOKUP(Standings!BZ$3,Entries!$C67:$K67,1,FALSE))),"x",IF(NOT(ISERROR(HLOOKUP(Standings!BZ$3,Entries!$L67:$L67,1,FALSE))),"S",""))</f>
        <v/>
      </c>
      <c r="CA75" t="str">
        <f>IF(NOT(ISERROR(HLOOKUP(Standings!CA$3,Entries!$C67:$K67,1,FALSE))),"x",IF(NOT(ISERROR(HLOOKUP(Standings!CA$3,Entries!$L67:$L67,1,FALSE))),"S",""))</f>
        <v/>
      </c>
      <c r="CB75" t="str">
        <f>IF(NOT(ISERROR(HLOOKUP(Standings!CB$3,Entries!$C67:$K67,1,FALSE))),"x",IF(NOT(ISERROR(HLOOKUP(Standings!CB$3,Entries!$L67:$L67,1,FALSE))),"S",""))</f>
        <v>x</v>
      </c>
      <c r="CC75" t="str">
        <f>IF(NOT(ISERROR(HLOOKUP(Standings!CC$3,Entries!$C67:$K67,1,FALSE))),"x",IF(NOT(ISERROR(HLOOKUP(Standings!CC$3,Entries!$L67:$L67,1,FALSE))),"S",""))</f>
        <v/>
      </c>
      <c r="CD75" t="str">
        <f>IF(NOT(ISERROR(HLOOKUP(Standings!CD$3,Entries!$C67:$K67,1,FALSE))),"x",IF(NOT(ISERROR(HLOOKUP(Standings!CD$3,Entries!$L67:$L67,1,FALSE))),"S",""))</f>
        <v/>
      </c>
      <c r="CE75" t="str">
        <f>IF(NOT(ISERROR(HLOOKUP(Standings!CE$3,Entries!$C67:$K67,1,FALSE))),"x",IF(NOT(ISERROR(HLOOKUP(Standings!CE$3,Entries!$L67:$L67,1,FALSE))),"S",""))</f>
        <v/>
      </c>
      <c r="CF75" t="str">
        <f>IF(NOT(ISERROR(HLOOKUP(Standings!CF$3,Entries!$C67:$K67,1,FALSE))),"x",IF(NOT(ISERROR(HLOOKUP(Standings!CF$3,Entries!$L67:$L67,1,FALSE))),"S",""))</f>
        <v>x</v>
      </c>
      <c r="CG75" t="str">
        <f>IF(NOT(ISERROR(HLOOKUP(Standings!CG$3,Entries!$C67:$K67,1,FALSE))),"x",IF(NOT(ISERROR(HLOOKUP(Standings!CG$3,Entries!$L67:$L67,1,FALSE))),"S",""))</f>
        <v/>
      </c>
      <c r="CH75" t="str">
        <f>IF(NOT(ISERROR(HLOOKUP(Standings!CH$3,Entries!$C67:$K67,1,FALSE))),"x",IF(NOT(ISERROR(HLOOKUP(Standings!CH$3,Entries!$L67:$L67,1,FALSE))),"S",""))</f>
        <v/>
      </c>
      <c r="CI75" t="str">
        <f>IF(NOT(ISERROR(HLOOKUP(Standings!CI$3,Entries!$C67:$K67,1,FALSE))),"x",IF(NOT(ISERROR(HLOOKUP(Standings!CI$3,Entries!$L67:$L67,1,FALSE))),"S",""))</f>
        <v/>
      </c>
      <c r="CJ75" t="str">
        <f>IF(NOT(ISERROR(HLOOKUP(Standings!CJ$3,Entries!$C67:$K67,1,FALSE))),"x",IF(NOT(ISERROR(HLOOKUP(Standings!CJ$3,Entries!$L67:$L67,1,FALSE))),"S",""))</f>
        <v/>
      </c>
      <c r="CK75" t="str">
        <f>IF(NOT(ISERROR(HLOOKUP(Standings!CK$3,Entries!$C67:$K67,1,FALSE))),"x",IF(NOT(ISERROR(HLOOKUP(Standings!CK$3,Entries!$L67:$L67,1,FALSE))),"S",""))</f>
        <v/>
      </c>
      <c r="CL75" t="str">
        <f>IF(NOT(ISERROR(HLOOKUP(Standings!CL$3,Entries!$C67:$K67,1,FALSE))),"x",IF(NOT(ISERROR(HLOOKUP(Standings!CL$3,Entries!$L67:$L67,1,FALSE))),"S",""))</f>
        <v/>
      </c>
      <c r="CM75" t="str">
        <f>IF(NOT(ISERROR(HLOOKUP(Standings!CM$3,Entries!$C67:$K67,1,FALSE))),"x",IF(NOT(ISERROR(HLOOKUP(Standings!CM$3,Entries!$L67:$L67,1,FALSE))),"S",""))</f>
        <v/>
      </c>
      <c r="CN75" t="str">
        <f>IF(NOT(ISERROR(HLOOKUP(Standings!CN$3,Entries!$C67:$K67,1,FALSE))),"x",IF(NOT(ISERROR(HLOOKUP(Standings!CN$3,Entries!$L67:$L67,1,FALSE))),"S",""))</f>
        <v/>
      </c>
      <c r="CO75" t="str">
        <f>IF(NOT(ISERROR(HLOOKUP(Standings!CO$3,Entries!$C67:$K67,1,FALSE))),"x",IF(NOT(ISERROR(HLOOKUP(Standings!CO$3,Entries!$L67:$L67,1,FALSE))),"S",""))</f>
        <v/>
      </c>
      <c r="CP75" t="str">
        <f>IF(NOT(ISERROR(HLOOKUP(Standings!CP$3,Entries!$C67:$K67,1,FALSE))),"x",IF(NOT(ISERROR(HLOOKUP(Standings!CP$3,Entries!$L67:$L67,1,FALSE))),"S",""))</f>
        <v/>
      </c>
      <c r="CQ75" t="str">
        <f>IF(NOT(ISERROR(HLOOKUP(Standings!CQ$3,Entries!$C67:$K67,1,FALSE))),"x",IF(NOT(ISERROR(HLOOKUP(Standings!CQ$3,Entries!$L67:$L67,1,FALSE))),"S",""))</f>
        <v/>
      </c>
      <c r="CR75" t="str">
        <f>IF(NOT(ISERROR(HLOOKUP(Standings!CR$3,Entries!$C67:$K67,1,FALSE))),"x",IF(NOT(ISERROR(HLOOKUP(Standings!CR$3,Entries!$L67:$L67,1,FALSE))),"S",""))</f>
        <v/>
      </c>
      <c r="CS75" t="str">
        <f>IF(NOT(ISERROR(HLOOKUP(Standings!CS$3,Entries!$C67:$K67,1,FALSE))),"x",IF(NOT(ISERROR(HLOOKUP(Standings!CS$3,Entries!$L67:$L67,1,FALSE))),"S",""))</f>
        <v/>
      </c>
      <c r="CT75" t="str">
        <f>IF(NOT(ISERROR(HLOOKUP(Standings!CT$3,Entries!$C67:$K67,1,FALSE))),"x",IF(NOT(ISERROR(HLOOKUP(Standings!CT$3,Entries!$L67:$L67,1,FALSE))),"S",""))</f>
        <v/>
      </c>
      <c r="CU75" t="str">
        <f>IF(NOT(ISERROR(HLOOKUP(Standings!CU$3,Entries!$C67:$K67,1,FALSE))),"x",IF(NOT(ISERROR(HLOOKUP(Standings!CU$3,Entries!$L67:$L67,1,FALSE))),"S",""))</f>
        <v>S</v>
      </c>
      <c r="CV75" t="str">
        <f>IF(NOT(ISERROR(HLOOKUP(Standings!CV$3,Entries!$C67:$K67,1,FALSE))),"x",IF(NOT(ISERROR(HLOOKUP(Standings!CV$3,Entries!$L67:$L67,1,FALSE))),"S",""))</f>
        <v/>
      </c>
      <c r="CW75" t="str">
        <f>IF(NOT(ISERROR(HLOOKUP(Standings!CW$3,Entries!$C67:$K67,1,FALSE))),"x",IF(NOT(ISERROR(HLOOKUP(Standings!CW$3,Entries!$L67:$L67,1,FALSE))),"S",""))</f>
        <v/>
      </c>
      <c r="CX75" t="str">
        <f>IF(NOT(ISERROR(HLOOKUP(Standings!CX$3,Entries!$C67:$K67,1,FALSE))),"x",IF(NOT(ISERROR(HLOOKUP(Standings!CX$3,Entries!$L67:$L67,1,FALSE))),"S",""))</f>
        <v/>
      </c>
      <c r="CY75" t="str">
        <f>IF(NOT(ISERROR(HLOOKUP(Standings!CY$3,Entries!$C67:$K67,1,FALSE))),"x",IF(NOT(ISERROR(HLOOKUP(Standings!CY$3,Entries!$L67:$L67,1,FALSE))),"S",""))</f>
        <v/>
      </c>
      <c r="CZ75" t="str">
        <f>IF(NOT(ISERROR(HLOOKUP(Standings!CZ$3,Entries!$C67:$K67,1,FALSE))),"x",IF(NOT(ISERROR(HLOOKUP(Standings!CZ$3,Entries!$L67:$L67,1,FALSE))),"S",""))</f>
        <v/>
      </c>
      <c r="DA75" t="str">
        <f>IF(NOT(ISERROR(HLOOKUP(Standings!DA$3,Entries!$C67:$K67,1,FALSE))),"x",IF(NOT(ISERROR(HLOOKUP(Standings!DA$3,Entries!$L67:$L67,1,FALSE))),"S",""))</f>
        <v/>
      </c>
      <c r="DB75" t="str">
        <f>IF(NOT(ISERROR(HLOOKUP(Standings!DB$3,Entries!$C67:$K67,1,FALSE))),"x",IF(NOT(ISERROR(HLOOKUP(Standings!DB$3,Entries!$L67:$L67,1,FALSE))),"S",""))</f>
        <v/>
      </c>
    </row>
    <row r="76" spans="1:106" ht="16.5" customHeight="1" x14ac:dyDescent="0.25">
      <c r="B76">
        <v>56</v>
      </c>
      <c r="C76" t="str">
        <f>Entries!B68</f>
        <v>Ryan H</v>
      </c>
      <c r="D76" s="4">
        <f t="shared" si="55"/>
        <v>18</v>
      </c>
      <c r="E76" s="31">
        <f t="shared" si="56"/>
        <v>2</v>
      </c>
      <c r="F76" s="40" t="str">
        <f t="shared" si="104"/>
        <v/>
      </c>
      <c r="G76" s="41" t="str">
        <f t="shared" si="57"/>
        <v/>
      </c>
      <c r="H76" s="41" t="str">
        <f t="shared" si="58"/>
        <v/>
      </c>
      <c r="I76" s="42" t="str">
        <f t="shared" si="59"/>
        <v/>
      </c>
      <c r="J76" s="40" t="str">
        <f t="shared" si="60"/>
        <v/>
      </c>
      <c r="K76" s="41" t="str">
        <f t="shared" si="61"/>
        <v/>
      </c>
      <c r="L76" s="41" t="str">
        <f t="shared" si="62"/>
        <v/>
      </c>
      <c r="M76" s="42" t="str">
        <f t="shared" si="63"/>
        <v/>
      </c>
      <c r="N76" s="43" t="str">
        <f t="shared" si="64"/>
        <v/>
      </c>
      <c r="O76" s="41" t="str">
        <f t="shared" si="65"/>
        <v/>
      </c>
      <c r="P76" s="41" t="str">
        <f t="shared" si="66"/>
        <v/>
      </c>
      <c r="Q76" s="42" t="str">
        <f t="shared" si="67"/>
        <v/>
      </c>
      <c r="R76" s="40">
        <f t="shared" si="68"/>
        <v>2</v>
      </c>
      <c r="S76" s="41" t="str">
        <f t="shared" si="69"/>
        <v/>
      </c>
      <c r="T76" s="43" t="str">
        <f t="shared" si="70"/>
        <v/>
      </c>
      <c r="U76" s="42" t="str">
        <f t="shared" si="71"/>
        <v/>
      </c>
      <c r="V76" s="40">
        <f t="shared" si="72"/>
        <v>0</v>
      </c>
      <c r="W76" s="41" t="str">
        <f t="shared" si="73"/>
        <v/>
      </c>
      <c r="X76" s="41" t="str">
        <f t="shared" si="74"/>
        <v/>
      </c>
      <c r="Y76" s="42" t="str">
        <f t="shared" si="75"/>
        <v/>
      </c>
      <c r="Z76" s="40" t="str">
        <f t="shared" si="76"/>
        <v/>
      </c>
      <c r="AA76" s="41" t="str">
        <f t="shared" si="77"/>
        <v/>
      </c>
      <c r="AB76" s="41" t="str">
        <f t="shared" si="78"/>
        <v/>
      </c>
      <c r="AC76" s="42" t="str">
        <f t="shared" si="79"/>
        <v/>
      </c>
      <c r="AD76" s="40" t="str">
        <f t="shared" si="80"/>
        <v/>
      </c>
      <c r="AE76" s="41">
        <f t="shared" si="81"/>
        <v>0</v>
      </c>
      <c r="AF76" s="41" t="str">
        <f t="shared" si="82"/>
        <v/>
      </c>
      <c r="AG76" s="42" t="str">
        <f t="shared" si="83"/>
        <v/>
      </c>
      <c r="AH76" s="40" t="str">
        <f t="shared" si="84"/>
        <v/>
      </c>
      <c r="AI76" s="41" t="str">
        <f t="shared" si="85"/>
        <v/>
      </c>
      <c r="AJ76" s="41" t="str">
        <f t="shared" si="86"/>
        <v/>
      </c>
      <c r="AK76" s="42" t="str">
        <f t="shared" si="87"/>
        <v/>
      </c>
      <c r="AL76" s="40" t="str">
        <f t="shared" si="88"/>
        <v/>
      </c>
      <c r="AM76" s="41" t="str">
        <f t="shared" si="89"/>
        <v/>
      </c>
      <c r="AN76" s="41">
        <f t="shared" si="90"/>
        <v>-1.0000000000000001E-5</v>
      </c>
      <c r="AO76" s="42" t="str">
        <f t="shared" si="91"/>
        <v/>
      </c>
      <c r="AP76" s="40">
        <f t="shared" si="92"/>
        <v>0</v>
      </c>
      <c r="AQ76" s="41" t="str">
        <f t="shared" si="93"/>
        <v/>
      </c>
      <c r="AR76" s="41" t="str">
        <f t="shared" si="94"/>
        <v/>
      </c>
      <c r="AS76" s="42" t="str">
        <f t="shared" si="95"/>
        <v/>
      </c>
      <c r="AT76" s="40" t="str">
        <f t="shared" si="96"/>
        <v/>
      </c>
      <c r="AU76" s="41" t="str">
        <f t="shared" si="97"/>
        <v/>
      </c>
      <c r="AV76" s="41" t="str">
        <f t="shared" si="98"/>
        <v/>
      </c>
      <c r="AW76" s="42" t="str">
        <f t="shared" si="99"/>
        <v/>
      </c>
      <c r="AX76" s="40" t="str">
        <f t="shared" si="100"/>
        <v/>
      </c>
      <c r="AY76" s="41" t="str">
        <f t="shared" si="101"/>
        <v/>
      </c>
      <c r="AZ76" s="41" t="str">
        <f t="shared" si="102"/>
        <v/>
      </c>
      <c r="BA76" s="42" t="str">
        <f t="shared" si="103"/>
        <v/>
      </c>
      <c r="BB76" s="37" t="s">
        <v>106</v>
      </c>
      <c r="BC76" s="21"/>
      <c r="BD76" s="21"/>
      <c r="BG76" t="str">
        <f>IF(NOT(ISERROR(HLOOKUP(Standings!BG$3,Entries!$C68:$K68,1,FALSE))),"x",IF(NOT(ISERROR(HLOOKUP(Standings!BG$3,Entries!$L68:$L68,1,FALSE))),"S",""))</f>
        <v/>
      </c>
      <c r="BH76" t="str">
        <f>IF(NOT(ISERROR(HLOOKUP(Standings!BH$3,Entries!$C68:$K68,1,FALSE))),"x",IF(NOT(ISERROR(HLOOKUP(Standings!BH$3,Entries!$L68:$L68,1,FALSE))),"S",""))</f>
        <v/>
      </c>
      <c r="BI76" t="str">
        <f>IF(NOT(ISERROR(HLOOKUP(Standings!BI$3,Entries!$C68:$K68,1,FALSE))),"x",IF(NOT(ISERROR(HLOOKUP(Standings!BI$3,Entries!$L68:$L68,1,FALSE))),"S",""))</f>
        <v/>
      </c>
      <c r="BJ76" t="str">
        <f>IF(NOT(ISERROR(HLOOKUP(Standings!BJ$3,Entries!$C68:$K68,1,FALSE))),"x",IF(NOT(ISERROR(HLOOKUP(Standings!BJ$3,Entries!$L68:$L68,1,FALSE))),"S",""))</f>
        <v/>
      </c>
      <c r="BK76" t="str">
        <f>IF(NOT(ISERROR(HLOOKUP(Standings!BK$3,Entries!$C68:$K68,1,FALSE))),"x",IF(NOT(ISERROR(HLOOKUP(Standings!BK$3,Entries!$L68:$L68,1,FALSE))),"S",""))</f>
        <v/>
      </c>
      <c r="BL76" t="str">
        <f>IF(NOT(ISERROR(HLOOKUP(Standings!BL$3,Entries!$C68:$K68,1,FALSE))),"x",IF(NOT(ISERROR(HLOOKUP(Standings!BL$3,Entries!$L68:$L68,1,FALSE))),"S",""))</f>
        <v/>
      </c>
      <c r="BM76" t="str">
        <f>IF(NOT(ISERROR(HLOOKUP(Standings!BM$3,Entries!$C68:$K68,1,FALSE))),"x",IF(NOT(ISERROR(HLOOKUP(Standings!BM$3,Entries!$L68:$L68,1,FALSE))),"S",""))</f>
        <v/>
      </c>
      <c r="BN76" t="str">
        <f>IF(NOT(ISERROR(HLOOKUP(Standings!BN$3,Entries!$C68:$K68,1,FALSE))),"x",IF(NOT(ISERROR(HLOOKUP(Standings!BN$3,Entries!$L68:$L68,1,FALSE))),"S",""))</f>
        <v/>
      </c>
      <c r="BO76" t="str">
        <f>IF(NOT(ISERROR(HLOOKUP(Standings!BO$3,Entries!$C68:$K68,1,FALSE))),"x",IF(NOT(ISERROR(HLOOKUP(Standings!BO$3,Entries!$L68:$L68,1,FALSE))),"S",""))</f>
        <v/>
      </c>
      <c r="BP76" t="str">
        <f>IF(NOT(ISERROR(HLOOKUP(Standings!BP$3,Entries!$C68:$K68,1,FALSE))),"x",IF(NOT(ISERROR(HLOOKUP(Standings!BP$3,Entries!$L68:$L68,1,FALSE))),"S",""))</f>
        <v/>
      </c>
      <c r="BQ76" t="str">
        <f>IF(NOT(ISERROR(HLOOKUP(Standings!BQ$3,Entries!$C68:$K68,1,FALSE))),"x",IF(NOT(ISERROR(HLOOKUP(Standings!BQ$3,Entries!$L68:$L68,1,FALSE))),"S",""))</f>
        <v/>
      </c>
      <c r="BR76" t="str">
        <f>IF(NOT(ISERROR(HLOOKUP(Standings!BR$3,Entries!$C68:$K68,1,FALSE))),"x",IF(NOT(ISERROR(HLOOKUP(Standings!BR$3,Entries!$L68:$L68,1,FALSE))),"S",""))</f>
        <v/>
      </c>
      <c r="BS76" t="str">
        <f>IF(NOT(ISERROR(HLOOKUP(Standings!BS$3,Entries!$C68:$K68,1,FALSE))),"x",IF(NOT(ISERROR(HLOOKUP(Standings!BS$3,Entries!$L68:$L68,1,FALSE))),"S",""))</f>
        <v>x</v>
      </c>
      <c r="BT76" t="str">
        <f>IF(NOT(ISERROR(HLOOKUP(Standings!BT$3,Entries!$C68:$K68,1,FALSE))),"x",IF(NOT(ISERROR(HLOOKUP(Standings!BT$3,Entries!$L68:$L68,1,FALSE))),"S",""))</f>
        <v/>
      </c>
      <c r="BU76" t="str">
        <f>IF(NOT(ISERROR(HLOOKUP(Standings!BU$3,Entries!$C68:$K68,1,FALSE))),"x",IF(NOT(ISERROR(HLOOKUP(Standings!BU$3,Entries!$L68:$L68,1,FALSE))),"S",""))</f>
        <v/>
      </c>
      <c r="BV76" t="str">
        <f>IF(NOT(ISERROR(HLOOKUP(Standings!BV$3,Entries!$C68:$K68,1,FALSE))),"x",IF(NOT(ISERROR(HLOOKUP(Standings!BV$3,Entries!$L68:$L68,1,FALSE))),"S",""))</f>
        <v/>
      </c>
      <c r="BW76" t="str">
        <f>IF(NOT(ISERROR(HLOOKUP(Standings!BW$3,Entries!$C68:$K68,1,FALSE))),"x",IF(NOT(ISERROR(HLOOKUP(Standings!BW$3,Entries!$L68:$L68,1,FALSE))),"S",""))</f>
        <v>x</v>
      </c>
      <c r="BX76" t="str">
        <f>IF(NOT(ISERROR(HLOOKUP(Standings!BX$3,Entries!$C68:$K68,1,FALSE))),"x",IF(NOT(ISERROR(HLOOKUP(Standings!BX$3,Entries!$L68:$L68,1,FALSE))),"S",""))</f>
        <v/>
      </c>
      <c r="BY76" t="str">
        <f>IF(NOT(ISERROR(HLOOKUP(Standings!BY$3,Entries!$C68:$K68,1,FALSE))),"x",IF(NOT(ISERROR(HLOOKUP(Standings!BY$3,Entries!$L68:$L68,1,FALSE))),"S",""))</f>
        <v/>
      </c>
      <c r="BZ76" t="str">
        <f>IF(NOT(ISERROR(HLOOKUP(Standings!BZ$3,Entries!$C68:$K68,1,FALSE))),"x",IF(NOT(ISERROR(HLOOKUP(Standings!BZ$3,Entries!$L68:$L68,1,FALSE))),"S",""))</f>
        <v/>
      </c>
      <c r="CA76" t="str">
        <f>IF(NOT(ISERROR(HLOOKUP(Standings!CA$3,Entries!$C68:$K68,1,FALSE))),"x",IF(NOT(ISERROR(HLOOKUP(Standings!CA$3,Entries!$L68:$L68,1,FALSE))),"S",""))</f>
        <v/>
      </c>
      <c r="CB76" t="str">
        <f>IF(NOT(ISERROR(HLOOKUP(Standings!CB$3,Entries!$C68:$K68,1,FALSE))),"x",IF(NOT(ISERROR(HLOOKUP(Standings!CB$3,Entries!$L68:$L68,1,FALSE))),"S",""))</f>
        <v/>
      </c>
      <c r="CC76" t="str">
        <f>IF(NOT(ISERROR(HLOOKUP(Standings!CC$3,Entries!$C68:$K68,1,FALSE))),"x",IF(NOT(ISERROR(HLOOKUP(Standings!CC$3,Entries!$L68:$L68,1,FALSE))),"S",""))</f>
        <v/>
      </c>
      <c r="CD76" t="str">
        <f>IF(NOT(ISERROR(HLOOKUP(Standings!CD$3,Entries!$C68:$K68,1,FALSE))),"x",IF(NOT(ISERROR(HLOOKUP(Standings!CD$3,Entries!$L68:$L68,1,FALSE))),"S",""))</f>
        <v/>
      </c>
      <c r="CE76" t="str">
        <f>IF(NOT(ISERROR(HLOOKUP(Standings!CE$3,Entries!$C68:$K68,1,FALSE))),"x",IF(NOT(ISERROR(HLOOKUP(Standings!CE$3,Entries!$L68:$L68,1,FALSE))),"S",""))</f>
        <v/>
      </c>
      <c r="CF76" t="str">
        <f>IF(NOT(ISERROR(HLOOKUP(Standings!CF$3,Entries!$C68:$K68,1,FALSE))),"x",IF(NOT(ISERROR(HLOOKUP(Standings!CF$3,Entries!$L68:$L68,1,FALSE))),"S",""))</f>
        <v>x</v>
      </c>
      <c r="CG76" t="str">
        <f>IF(NOT(ISERROR(HLOOKUP(Standings!CG$3,Entries!$C68:$K68,1,FALSE))),"x",IF(NOT(ISERROR(HLOOKUP(Standings!CG$3,Entries!$L68:$L68,1,FALSE))),"S",""))</f>
        <v/>
      </c>
      <c r="CH76" t="str">
        <f>IF(NOT(ISERROR(HLOOKUP(Standings!CH$3,Entries!$C68:$K68,1,FALSE))),"x",IF(NOT(ISERROR(HLOOKUP(Standings!CH$3,Entries!$L68:$L68,1,FALSE))),"S",""))</f>
        <v/>
      </c>
      <c r="CI76" t="str">
        <f>IF(NOT(ISERROR(HLOOKUP(Standings!CI$3,Entries!$C68:$K68,1,FALSE))),"x",IF(NOT(ISERROR(HLOOKUP(Standings!CI$3,Entries!$L68:$L68,1,FALSE))),"S",""))</f>
        <v/>
      </c>
      <c r="CJ76" t="str">
        <f>IF(NOT(ISERROR(HLOOKUP(Standings!CJ$3,Entries!$C68:$K68,1,FALSE))),"x",IF(NOT(ISERROR(HLOOKUP(Standings!CJ$3,Entries!$L68:$L68,1,FALSE))),"S",""))</f>
        <v/>
      </c>
      <c r="CK76" t="str">
        <f>IF(NOT(ISERROR(HLOOKUP(Standings!CK$3,Entries!$C68:$K68,1,FALSE))),"x",IF(NOT(ISERROR(HLOOKUP(Standings!CK$3,Entries!$L68:$L68,1,FALSE))),"S",""))</f>
        <v/>
      </c>
      <c r="CL76" t="str">
        <f>IF(NOT(ISERROR(HLOOKUP(Standings!CL$3,Entries!$C68:$K68,1,FALSE))),"x",IF(NOT(ISERROR(HLOOKUP(Standings!CL$3,Entries!$L68:$L68,1,FALSE))),"S",""))</f>
        <v/>
      </c>
      <c r="CM76" t="str">
        <f>IF(NOT(ISERROR(HLOOKUP(Standings!CM$3,Entries!$C68:$K68,1,FALSE))),"x",IF(NOT(ISERROR(HLOOKUP(Standings!CM$3,Entries!$L68:$L68,1,FALSE))),"S",""))</f>
        <v/>
      </c>
      <c r="CN76" t="str">
        <f>IF(NOT(ISERROR(HLOOKUP(Standings!CN$3,Entries!$C68:$K68,1,FALSE))),"x",IF(NOT(ISERROR(HLOOKUP(Standings!CN$3,Entries!$L68:$L68,1,FALSE))),"S",""))</f>
        <v/>
      </c>
      <c r="CO76" t="str">
        <f>IF(NOT(ISERROR(HLOOKUP(Standings!CO$3,Entries!$C68:$K68,1,FALSE))),"x",IF(NOT(ISERROR(HLOOKUP(Standings!CO$3,Entries!$L68:$L68,1,FALSE))),"S",""))</f>
        <v>S</v>
      </c>
      <c r="CP76" t="str">
        <f>IF(NOT(ISERROR(HLOOKUP(Standings!CP$3,Entries!$C68:$K68,1,FALSE))),"x",IF(NOT(ISERROR(HLOOKUP(Standings!CP$3,Entries!$L68:$L68,1,FALSE))),"S",""))</f>
        <v/>
      </c>
      <c r="CQ76" t="str">
        <f>IF(NOT(ISERROR(HLOOKUP(Standings!CQ$3,Entries!$C68:$K68,1,FALSE))),"x",IF(NOT(ISERROR(HLOOKUP(Standings!CQ$3,Entries!$L68:$L68,1,FALSE))),"S",""))</f>
        <v>x</v>
      </c>
      <c r="CR76" t="str">
        <f>IF(NOT(ISERROR(HLOOKUP(Standings!CR$3,Entries!$C68:$K68,1,FALSE))),"x",IF(NOT(ISERROR(HLOOKUP(Standings!CR$3,Entries!$L68:$L68,1,FALSE))),"S",""))</f>
        <v/>
      </c>
      <c r="CS76" t="str">
        <f>IF(NOT(ISERROR(HLOOKUP(Standings!CS$3,Entries!$C68:$K68,1,FALSE))),"x",IF(NOT(ISERROR(HLOOKUP(Standings!CS$3,Entries!$L68:$L68,1,FALSE))),"S",""))</f>
        <v/>
      </c>
      <c r="CT76" t="str">
        <f>IF(NOT(ISERROR(HLOOKUP(Standings!CT$3,Entries!$C68:$K68,1,FALSE))),"x",IF(NOT(ISERROR(HLOOKUP(Standings!CT$3,Entries!$L68:$L68,1,FALSE))),"S",""))</f>
        <v/>
      </c>
      <c r="CU76" t="str">
        <f>IF(NOT(ISERROR(HLOOKUP(Standings!CU$3,Entries!$C68:$K68,1,FALSE))),"x",IF(NOT(ISERROR(HLOOKUP(Standings!CU$3,Entries!$L68:$L68,1,FALSE))),"S",""))</f>
        <v/>
      </c>
      <c r="CV76" t="str">
        <f>IF(NOT(ISERROR(HLOOKUP(Standings!CV$3,Entries!$C68:$K68,1,FALSE))),"x",IF(NOT(ISERROR(HLOOKUP(Standings!CV$3,Entries!$L68:$L68,1,FALSE))),"S",""))</f>
        <v/>
      </c>
      <c r="CW76" t="str">
        <f>IF(NOT(ISERROR(HLOOKUP(Standings!CW$3,Entries!$C68:$K68,1,FALSE))),"x",IF(NOT(ISERROR(HLOOKUP(Standings!CW$3,Entries!$L68:$L68,1,FALSE))),"S",""))</f>
        <v/>
      </c>
      <c r="CX76" t="str">
        <f>IF(NOT(ISERROR(HLOOKUP(Standings!CX$3,Entries!$C68:$K68,1,FALSE))),"x",IF(NOT(ISERROR(HLOOKUP(Standings!CX$3,Entries!$L68:$L68,1,FALSE))),"S",""))</f>
        <v/>
      </c>
      <c r="CY76" t="str">
        <f>IF(NOT(ISERROR(HLOOKUP(Standings!CY$3,Entries!$C68:$K68,1,FALSE))),"x",IF(NOT(ISERROR(HLOOKUP(Standings!CY$3,Entries!$L68:$L68,1,FALSE))),"S",""))</f>
        <v/>
      </c>
      <c r="CZ76" t="str">
        <f>IF(NOT(ISERROR(HLOOKUP(Standings!CZ$3,Entries!$C68:$K68,1,FALSE))),"x",IF(NOT(ISERROR(HLOOKUP(Standings!CZ$3,Entries!$L68:$L68,1,FALSE))),"S",""))</f>
        <v/>
      </c>
      <c r="DA76" t="str">
        <f>IF(NOT(ISERROR(HLOOKUP(Standings!DA$3,Entries!$C68:$K68,1,FALSE))),"x",IF(NOT(ISERROR(HLOOKUP(Standings!DA$3,Entries!$L68:$L68,1,FALSE))),"S",""))</f>
        <v/>
      </c>
      <c r="DB76" t="str">
        <f>IF(NOT(ISERROR(HLOOKUP(Standings!DB$3,Entries!$C68:$K68,1,FALSE))),"x",IF(NOT(ISERROR(HLOOKUP(Standings!DB$3,Entries!$L68:$L68,1,FALSE))),"S",""))</f>
        <v/>
      </c>
    </row>
    <row r="77" spans="1:106" x14ac:dyDescent="0.25">
      <c r="B77">
        <v>43</v>
      </c>
      <c r="C77" t="str">
        <f>Entries!B69</f>
        <v>EColvin1</v>
      </c>
      <c r="D77" s="4">
        <f t="shared" si="55"/>
        <v>18</v>
      </c>
      <c r="E77" s="31">
        <f t="shared" si="56"/>
        <v>2</v>
      </c>
      <c r="F77" s="40" t="str">
        <f t="shared" si="104"/>
        <v/>
      </c>
      <c r="G77" s="41" t="str">
        <f t="shared" si="57"/>
        <v/>
      </c>
      <c r="H77" s="41">
        <f t="shared" si="58"/>
        <v>2</v>
      </c>
      <c r="I77" s="42" t="str">
        <f t="shared" si="59"/>
        <v/>
      </c>
      <c r="J77" s="40" t="str">
        <f t="shared" si="60"/>
        <v/>
      </c>
      <c r="K77" s="41">
        <f t="shared" si="61"/>
        <v>0</v>
      </c>
      <c r="L77" s="41" t="str">
        <f t="shared" si="62"/>
        <v/>
      </c>
      <c r="M77" s="42" t="str">
        <f t="shared" si="63"/>
        <v/>
      </c>
      <c r="N77" s="43" t="str">
        <f t="shared" si="64"/>
        <v/>
      </c>
      <c r="O77" s="41" t="str">
        <f t="shared" si="65"/>
        <v/>
      </c>
      <c r="P77" s="41" t="str">
        <f t="shared" si="66"/>
        <v/>
      </c>
      <c r="Q77" s="42" t="str">
        <f t="shared" si="67"/>
        <v/>
      </c>
      <c r="R77" s="40" t="str">
        <f t="shared" si="68"/>
        <v/>
      </c>
      <c r="S77" s="41" t="str">
        <f t="shared" si="69"/>
        <v/>
      </c>
      <c r="T77" s="43" t="str">
        <f t="shared" si="70"/>
        <v/>
      </c>
      <c r="U77" s="42" t="str">
        <f t="shared" si="71"/>
        <v/>
      </c>
      <c r="V77" s="40" t="str">
        <f t="shared" si="72"/>
        <v/>
      </c>
      <c r="W77" s="41" t="str">
        <f t="shared" si="73"/>
        <v/>
      </c>
      <c r="X77" s="41" t="str">
        <f t="shared" si="74"/>
        <v/>
      </c>
      <c r="Y77" s="42">
        <f t="shared" si="75"/>
        <v>0</v>
      </c>
      <c r="Z77" s="40" t="str">
        <f t="shared" si="76"/>
        <v/>
      </c>
      <c r="AA77" s="41" t="str">
        <f t="shared" si="77"/>
        <v/>
      </c>
      <c r="AB77" s="41" t="str">
        <f t="shared" si="78"/>
        <v/>
      </c>
      <c r="AC77" s="42" t="str">
        <f t="shared" si="79"/>
        <v/>
      </c>
      <c r="AD77" s="40">
        <f t="shared" si="80"/>
        <v>0</v>
      </c>
      <c r="AE77" s="41">
        <f t="shared" si="81"/>
        <v>0</v>
      </c>
      <c r="AF77" s="41" t="str">
        <f t="shared" si="82"/>
        <v/>
      </c>
      <c r="AG77" s="42" t="str">
        <f t="shared" si="83"/>
        <v/>
      </c>
      <c r="AH77" s="40" t="str">
        <f t="shared" si="84"/>
        <v/>
      </c>
      <c r="AI77" s="41" t="str">
        <f t="shared" si="85"/>
        <v/>
      </c>
      <c r="AJ77" s="41" t="str">
        <f t="shared" si="86"/>
        <v/>
      </c>
      <c r="AK77" s="42" t="str">
        <f t="shared" si="87"/>
        <v/>
      </c>
      <c r="AL77" s="40">
        <f t="shared" si="88"/>
        <v>-1.0000000000000001E-5</v>
      </c>
      <c r="AM77" s="41" t="str">
        <f t="shared" si="89"/>
        <v/>
      </c>
      <c r="AN77" s="41" t="str">
        <f t="shared" si="90"/>
        <v/>
      </c>
      <c r="AO77" s="42" t="str">
        <f t="shared" si="91"/>
        <v/>
      </c>
      <c r="AP77" s="40" t="str">
        <f t="shared" si="92"/>
        <v/>
      </c>
      <c r="AQ77" s="41" t="str">
        <f t="shared" si="93"/>
        <v/>
      </c>
      <c r="AR77" s="41" t="str">
        <f t="shared" si="94"/>
        <v/>
      </c>
      <c r="AS77" s="42" t="str">
        <f t="shared" si="95"/>
        <v/>
      </c>
      <c r="AT77" s="40">
        <f t="shared" si="96"/>
        <v>0</v>
      </c>
      <c r="AU77" s="41" t="str">
        <f t="shared" si="97"/>
        <v/>
      </c>
      <c r="AV77" s="41" t="str">
        <f t="shared" si="98"/>
        <v/>
      </c>
      <c r="AW77" s="42" t="str">
        <f t="shared" si="99"/>
        <v/>
      </c>
      <c r="AX77" s="40" t="str">
        <f t="shared" si="100"/>
        <v/>
      </c>
      <c r="AY77" s="41">
        <f t="shared" si="101"/>
        <v>0</v>
      </c>
      <c r="AZ77" s="41" t="str">
        <f t="shared" si="102"/>
        <v/>
      </c>
      <c r="BA77" s="42" t="str">
        <f t="shared" si="103"/>
        <v/>
      </c>
      <c r="BB77" s="37" t="s">
        <v>106</v>
      </c>
      <c r="BC77" s="21"/>
      <c r="BD77" s="21"/>
      <c r="BG77" t="str">
        <f>IF(NOT(ISERROR(HLOOKUP(Standings!BG$3,Entries!$C69:$K69,1,FALSE))),"x",IF(NOT(ISERROR(HLOOKUP(Standings!BG$3,Entries!$L69:$L69,1,FALSE))),"S",""))</f>
        <v/>
      </c>
      <c r="BH77" t="str">
        <f>IF(NOT(ISERROR(HLOOKUP(Standings!BH$3,Entries!$C69:$K69,1,FALSE))),"x",IF(NOT(ISERROR(HLOOKUP(Standings!BH$3,Entries!$L69:$L69,1,FALSE))),"S",""))</f>
        <v/>
      </c>
      <c r="BI77" t="str">
        <f>IF(NOT(ISERROR(HLOOKUP(Standings!BI$3,Entries!$C69:$K69,1,FALSE))),"x",IF(NOT(ISERROR(HLOOKUP(Standings!BI$3,Entries!$L69:$L69,1,FALSE))),"S",""))</f>
        <v>x</v>
      </c>
      <c r="BJ77" t="str">
        <f>IF(NOT(ISERROR(HLOOKUP(Standings!BJ$3,Entries!$C69:$K69,1,FALSE))),"x",IF(NOT(ISERROR(HLOOKUP(Standings!BJ$3,Entries!$L69:$L69,1,FALSE))),"S",""))</f>
        <v/>
      </c>
      <c r="BK77" t="str">
        <f>IF(NOT(ISERROR(HLOOKUP(Standings!BK$3,Entries!$C69:$K69,1,FALSE))),"x",IF(NOT(ISERROR(HLOOKUP(Standings!BK$3,Entries!$L69:$L69,1,FALSE))),"S",""))</f>
        <v/>
      </c>
      <c r="BL77" t="str">
        <f>IF(NOT(ISERROR(HLOOKUP(Standings!BL$3,Entries!$C69:$K69,1,FALSE))),"x",IF(NOT(ISERROR(HLOOKUP(Standings!BL$3,Entries!$L69:$L69,1,FALSE))),"S",""))</f>
        <v>x</v>
      </c>
      <c r="BM77" t="str">
        <f>IF(NOT(ISERROR(HLOOKUP(Standings!BM$3,Entries!$C69:$K69,1,FALSE))),"x",IF(NOT(ISERROR(HLOOKUP(Standings!BM$3,Entries!$L69:$L69,1,FALSE))),"S",""))</f>
        <v/>
      </c>
      <c r="BN77" t="str">
        <f>IF(NOT(ISERROR(HLOOKUP(Standings!BN$3,Entries!$C69:$K69,1,FALSE))),"x",IF(NOT(ISERROR(HLOOKUP(Standings!BN$3,Entries!$L69:$L69,1,FALSE))),"S",""))</f>
        <v/>
      </c>
      <c r="BO77" t="str">
        <f>IF(NOT(ISERROR(HLOOKUP(Standings!BO$3,Entries!$C69:$K69,1,FALSE))),"x",IF(NOT(ISERROR(HLOOKUP(Standings!BO$3,Entries!$L69:$L69,1,FALSE))),"S",""))</f>
        <v/>
      </c>
      <c r="BP77" t="str">
        <f>IF(NOT(ISERROR(HLOOKUP(Standings!BP$3,Entries!$C69:$K69,1,FALSE))),"x",IF(NOT(ISERROR(HLOOKUP(Standings!BP$3,Entries!$L69:$L69,1,FALSE))),"S",""))</f>
        <v/>
      </c>
      <c r="BQ77" t="str">
        <f>IF(NOT(ISERROR(HLOOKUP(Standings!BQ$3,Entries!$C69:$K69,1,FALSE))),"x",IF(NOT(ISERROR(HLOOKUP(Standings!BQ$3,Entries!$L69:$L69,1,FALSE))),"S",""))</f>
        <v/>
      </c>
      <c r="BR77" t="str">
        <f>IF(NOT(ISERROR(HLOOKUP(Standings!BR$3,Entries!$C69:$K69,1,FALSE))),"x",IF(NOT(ISERROR(HLOOKUP(Standings!BR$3,Entries!$L69:$L69,1,FALSE))),"S",""))</f>
        <v/>
      </c>
      <c r="BS77" t="str">
        <f>IF(NOT(ISERROR(HLOOKUP(Standings!BS$3,Entries!$C69:$K69,1,FALSE))),"x",IF(NOT(ISERROR(HLOOKUP(Standings!BS$3,Entries!$L69:$L69,1,FALSE))),"S",""))</f>
        <v/>
      </c>
      <c r="BT77" t="str">
        <f>IF(NOT(ISERROR(HLOOKUP(Standings!BT$3,Entries!$C69:$K69,1,FALSE))),"x",IF(NOT(ISERROR(HLOOKUP(Standings!BT$3,Entries!$L69:$L69,1,FALSE))),"S",""))</f>
        <v/>
      </c>
      <c r="BU77" t="str">
        <f>IF(NOT(ISERROR(HLOOKUP(Standings!BU$3,Entries!$C69:$K69,1,FALSE))),"x",IF(NOT(ISERROR(HLOOKUP(Standings!BU$3,Entries!$L69:$L69,1,FALSE))),"S",""))</f>
        <v/>
      </c>
      <c r="BV77" t="str">
        <f>IF(NOT(ISERROR(HLOOKUP(Standings!BV$3,Entries!$C69:$K69,1,FALSE))),"x",IF(NOT(ISERROR(HLOOKUP(Standings!BV$3,Entries!$L69:$L69,1,FALSE))),"S",""))</f>
        <v/>
      </c>
      <c r="BW77" t="str">
        <f>IF(NOT(ISERROR(HLOOKUP(Standings!BW$3,Entries!$C69:$K69,1,FALSE))),"x",IF(NOT(ISERROR(HLOOKUP(Standings!BW$3,Entries!$L69:$L69,1,FALSE))),"S",""))</f>
        <v/>
      </c>
      <c r="BX77" t="str">
        <f>IF(NOT(ISERROR(HLOOKUP(Standings!BX$3,Entries!$C69:$K69,1,FALSE))),"x",IF(NOT(ISERROR(HLOOKUP(Standings!BX$3,Entries!$L69:$L69,1,FALSE))),"S",""))</f>
        <v/>
      </c>
      <c r="BY77" t="str">
        <f>IF(NOT(ISERROR(HLOOKUP(Standings!BY$3,Entries!$C69:$K69,1,FALSE))),"x",IF(NOT(ISERROR(HLOOKUP(Standings!BY$3,Entries!$L69:$L69,1,FALSE))),"S",""))</f>
        <v/>
      </c>
      <c r="BZ77" t="str">
        <f>IF(NOT(ISERROR(HLOOKUP(Standings!BZ$3,Entries!$C69:$K69,1,FALSE))),"x",IF(NOT(ISERROR(HLOOKUP(Standings!BZ$3,Entries!$L69:$L69,1,FALSE))),"S",""))</f>
        <v>x</v>
      </c>
      <c r="CA77" t="str">
        <f>IF(NOT(ISERROR(HLOOKUP(Standings!CA$3,Entries!$C69:$K69,1,FALSE))),"x",IF(NOT(ISERROR(HLOOKUP(Standings!CA$3,Entries!$L69:$L69,1,FALSE))),"S",""))</f>
        <v/>
      </c>
      <c r="CB77" t="str">
        <f>IF(NOT(ISERROR(HLOOKUP(Standings!CB$3,Entries!$C69:$K69,1,FALSE))),"x",IF(NOT(ISERROR(HLOOKUP(Standings!CB$3,Entries!$L69:$L69,1,FALSE))),"S",""))</f>
        <v/>
      </c>
      <c r="CC77" t="str">
        <f>IF(NOT(ISERROR(HLOOKUP(Standings!CC$3,Entries!$C69:$K69,1,FALSE))),"x",IF(NOT(ISERROR(HLOOKUP(Standings!CC$3,Entries!$L69:$L69,1,FALSE))),"S",""))</f>
        <v/>
      </c>
      <c r="CD77" t="str">
        <f>IF(NOT(ISERROR(HLOOKUP(Standings!CD$3,Entries!$C69:$K69,1,FALSE))),"x",IF(NOT(ISERROR(HLOOKUP(Standings!CD$3,Entries!$L69:$L69,1,FALSE))),"S",""))</f>
        <v/>
      </c>
      <c r="CE77" t="str">
        <f>IF(NOT(ISERROR(HLOOKUP(Standings!CE$3,Entries!$C69:$K69,1,FALSE))),"x",IF(NOT(ISERROR(HLOOKUP(Standings!CE$3,Entries!$L69:$L69,1,FALSE))),"S",""))</f>
        <v>x</v>
      </c>
      <c r="CF77" t="str">
        <f>IF(NOT(ISERROR(HLOOKUP(Standings!CF$3,Entries!$C69:$K69,1,FALSE))),"x",IF(NOT(ISERROR(HLOOKUP(Standings!CF$3,Entries!$L69:$L69,1,FALSE))),"S",""))</f>
        <v>x</v>
      </c>
      <c r="CG77" t="str">
        <f>IF(NOT(ISERROR(HLOOKUP(Standings!CG$3,Entries!$C69:$K69,1,FALSE))),"x",IF(NOT(ISERROR(HLOOKUP(Standings!CG$3,Entries!$L69:$L69,1,FALSE))),"S",""))</f>
        <v/>
      </c>
      <c r="CH77" t="str">
        <f>IF(NOT(ISERROR(HLOOKUP(Standings!CH$3,Entries!$C69:$K69,1,FALSE))),"x",IF(NOT(ISERROR(HLOOKUP(Standings!CH$3,Entries!$L69:$L69,1,FALSE))),"S",""))</f>
        <v/>
      </c>
      <c r="CI77" t="str">
        <f>IF(NOT(ISERROR(HLOOKUP(Standings!CI$3,Entries!$C69:$K69,1,FALSE))),"x",IF(NOT(ISERROR(HLOOKUP(Standings!CI$3,Entries!$L69:$L69,1,FALSE))),"S",""))</f>
        <v/>
      </c>
      <c r="CJ77" t="str">
        <f>IF(NOT(ISERROR(HLOOKUP(Standings!CJ$3,Entries!$C69:$K69,1,FALSE))),"x",IF(NOT(ISERROR(HLOOKUP(Standings!CJ$3,Entries!$L69:$L69,1,FALSE))),"S",""))</f>
        <v/>
      </c>
      <c r="CK77" t="str">
        <f>IF(NOT(ISERROR(HLOOKUP(Standings!CK$3,Entries!$C69:$K69,1,FALSE))),"x",IF(NOT(ISERROR(HLOOKUP(Standings!CK$3,Entries!$L69:$L69,1,FALSE))),"S",""))</f>
        <v/>
      </c>
      <c r="CL77" t="str">
        <f>IF(NOT(ISERROR(HLOOKUP(Standings!CL$3,Entries!$C69:$K69,1,FALSE))),"x",IF(NOT(ISERROR(HLOOKUP(Standings!CL$3,Entries!$L69:$L69,1,FALSE))),"S",""))</f>
        <v/>
      </c>
      <c r="CM77" t="str">
        <f>IF(NOT(ISERROR(HLOOKUP(Standings!CM$3,Entries!$C69:$K69,1,FALSE))),"x",IF(NOT(ISERROR(HLOOKUP(Standings!CM$3,Entries!$L69:$L69,1,FALSE))),"S",""))</f>
        <v>S</v>
      </c>
      <c r="CN77" t="str">
        <f>IF(NOT(ISERROR(HLOOKUP(Standings!CN$3,Entries!$C69:$K69,1,FALSE))),"x",IF(NOT(ISERROR(HLOOKUP(Standings!CN$3,Entries!$L69:$L69,1,FALSE))),"S",""))</f>
        <v/>
      </c>
      <c r="CO77" t="str">
        <f>IF(NOT(ISERROR(HLOOKUP(Standings!CO$3,Entries!$C69:$K69,1,FALSE))),"x",IF(NOT(ISERROR(HLOOKUP(Standings!CO$3,Entries!$L69:$L69,1,FALSE))),"S",""))</f>
        <v/>
      </c>
      <c r="CP77" t="str">
        <f>IF(NOT(ISERROR(HLOOKUP(Standings!CP$3,Entries!$C69:$K69,1,FALSE))),"x",IF(NOT(ISERROR(HLOOKUP(Standings!CP$3,Entries!$L69:$L69,1,FALSE))),"S",""))</f>
        <v/>
      </c>
      <c r="CQ77" t="str">
        <f>IF(NOT(ISERROR(HLOOKUP(Standings!CQ$3,Entries!$C69:$K69,1,FALSE))),"x",IF(NOT(ISERROR(HLOOKUP(Standings!CQ$3,Entries!$L69:$L69,1,FALSE))),"S",""))</f>
        <v/>
      </c>
      <c r="CR77" t="str">
        <f>IF(NOT(ISERROR(HLOOKUP(Standings!CR$3,Entries!$C69:$K69,1,FALSE))),"x",IF(NOT(ISERROR(HLOOKUP(Standings!CR$3,Entries!$L69:$L69,1,FALSE))),"S",""))</f>
        <v/>
      </c>
      <c r="CS77" t="str">
        <f>IF(NOT(ISERROR(HLOOKUP(Standings!CS$3,Entries!$C69:$K69,1,FALSE))),"x",IF(NOT(ISERROR(HLOOKUP(Standings!CS$3,Entries!$L69:$L69,1,FALSE))),"S",""))</f>
        <v/>
      </c>
      <c r="CT77" t="str">
        <f>IF(NOT(ISERROR(HLOOKUP(Standings!CT$3,Entries!$C69:$K69,1,FALSE))),"x",IF(NOT(ISERROR(HLOOKUP(Standings!CT$3,Entries!$L69:$L69,1,FALSE))),"S",""))</f>
        <v/>
      </c>
      <c r="CU77" t="str">
        <f>IF(NOT(ISERROR(HLOOKUP(Standings!CU$3,Entries!$C69:$K69,1,FALSE))),"x",IF(NOT(ISERROR(HLOOKUP(Standings!CU$3,Entries!$L69:$L69,1,FALSE))),"S",""))</f>
        <v>x</v>
      </c>
      <c r="CV77" t="str">
        <f>IF(NOT(ISERROR(HLOOKUP(Standings!CV$3,Entries!$C69:$K69,1,FALSE))),"x",IF(NOT(ISERROR(HLOOKUP(Standings!CV$3,Entries!$L69:$L69,1,FALSE))),"S",""))</f>
        <v/>
      </c>
      <c r="CW77" t="str">
        <f>IF(NOT(ISERROR(HLOOKUP(Standings!CW$3,Entries!$C69:$K69,1,FALSE))),"x",IF(NOT(ISERROR(HLOOKUP(Standings!CW$3,Entries!$L69:$L69,1,FALSE))),"S",""))</f>
        <v/>
      </c>
      <c r="CX77" t="str">
        <f>IF(NOT(ISERROR(HLOOKUP(Standings!CX$3,Entries!$C69:$K69,1,FALSE))),"x",IF(NOT(ISERROR(HLOOKUP(Standings!CX$3,Entries!$L69:$L69,1,FALSE))),"S",""))</f>
        <v/>
      </c>
      <c r="CY77" t="str">
        <f>IF(NOT(ISERROR(HLOOKUP(Standings!CY$3,Entries!$C69:$K69,1,FALSE))),"x",IF(NOT(ISERROR(HLOOKUP(Standings!CY$3,Entries!$L69:$L69,1,FALSE))),"S",""))</f>
        <v/>
      </c>
      <c r="CZ77" t="str">
        <f>IF(NOT(ISERROR(HLOOKUP(Standings!CZ$3,Entries!$C69:$K69,1,FALSE))),"x",IF(NOT(ISERROR(HLOOKUP(Standings!CZ$3,Entries!$L69:$L69,1,FALSE))),"S",""))</f>
        <v>x</v>
      </c>
      <c r="DA77" t="str">
        <f>IF(NOT(ISERROR(HLOOKUP(Standings!DA$3,Entries!$C69:$K69,1,FALSE))),"x",IF(NOT(ISERROR(HLOOKUP(Standings!DA$3,Entries!$L69:$L69,1,FALSE))),"S",""))</f>
        <v/>
      </c>
      <c r="DB77" t="str">
        <f>IF(NOT(ISERROR(HLOOKUP(Standings!DB$3,Entries!$C69:$K69,1,FALSE))),"x",IF(NOT(ISERROR(HLOOKUP(Standings!DB$3,Entries!$L69:$L69,1,FALSE))),"S",""))</f>
        <v/>
      </c>
    </row>
    <row r="78" spans="1:106" x14ac:dyDescent="0.25">
      <c r="B78">
        <v>70</v>
      </c>
      <c r="C78" t="str">
        <f>Entries!B70</f>
        <v>EColvin2</v>
      </c>
      <c r="D78" s="4">
        <f t="shared" si="55"/>
        <v>18</v>
      </c>
      <c r="E78" s="31">
        <f t="shared" si="56"/>
        <v>2</v>
      </c>
      <c r="F78" s="40" t="str">
        <f t="shared" si="104"/>
        <v/>
      </c>
      <c r="G78" s="41" t="str">
        <f t="shared" si="57"/>
        <v/>
      </c>
      <c r="H78" s="41">
        <f t="shared" si="58"/>
        <v>2</v>
      </c>
      <c r="I78" s="42" t="str">
        <f t="shared" si="59"/>
        <v/>
      </c>
      <c r="J78" s="40" t="str">
        <f t="shared" si="60"/>
        <v/>
      </c>
      <c r="K78" s="41" t="str">
        <f t="shared" si="61"/>
        <v/>
      </c>
      <c r="L78" s="41" t="str">
        <f t="shared" si="62"/>
        <v/>
      </c>
      <c r="M78" s="42" t="str">
        <f t="shared" si="63"/>
        <v/>
      </c>
      <c r="N78" s="43" t="str">
        <f t="shared" si="64"/>
        <v/>
      </c>
      <c r="O78" s="41" t="str">
        <f t="shared" si="65"/>
        <v/>
      </c>
      <c r="P78" s="41" t="str">
        <f t="shared" si="66"/>
        <v/>
      </c>
      <c r="Q78" s="42" t="str">
        <f t="shared" si="67"/>
        <v/>
      </c>
      <c r="R78" s="40" t="str">
        <f t="shared" si="68"/>
        <v/>
      </c>
      <c r="S78" s="41" t="str">
        <f t="shared" si="69"/>
        <v/>
      </c>
      <c r="T78" s="43" t="str">
        <f t="shared" si="70"/>
        <v/>
      </c>
      <c r="U78" s="42" t="str">
        <f t="shared" si="71"/>
        <v/>
      </c>
      <c r="V78" s="40" t="str">
        <f t="shared" si="72"/>
        <v/>
      </c>
      <c r="W78" s="41" t="str">
        <f t="shared" si="73"/>
        <v/>
      </c>
      <c r="X78" s="41" t="str">
        <f t="shared" si="74"/>
        <v/>
      </c>
      <c r="Y78" s="42">
        <f t="shared" si="75"/>
        <v>0</v>
      </c>
      <c r="Z78" s="40">
        <f t="shared" si="76"/>
        <v>0</v>
      </c>
      <c r="AA78" s="41" t="str">
        <f t="shared" si="77"/>
        <v/>
      </c>
      <c r="AB78" s="41" t="str">
        <f t="shared" si="78"/>
        <v/>
      </c>
      <c r="AC78" s="42" t="str">
        <f t="shared" si="79"/>
        <v/>
      </c>
      <c r="AD78" s="40">
        <f t="shared" si="80"/>
        <v>0</v>
      </c>
      <c r="AE78" s="41" t="str">
        <f t="shared" si="81"/>
        <v/>
      </c>
      <c r="AF78" s="41" t="str">
        <f t="shared" si="82"/>
        <v/>
      </c>
      <c r="AG78" s="42" t="str">
        <f t="shared" si="83"/>
        <v/>
      </c>
      <c r="AH78" s="40" t="str">
        <f t="shared" si="84"/>
        <v/>
      </c>
      <c r="AI78" s="41" t="str">
        <f t="shared" si="85"/>
        <v/>
      </c>
      <c r="AJ78" s="41" t="str">
        <f t="shared" si="86"/>
        <v/>
      </c>
      <c r="AK78" s="42" t="str">
        <f t="shared" si="87"/>
        <v/>
      </c>
      <c r="AL78" s="40">
        <f t="shared" si="88"/>
        <v>-1.0000000000000001E-5</v>
      </c>
      <c r="AM78" s="41" t="str">
        <f t="shared" si="89"/>
        <v/>
      </c>
      <c r="AN78" s="41" t="str">
        <f t="shared" si="90"/>
        <v/>
      </c>
      <c r="AO78" s="42" t="str">
        <f t="shared" si="91"/>
        <v/>
      </c>
      <c r="AP78" s="40" t="str">
        <f t="shared" si="92"/>
        <v/>
      </c>
      <c r="AQ78" s="41" t="str">
        <f t="shared" si="93"/>
        <v/>
      </c>
      <c r="AR78" s="41" t="str">
        <f t="shared" si="94"/>
        <v/>
      </c>
      <c r="AS78" s="42" t="str">
        <f t="shared" si="95"/>
        <v/>
      </c>
      <c r="AT78" s="40">
        <f t="shared" si="96"/>
        <v>0</v>
      </c>
      <c r="AU78" s="41" t="str">
        <f t="shared" si="97"/>
        <v/>
      </c>
      <c r="AV78" s="41" t="str">
        <f t="shared" si="98"/>
        <v/>
      </c>
      <c r="AW78" s="42" t="str">
        <f t="shared" si="99"/>
        <v/>
      </c>
      <c r="AX78" s="40" t="str">
        <f t="shared" si="100"/>
        <v/>
      </c>
      <c r="AY78" s="41">
        <f t="shared" si="101"/>
        <v>0</v>
      </c>
      <c r="AZ78" s="41" t="str">
        <f t="shared" si="102"/>
        <v/>
      </c>
      <c r="BA78" s="42" t="str">
        <f t="shared" si="103"/>
        <v/>
      </c>
      <c r="BB78" s="37" t="s">
        <v>106</v>
      </c>
      <c r="BC78" s="21"/>
      <c r="BD78" s="21"/>
      <c r="BG78" t="str">
        <f>IF(NOT(ISERROR(HLOOKUP(Standings!BG$3,Entries!$C70:$K70,1,FALSE))),"x",IF(NOT(ISERROR(HLOOKUP(Standings!BG$3,Entries!$L70:$L70,1,FALSE))),"S",""))</f>
        <v/>
      </c>
      <c r="BH78" t="str">
        <f>IF(NOT(ISERROR(HLOOKUP(Standings!BH$3,Entries!$C70:$K70,1,FALSE))),"x",IF(NOT(ISERROR(HLOOKUP(Standings!BH$3,Entries!$L70:$L70,1,FALSE))),"S",""))</f>
        <v/>
      </c>
      <c r="BI78" t="str">
        <f>IF(NOT(ISERROR(HLOOKUP(Standings!BI$3,Entries!$C70:$K70,1,FALSE))),"x",IF(NOT(ISERROR(HLOOKUP(Standings!BI$3,Entries!$L70:$L70,1,FALSE))),"S",""))</f>
        <v>x</v>
      </c>
      <c r="BJ78" t="str">
        <f>IF(NOT(ISERROR(HLOOKUP(Standings!BJ$3,Entries!$C70:$K70,1,FALSE))),"x",IF(NOT(ISERROR(HLOOKUP(Standings!BJ$3,Entries!$L70:$L70,1,FALSE))),"S",""))</f>
        <v/>
      </c>
      <c r="BK78" t="str">
        <f>IF(NOT(ISERROR(HLOOKUP(Standings!BK$3,Entries!$C70:$K70,1,FALSE))),"x",IF(NOT(ISERROR(HLOOKUP(Standings!BK$3,Entries!$L70:$L70,1,FALSE))),"S",""))</f>
        <v/>
      </c>
      <c r="BL78" t="str">
        <f>IF(NOT(ISERROR(HLOOKUP(Standings!BL$3,Entries!$C70:$K70,1,FALSE))),"x",IF(NOT(ISERROR(HLOOKUP(Standings!BL$3,Entries!$L70:$L70,1,FALSE))),"S",""))</f>
        <v/>
      </c>
      <c r="BM78" t="str">
        <f>IF(NOT(ISERROR(HLOOKUP(Standings!BM$3,Entries!$C70:$K70,1,FALSE))),"x",IF(NOT(ISERROR(HLOOKUP(Standings!BM$3,Entries!$L70:$L70,1,FALSE))),"S",""))</f>
        <v/>
      </c>
      <c r="BN78" t="str">
        <f>IF(NOT(ISERROR(HLOOKUP(Standings!BN$3,Entries!$C70:$K70,1,FALSE))),"x",IF(NOT(ISERROR(HLOOKUP(Standings!BN$3,Entries!$L70:$L70,1,FALSE))),"S",""))</f>
        <v/>
      </c>
      <c r="BO78" t="str">
        <f>IF(NOT(ISERROR(HLOOKUP(Standings!BO$3,Entries!$C70:$K70,1,FALSE))),"x",IF(NOT(ISERROR(HLOOKUP(Standings!BO$3,Entries!$L70:$L70,1,FALSE))),"S",""))</f>
        <v/>
      </c>
      <c r="BP78" t="str">
        <f>IF(NOT(ISERROR(HLOOKUP(Standings!BP$3,Entries!$C70:$K70,1,FALSE))),"x",IF(NOT(ISERROR(HLOOKUP(Standings!BP$3,Entries!$L70:$L70,1,FALSE))),"S",""))</f>
        <v/>
      </c>
      <c r="BQ78" t="str">
        <f>IF(NOT(ISERROR(HLOOKUP(Standings!BQ$3,Entries!$C70:$K70,1,FALSE))),"x",IF(NOT(ISERROR(HLOOKUP(Standings!BQ$3,Entries!$L70:$L70,1,FALSE))),"S",""))</f>
        <v/>
      </c>
      <c r="BR78" t="str">
        <f>IF(NOT(ISERROR(HLOOKUP(Standings!BR$3,Entries!$C70:$K70,1,FALSE))),"x",IF(NOT(ISERROR(HLOOKUP(Standings!BR$3,Entries!$L70:$L70,1,FALSE))),"S",""))</f>
        <v/>
      </c>
      <c r="BS78" t="str">
        <f>IF(NOT(ISERROR(HLOOKUP(Standings!BS$3,Entries!$C70:$K70,1,FALSE))),"x",IF(NOT(ISERROR(HLOOKUP(Standings!BS$3,Entries!$L70:$L70,1,FALSE))),"S",""))</f>
        <v/>
      </c>
      <c r="BT78" t="str">
        <f>IF(NOT(ISERROR(HLOOKUP(Standings!BT$3,Entries!$C70:$K70,1,FALSE))),"x",IF(NOT(ISERROR(HLOOKUP(Standings!BT$3,Entries!$L70:$L70,1,FALSE))),"S",""))</f>
        <v/>
      </c>
      <c r="BU78" t="str">
        <f>IF(NOT(ISERROR(HLOOKUP(Standings!BU$3,Entries!$C70:$K70,1,FALSE))),"x",IF(NOT(ISERROR(HLOOKUP(Standings!BU$3,Entries!$L70:$L70,1,FALSE))),"S",""))</f>
        <v/>
      </c>
      <c r="BV78" t="str">
        <f>IF(NOT(ISERROR(HLOOKUP(Standings!BV$3,Entries!$C70:$K70,1,FALSE))),"x",IF(NOT(ISERROR(HLOOKUP(Standings!BV$3,Entries!$L70:$L70,1,FALSE))),"S",""))</f>
        <v/>
      </c>
      <c r="BW78" t="str">
        <f>IF(NOT(ISERROR(HLOOKUP(Standings!BW$3,Entries!$C70:$K70,1,FALSE))),"x",IF(NOT(ISERROR(HLOOKUP(Standings!BW$3,Entries!$L70:$L70,1,FALSE))),"S",""))</f>
        <v/>
      </c>
      <c r="BX78" t="str">
        <f>IF(NOT(ISERROR(HLOOKUP(Standings!BX$3,Entries!$C70:$K70,1,FALSE))),"x",IF(NOT(ISERROR(HLOOKUP(Standings!BX$3,Entries!$L70:$L70,1,FALSE))),"S",""))</f>
        <v/>
      </c>
      <c r="BY78" t="str">
        <f>IF(NOT(ISERROR(HLOOKUP(Standings!BY$3,Entries!$C70:$K70,1,FALSE))),"x",IF(NOT(ISERROR(HLOOKUP(Standings!BY$3,Entries!$L70:$L70,1,FALSE))),"S",""))</f>
        <v/>
      </c>
      <c r="BZ78" t="str">
        <f>IF(NOT(ISERROR(HLOOKUP(Standings!BZ$3,Entries!$C70:$K70,1,FALSE))),"x",IF(NOT(ISERROR(HLOOKUP(Standings!BZ$3,Entries!$L70:$L70,1,FALSE))),"S",""))</f>
        <v>x</v>
      </c>
      <c r="CA78" t="str">
        <f>IF(NOT(ISERROR(HLOOKUP(Standings!CA$3,Entries!$C70:$K70,1,FALSE))),"x",IF(NOT(ISERROR(HLOOKUP(Standings!CA$3,Entries!$L70:$L70,1,FALSE))),"S",""))</f>
        <v>x</v>
      </c>
      <c r="CB78" t="str">
        <f>IF(NOT(ISERROR(HLOOKUP(Standings!CB$3,Entries!$C70:$K70,1,FALSE))),"x",IF(NOT(ISERROR(HLOOKUP(Standings!CB$3,Entries!$L70:$L70,1,FALSE))),"S",""))</f>
        <v/>
      </c>
      <c r="CC78" t="str">
        <f>IF(NOT(ISERROR(HLOOKUP(Standings!CC$3,Entries!$C70:$K70,1,FALSE))),"x",IF(NOT(ISERROR(HLOOKUP(Standings!CC$3,Entries!$L70:$L70,1,FALSE))),"S",""))</f>
        <v/>
      </c>
      <c r="CD78" t="str">
        <f>IF(NOT(ISERROR(HLOOKUP(Standings!CD$3,Entries!$C70:$K70,1,FALSE))),"x",IF(NOT(ISERROR(HLOOKUP(Standings!CD$3,Entries!$L70:$L70,1,FALSE))),"S",""))</f>
        <v/>
      </c>
      <c r="CE78" t="str">
        <f>IF(NOT(ISERROR(HLOOKUP(Standings!CE$3,Entries!$C70:$K70,1,FALSE))),"x",IF(NOT(ISERROR(HLOOKUP(Standings!CE$3,Entries!$L70:$L70,1,FALSE))),"S",""))</f>
        <v>x</v>
      </c>
      <c r="CF78" t="str">
        <f>IF(NOT(ISERROR(HLOOKUP(Standings!CF$3,Entries!$C70:$K70,1,FALSE))),"x",IF(NOT(ISERROR(HLOOKUP(Standings!CF$3,Entries!$L70:$L70,1,FALSE))),"S",""))</f>
        <v/>
      </c>
      <c r="CG78" t="str">
        <f>IF(NOT(ISERROR(HLOOKUP(Standings!CG$3,Entries!$C70:$K70,1,FALSE))),"x",IF(NOT(ISERROR(HLOOKUP(Standings!CG$3,Entries!$L70:$L70,1,FALSE))),"S",""))</f>
        <v/>
      </c>
      <c r="CH78" t="str">
        <f>IF(NOT(ISERROR(HLOOKUP(Standings!CH$3,Entries!$C70:$K70,1,FALSE))),"x",IF(NOT(ISERROR(HLOOKUP(Standings!CH$3,Entries!$L70:$L70,1,FALSE))),"S",""))</f>
        <v/>
      </c>
      <c r="CI78" t="str">
        <f>IF(NOT(ISERROR(HLOOKUP(Standings!CI$3,Entries!$C70:$K70,1,FALSE))),"x",IF(NOT(ISERROR(HLOOKUP(Standings!CI$3,Entries!$L70:$L70,1,FALSE))),"S",""))</f>
        <v/>
      </c>
      <c r="CJ78" t="str">
        <f>IF(NOT(ISERROR(HLOOKUP(Standings!CJ$3,Entries!$C70:$K70,1,FALSE))),"x",IF(NOT(ISERROR(HLOOKUP(Standings!CJ$3,Entries!$L70:$L70,1,FALSE))),"S",""))</f>
        <v/>
      </c>
      <c r="CK78" t="str">
        <f>IF(NOT(ISERROR(HLOOKUP(Standings!CK$3,Entries!$C70:$K70,1,FALSE))),"x",IF(NOT(ISERROR(HLOOKUP(Standings!CK$3,Entries!$L70:$L70,1,FALSE))),"S",""))</f>
        <v/>
      </c>
      <c r="CL78" t="str">
        <f>IF(NOT(ISERROR(HLOOKUP(Standings!CL$3,Entries!$C70:$K70,1,FALSE))),"x",IF(NOT(ISERROR(HLOOKUP(Standings!CL$3,Entries!$L70:$L70,1,FALSE))),"S",""))</f>
        <v/>
      </c>
      <c r="CM78" t="str">
        <f>IF(NOT(ISERROR(HLOOKUP(Standings!CM$3,Entries!$C70:$K70,1,FALSE))),"x",IF(NOT(ISERROR(HLOOKUP(Standings!CM$3,Entries!$L70:$L70,1,FALSE))),"S",""))</f>
        <v>S</v>
      </c>
      <c r="CN78" t="str">
        <f>IF(NOT(ISERROR(HLOOKUP(Standings!CN$3,Entries!$C70:$K70,1,FALSE))),"x",IF(NOT(ISERROR(HLOOKUP(Standings!CN$3,Entries!$L70:$L70,1,FALSE))),"S",""))</f>
        <v/>
      </c>
      <c r="CO78" t="str">
        <f>IF(NOT(ISERROR(HLOOKUP(Standings!CO$3,Entries!$C70:$K70,1,FALSE))),"x",IF(NOT(ISERROR(HLOOKUP(Standings!CO$3,Entries!$L70:$L70,1,FALSE))),"S",""))</f>
        <v/>
      </c>
      <c r="CP78" t="str">
        <f>IF(NOT(ISERROR(HLOOKUP(Standings!CP$3,Entries!$C70:$K70,1,FALSE))),"x",IF(NOT(ISERROR(HLOOKUP(Standings!CP$3,Entries!$L70:$L70,1,FALSE))),"S",""))</f>
        <v/>
      </c>
      <c r="CQ78" t="str">
        <f>IF(NOT(ISERROR(HLOOKUP(Standings!CQ$3,Entries!$C70:$K70,1,FALSE))),"x",IF(NOT(ISERROR(HLOOKUP(Standings!CQ$3,Entries!$L70:$L70,1,FALSE))),"S",""))</f>
        <v/>
      </c>
      <c r="CR78" t="str">
        <f>IF(NOT(ISERROR(HLOOKUP(Standings!CR$3,Entries!$C70:$K70,1,FALSE))),"x",IF(NOT(ISERROR(HLOOKUP(Standings!CR$3,Entries!$L70:$L70,1,FALSE))),"S",""))</f>
        <v/>
      </c>
      <c r="CS78" t="str">
        <f>IF(NOT(ISERROR(HLOOKUP(Standings!CS$3,Entries!$C70:$K70,1,FALSE))),"x",IF(NOT(ISERROR(HLOOKUP(Standings!CS$3,Entries!$L70:$L70,1,FALSE))),"S",""))</f>
        <v/>
      </c>
      <c r="CT78" t="str">
        <f>IF(NOT(ISERROR(HLOOKUP(Standings!CT$3,Entries!$C70:$K70,1,FALSE))),"x",IF(NOT(ISERROR(HLOOKUP(Standings!CT$3,Entries!$L70:$L70,1,FALSE))),"S",""))</f>
        <v/>
      </c>
      <c r="CU78" t="str">
        <f>IF(NOT(ISERROR(HLOOKUP(Standings!CU$3,Entries!$C70:$K70,1,FALSE))),"x",IF(NOT(ISERROR(HLOOKUP(Standings!CU$3,Entries!$L70:$L70,1,FALSE))),"S",""))</f>
        <v>x</v>
      </c>
      <c r="CV78" t="str">
        <f>IF(NOT(ISERROR(HLOOKUP(Standings!CV$3,Entries!$C70:$K70,1,FALSE))),"x",IF(NOT(ISERROR(HLOOKUP(Standings!CV$3,Entries!$L70:$L70,1,FALSE))),"S",""))</f>
        <v/>
      </c>
      <c r="CW78" t="str">
        <f>IF(NOT(ISERROR(HLOOKUP(Standings!CW$3,Entries!$C70:$K70,1,FALSE))),"x",IF(NOT(ISERROR(HLOOKUP(Standings!CW$3,Entries!$L70:$L70,1,FALSE))),"S",""))</f>
        <v/>
      </c>
      <c r="CX78" t="str">
        <f>IF(NOT(ISERROR(HLOOKUP(Standings!CX$3,Entries!$C70:$K70,1,FALSE))),"x",IF(NOT(ISERROR(HLOOKUP(Standings!CX$3,Entries!$L70:$L70,1,FALSE))),"S",""))</f>
        <v/>
      </c>
      <c r="CY78" t="str">
        <f>IF(NOT(ISERROR(HLOOKUP(Standings!CY$3,Entries!$C70:$K70,1,FALSE))),"x",IF(NOT(ISERROR(HLOOKUP(Standings!CY$3,Entries!$L70:$L70,1,FALSE))),"S",""))</f>
        <v/>
      </c>
      <c r="CZ78" t="str">
        <f>IF(NOT(ISERROR(HLOOKUP(Standings!CZ$3,Entries!$C70:$K70,1,FALSE))),"x",IF(NOT(ISERROR(HLOOKUP(Standings!CZ$3,Entries!$L70:$L70,1,FALSE))),"S",""))</f>
        <v>x</v>
      </c>
      <c r="DA78" t="str">
        <f>IF(NOT(ISERROR(HLOOKUP(Standings!DA$3,Entries!$C70:$K70,1,FALSE))),"x",IF(NOT(ISERROR(HLOOKUP(Standings!DA$3,Entries!$L70:$L70,1,FALSE))),"S",""))</f>
        <v/>
      </c>
      <c r="DB78" t="str">
        <f>IF(NOT(ISERROR(HLOOKUP(Standings!DB$3,Entries!$C70:$K70,1,FALSE))),"x",IF(NOT(ISERROR(HLOOKUP(Standings!DB$3,Entries!$L70:$L70,1,FALSE))),"S",""))</f>
        <v/>
      </c>
    </row>
    <row r="79" spans="1:106" x14ac:dyDescent="0.25">
      <c r="A79" s="18"/>
      <c r="B79">
        <v>8</v>
      </c>
      <c r="C79" t="str">
        <f>Entries!B71</f>
        <v>EColvin3</v>
      </c>
      <c r="D79" s="4">
        <f t="shared" si="55"/>
        <v>18</v>
      </c>
      <c r="E79" s="31">
        <f t="shared" si="56"/>
        <v>2</v>
      </c>
      <c r="F79" s="40" t="str">
        <f t="shared" si="104"/>
        <v/>
      </c>
      <c r="G79" s="41" t="str">
        <f t="shared" si="57"/>
        <v/>
      </c>
      <c r="H79" s="41">
        <f t="shared" si="58"/>
        <v>2</v>
      </c>
      <c r="I79" s="42" t="str">
        <f t="shared" si="59"/>
        <v/>
      </c>
      <c r="J79" s="40" t="str">
        <f t="shared" si="60"/>
        <v/>
      </c>
      <c r="K79" s="41" t="str">
        <f t="shared" si="61"/>
        <v/>
      </c>
      <c r="L79" s="41" t="str">
        <f t="shared" si="62"/>
        <v/>
      </c>
      <c r="M79" s="42" t="str">
        <f t="shared" si="63"/>
        <v/>
      </c>
      <c r="N79" s="43" t="str">
        <f t="shared" si="64"/>
        <v/>
      </c>
      <c r="O79" s="41" t="str">
        <f t="shared" si="65"/>
        <v/>
      </c>
      <c r="P79" s="41" t="str">
        <f t="shared" si="66"/>
        <v/>
      </c>
      <c r="Q79" s="42" t="str">
        <f t="shared" si="67"/>
        <v/>
      </c>
      <c r="R79" s="40" t="str">
        <f t="shared" si="68"/>
        <v/>
      </c>
      <c r="S79" s="41" t="str">
        <f t="shared" si="69"/>
        <v/>
      </c>
      <c r="T79" s="43" t="str">
        <f t="shared" si="70"/>
        <v/>
      </c>
      <c r="U79" s="42">
        <f t="shared" si="71"/>
        <v>0</v>
      </c>
      <c r="V79" s="40" t="str">
        <f t="shared" si="72"/>
        <v/>
      </c>
      <c r="W79" s="41" t="str">
        <f t="shared" si="73"/>
        <v/>
      </c>
      <c r="X79" s="41" t="str">
        <f t="shared" si="74"/>
        <v/>
      </c>
      <c r="Y79" s="42">
        <f t="shared" si="75"/>
        <v>0</v>
      </c>
      <c r="Z79" s="40" t="str">
        <f t="shared" si="76"/>
        <v/>
      </c>
      <c r="AA79" s="41" t="str">
        <f t="shared" si="77"/>
        <v/>
      </c>
      <c r="AB79" s="41" t="str">
        <f t="shared" si="78"/>
        <v/>
      </c>
      <c r="AC79" s="42" t="str">
        <f t="shared" si="79"/>
        <v/>
      </c>
      <c r="AD79" s="40" t="str">
        <f t="shared" si="80"/>
        <v/>
      </c>
      <c r="AE79" s="41" t="str">
        <f t="shared" si="81"/>
        <v/>
      </c>
      <c r="AF79" s="41" t="str">
        <f t="shared" si="82"/>
        <v/>
      </c>
      <c r="AG79" s="42" t="str">
        <f t="shared" si="83"/>
        <v/>
      </c>
      <c r="AH79" s="40">
        <f t="shared" si="84"/>
        <v>0</v>
      </c>
      <c r="AI79" s="41" t="str">
        <f t="shared" si="85"/>
        <v/>
      </c>
      <c r="AJ79" s="41" t="str">
        <f t="shared" si="86"/>
        <v/>
      </c>
      <c r="AK79" s="42" t="str">
        <f t="shared" si="87"/>
        <v/>
      </c>
      <c r="AL79" s="40">
        <f t="shared" si="88"/>
        <v>-1.0000000000000001E-5</v>
      </c>
      <c r="AM79" s="41" t="str">
        <f t="shared" si="89"/>
        <v/>
      </c>
      <c r="AN79" s="41" t="str">
        <f t="shared" si="90"/>
        <v/>
      </c>
      <c r="AO79" s="42" t="str">
        <f t="shared" si="91"/>
        <v/>
      </c>
      <c r="AP79" s="40" t="str">
        <f t="shared" si="92"/>
        <v/>
      </c>
      <c r="AQ79" s="41" t="str">
        <f t="shared" si="93"/>
        <v/>
      </c>
      <c r="AR79" s="41" t="str">
        <f t="shared" si="94"/>
        <v/>
      </c>
      <c r="AS79" s="42" t="str">
        <f t="shared" si="95"/>
        <v/>
      </c>
      <c r="AT79" s="40">
        <f t="shared" si="96"/>
        <v>0</v>
      </c>
      <c r="AU79" s="41" t="str">
        <f t="shared" si="97"/>
        <v/>
      </c>
      <c r="AV79" s="41" t="str">
        <f t="shared" si="98"/>
        <v/>
      </c>
      <c r="AW79" s="42" t="str">
        <f t="shared" si="99"/>
        <v/>
      </c>
      <c r="AX79" s="40" t="str">
        <f t="shared" si="100"/>
        <v/>
      </c>
      <c r="AY79" s="41" t="str">
        <f t="shared" si="101"/>
        <v/>
      </c>
      <c r="AZ79" s="41" t="str">
        <f t="shared" si="102"/>
        <v/>
      </c>
      <c r="BA79" s="42" t="str">
        <f t="shared" si="103"/>
        <v/>
      </c>
      <c r="BB79" s="37" t="s">
        <v>106</v>
      </c>
      <c r="BC79" s="21"/>
      <c r="BD79" s="21"/>
      <c r="BG79" t="str">
        <f>IF(NOT(ISERROR(HLOOKUP(Standings!BG$3,Entries!$C71:$K71,1,FALSE))),"x",IF(NOT(ISERROR(HLOOKUP(Standings!BG$3,Entries!$L71:$L71,1,FALSE))),"S",""))</f>
        <v/>
      </c>
      <c r="BH79" t="str">
        <f>IF(NOT(ISERROR(HLOOKUP(Standings!BH$3,Entries!$C71:$K71,1,FALSE))),"x",IF(NOT(ISERROR(HLOOKUP(Standings!BH$3,Entries!$L71:$L71,1,FALSE))),"S",""))</f>
        <v/>
      </c>
      <c r="BI79" t="str">
        <f>IF(NOT(ISERROR(HLOOKUP(Standings!BI$3,Entries!$C71:$K71,1,FALSE))),"x",IF(NOT(ISERROR(HLOOKUP(Standings!BI$3,Entries!$L71:$L71,1,FALSE))),"S",""))</f>
        <v>x</v>
      </c>
      <c r="BJ79" t="str">
        <f>IF(NOT(ISERROR(HLOOKUP(Standings!BJ$3,Entries!$C71:$K71,1,FALSE))),"x",IF(NOT(ISERROR(HLOOKUP(Standings!BJ$3,Entries!$L71:$L71,1,FALSE))),"S",""))</f>
        <v/>
      </c>
      <c r="BK79" t="str">
        <f>IF(NOT(ISERROR(HLOOKUP(Standings!BK$3,Entries!$C71:$K71,1,FALSE))),"x",IF(NOT(ISERROR(HLOOKUP(Standings!BK$3,Entries!$L71:$L71,1,FALSE))),"S",""))</f>
        <v/>
      </c>
      <c r="BL79" t="str">
        <f>IF(NOT(ISERROR(HLOOKUP(Standings!BL$3,Entries!$C71:$K71,1,FALSE))),"x",IF(NOT(ISERROR(HLOOKUP(Standings!BL$3,Entries!$L71:$L71,1,FALSE))),"S",""))</f>
        <v/>
      </c>
      <c r="BM79" t="str">
        <f>IF(NOT(ISERROR(HLOOKUP(Standings!BM$3,Entries!$C71:$K71,1,FALSE))),"x",IF(NOT(ISERROR(HLOOKUP(Standings!BM$3,Entries!$L71:$L71,1,FALSE))),"S",""))</f>
        <v/>
      </c>
      <c r="BN79" t="str">
        <f>IF(NOT(ISERROR(HLOOKUP(Standings!BN$3,Entries!$C71:$K71,1,FALSE))),"x",IF(NOT(ISERROR(HLOOKUP(Standings!BN$3,Entries!$L71:$L71,1,FALSE))),"S",""))</f>
        <v/>
      </c>
      <c r="BO79" t="str">
        <f>IF(NOT(ISERROR(HLOOKUP(Standings!BO$3,Entries!$C71:$K71,1,FALSE))),"x",IF(NOT(ISERROR(HLOOKUP(Standings!BO$3,Entries!$L71:$L71,1,FALSE))),"S",""))</f>
        <v/>
      </c>
      <c r="BP79" t="str">
        <f>IF(NOT(ISERROR(HLOOKUP(Standings!BP$3,Entries!$C71:$K71,1,FALSE))),"x",IF(NOT(ISERROR(HLOOKUP(Standings!BP$3,Entries!$L71:$L71,1,FALSE))),"S",""))</f>
        <v/>
      </c>
      <c r="BQ79" t="str">
        <f>IF(NOT(ISERROR(HLOOKUP(Standings!BQ$3,Entries!$C71:$K71,1,FALSE))),"x",IF(NOT(ISERROR(HLOOKUP(Standings!BQ$3,Entries!$L71:$L71,1,FALSE))),"S",""))</f>
        <v/>
      </c>
      <c r="BR79" t="str">
        <f>IF(NOT(ISERROR(HLOOKUP(Standings!BR$3,Entries!$C71:$K71,1,FALSE))),"x",IF(NOT(ISERROR(HLOOKUP(Standings!BR$3,Entries!$L71:$L71,1,FALSE))),"S",""))</f>
        <v/>
      </c>
      <c r="BS79" t="str">
        <f>IF(NOT(ISERROR(HLOOKUP(Standings!BS$3,Entries!$C71:$K71,1,FALSE))),"x",IF(NOT(ISERROR(HLOOKUP(Standings!BS$3,Entries!$L71:$L71,1,FALSE))),"S",""))</f>
        <v/>
      </c>
      <c r="BT79" t="str">
        <f>IF(NOT(ISERROR(HLOOKUP(Standings!BT$3,Entries!$C71:$K71,1,FALSE))),"x",IF(NOT(ISERROR(HLOOKUP(Standings!BT$3,Entries!$L71:$L71,1,FALSE))),"S",""))</f>
        <v/>
      </c>
      <c r="BU79" t="str">
        <f>IF(NOT(ISERROR(HLOOKUP(Standings!BU$3,Entries!$C71:$K71,1,FALSE))),"x",IF(NOT(ISERROR(HLOOKUP(Standings!BU$3,Entries!$L71:$L71,1,FALSE))),"S",""))</f>
        <v/>
      </c>
      <c r="BV79" t="str">
        <f>IF(NOT(ISERROR(HLOOKUP(Standings!BV$3,Entries!$C71:$K71,1,FALSE))),"x",IF(NOT(ISERROR(HLOOKUP(Standings!BV$3,Entries!$L71:$L71,1,FALSE))),"S",""))</f>
        <v>x</v>
      </c>
      <c r="BW79" t="str">
        <f>IF(NOT(ISERROR(HLOOKUP(Standings!BW$3,Entries!$C71:$K71,1,FALSE))),"x",IF(NOT(ISERROR(HLOOKUP(Standings!BW$3,Entries!$L71:$L71,1,FALSE))),"S",""))</f>
        <v/>
      </c>
      <c r="BX79" t="str">
        <f>IF(NOT(ISERROR(HLOOKUP(Standings!BX$3,Entries!$C71:$K71,1,FALSE))),"x",IF(NOT(ISERROR(HLOOKUP(Standings!BX$3,Entries!$L71:$L71,1,FALSE))),"S",""))</f>
        <v/>
      </c>
      <c r="BY79" t="str">
        <f>IF(NOT(ISERROR(HLOOKUP(Standings!BY$3,Entries!$C71:$K71,1,FALSE))),"x",IF(NOT(ISERROR(HLOOKUP(Standings!BY$3,Entries!$L71:$L71,1,FALSE))),"S",""))</f>
        <v/>
      </c>
      <c r="BZ79" t="str">
        <f>IF(NOT(ISERROR(HLOOKUP(Standings!BZ$3,Entries!$C71:$K71,1,FALSE))),"x",IF(NOT(ISERROR(HLOOKUP(Standings!BZ$3,Entries!$L71:$L71,1,FALSE))),"S",""))</f>
        <v>x</v>
      </c>
      <c r="CA79" t="str">
        <f>IF(NOT(ISERROR(HLOOKUP(Standings!CA$3,Entries!$C71:$K71,1,FALSE))),"x",IF(NOT(ISERROR(HLOOKUP(Standings!CA$3,Entries!$L71:$L71,1,FALSE))),"S",""))</f>
        <v/>
      </c>
      <c r="CB79" t="str">
        <f>IF(NOT(ISERROR(HLOOKUP(Standings!CB$3,Entries!$C71:$K71,1,FALSE))),"x",IF(NOT(ISERROR(HLOOKUP(Standings!CB$3,Entries!$L71:$L71,1,FALSE))),"S",""))</f>
        <v/>
      </c>
      <c r="CC79" t="str">
        <f>IF(NOT(ISERROR(HLOOKUP(Standings!CC$3,Entries!$C71:$K71,1,FALSE))),"x",IF(NOT(ISERROR(HLOOKUP(Standings!CC$3,Entries!$L71:$L71,1,FALSE))),"S",""))</f>
        <v/>
      </c>
      <c r="CD79" t="str">
        <f>IF(NOT(ISERROR(HLOOKUP(Standings!CD$3,Entries!$C71:$K71,1,FALSE))),"x",IF(NOT(ISERROR(HLOOKUP(Standings!CD$3,Entries!$L71:$L71,1,FALSE))),"S",""))</f>
        <v/>
      </c>
      <c r="CE79" t="str">
        <f>IF(NOT(ISERROR(HLOOKUP(Standings!CE$3,Entries!$C71:$K71,1,FALSE))),"x",IF(NOT(ISERROR(HLOOKUP(Standings!CE$3,Entries!$L71:$L71,1,FALSE))),"S",""))</f>
        <v/>
      </c>
      <c r="CF79" t="str">
        <f>IF(NOT(ISERROR(HLOOKUP(Standings!CF$3,Entries!$C71:$K71,1,FALSE))),"x",IF(NOT(ISERROR(HLOOKUP(Standings!CF$3,Entries!$L71:$L71,1,FALSE))),"S",""))</f>
        <v/>
      </c>
      <c r="CG79" t="str">
        <f>IF(NOT(ISERROR(HLOOKUP(Standings!CG$3,Entries!$C71:$K71,1,FALSE))),"x",IF(NOT(ISERROR(HLOOKUP(Standings!CG$3,Entries!$L71:$L71,1,FALSE))),"S",""))</f>
        <v/>
      </c>
      <c r="CH79" t="str">
        <f>IF(NOT(ISERROR(HLOOKUP(Standings!CH$3,Entries!$C71:$K71,1,FALSE))),"x",IF(NOT(ISERROR(HLOOKUP(Standings!CH$3,Entries!$L71:$L71,1,FALSE))),"S",""))</f>
        <v/>
      </c>
      <c r="CI79" t="str">
        <f>IF(NOT(ISERROR(HLOOKUP(Standings!CI$3,Entries!$C71:$K71,1,FALSE))),"x",IF(NOT(ISERROR(HLOOKUP(Standings!CI$3,Entries!$L71:$L71,1,FALSE))),"S",""))</f>
        <v>x</v>
      </c>
      <c r="CJ79" t="str">
        <f>IF(NOT(ISERROR(HLOOKUP(Standings!CJ$3,Entries!$C71:$K71,1,FALSE))),"x",IF(NOT(ISERROR(HLOOKUP(Standings!CJ$3,Entries!$L71:$L71,1,FALSE))),"S",""))</f>
        <v/>
      </c>
      <c r="CK79" t="str">
        <f>IF(NOT(ISERROR(HLOOKUP(Standings!CK$3,Entries!$C71:$K71,1,FALSE))),"x",IF(NOT(ISERROR(HLOOKUP(Standings!CK$3,Entries!$L71:$L71,1,FALSE))),"S",""))</f>
        <v/>
      </c>
      <c r="CL79" t="str">
        <f>IF(NOT(ISERROR(HLOOKUP(Standings!CL$3,Entries!$C71:$K71,1,FALSE))),"x",IF(NOT(ISERROR(HLOOKUP(Standings!CL$3,Entries!$L71:$L71,1,FALSE))),"S",""))</f>
        <v/>
      </c>
      <c r="CM79" t="str">
        <f>IF(NOT(ISERROR(HLOOKUP(Standings!CM$3,Entries!$C71:$K71,1,FALSE))),"x",IF(NOT(ISERROR(HLOOKUP(Standings!CM$3,Entries!$L71:$L71,1,FALSE))),"S",""))</f>
        <v>S</v>
      </c>
      <c r="CN79" t="str">
        <f>IF(NOT(ISERROR(HLOOKUP(Standings!CN$3,Entries!$C71:$K71,1,FALSE))),"x",IF(NOT(ISERROR(HLOOKUP(Standings!CN$3,Entries!$L71:$L71,1,FALSE))),"S",""))</f>
        <v/>
      </c>
      <c r="CO79" t="str">
        <f>IF(NOT(ISERROR(HLOOKUP(Standings!CO$3,Entries!$C71:$K71,1,FALSE))),"x",IF(NOT(ISERROR(HLOOKUP(Standings!CO$3,Entries!$L71:$L71,1,FALSE))),"S",""))</f>
        <v/>
      </c>
      <c r="CP79" t="str">
        <f>IF(NOT(ISERROR(HLOOKUP(Standings!CP$3,Entries!$C71:$K71,1,FALSE))),"x",IF(NOT(ISERROR(HLOOKUP(Standings!CP$3,Entries!$L71:$L71,1,FALSE))),"S",""))</f>
        <v/>
      </c>
      <c r="CQ79" t="str">
        <f>IF(NOT(ISERROR(HLOOKUP(Standings!CQ$3,Entries!$C71:$K71,1,FALSE))),"x",IF(NOT(ISERROR(HLOOKUP(Standings!CQ$3,Entries!$L71:$L71,1,FALSE))),"S",""))</f>
        <v/>
      </c>
      <c r="CR79" t="str">
        <f>IF(NOT(ISERROR(HLOOKUP(Standings!CR$3,Entries!$C71:$K71,1,FALSE))),"x",IF(NOT(ISERROR(HLOOKUP(Standings!CR$3,Entries!$L71:$L71,1,FALSE))),"S",""))</f>
        <v/>
      </c>
      <c r="CS79" t="str">
        <f>IF(NOT(ISERROR(HLOOKUP(Standings!CS$3,Entries!$C71:$K71,1,FALSE))),"x",IF(NOT(ISERROR(HLOOKUP(Standings!CS$3,Entries!$L71:$L71,1,FALSE))),"S",""))</f>
        <v/>
      </c>
      <c r="CT79" t="str">
        <f>IF(NOT(ISERROR(HLOOKUP(Standings!CT$3,Entries!$C71:$K71,1,FALSE))),"x",IF(NOT(ISERROR(HLOOKUP(Standings!CT$3,Entries!$L71:$L71,1,FALSE))),"S",""))</f>
        <v/>
      </c>
      <c r="CU79" t="str">
        <f>IF(NOT(ISERROR(HLOOKUP(Standings!CU$3,Entries!$C71:$K71,1,FALSE))),"x",IF(NOT(ISERROR(HLOOKUP(Standings!CU$3,Entries!$L71:$L71,1,FALSE))),"S",""))</f>
        <v>x</v>
      </c>
      <c r="CV79" t="str">
        <f>IF(NOT(ISERROR(HLOOKUP(Standings!CV$3,Entries!$C71:$K71,1,FALSE))),"x",IF(NOT(ISERROR(HLOOKUP(Standings!CV$3,Entries!$L71:$L71,1,FALSE))),"S",""))</f>
        <v/>
      </c>
      <c r="CW79" t="str">
        <f>IF(NOT(ISERROR(HLOOKUP(Standings!CW$3,Entries!$C71:$K71,1,FALSE))),"x",IF(NOT(ISERROR(HLOOKUP(Standings!CW$3,Entries!$L71:$L71,1,FALSE))),"S",""))</f>
        <v/>
      </c>
      <c r="CX79" t="str">
        <f>IF(NOT(ISERROR(HLOOKUP(Standings!CX$3,Entries!$C71:$K71,1,FALSE))),"x",IF(NOT(ISERROR(HLOOKUP(Standings!CX$3,Entries!$L71:$L71,1,FALSE))),"S",""))</f>
        <v/>
      </c>
      <c r="CY79" t="str">
        <f>IF(NOT(ISERROR(HLOOKUP(Standings!CY$3,Entries!$C71:$K71,1,FALSE))),"x",IF(NOT(ISERROR(HLOOKUP(Standings!CY$3,Entries!$L71:$L71,1,FALSE))),"S",""))</f>
        <v/>
      </c>
      <c r="CZ79" t="str">
        <f>IF(NOT(ISERROR(HLOOKUP(Standings!CZ$3,Entries!$C71:$K71,1,FALSE))),"x",IF(NOT(ISERROR(HLOOKUP(Standings!CZ$3,Entries!$L71:$L71,1,FALSE))),"S",""))</f>
        <v/>
      </c>
      <c r="DA79" t="str">
        <f>IF(NOT(ISERROR(HLOOKUP(Standings!DA$3,Entries!$C71:$K71,1,FALSE))),"x",IF(NOT(ISERROR(HLOOKUP(Standings!DA$3,Entries!$L71:$L71,1,FALSE))),"S",""))</f>
        <v/>
      </c>
      <c r="DB79" t="str">
        <f>IF(NOT(ISERROR(HLOOKUP(Standings!DB$3,Entries!$C71:$K71,1,FALSE))),"x",IF(NOT(ISERROR(HLOOKUP(Standings!DB$3,Entries!$L71:$L71,1,FALSE))),"S",""))</f>
        <v/>
      </c>
    </row>
    <row r="80" spans="1:106" x14ac:dyDescent="0.25">
      <c r="B80">
        <v>71</v>
      </c>
      <c r="C80" t="str">
        <f>Entries!B72</f>
        <v>Noah Meier</v>
      </c>
      <c r="D80" s="4">
        <f t="shared" si="55"/>
        <v>18</v>
      </c>
      <c r="E80" s="31">
        <f t="shared" si="56"/>
        <v>2</v>
      </c>
      <c r="F80" s="40" t="str">
        <f t="shared" si="104"/>
        <v/>
      </c>
      <c r="G80" s="41" t="str">
        <f t="shared" si="57"/>
        <v/>
      </c>
      <c r="H80" s="41">
        <f t="shared" si="58"/>
        <v>2</v>
      </c>
      <c r="I80" s="42" t="str">
        <f t="shared" si="59"/>
        <v/>
      </c>
      <c r="J80" s="40" t="str">
        <f t="shared" si="60"/>
        <v/>
      </c>
      <c r="K80" s="41" t="str">
        <f t="shared" si="61"/>
        <v/>
      </c>
      <c r="L80" s="41" t="str">
        <f t="shared" si="62"/>
        <v/>
      </c>
      <c r="M80" s="42" t="str">
        <f t="shared" si="63"/>
        <v/>
      </c>
      <c r="N80" s="43" t="str">
        <f t="shared" si="64"/>
        <v/>
      </c>
      <c r="O80" s="41" t="str">
        <f t="shared" si="65"/>
        <v/>
      </c>
      <c r="P80" s="41" t="str">
        <f t="shared" si="66"/>
        <v/>
      </c>
      <c r="Q80" s="42" t="str">
        <f t="shared" si="67"/>
        <v/>
      </c>
      <c r="R80" s="40" t="str">
        <f t="shared" si="68"/>
        <v/>
      </c>
      <c r="S80" s="41" t="str">
        <f t="shared" si="69"/>
        <v/>
      </c>
      <c r="T80" s="43">
        <f t="shared" si="70"/>
        <v>0</v>
      </c>
      <c r="U80" s="42" t="str">
        <f t="shared" si="71"/>
        <v/>
      </c>
      <c r="V80" s="40" t="str">
        <f t="shared" si="72"/>
        <v/>
      </c>
      <c r="W80" s="41" t="str">
        <f t="shared" si="73"/>
        <v/>
      </c>
      <c r="X80" s="41" t="str">
        <f t="shared" si="74"/>
        <v/>
      </c>
      <c r="Y80" s="42" t="str">
        <f t="shared" si="75"/>
        <v/>
      </c>
      <c r="Z80" s="40" t="str">
        <f t="shared" si="76"/>
        <v/>
      </c>
      <c r="AA80" s="41" t="str">
        <f t="shared" si="77"/>
        <v/>
      </c>
      <c r="AB80" s="41" t="str">
        <f t="shared" si="78"/>
        <v/>
      </c>
      <c r="AC80" s="42" t="str">
        <f t="shared" si="79"/>
        <v/>
      </c>
      <c r="AD80" s="40" t="str">
        <f t="shared" si="80"/>
        <v/>
      </c>
      <c r="AE80" s="41" t="str">
        <f t="shared" si="81"/>
        <v/>
      </c>
      <c r="AF80" s="41" t="str">
        <f t="shared" si="82"/>
        <v/>
      </c>
      <c r="AG80" s="42" t="str">
        <f t="shared" si="83"/>
        <v/>
      </c>
      <c r="AH80" s="40" t="str">
        <f t="shared" si="84"/>
        <v/>
      </c>
      <c r="AI80" s="41" t="str">
        <f t="shared" si="85"/>
        <v/>
      </c>
      <c r="AJ80" s="41" t="str">
        <f t="shared" si="86"/>
        <v/>
      </c>
      <c r="AK80" s="42" t="str">
        <f t="shared" si="87"/>
        <v/>
      </c>
      <c r="AL80" s="40">
        <f t="shared" si="88"/>
        <v>0</v>
      </c>
      <c r="AM80" s="41" t="str">
        <f t="shared" si="89"/>
        <v/>
      </c>
      <c r="AN80" s="41" t="str">
        <f t="shared" si="90"/>
        <v/>
      </c>
      <c r="AO80" s="42" t="str">
        <f t="shared" si="91"/>
        <v/>
      </c>
      <c r="AP80" s="40">
        <f t="shared" si="92"/>
        <v>-1.0000000000000001E-5</v>
      </c>
      <c r="AQ80" s="41" t="str">
        <f t="shared" si="93"/>
        <v/>
      </c>
      <c r="AR80" s="41" t="str">
        <f t="shared" si="94"/>
        <v/>
      </c>
      <c r="AS80" s="42" t="str">
        <f t="shared" si="95"/>
        <v/>
      </c>
      <c r="AT80" s="40">
        <f t="shared" si="96"/>
        <v>0</v>
      </c>
      <c r="AU80" s="41" t="str">
        <f t="shared" si="97"/>
        <v/>
      </c>
      <c r="AV80" s="41" t="str">
        <f t="shared" si="98"/>
        <v/>
      </c>
      <c r="AW80" s="42" t="str">
        <f t="shared" si="99"/>
        <v/>
      </c>
      <c r="AX80" s="40" t="str">
        <f t="shared" si="100"/>
        <v/>
      </c>
      <c r="AY80" s="41">
        <f t="shared" si="101"/>
        <v>0</v>
      </c>
      <c r="AZ80" s="41" t="str">
        <f t="shared" si="102"/>
        <v/>
      </c>
      <c r="BA80" s="42" t="str">
        <f t="shared" si="103"/>
        <v/>
      </c>
      <c r="BB80" s="37" t="s">
        <v>106</v>
      </c>
      <c r="BD80" s="21"/>
      <c r="BG80" t="str">
        <f>IF(NOT(ISERROR(HLOOKUP(Standings!BG$3,Entries!$C72:$K72,1,FALSE))),"x",IF(NOT(ISERROR(HLOOKUP(Standings!BG$3,Entries!$L72:$L72,1,FALSE))),"S",""))</f>
        <v/>
      </c>
      <c r="BH80" t="str">
        <f>IF(NOT(ISERROR(HLOOKUP(Standings!BH$3,Entries!$C72:$K72,1,FALSE))),"x",IF(NOT(ISERROR(HLOOKUP(Standings!BH$3,Entries!$L72:$L72,1,FALSE))),"S",""))</f>
        <v/>
      </c>
      <c r="BI80" t="str">
        <f>IF(NOT(ISERROR(HLOOKUP(Standings!BI$3,Entries!$C72:$K72,1,FALSE))),"x",IF(NOT(ISERROR(HLOOKUP(Standings!BI$3,Entries!$L72:$L72,1,FALSE))),"S",""))</f>
        <v>x</v>
      </c>
      <c r="BJ80" t="str">
        <f>IF(NOT(ISERROR(HLOOKUP(Standings!BJ$3,Entries!$C72:$K72,1,FALSE))),"x",IF(NOT(ISERROR(HLOOKUP(Standings!BJ$3,Entries!$L72:$L72,1,FALSE))),"S",""))</f>
        <v/>
      </c>
      <c r="BK80" t="str">
        <f>IF(NOT(ISERROR(HLOOKUP(Standings!BK$3,Entries!$C72:$K72,1,FALSE))),"x",IF(NOT(ISERROR(HLOOKUP(Standings!BK$3,Entries!$L72:$L72,1,FALSE))),"S",""))</f>
        <v/>
      </c>
      <c r="BL80" t="str">
        <f>IF(NOT(ISERROR(HLOOKUP(Standings!BL$3,Entries!$C72:$K72,1,FALSE))),"x",IF(NOT(ISERROR(HLOOKUP(Standings!BL$3,Entries!$L72:$L72,1,FALSE))),"S",""))</f>
        <v/>
      </c>
      <c r="BM80" t="str">
        <f>IF(NOT(ISERROR(HLOOKUP(Standings!BM$3,Entries!$C72:$K72,1,FALSE))),"x",IF(NOT(ISERROR(HLOOKUP(Standings!BM$3,Entries!$L72:$L72,1,FALSE))),"S",""))</f>
        <v/>
      </c>
      <c r="BN80" t="str">
        <f>IF(NOT(ISERROR(HLOOKUP(Standings!BN$3,Entries!$C72:$K72,1,FALSE))),"x",IF(NOT(ISERROR(HLOOKUP(Standings!BN$3,Entries!$L72:$L72,1,FALSE))),"S",""))</f>
        <v/>
      </c>
      <c r="BO80" t="str">
        <f>IF(NOT(ISERROR(HLOOKUP(Standings!BO$3,Entries!$C72:$K72,1,FALSE))),"x",IF(NOT(ISERROR(HLOOKUP(Standings!BO$3,Entries!$L72:$L72,1,FALSE))),"S",""))</f>
        <v/>
      </c>
      <c r="BP80" t="str">
        <f>IF(NOT(ISERROR(HLOOKUP(Standings!BP$3,Entries!$C72:$K72,1,FALSE))),"x",IF(NOT(ISERROR(HLOOKUP(Standings!BP$3,Entries!$L72:$L72,1,FALSE))),"S",""))</f>
        <v/>
      </c>
      <c r="BQ80" t="str">
        <f>IF(NOT(ISERROR(HLOOKUP(Standings!BQ$3,Entries!$C72:$K72,1,FALSE))),"x",IF(NOT(ISERROR(HLOOKUP(Standings!BQ$3,Entries!$L72:$L72,1,FALSE))),"S",""))</f>
        <v/>
      </c>
      <c r="BR80" t="str">
        <f>IF(NOT(ISERROR(HLOOKUP(Standings!BR$3,Entries!$C72:$K72,1,FALSE))),"x",IF(NOT(ISERROR(HLOOKUP(Standings!BR$3,Entries!$L72:$L72,1,FALSE))),"S",""))</f>
        <v/>
      </c>
      <c r="BS80" t="str">
        <f>IF(NOT(ISERROR(HLOOKUP(Standings!BS$3,Entries!$C72:$K72,1,FALSE))),"x",IF(NOT(ISERROR(HLOOKUP(Standings!BS$3,Entries!$L72:$L72,1,FALSE))),"S",""))</f>
        <v/>
      </c>
      <c r="BT80" t="str">
        <f>IF(NOT(ISERROR(HLOOKUP(Standings!BT$3,Entries!$C72:$K72,1,FALSE))),"x",IF(NOT(ISERROR(HLOOKUP(Standings!BT$3,Entries!$L72:$L72,1,FALSE))),"S",""))</f>
        <v/>
      </c>
      <c r="BU80" t="str">
        <f>IF(NOT(ISERROR(HLOOKUP(Standings!BU$3,Entries!$C72:$K72,1,FALSE))),"x",IF(NOT(ISERROR(HLOOKUP(Standings!BU$3,Entries!$L72:$L72,1,FALSE))),"S",""))</f>
        <v>x</v>
      </c>
      <c r="BV80" t="str">
        <f>IF(NOT(ISERROR(HLOOKUP(Standings!BV$3,Entries!$C72:$K72,1,FALSE))),"x",IF(NOT(ISERROR(HLOOKUP(Standings!BV$3,Entries!$L72:$L72,1,FALSE))),"S",""))</f>
        <v/>
      </c>
      <c r="BW80" t="str">
        <f>IF(NOT(ISERROR(HLOOKUP(Standings!BW$3,Entries!$C72:$K72,1,FALSE))),"x",IF(NOT(ISERROR(HLOOKUP(Standings!BW$3,Entries!$L72:$L72,1,FALSE))),"S",""))</f>
        <v/>
      </c>
      <c r="BX80" t="str">
        <f>IF(NOT(ISERROR(HLOOKUP(Standings!BX$3,Entries!$C72:$K72,1,FALSE))),"x",IF(NOT(ISERROR(HLOOKUP(Standings!BX$3,Entries!$L72:$L72,1,FALSE))),"S",""))</f>
        <v/>
      </c>
      <c r="BY80" t="str">
        <f>IF(NOT(ISERROR(HLOOKUP(Standings!BY$3,Entries!$C72:$K72,1,FALSE))),"x",IF(NOT(ISERROR(HLOOKUP(Standings!BY$3,Entries!$L72:$L72,1,FALSE))),"S",""))</f>
        <v/>
      </c>
      <c r="BZ80" t="str">
        <f>IF(NOT(ISERROR(HLOOKUP(Standings!BZ$3,Entries!$C72:$K72,1,FALSE))),"x",IF(NOT(ISERROR(HLOOKUP(Standings!BZ$3,Entries!$L72:$L72,1,FALSE))),"S",""))</f>
        <v/>
      </c>
      <c r="CA80" t="str">
        <f>IF(NOT(ISERROR(HLOOKUP(Standings!CA$3,Entries!$C72:$K72,1,FALSE))),"x",IF(NOT(ISERROR(HLOOKUP(Standings!CA$3,Entries!$L72:$L72,1,FALSE))),"S",""))</f>
        <v/>
      </c>
      <c r="CB80" t="str">
        <f>IF(NOT(ISERROR(HLOOKUP(Standings!CB$3,Entries!$C72:$K72,1,FALSE))),"x",IF(NOT(ISERROR(HLOOKUP(Standings!CB$3,Entries!$L72:$L72,1,FALSE))),"S",""))</f>
        <v/>
      </c>
      <c r="CC80" t="str">
        <f>IF(NOT(ISERROR(HLOOKUP(Standings!CC$3,Entries!$C72:$K72,1,FALSE))),"x",IF(NOT(ISERROR(HLOOKUP(Standings!CC$3,Entries!$L72:$L72,1,FALSE))),"S",""))</f>
        <v/>
      </c>
      <c r="CD80" t="str">
        <f>IF(NOT(ISERROR(HLOOKUP(Standings!CD$3,Entries!$C72:$K72,1,FALSE))),"x",IF(NOT(ISERROR(HLOOKUP(Standings!CD$3,Entries!$L72:$L72,1,FALSE))),"S",""))</f>
        <v/>
      </c>
      <c r="CE80" t="str">
        <f>IF(NOT(ISERROR(HLOOKUP(Standings!CE$3,Entries!$C72:$K72,1,FALSE))),"x",IF(NOT(ISERROR(HLOOKUP(Standings!CE$3,Entries!$L72:$L72,1,FALSE))),"S",""))</f>
        <v/>
      </c>
      <c r="CF80" t="str">
        <f>IF(NOT(ISERROR(HLOOKUP(Standings!CF$3,Entries!$C72:$K72,1,FALSE))),"x",IF(NOT(ISERROR(HLOOKUP(Standings!CF$3,Entries!$L72:$L72,1,FALSE))),"S",""))</f>
        <v/>
      </c>
      <c r="CG80" t="str">
        <f>IF(NOT(ISERROR(HLOOKUP(Standings!CG$3,Entries!$C72:$K72,1,FALSE))),"x",IF(NOT(ISERROR(HLOOKUP(Standings!CG$3,Entries!$L72:$L72,1,FALSE))),"S",""))</f>
        <v/>
      </c>
      <c r="CH80" t="str">
        <f>IF(NOT(ISERROR(HLOOKUP(Standings!CH$3,Entries!$C72:$K72,1,FALSE))),"x",IF(NOT(ISERROR(HLOOKUP(Standings!CH$3,Entries!$L72:$L72,1,FALSE))),"S",""))</f>
        <v/>
      </c>
      <c r="CI80" t="str">
        <f>IF(NOT(ISERROR(HLOOKUP(Standings!CI$3,Entries!$C72:$K72,1,FALSE))),"x",IF(NOT(ISERROR(HLOOKUP(Standings!CI$3,Entries!$L72:$L72,1,FALSE))),"S",""))</f>
        <v/>
      </c>
      <c r="CJ80" t="str">
        <f>IF(NOT(ISERROR(HLOOKUP(Standings!CJ$3,Entries!$C72:$K72,1,FALSE))),"x",IF(NOT(ISERROR(HLOOKUP(Standings!CJ$3,Entries!$L72:$L72,1,FALSE))),"S",""))</f>
        <v/>
      </c>
      <c r="CK80" t="str">
        <f>IF(NOT(ISERROR(HLOOKUP(Standings!CK$3,Entries!$C72:$K72,1,FALSE))),"x",IF(NOT(ISERROR(HLOOKUP(Standings!CK$3,Entries!$L72:$L72,1,FALSE))),"S",""))</f>
        <v/>
      </c>
      <c r="CL80" t="str">
        <f>IF(NOT(ISERROR(HLOOKUP(Standings!CL$3,Entries!$C72:$K72,1,FALSE))),"x",IF(NOT(ISERROR(HLOOKUP(Standings!CL$3,Entries!$L72:$L72,1,FALSE))),"S",""))</f>
        <v/>
      </c>
      <c r="CM80" t="str">
        <f>IF(NOT(ISERROR(HLOOKUP(Standings!CM$3,Entries!$C72:$K72,1,FALSE))),"x",IF(NOT(ISERROR(HLOOKUP(Standings!CM$3,Entries!$L72:$L72,1,FALSE))),"S",""))</f>
        <v>x</v>
      </c>
      <c r="CN80" t="str">
        <f>IF(NOT(ISERROR(HLOOKUP(Standings!CN$3,Entries!$C72:$K72,1,FALSE))),"x",IF(NOT(ISERROR(HLOOKUP(Standings!CN$3,Entries!$L72:$L72,1,FALSE))),"S",""))</f>
        <v/>
      </c>
      <c r="CO80" t="str">
        <f>IF(NOT(ISERROR(HLOOKUP(Standings!CO$3,Entries!$C72:$K72,1,FALSE))),"x",IF(NOT(ISERROR(HLOOKUP(Standings!CO$3,Entries!$L72:$L72,1,FALSE))),"S",""))</f>
        <v/>
      </c>
      <c r="CP80" t="str">
        <f>IF(NOT(ISERROR(HLOOKUP(Standings!CP$3,Entries!$C72:$K72,1,FALSE))),"x",IF(NOT(ISERROR(HLOOKUP(Standings!CP$3,Entries!$L72:$L72,1,FALSE))),"S",""))</f>
        <v/>
      </c>
      <c r="CQ80" t="str">
        <f>IF(NOT(ISERROR(HLOOKUP(Standings!CQ$3,Entries!$C72:$K72,1,FALSE))),"x",IF(NOT(ISERROR(HLOOKUP(Standings!CQ$3,Entries!$L72:$L72,1,FALSE))),"S",""))</f>
        <v>S</v>
      </c>
      <c r="CR80" t="str">
        <f>IF(NOT(ISERROR(HLOOKUP(Standings!CR$3,Entries!$C72:$K72,1,FALSE))),"x",IF(NOT(ISERROR(HLOOKUP(Standings!CR$3,Entries!$L72:$L72,1,FALSE))),"S",""))</f>
        <v/>
      </c>
      <c r="CS80" t="str">
        <f>IF(NOT(ISERROR(HLOOKUP(Standings!CS$3,Entries!$C72:$K72,1,FALSE))),"x",IF(NOT(ISERROR(HLOOKUP(Standings!CS$3,Entries!$L72:$L72,1,FALSE))),"S",""))</f>
        <v/>
      </c>
      <c r="CT80" t="str">
        <f>IF(NOT(ISERROR(HLOOKUP(Standings!CT$3,Entries!$C72:$K72,1,FALSE))),"x",IF(NOT(ISERROR(HLOOKUP(Standings!CT$3,Entries!$L72:$L72,1,FALSE))),"S",""))</f>
        <v/>
      </c>
      <c r="CU80" t="str">
        <f>IF(NOT(ISERROR(HLOOKUP(Standings!CU$3,Entries!$C72:$K72,1,FALSE))),"x",IF(NOT(ISERROR(HLOOKUP(Standings!CU$3,Entries!$L72:$L72,1,FALSE))),"S",""))</f>
        <v>x</v>
      </c>
      <c r="CV80" t="str">
        <f>IF(NOT(ISERROR(HLOOKUP(Standings!CV$3,Entries!$C72:$K72,1,FALSE))),"x",IF(NOT(ISERROR(HLOOKUP(Standings!CV$3,Entries!$L72:$L72,1,FALSE))),"S",""))</f>
        <v/>
      </c>
      <c r="CW80" t="str">
        <f>IF(NOT(ISERROR(HLOOKUP(Standings!CW$3,Entries!$C72:$K72,1,FALSE))),"x",IF(NOT(ISERROR(HLOOKUP(Standings!CW$3,Entries!$L72:$L72,1,FALSE))),"S",""))</f>
        <v/>
      </c>
      <c r="CX80" t="str">
        <f>IF(NOT(ISERROR(HLOOKUP(Standings!CX$3,Entries!$C72:$K72,1,FALSE))),"x",IF(NOT(ISERROR(HLOOKUP(Standings!CX$3,Entries!$L72:$L72,1,FALSE))),"S",""))</f>
        <v/>
      </c>
      <c r="CY80" t="str">
        <f>IF(NOT(ISERROR(HLOOKUP(Standings!CY$3,Entries!$C72:$K72,1,FALSE))),"x",IF(NOT(ISERROR(HLOOKUP(Standings!CY$3,Entries!$L72:$L72,1,FALSE))),"S",""))</f>
        <v/>
      </c>
      <c r="CZ80" t="str">
        <f>IF(NOT(ISERROR(HLOOKUP(Standings!CZ$3,Entries!$C72:$K72,1,FALSE))),"x",IF(NOT(ISERROR(HLOOKUP(Standings!CZ$3,Entries!$L72:$L72,1,FALSE))),"S",""))</f>
        <v>x</v>
      </c>
      <c r="DA80" t="str">
        <f>IF(NOT(ISERROR(HLOOKUP(Standings!DA$3,Entries!$C72:$K72,1,FALSE))),"x",IF(NOT(ISERROR(HLOOKUP(Standings!DA$3,Entries!$L72:$L72,1,FALSE))),"S",""))</f>
        <v/>
      </c>
      <c r="DB80" t="str">
        <f>IF(NOT(ISERROR(HLOOKUP(Standings!DB$3,Entries!$C72:$K72,1,FALSE))),"x",IF(NOT(ISERROR(HLOOKUP(Standings!DB$3,Entries!$L72:$L72,1,FALSE))),"S",""))</f>
        <v/>
      </c>
    </row>
    <row r="81" spans="1:106" x14ac:dyDescent="0.25">
      <c r="B81">
        <v>71</v>
      </c>
      <c r="C81" t="str">
        <f>Entries!B73</f>
        <v>gretameier1</v>
      </c>
      <c r="D81" s="4">
        <f t="shared" si="55"/>
        <v>18</v>
      </c>
      <c r="E81" s="31">
        <f t="shared" si="56"/>
        <v>2</v>
      </c>
      <c r="F81" s="40" t="str">
        <f t="shared" si="104"/>
        <v/>
      </c>
      <c r="G81" s="41" t="str">
        <f t="shared" si="57"/>
        <v/>
      </c>
      <c r="H81" s="41" t="str">
        <f t="shared" si="58"/>
        <v/>
      </c>
      <c r="I81" s="42" t="str">
        <f t="shared" si="59"/>
        <v/>
      </c>
      <c r="J81" s="40" t="str">
        <f t="shared" si="60"/>
        <v/>
      </c>
      <c r="K81" s="41" t="str">
        <f t="shared" si="61"/>
        <v/>
      </c>
      <c r="L81" s="41" t="str">
        <f t="shared" si="62"/>
        <v/>
      </c>
      <c r="M81" s="42" t="str">
        <f t="shared" si="63"/>
        <v/>
      </c>
      <c r="N81" s="43">
        <f t="shared" si="64"/>
        <v>0</v>
      </c>
      <c r="O81" s="41" t="str">
        <f t="shared" si="65"/>
        <v/>
      </c>
      <c r="P81" s="41" t="str">
        <f t="shared" si="66"/>
        <v/>
      </c>
      <c r="Q81" s="42" t="str">
        <f t="shared" si="67"/>
        <v/>
      </c>
      <c r="R81" s="40">
        <f t="shared" si="68"/>
        <v>2</v>
      </c>
      <c r="S81" s="41" t="str">
        <f t="shared" si="69"/>
        <v/>
      </c>
      <c r="T81" s="43" t="str">
        <f t="shared" si="70"/>
        <v/>
      </c>
      <c r="U81" s="42" t="str">
        <f t="shared" si="71"/>
        <v/>
      </c>
      <c r="V81" s="40" t="str">
        <f t="shared" si="72"/>
        <v/>
      </c>
      <c r="W81" s="41" t="str">
        <f t="shared" si="73"/>
        <v/>
      </c>
      <c r="X81" s="41" t="str">
        <f t="shared" si="74"/>
        <v/>
      </c>
      <c r="Y81" s="42" t="str">
        <f t="shared" si="75"/>
        <v/>
      </c>
      <c r="Z81" s="40" t="str">
        <f t="shared" si="76"/>
        <v/>
      </c>
      <c r="AA81" s="41" t="str">
        <f t="shared" si="77"/>
        <v/>
      </c>
      <c r="AB81" s="41">
        <f t="shared" si="78"/>
        <v>0</v>
      </c>
      <c r="AC81" s="42" t="str">
        <f t="shared" si="79"/>
        <v/>
      </c>
      <c r="AD81" s="40" t="str">
        <f t="shared" si="80"/>
        <v/>
      </c>
      <c r="AE81" s="41" t="str">
        <f t="shared" si="81"/>
        <v/>
      </c>
      <c r="AF81" s="41" t="str">
        <f t="shared" si="82"/>
        <v/>
      </c>
      <c r="AG81" s="42" t="str">
        <f t="shared" si="83"/>
        <v/>
      </c>
      <c r="AH81" s="40" t="str">
        <f t="shared" si="84"/>
        <v/>
      </c>
      <c r="AI81" s="41" t="str">
        <f t="shared" si="85"/>
        <v/>
      </c>
      <c r="AJ81" s="41" t="str">
        <f t="shared" si="86"/>
        <v/>
      </c>
      <c r="AK81" s="42" t="str">
        <f t="shared" si="87"/>
        <v/>
      </c>
      <c r="AL81" s="40" t="str">
        <f t="shared" si="88"/>
        <v/>
      </c>
      <c r="AM81" s="41" t="str">
        <f t="shared" si="89"/>
        <v/>
      </c>
      <c r="AN81" s="41" t="str">
        <f t="shared" si="90"/>
        <v/>
      </c>
      <c r="AO81" s="42" t="str">
        <f t="shared" si="91"/>
        <v/>
      </c>
      <c r="AP81" s="40" t="str">
        <f t="shared" si="92"/>
        <v/>
      </c>
      <c r="AQ81" s="41" t="str">
        <f t="shared" si="93"/>
        <v/>
      </c>
      <c r="AR81" s="41" t="str">
        <f t="shared" si="94"/>
        <v/>
      </c>
      <c r="AS81" s="42" t="str">
        <f t="shared" si="95"/>
        <v/>
      </c>
      <c r="AT81" s="40" t="str">
        <f t="shared" si="96"/>
        <v/>
      </c>
      <c r="AU81" s="41" t="str">
        <f t="shared" si="97"/>
        <v/>
      </c>
      <c r="AV81" s="41" t="str">
        <f t="shared" si="98"/>
        <v/>
      </c>
      <c r="AW81" s="42" t="str">
        <f t="shared" si="99"/>
        <v/>
      </c>
      <c r="AX81" s="40" t="str">
        <f t="shared" si="100"/>
        <v/>
      </c>
      <c r="AY81" s="41">
        <f t="shared" si="101"/>
        <v>0</v>
      </c>
      <c r="AZ81" s="41" t="str">
        <f t="shared" si="102"/>
        <v/>
      </c>
      <c r="BA81" s="42" t="str">
        <f t="shared" si="103"/>
        <v/>
      </c>
      <c r="BB81" s="37" t="s">
        <v>106</v>
      </c>
      <c r="BC81" s="21"/>
      <c r="BD81" s="21"/>
      <c r="BG81" t="str">
        <f>IF(NOT(ISERROR(HLOOKUP(Standings!BG$3,Entries!$C73:$K73,1,FALSE))),"x",IF(NOT(ISERROR(HLOOKUP(Standings!BG$3,Entries!$L73:$L73,1,FALSE))),"S",""))</f>
        <v/>
      </c>
      <c r="BH81" t="str">
        <f>IF(NOT(ISERROR(HLOOKUP(Standings!BH$3,Entries!$C73:$K73,1,FALSE))),"x",IF(NOT(ISERROR(HLOOKUP(Standings!BH$3,Entries!$L73:$L73,1,FALSE))),"S",""))</f>
        <v/>
      </c>
      <c r="BI81" t="str">
        <f>IF(NOT(ISERROR(HLOOKUP(Standings!BI$3,Entries!$C73:$K73,1,FALSE))),"x",IF(NOT(ISERROR(HLOOKUP(Standings!BI$3,Entries!$L73:$L73,1,FALSE))),"S",""))</f>
        <v/>
      </c>
      <c r="BJ81" t="str">
        <f>IF(NOT(ISERROR(HLOOKUP(Standings!BJ$3,Entries!$C73:$K73,1,FALSE))),"x",IF(NOT(ISERROR(HLOOKUP(Standings!BJ$3,Entries!$L73:$L73,1,FALSE))),"S",""))</f>
        <v/>
      </c>
      <c r="BK81" t="str">
        <f>IF(NOT(ISERROR(HLOOKUP(Standings!BK$3,Entries!$C73:$K73,1,FALSE))),"x",IF(NOT(ISERROR(HLOOKUP(Standings!BK$3,Entries!$L73:$L73,1,FALSE))),"S",""))</f>
        <v/>
      </c>
      <c r="BL81" t="str">
        <f>IF(NOT(ISERROR(HLOOKUP(Standings!BL$3,Entries!$C73:$K73,1,FALSE))),"x",IF(NOT(ISERROR(HLOOKUP(Standings!BL$3,Entries!$L73:$L73,1,FALSE))),"S",""))</f>
        <v/>
      </c>
      <c r="BM81" t="str">
        <f>IF(NOT(ISERROR(HLOOKUP(Standings!BM$3,Entries!$C73:$K73,1,FALSE))),"x",IF(NOT(ISERROR(HLOOKUP(Standings!BM$3,Entries!$L73:$L73,1,FALSE))),"S",""))</f>
        <v/>
      </c>
      <c r="BN81" t="str">
        <f>IF(NOT(ISERROR(HLOOKUP(Standings!BN$3,Entries!$C73:$K73,1,FALSE))),"x",IF(NOT(ISERROR(HLOOKUP(Standings!BN$3,Entries!$L73:$L73,1,FALSE))),"S",""))</f>
        <v/>
      </c>
      <c r="BO81" t="str">
        <f>IF(NOT(ISERROR(HLOOKUP(Standings!BO$3,Entries!$C73:$K73,1,FALSE))),"x",IF(NOT(ISERROR(HLOOKUP(Standings!BO$3,Entries!$L73:$L73,1,FALSE))),"S",""))</f>
        <v>x</v>
      </c>
      <c r="BP81" t="str">
        <f>IF(NOT(ISERROR(HLOOKUP(Standings!BP$3,Entries!$C73:$K73,1,FALSE))),"x",IF(NOT(ISERROR(HLOOKUP(Standings!BP$3,Entries!$L73:$L73,1,FALSE))),"S",""))</f>
        <v/>
      </c>
      <c r="BQ81" t="str">
        <f>IF(NOT(ISERROR(HLOOKUP(Standings!BQ$3,Entries!$C73:$K73,1,FALSE))),"x",IF(NOT(ISERROR(HLOOKUP(Standings!BQ$3,Entries!$L73:$L73,1,FALSE))),"S",""))</f>
        <v/>
      </c>
      <c r="BR81" t="str">
        <f>IF(NOT(ISERROR(HLOOKUP(Standings!BR$3,Entries!$C73:$K73,1,FALSE))),"x",IF(NOT(ISERROR(HLOOKUP(Standings!BR$3,Entries!$L73:$L73,1,FALSE))),"S",""))</f>
        <v/>
      </c>
      <c r="BS81" t="str">
        <f>IF(NOT(ISERROR(HLOOKUP(Standings!BS$3,Entries!$C73:$K73,1,FALSE))),"x",IF(NOT(ISERROR(HLOOKUP(Standings!BS$3,Entries!$L73:$L73,1,FALSE))),"S",""))</f>
        <v>x</v>
      </c>
      <c r="BT81" t="str">
        <f>IF(NOT(ISERROR(HLOOKUP(Standings!BT$3,Entries!$C73:$K73,1,FALSE))),"x",IF(NOT(ISERROR(HLOOKUP(Standings!BT$3,Entries!$L73:$L73,1,FALSE))),"S",""))</f>
        <v/>
      </c>
      <c r="BU81" t="str">
        <f>IF(NOT(ISERROR(HLOOKUP(Standings!BU$3,Entries!$C73:$K73,1,FALSE))),"x",IF(NOT(ISERROR(HLOOKUP(Standings!BU$3,Entries!$L73:$L73,1,FALSE))),"S",""))</f>
        <v/>
      </c>
      <c r="BV81" t="str">
        <f>IF(NOT(ISERROR(HLOOKUP(Standings!BV$3,Entries!$C73:$K73,1,FALSE))),"x",IF(NOT(ISERROR(HLOOKUP(Standings!BV$3,Entries!$L73:$L73,1,FALSE))),"S",""))</f>
        <v/>
      </c>
      <c r="BW81" t="str">
        <f>IF(NOT(ISERROR(HLOOKUP(Standings!BW$3,Entries!$C73:$K73,1,FALSE))),"x",IF(NOT(ISERROR(HLOOKUP(Standings!BW$3,Entries!$L73:$L73,1,FALSE))),"S",""))</f>
        <v/>
      </c>
      <c r="BX81" t="str">
        <f>IF(NOT(ISERROR(HLOOKUP(Standings!BX$3,Entries!$C73:$K73,1,FALSE))),"x",IF(NOT(ISERROR(HLOOKUP(Standings!BX$3,Entries!$L73:$L73,1,FALSE))),"S",""))</f>
        <v/>
      </c>
      <c r="BY81" t="str">
        <f>IF(NOT(ISERROR(HLOOKUP(Standings!BY$3,Entries!$C73:$K73,1,FALSE))),"x",IF(NOT(ISERROR(HLOOKUP(Standings!BY$3,Entries!$L73:$L73,1,FALSE))),"S",""))</f>
        <v/>
      </c>
      <c r="BZ81" t="str">
        <f>IF(NOT(ISERROR(HLOOKUP(Standings!BZ$3,Entries!$C73:$K73,1,FALSE))),"x",IF(NOT(ISERROR(HLOOKUP(Standings!BZ$3,Entries!$L73:$L73,1,FALSE))),"S",""))</f>
        <v/>
      </c>
      <c r="CA81" t="str">
        <f>IF(NOT(ISERROR(HLOOKUP(Standings!CA$3,Entries!$C73:$K73,1,FALSE))),"x",IF(NOT(ISERROR(HLOOKUP(Standings!CA$3,Entries!$L73:$L73,1,FALSE))),"S",""))</f>
        <v/>
      </c>
      <c r="CB81" t="str">
        <f>IF(NOT(ISERROR(HLOOKUP(Standings!CB$3,Entries!$C73:$K73,1,FALSE))),"x",IF(NOT(ISERROR(HLOOKUP(Standings!CB$3,Entries!$L73:$L73,1,FALSE))),"S",""))</f>
        <v/>
      </c>
      <c r="CC81" t="str">
        <f>IF(NOT(ISERROR(HLOOKUP(Standings!CC$3,Entries!$C73:$K73,1,FALSE))),"x",IF(NOT(ISERROR(HLOOKUP(Standings!CC$3,Entries!$L73:$L73,1,FALSE))),"S",""))</f>
        <v>x</v>
      </c>
      <c r="CD81" t="str">
        <f>IF(NOT(ISERROR(HLOOKUP(Standings!CD$3,Entries!$C73:$K73,1,FALSE))),"x",IF(NOT(ISERROR(HLOOKUP(Standings!CD$3,Entries!$L73:$L73,1,FALSE))),"S",""))</f>
        <v/>
      </c>
      <c r="CE81" t="str">
        <f>IF(NOT(ISERROR(HLOOKUP(Standings!CE$3,Entries!$C73:$K73,1,FALSE))),"x",IF(NOT(ISERROR(HLOOKUP(Standings!CE$3,Entries!$L73:$L73,1,FALSE))),"S",""))</f>
        <v/>
      </c>
      <c r="CF81" t="str">
        <f>IF(NOT(ISERROR(HLOOKUP(Standings!CF$3,Entries!$C73:$K73,1,FALSE))),"x",IF(NOT(ISERROR(HLOOKUP(Standings!CF$3,Entries!$L73:$L73,1,FALSE))),"S",""))</f>
        <v/>
      </c>
      <c r="CG81" t="str">
        <f>IF(NOT(ISERROR(HLOOKUP(Standings!CG$3,Entries!$C73:$K73,1,FALSE))),"x",IF(NOT(ISERROR(HLOOKUP(Standings!CG$3,Entries!$L73:$L73,1,FALSE))),"S",""))</f>
        <v/>
      </c>
      <c r="CH81" t="str">
        <f>IF(NOT(ISERROR(HLOOKUP(Standings!CH$3,Entries!$C73:$K73,1,FALSE))),"x",IF(NOT(ISERROR(HLOOKUP(Standings!CH$3,Entries!$L73:$L73,1,FALSE))),"S",""))</f>
        <v/>
      </c>
      <c r="CI81" t="str">
        <f>IF(NOT(ISERROR(HLOOKUP(Standings!CI$3,Entries!$C73:$K73,1,FALSE))),"x",IF(NOT(ISERROR(HLOOKUP(Standings!CI$3,Entries!$L73:$L73,1,FALSE))),"S",""))</f>
        <v/>
      </c>
      <c r="CJ81" t="str">
        <f>IF(NOT(ISERROR(HLOOKUP(Standings!CJ$3,Entries!$C73:$K73,1,FALSE))),"x",IF(NOT(ISERROR(HLOOKUP(Standings!CJ$3,Entries!$L73:$L73,1,FALSE))),"S",""))</f>
        <v/>
      </c>
      <c r="CK81" t="str">
        <f>IF(NOT(ISERROR(HLOOKUP(Standings!CK$3,Entries!$C73:$K73,1,FALSE))),"x",IF(NOT(ISERROR(HLOOKUP(Standings!CK$3,Entries!$L73:$L73,1,FALSE))),"S",""))</f>
        <v/>
      </c>
      <c r="CL81" t="str">
        <f>IF(NOT(ISERROR(HLOOKUP(Standings!CL$3,Entries!$C73:$K73,1,FALSE))),"x",IF(NOT(ISERROR(HLOOKUP(Standings!CL$3,Entries!$L73:$L73,1,FALSE))),"S",""))</f>
        <v/>
      </c>
      <c r="CM81" t="str">
        <f>IF(NOT(ISERROR(HLOOKUP(Standings!CM$3,Entries!$C73:$K73,1,FALSE))),"x",IF(NOT(ISERROR(HLOOKUP(Standings!CM$3,Entries!$L73:$L73,1,FALSE))),"S",""))</f>
        <v/>
      </c>
      <c r="CN81" t="str">
        <f>IF(NOT(ISERROR(HLOOKUP(Standings!CN$3,Entries!$C73:$K73,1,FALSE))),"x",IF(NOT(ISERROR(HLOOKUP(Standings!CN$3,Entries!$L73:$L73,1,FALSE))),"S",""))</f>
        <v/>
      </c>
      <c r="CO81" t="str">
        <f>IF(NOT(ISERROR(HLOOKUP(Standings!CO$3,Entries!$C73:$K73,1,FALSE))),"x",IF(NOT(ISERROR(HLOOKUP(Standings!CO$3,Entries!$L73:$L73,1,FALSE))),"S",""))</f>
        <v/>
      </c>
      <c r="CP81" t="str">
        <f>IF(NOT(ISERROR(HLOOKUP(Standings!CP$3,Entries!$C73:$K73,1,FALSE))),"x",IF(NOT(ISERROR(HLOOKUP(Standings!CP$3,Entries!$L73:$L73,1,FALSE))),"S",""))</f>
        <v/>
      </c>
      <c r="CQ81" t="str">
        <f>IF(NOT(ISERROR(HLOOKUP(Standings!CQ$3,Entries!$C73:$K73,1,FALSE))),"x",IF(NOT(ISERROR(HLOOKUP(Standings!CQ$3,Entries!$L73:$L73,1,FALSE))),"S",""))</f>
        <v/>
      </c>
      <c r="CR81" t="str">
        <f>IF(NOT(ISERROR(HLOOKUP(Standings!CR$3,Entries!$C73:$K73,1,FALSE))),"x",IF(NOT(ISERROR(HLOOKUP(Standings!CR$3,Entries!$L73:$L73,1,FALSE))),"S",""))</f>
        <v/>
      </c>
      <c r="CS81" t="str">
        <f>IF(NOT(ISERROR(HLOOKUP(Standings!CS$3,Entries!$C73:$K73,1,FALSE))),"x",IF(NOT(ISERROR(HLOOKUP(Standings!CS$3,Entries!$L73:$L73,1,FALSE))),"S",""))</f>
        <v/>
      </c>
      <c r="CT81" t="str">
        <f>IF(NOT(ISERROR(HLOOKUP(Standings!CT$3,Entries!$C73:$K73,1,FALSE))),"x",IF(NOT(ISERROR(HLOOKUP(Standings!CT$3,Entries!$L73:$L73,1,FALSE))),"S",""))</f>
        <v/>
      </c>
      <c r="CU81" t="str">
        <f>IF(NOT(ISERROR(HLOOKUP(Standings!CU$3,Entries!$C73:$K73,1,FALSE))),"x",IF(NOT(ISERROR(HLOOKUP(Standings!CU$3,Entries!$L73:$L73,1,FALSE))),"S",""))</f>
        <v/>
      </c>
      <c r="CV81" t="str">
        <f>IF(NOT(ISERROR(HLOOKUP(Standings!CV$3,Entries!$C73:$K73,1,FALSE))),"x",IF(NOT(ISERROR(HLOOKUP(Standings!CV$3,Entries!$L73:$L73,1,FALSE))),"S",""))</f>
        <v/>
      </c>
      <c r="CW81" t="str">
        <f>IF(NOT(ISERROR(HLOOKUP(Standings!CW$3,Entries!$C73:$K73,1,FALSE))),"x",IF(NOT(ISERROR(HLOOKUP(Standings!CW$3,Entries!$L73:$L73,1,FALSE))),"S",""))</f>
        <v/>
      </c>
      <c r="CX81" t="str">
        <f>IF(NOT(ISERROR(HLOOKUP(Standings!CX$3,Entries!$C73:$K73,1,FALSE))),"x",IF(NOT(ISERROR(HLOOKUP(Standings!CX$3,Entries!$L73:$L73,1,FALSE))),"S",""))</f>
        <v/>
      </c>
      <c r="CY81" t="str">
        <f>IF(NOT(ISERROR(HLOOKUP(Standings!CY$3,Entries!$C73:$K73,1,FALSE))),"x",IF(NOT(ISERROR(HLOOKUP(Standings!CY$3,Entries!$L73:$L73,1,FALSE))),"S",""))</f>
        <v/>
      </c>
      <c r="CZ81" t="str">
        <f>IF(NOT(ISERROR(HLOOKUP(Standings!CZ$3,Entries!$C73:$K73,1,FALSE))),"x",IF(NOT(ISERROR(HLOOKUP(Standings!CZ$3,Entries!$L73:$L73,1,FALSE))),"S",""))</f>
        <v>x</v>
      </c>
      <c r="DA81" t="str">
        <f>IF(NOT(ISERROR(HLOOKUP(Standings!DA$3,Entries!$C73:$K73,1,FALSE))),"x",IF(NOT(ISERROR(HLOOKUP(Standings!DA$3,Entries!$L73:$L73,1,FALSE))),"S",""))</f>
        <v/>
      </c>
      <c r="DB81" t="str">
        <f>IF(NOT(ISERROR(HLOOKUP(Standings!DB$3,Entries!$C73:$K73,1,FALSE))),"x",IF(NOT(ISERROR(HLOOKUP(Standings!DB$3,Entries!$L73:$L73,1,FALSE))),"S",""))</f>
        <v/>
      </c>
    </row>
    <row r="82" spans="1:106" x14ac:dyDescent="0.25">
      <c r="A82" s="18"/>
      <c r="B82">
        <v>26</v>
      </c>
      <c r="C82" t="str">
        <f>Entries!B74</f>
        <v>Schultzy1</v>
      </c>
      <c r="D82" s="4">
        <f t="shared" si="55"/>
        <v>55</v>
      </c>
      <c r="E82" s="31">
        <f t="shared" si="56"/>
        <v>0</v>
      </c>
      <c r="F82" s="40" t="str">
        <f t="shared" si="104"/>
        <v/>
      </c>
      <c r="G82" s="41" t="str">
        <f t="shared" si="57"/>
        <v/>
      </c>
      <c r="H82" s="41" t="str">
        <f t="shared" si="58"/>
        <v/>
      </c>
      <c r="I82" s="42" t="str">
        <f t="shared" si="59"/>
        <v/>
      </c>
      <c r="J82" s="40" t="str">
        <f t="shared" si="60"/>
        <v/>
      </c>
      <c r="K82" s="41" t="str">
        <f t="shared" si="61"/>
        <v/>
      </c>
      <c r="L82" s="41" t="str">
        <f t="shared" si="62"/>
        <v/>
      </c>
      <c r="M82" s="42" t="str">
        <f t="shared" si="63"/>
        <v/>
      </c>
      <c r="N82" s="43">
        <f t="shared" si="64"/>
        <v>0</v>
      </c>
      <c r="O82" s="41" t="str">
        <f t="shared" si="65"/>
        <v/>
      </c>
      <c r="P82" s="41" t="str">
        <f t="shared" si="66"/>
        <v/>
      </c>
      <c r="Q82" s="42" t="str">
        <f t="shared" si="67"/>
        <v/>
      </c>
      <c r="R82" s="40" t="str">
        <f t="shared" si="68"/>
        <v/>
      </c>
      <c r="S82" s="41" t="str">
        <f t="shared" si="69"/>
        <v/>
      </c>
      <c r="T82" s="43">
        <f t="shared" si="70"/>
        <v>0</v>
      </c>
      <c r="U82" s="42" t="str">
        <f t="shared" si="71"/>
        <v/>
      </c>
      <c r="V82" s="40">
        <f t="shared" si="72"/>
        <v>-1.0000000000000001E-5</v>
      </c>
      <c r="W82" s="41" t="str">
        <f t="shared" si="73"/>
        <v/>
      </c>
      <c r="X82" s="41" t="str">
        <f t="shared" si="74"/>
        <v/>
      </c>
      <c r="Y82" s="42" t="str">
        <f t="shared" si="75"/>
        <v/>
      </c>
      <c r="Z82" s="40" t="str">
        <f t="shared" si="76"/>
        <v/>
      </c>
      <c r="AA82" s="41" t="str">
        <f t="shared" si="77"/>
        <v/>
      </c>
      <c r="AB82" s="41" t="str">
        <f t="shared" si="78"/>
        <v/>
      </c>
      <c r="AC82" s="42" t="str">
        <f t="shared" si="79"/>
        <v/>
      </c>
      <c r="AD82" s="40" t="str">
        <f t="shared" si="80"/>
        <v/>
      </c>
      <c r="AE82" s="41">
        <f t="shared" si="81"/>
        <v>0</v>
      </c>
      <c r="AF82" s="41" t="str">
        <f t="shared" si="82"/>
        <v/>
      </c>
      <c r="AG82" s="42">
        <f t="shared" si="83"/>
        <v>0</v>
      </c>
      <c r="AH82" s="40">
        <f t="shared" si="84"/>
        <v>0</v>
      </c>
      <c r="AI82" s="41" t="str">
        <f t="shared" si="85"/>
        <v/>
      </c>
      <c r="AJ82" s="41" t="str">
        <f t="shared" si="86"/>
        <v/>
      </c>
      <c r="AK82" s="42" t="str">
        <f t="shared" si="87"/>
        <v/>
      </c>
      <c r="AL82" s="40" t="str">
        <f t="shared" si="88"/>
        <v/>
      </c>
      <c r="AM82" s="41" t="str">
        <f t="shared" si="89"/>
        <v/>
      </c>
      <c r="AN82" s="41" t="str">
        <f t="shared" si="90"/>
        <v/>
      </c>
      <c r="AO82" s="42" t="str">
        <f t="shared" si="91"/>
        <v/>
      </c>
      <c r="AP82" s="40" t="str">
        <f t="shared" si="92"/>
        <v/>
      </c>
      <c r="AQ82" s="41" t="str">
        <f t="shared" si="93"/>
        <v/>
      </c>
      <c r="AR82" s="41" t="str">
        <f t="shared" si="94"/>
        <v/>
      </c>
      <c r="AS82" s="42" t="str">
        <f t="shared" si="95"/>
        <v/>
      </c>
      <c r="AT82" s="40" t="str">
        <f t="shared" si="96"/>
        <v/>
      </c>
      <c r="AU82" s="41" t="str">
        <f t="shared" si="97"/>
        <v/>
      </c>
      <c r="AV82" s="41" t="str">
        <f t="shared" si="98"/>
        <v/>
      </c>
      <c r="AW82" s="42" t="str">
        <f t="shared" si="99"/>
        <v/>
      </c>
      <c r="AX82" s="40" t="str">
        <f t="shared" si="100"/>
        <v/>
      </c>
      <c r="AY82" s="41" t="str">
        <f t="shared" si="101"/>
        <v/>
      </c>
      <c r="AZ82" s="41" t="str">
        <f t="shared" si="102"/>
        <v/>
      </c>
      <c r="BA82" s="42" t="str">
        <f t="shared" si="103"/>
        <v/>
      </c>
      <c r="BB82" s="37" t="s">
        <v>106</v>
      </c>
      <c r="BC82" s="21"/>
      <c r="BD82" s="21"/>
      <c r="BG82" t="str">
        <f>IF(NOT(ISERROR(HLOOKUP(Standings!BG$3,Entries!$C74:$K74,1,FALSE))),"x",IF(NOT(ISERROR(HLOOKUP(Standings!BG$3,Entries!$L74:$L74,1,FALSE))),"S",""))</f>
        <v/>
      </c>
      <c r="BH82" t="str">
        <f>IF(NOT(ISERROR(HLOOKUP(Standings!BH$3,Entries!$C74:$K74,1,FALSE))),"x",IF(NOT(ISERROR(HLOOKUP(Standings!BH$3,Entries!$L74:$L74,1,FALSE))),"S",""))</f>
        <v/>
      </c>
      <c r="BI82" t="str">
        <f>IF(NOT(ISERROR(HLOOKUP(Standings!BI$3,Entries!$C74:$K74,1,FALSE))),"x",IF(NOT(ISERROR(HLOOKUP(Standings!BI$3,Entries!$L74:$L74,1,FALSE))),"S",""))</f>
        <v/>
      </c>
      <c r="BJ82" t="str">
        <f>IF(NOT(ISERROR(HLOOKUP(Standings!BJ$3,Entries!$C74:$K74,1,FALSE))),"x",IF(NOT(ISERROR(HLOOKUP(Standings!BJ$3,Entries!$L74:$L74,1,FALSE))),"S",""))</f>
        <v/>
      </c>
      <c r="BK82" t="str">
        <f>IF(NOT(ISERROR(HLOOKUP(Standings!BK$3,Entries!$C74:$K74,1,FALSE))),"x",IF(NOT(ISERROR(HLOOKUP(Standings!BK$3,Entries!$L74:$L74,1,FALSE))),"S",""))</f>
        <v/>
      </c>
      <c r="BL82" t="str">
        <f>IF(NOT(ISERROR(HLOOKUP(Standings!BL$3,Entries!$C74:$K74,1,FALSE))),"x",IF(NOT(ISERROR(HLOOKUP(Standings!BL$3,Entries!$L74:$L74,1,FALSE))),"S",""))</f>
        <v/>
      </c>
      <c r="BM82" t="str">
        <f>IF(NOT(ISERROR(HLOOKUP(Standings!BM$3,Entries!$C74:$K74,1,FALSE))),"x",IF(NOT(ISERROR(HLOOKUP(Standings!BM$3,Entries!$L74:$L74,1,FALSE))),"S",""))</f>
        <v/>
      </c>
      <c r="BN82" t="str">
        <f>IF(NOT(ISERROR(HLOOKUP(Standings!BN$3,Entries!$C74:$K74,1,FALSE))),"x",IF(NOT(ISERROR(HLOOKUP(Standings!BN$3,Entries!$L74:$L74,1,FALSE))),"S",""))</f>
        <v/>
      </c>
      <c r="BO82" t="str">
        <f>IF(NOT(ISERROR(HLOOKUP(Standings!BO$3,Entries!$C74:$K74,1,FALSE))),"x",IF(NOT(ISERROR(HLOOKUP(Standings!BO$3,Entries!$L74:$L74,1,FALSE))),"S",""))</f>
        <v>x</v>
      </c>
      <c r="BP82" t="str">
        <f>IF(NOT(ISERROR(HLOOKUP(Standings!BP$3,Entries!$C74:$K74,1,FALSE))),"x",IF(NOT(ISERROR(HLOOKUP(Standings!BP$3,Entries!$L74:$L74,1,FALSE))),"S",""))</f>
        <v/>
      </c>
      <c r="BQ82" t="str">
        <f>IF(NOT(ISERROR(HLOOKUP(Standings!BQ$3,Entries!$C74:$K74,1,FALSE))),"x",IF(NOT(ISERROR(HLOOKUP(Standings!BQ$3,Entries!$L74:$L74,1,FALSE))),"S",""))</f>
        <v/>
      </c>
      <c r="BR82" t="str">
        <f>IF(NOT(ISERROR(HLOOKUP(Standings!BR$3,Entries!$C74:$K74,1,FALSE))),"x",IF(NOT(ISERROR(HLOOKUP(Standings!BR$3,Entries!$L74:$L74,1,FALSE))),"S",""))</f>
        <v/>
      </c>
      <c r="BS82" t="str">
        <f>IF(NOT(ISERROR(HLOOKUP(Standings!BS$3,Entries!$C74:$K74,1,FALSE))),"x",IF(NOT(ISERROR(HLOOKUP(Standings!BS$3,Entries!$L74:$L74,1,FALSE))),"S",""))</f>
        <v/>
      </c>
      <c r="BT82" t="str">
        <f>IF(NOT(ISERROR(HLOOKUP(Standings!BT$3,Entries!$C74:$K74,1,FALSE))),"x",IF(NOT(ISERROR(HLOOKUP(Standings!BT$3,Entries!$L74:$L74,1,FALSE))),"S",""))</f>
        <v/>
      </c>
      <c r="BU82" t="str">
        <f>IF(NOT(ISERROR(HLOOKUP(Standings!BU$3,Entries!$C74:$K74,1,FALSE))),"x",IF(NOT(ISERROR(HLOOKUP(Standings!BU$3,Entries!$L74:$L74,1,FALSE))),"S",""))</f>
        <v>x</v>
      </c>
      <c r="BV82" t="str">
        <f>IF(NOT(ISERROR(HLOOKUP(Standings!BV$3,Entries!$C74:$K74,1,FALSE))),"x",IF(NOT(ISERROR(HLOOKUP(Standings!BV$3,Entries!$L74:$L74,1,FALSE))),"S",""))</f>
        <v/>
      </c>
      <c r="BW82" t="str">
        <f>IF(NOT(ISERROR(HLOOKUP(Standings!BW$3,Entries!$C74:$K74,1,FALSE))),"x",IF(NOT(ISERROR(HLOOKUP(Standings!BW$3,Entries!$L74:$L74,1,FALSE))),"S",""))</f>
        <v>S</v>
      </c>
      <c r="BX82" t="str">
        <f>IF(NOT(ISERROR(HLOOKUP(Standings!BX$3,Entries!$C74:$K74,1,FALSE))),"x",IF(NOT(ISERROR(HLOOKUP(Standings!BX$3,Entries!$L74:$L74,1,FALSE))),"S",""))</f>
        <v/>
      </c>
      <c r="BY82" t="str">
        <f>IF(NOT(ISERROR(HLOOKUP(Standings!BY$3,Entries!$C74:$K74,1,FALSE))),"x",IF(NOT(ISERROR(HLOOKUP(Standings!BY$3,Entries!$L74:$L74,1,FALSE))),"S",""))</f>
        <v/>
      </c>
      <c r="BZ82" t="str">
        <f>IF(NOT(ISERROR(HLOOKUP(Standings!BZ$3,Entries!$C74:$K74,1,FALSE))),"x",IF(NOT(ISERROR(HLOOKUP(Standings!BZ$3,Entries!$L74:$L74,1,FALSE))),"S",""))</f>
        <v/>
      </c>
      <c r="CA82" t="str">
        <f>IF(NOT(ISERROR(HLOOKUP(Standings!CA$3,Entries!$C74:$K74,1,FALSE))),"x",IF(NOT(ISERROR(HLOOKUP(Standings!CA$3,Entries!$L74:$L74,1,FALSE))),"S",""))</f>
        <v/>
      </c>
      <c r="CB82" t="str">
        <f>IF(NOT(ISERROR(HLOOKUP(Standings!CB$3,Entries!$C74:$K74,1,FALSE))),"x",IF(NOT(ISERROR(HLOOKUP(Standings!CB$3,Entries!$L74:$L74,1,FALSE))),"S",""))</f>
        <v/>
      </c>
      <c r="CC82" t="str">
        <f>IF(NOT(ISERROR(HLOOKUP(Standings!CC$3,Entries!$C74:$K74,1,FALSE))),"x",IF(NOT(ISERROR(HLOOKUP(Standings!CC$3,Entries!$L74:$L74,1,FALSE))),"S",""))</f>
        <v/>
      </c>
      <c r="CD82" t="str">
        <f>IF(NOT(ISERROR(HLOOKUP(Standings!CD$3,Entries!$C74:$K74,1,FALSE))),"x",IF(NOT(ISERROR(HLOOKUP(Standings!CD$3,Entries!$L74:$L74,1,FALSE))),"S",""))</f>
        <v/>
      </c>
      <c r="CE82" t="str">
        <f>IF(NOT(ISERROR(HLOOKUP(Standings!CE$3,Entries!$C74:$K74,1,FALSE))),"x",IF(NOT(ISERROR(HLOOKUP(Standings!CE$3,Entries!$L74:$L74,1,FALSE))),"S",""))</f>
        <v/>
      </c>
      <c r="CF82" t="str">
        <f>IF(NOT(ISERROR(HLOOKUP(Standings!CF$3,Entries!$C74:$K74,1,FALSE))),"x",IF(NOT(ISERROR(HLOOKUP(Standings!CF$3,Entries!$L74:$L74,1,FALSE))),"S",""))</f>
        <v>x</v>
      </c>
      <c r="CG82" t="str">
        <f>IF(NOT(ISERROR(HLOOKUP(Standings!CG$3,Entries!$C74:$K74,1,FALSE))),"x",IF(NOT(ISERROR(HLOOKUP(Standings!CG$3,Entries!$L74:$L74,1,FALSE))),"S",""))</f>
        <v/>
      </c>
      <c r="CH82" t="str">
        <f>IF(NOT(ISERROR(HLOOKUP(Standings!CH$3,Entries!$C74:$K74,1,FALSE))),"x",IF(NOT(ISERROR(HLOOKUP(Standings!CH$3,Entries!$L74:$L74,1,FALSE))),"S",""))</f>
        <v>x</v>
      </c>
      <c r="CI82" t="str">
        <f>IF(NOT(ISERROR(HLOOKUP(Standings!CI$3,Entries!$C74:$K74,1,FALSE))),"x",IF(NOT(ISERROR(HLOOKUP(Standings!CI$3,Entries!$L74:$L74,1,FALSE))),"S",""))</f>
        <v>x</v>
      </c>
      <c r="CJ82" t="str">
        <f>IF(NOT(ISERROR(HLOOKUP(Standings!CJ$3,Entries!$C74:$K74,1,FALSE))),"x",IF(NOT(ISERROR(HLOOKUP(Standings!CJ$3,Entries!$L74:$L74,1,FALSE))),"S",""))</f>
        <v/>
      </c>
      <c r="CK82" t="str">
        <f>IF(NOT(ISERROR(HLOOKUP(Standings!CK$3,Entries!$C74:$K74,1,FALSE))),"x",IF(NOT(ISERROR(HLOOKUP(Standings!CK$3,Entries!$L74:$L74,1,FALSE))),"S",""))</f>
        <v/>
      </c>
      <c r="CL82" t="str">
        <f>IF(NOT(ISERROR(HLOOKUP(Standings!CL$3,Entries!$C74:$K74,1,FALSE))),"x",IF(NOT(ISERROR(HLOOKUP(Standings!CL$3,Entries!$L74:$L74,1,FALSE))),"S",""))</f>
        <v/>
      </c>
      <c r="CM82" t="str">
        <f>IF(NOT(ISERROR(HLOOKUP(Standings!CM$3,Entries!$C74:$K74,1,FALSE))),"x",IF(NOT(ISERROR(HLOOKUP(Standings!CM$3,Entries!$L74:$L74,1,FALSE))),"S",""))</f>
        <v/>
      </c>
      <c r="CN82" t="str">
        <f>IF(NOT(ISERROR(HLOOKUP(Standings!CN$3,Entries!$C74:$K74,1,FALSE))),"x",IF(NOT(ISERROR(HLOOKUP(Standings!CN$3,Entries!$L74:$L74,1,FALSE))),"S",""))</f>
        <v/>
      </c>
      <c r="CO82" t="str">
        <f>IF(NOT(ISERROR(HLOOKUP(Standings!CO$3,Entries!$C74:$K74,1,FALSE))),"x",IF(NOT(ISERROR(HLOOKUP(Standings!CO$3,Entries!$L74:$L74,1,FALSE))),"S",""))</f>
        <v/>
      </c>
      <c r="CP82" t="str">
        <f>IF(NOT(ISERROR(HLOOKUP(Standings!CP$3,Entries!$C74:$K74,1,FALSE))),"x",IF(NOT(ISERROR(HLOOKUP(Standings!CP$3,Entries!$L74:$L74,1,FALSE))),"S",""))</f>
        <v/>
      </c>
      <c r="CQ82" t="str">
        <f>IF(NOT(ISERROR(HLOOKUP(Standings!CQ$3,Entries!$C74:$K74,1,FALSE))),"x",IF(NOT(ISERROR(HLOOKUP(Standings!CQ$3,Entries!$L74:$L74,1,FALSE))),"S",""))</f>
        <v/>
      </c>
      <c r="CR82" t="str">
        <f>IF(NOT(ISERROR(HLOOKUP(Standings!CR$3,Entries!$C74:$K74,1,FALSE))),"x",IF(NOT(ISERROR(HLOOKUP(Standings!CR$3,Entries!$L74:$L74,1,FALSE))),"S",""))</f>
        <v/>
      </c>
      <c r="CS82" t="str">
        <f>IF(NOT(ISERROR(HLOOKUP(Standings!CS$3,Entries!$C74:$K74,1,FALSE))),"x",IF(NOT(ISERROR(HLOOKUP(Standings!CS$3,Entries!$L74:$L74,1,FALSE))),"S",""))</f>
        <v/>
      </c>
      <c r="CT82" t="str">
        <f>IF(NOT(ISERROR(HLOOKUP(Standings!CT$3,Entries!$C74:$K74,1,FALSE))),"x",IF(NOT(ISERROR(HLOOKUP(Standings!CT$3,Entries!$L74:$L74,1,FALSE))),"S",""))</f>
        <v/>
      </c>
      <c r="CU82" t="str">
        <f>IF(NOT(ISERROR(HLOOKUP(Standings!CU$3,Entries!$C74:$K74,1,FALSE))),"x",IF(NOT(ISERROR(HLOOKUP(Standings!CU$3,Entries!$L74:$L74,1,FALSE))),"S",""))</f>
        <v/>
      </c>
      <c r="CV82" t="str">
        <f>IF(NOT(ISERROR(HLOOKUP(Standings!CV$3,Entries!$C74:$K74,1,FALSE))),"x",IF(NOT(ISERROR(HLOOKUP(Standings!CV$3,Entries!$L74:$L74,1,FALSE))),"S",""))</f>
        <v/>
      </c>
      <c r="CW82" t="str">
        <f>IF(NOT(ISERROR(HLOOKUP(Standings!CW$3,Entries!$C74:$K74,1,FALSE))),"x",IF(NOT(ISERROR(HLOOKUP(Standings!CW$3,Entries!$L74:$L74,1,FALSE))),"S",""))</f>
        <v/>
      </c>
      <c r="CX82" t="str">
        <f>IF(NOT(ISERROR(HLOOKUP(Standings!CX$3,Entries!$C74:$K74,1,FALSE))),"x",IF(NOT(ISERROR(HLOOKUP(Standings!CX$3,Entries!$L74:$L74,1,FALSE))),"S",""))</f>
        <v/>
      </c>
      <c r="CY82" t="str">
        <f>IF(NOT(ISERROR(HLOOKUP(Standings!CY$3,Entries!$C74:$K74,1,FALSE))),"x",IF(NOT(ISERROR(HLOOKUP(Standings!CY$3,Entries!$L74:$L74,1,FALSE))),"S",""))</f>
        <v/>
      </c>
      <c r="CZ82" t="str">
        <f>IF(NOT(ISERROR(HLOOKUP(Standings!CZ$3,Entries!$C74:$K74,1,FALSE))),"x",IF(NOT(ISERROR(HLOOKUP(Standings!CZ$3,Entries!$L74:$L74,1,FALSE))),"S",""))</f>
        <v/>
      </c>
      <c r="DA82" t="str">
        <f>IF(NOT(ISERROR(HLOOKUP(Standings!DA$3,Entries!$C74:$K74,1,FALSE))),"x",IF(NOT(ISERROR(HLOOKUP(Standings!DA$3,Entries!$L74:$L74,1,FALSE))),"S",""))</f>
        <v/>
      </c>
      <c r="DB82" t="str">
        <f>IF(NOT(ISERROR(HLOOKUP(Standings!DB$3,Entries!$C74:$K74,1,FALSE))),"x",IF(NOT(ISERROR(HLOOKUP(Standings!DB$3,Entries!$L74:$L74,1,FALSE))),"S",""))</f>
        <v/>
      </c>
    </row>
    <row r="83" spans="1:106" x14ac:dyDescent="0.25">
      <c r="A83" s="18"/>
      <c r="B83">
        <v>26</v>
      </c>
      <c r="C83" t="str">
        <f>Entries!B75</f>
        <v>Schultzy2</v>
      </c>
      <c r="D83" s="4">
        <f t="shared" si="55"/>
        <v>55</v>
      </c>
      <c r="E83" s="31">
        <f t="shared" ref="E83:E95" si="105">IF(C83="","",ROUND(SUM(F83:AK83),0))</f>
        <v>0</v>
      </c>
      <c r="F83" s="40" t="str">
        <f t="shared" ref="F83:F95" si="106">IF(BG83="","",IF(BG83="x",F$6,0)+IF(BG83="S",-F$6-0.00001,0))</f>
        <v/>
      </c>
      <c r="G83" s="41" t="str">
        <f t="shared" ref="G83:G95" si="107">IF(BH83="","",IF(BH83="x",G$6,0)+IF(BH83="S",-G$6-0.00001,0))</f>
        <v/>
      </c>
      <c r="H83" s="41" t="str">
        <f t="shared" ref="H83:H95" si="108">IF(BI83="","",IF(BI83="x",H$6,0)+IF(BI83="S",-H$6-0.00001,0))</f>
        <v/>
      </c>
      <c r="I83" s="42" t="str">
        <f t="shared" ref="I83:I95" si="109">IF(BJ83="","",IF(BJ83="x",I$6,0)+IF(BJ83="S",-I$6-0.00001,0))</f>
        <v/>
      </c>
      <c r="J83" s="40" t="str">
        <f t="shared" ref="J83:J95" si="110">IF(BK83="","",IF(BK83="x",J$6,0)+IF(BK83="S",-J$6-0.00001,0))</f>
        <v/>
      </c>
      <c r="K83" s="41" t="str">
        <f t="shared" ref="K83:K95" si="111">IF(BL83="","",IF(BL83="x",K$6,0)+IF(BL83="S",-K$6-0.00001,0))</f>
        <v/>
      </c>
      <c r="L83" s="41" t="str">
        <f t="shared" ref="L83:L95" si="112">IF(BM83="","",IF(BM83="x",L$6,0)+IF(BM83="S",-L$6-0.00001,0))</f>
        <v/>
      </c>
      <c r="M83" s="42" t="str">
        <f t="shared" ref="M83:M95" si="113">IF(BN83="","",IF(BN83="x",M$6,0)+IF(BN83="S",-M$6-0.00001,0))</f>
        <v/>
      </c>
      <c r="N83" s="43" t="str">
        <f t="shared" ref="N83:N95" si="114">IF(BO83="","",IF(BO83="x",N$6,0)+IF(BO83="S",-N$6-0.00001,0))</f>
        <v/>
      </c>
      <c r="O83" s="41" t="str">
        <f t="shared" ref="O83:O95" si="115">IF(BP83="","",IF(BP83="x",O$6,0)+IF(BP83="S",-O$6-0.00001,0))</f>
        <v/>
      </c>
      <c r="P83" s="41" t="str">
        <f t="shared" ref="P83:P95" si="116">IF(BQ83="","",IF(BQ83="x",P$6,0)+IF(BQ83="S",-P$6-0.00001,0))</f>
        <v/>
      </c>
      <c r="Q83" s="42" t="str">
        <f t="shared" ref="Q83:Q95" si="117">IF(BR83="","",IF(BR83="x",Q$6,0)+IF(BR83="S",-Q$6-0.00001,0))</f>
        <v/>
      </c>
      <c r="R83" s="40" t="str">
        <f t="shared" ref="R83:R95" si="118">IF(BS83="","",IF(BS83="x",R$6,0)+IF(BS83="S",-R$6-0.00001,0))</f>
        <v/>
      </c>
      <c r="S83" s="41" t="str">
        <f t="shared" ref="S83:S95" si="119">IF(BT83="","",IF(BT83="x",S$6,0)+IF(BT83="S",-S$6-0.00001,0))</f>
        <v/>
      </c>
      <c r="T83" s="43" t="str">
        <f t="shared" ref="T83:T95" si="120">IF(BU83="","",IF(BU83="x",T$6,0)+IF(BU83="S",-T$6-0.00001,0))</f>
        <v/>
      </c>
      <c r="U83" s="42" t="str">
        <f t="shared" ref="U83:U95" si="121">IF(BV83="","",IF(BV83="x",U$6,0)+IF(BV83="S",-U$6-0.00001,0))</f>
        <v/>
      </c>
      <c r="V83" s="40" t="str">
        <f t="shared" ref="V83:V95" si="122">IF(BW83="","",IF(BW83="x",V$6,0)+IF(BW83="S",-V$6-0.00001,0))</f>
        <v/>
      </c>
      <c r="W83" s="41" t="str">
        <f t="shared" ref="W83:W95" si="123">IF(BX83="","",IF(BX83="x",W$6,0)+IF(BX83="S",-W$6-0.00001,0))</f>
        <v/>
      </c>
      <c r="X83" s="41" t="str">
        <f t="shared" ref="X83:X95" si="124">IF(BY83="","",IF(BY83="x",X$6,0)+IF(BY83="S",-X$6-0.00001,0))</f>
        <v/>
      </c>
      <c r="Y83" s="42" t="str">
        <f t="shared" ref="Y83:Y95" si="125">IF(BZ83="","",IF(BZ83="x",Y$6,0)+IF(BZ83="S",-Y$6-0.00001,0))</f>
        <v/>
      </c>
      <c r="Z83" s="40">
        <f t="shared" ref="Z83:Z95" si="126">IF(CA83="","",IF(CA83="x",Z$6,0)+IF(CA83="S",-Z$6-0.00001,0))</f>
        <v>0</v>
      </c>
      <c r="AA83" s="41" t="str">
        <f t="shared" ref="AA83:AA95" si="127">IF(CB83="","",IF(CB83="x",AA$6,0)+IF(CB83="S",-AA$6-0.00001,0))</f>
        <v/>
      </c>
      <c r="AB83" s="41" t="str">
        <f t="shared" ref="AB83:AB95" si="128">IF(CC83="","",IF(CC83="x",AB$6,0)+IF(CC83="S",-AB$6-0.00001,0))</f>
        <v/>
      </c>
      <c r="AC83" s="42" t="str">
        <f t="shared" ref="AC83:AC95" si="129">IF(CD83="","",IF(CD83="x",AC$6,0)+IF(CD83="S",-AC$6-0.00001,0))</f>
        <v/>
      </c>
      <c r="AD83" s="40">
        <f t="shared" ref="AD83:AD95" si="130">IF(CE83="","",IF(CE83="x",AD$6,0)+IF(CE83="S",-AD$6-0.00001,0))</f>
        <v>0</v>
      </c>
      <c r="AE83" s="41" t="str">
        <f t="shared" ref="AE83:AE95" si="131">IF(CF83="","",IF(CF83="x",AE$6,0)+IF(CF83="S",-AE$6-0.00001,0))</f>
        <v/>
      </c>
      <c r="AF83" s="41" t="str">
        <f t="shared" ref="AF83:AF95" si="132">IF(CG83="","",IF(CG83="x",AF$6,0)+IF(CG83="S",-AF$6-0.00001,0))</f>
        <v/>
      </c>
      <c r="AG83" s="42" t="str">
        <f t="shared" ref="AG83:AG95" si="133">IF(CH83="","",IF(CH83="x",AG$6,0)+IF(CH83="S",-AG$6-0.00001,0))</f>
        <v/>
      </c>
      <c r="AH83" s="40" t="str">
        <f t="shared" ref="AH83:AH95" si="134">IF(CI83="","",IF(CI83="x",AH$6,0)+IF(CI83="S",-AH$6-0.00001,0))</f>
        <v/>
      </c>
      <c r="AI83" s="41" t="str">
        <f t="shared" ref="AI83:AI95" si="135">IF(CJ83="","",IF(CJ83="x",AI$6,0)+IF(CJ83="S",-AI$6-0.00001,0))</f>
        <v/>
      </c>
      <c r="AJ83" s="41" t="str">
        <f t="shared" ref="AJ83:AJ95" si="136">IF(CK83="","",IF(CK83="x",AJ$6,0)+IF(CK83="S",-AJ$6-0.00001,0))</f>
        <v/>
      </c>
      <c r="AK83" s="42" t="str">
        <f t="shared" ref="AK83:AK95" si="137">IF(CL83="","",IF(CL83="x",AK$6,0)+IF(CL83="S",-AK$6-0.00001,0))</f>
        <v/>
      </c>
      <c r="AL83" s="40" t="str">
        <f t="shared" ref="AL83:AL95" si="138">IF(CM83="","",IF(CM83="x",AL$6,0)+IF(CM83="S",-AL$6-0.00001,0))</f>
        <v/>
      </c>
      <c r="AM83" s="41" t="str">
        <f t="shared" ref="AM83:AM95" si="139">IF(CN83="","",IF(CN83="x",AM$6,0)+IF(CN83="S",-AM$6-0.00001,0))</f>
        <v/>
      </c>
      <c r="AN83" s="41" t="str">
        <f t="shared" ref="AN83:AN95" si="140">IF(CO83="","",IF(CO83="x",AN$6,0)+IF(CO83="S",-AN$6-0.00001,0))</f>
        <v/>
      </c>
      <c r="AO83" s="42" t="str">
        <f t="shared" ref="AO83:AO95" si="141">IF(CP83="","",IF(CP83="x",AO$6,0)+IF(CP83="S",-AO$6-0.00001,0))</f>
        <v/>
      </c>
      <c r="AP83" s="40">
        <f t="shared" ref="AP83:AP95" si="142">IF(CQ83="","",IF(CQ83="x",AP$6,0)+IF(CQ83="S",-AP$6-0.00001,0))</f>
        <v>0</v>
      </c>
      <c r="AQ83" s="41" t="str">
        <f t="shared" ref="AQ83:AQ95" si="143">IF(CR83="","",IF(CR83="x",AQ$6,0)+IF(CR83="S",-AQ$6-0.00001,0))</f>
        <v/>
      </c>
      <c r="AR83" s="41" t="str">
        <f t="shared" ref="AR83:AR95" si="144">IF(CS83="","",IF(CS83="x",AR$6,0)+IF(CS83="S",-AR$6-0.00001,0))</f>
        <v/>
      </c>
      <c r="AS83" s="42" t="str">
        <f t="shared" ref="AS83:AS95" si="145">IF(CT83="","",IF(CT83="x",AS$6,0)+IF(CT83="S",-AS$6-0.00001,0))</f>
        <v/>
      </c>
      <c r="AT83" s="40" t="str">
        <f t="shared" ref="AT83:AT95" si="146">IF(CU83="","",IF(CU83="x",AT$6,0)+IF(CU83="S",-AT$6-0.00001,0))</f>
        <v/>
      </c>
      <c r="AU83" s="41" t="str">
        <f t="shared" ref="AU83:AU95" si="147">IF(CV83="","",IF(CV83="x",AU$6,0)+IF(CV83="S",-AU$6-0.00001,0))</f>
        <v/>
      </c>
      <c r="AV83" s="41">
        <f t="shared" ref="AV83:AV95" si="148">IF(CW83="","",IF(CW83="x",AV$6,0)+IF(CW83="S",-AV$6-0.00001,0))</f>
        <v>-1.0000000000000001E-5</v>
      </c>
      <c r="AW83" s="42" t="str">
        <f t="shared" ref="AW83:AW95" si="149">IF(CX83="","",IF(CX83="x",AW$6,0)+IF(CX83="S",-AW$6-0.00001,0))</f>
        <v/>
      </c>
      <c r="AX83" s="40" t="str">
        <f t="shared" ref="AX83:AX95" si="150">IF(CY83="","",IF(CY83="x",AX$6,0)+IF(CY83="S",-AX$6-0.00001,0))</f>
        <v/>
      </c>
      <c r="AY83" s="41" t="str">
        <f t="shared" ref="AY83:AY95" si="151">IF(CZ83="","",IF(CZ83="x",AY$6,0)+IF(CZ83="S",-AY$6-0.00001,0))</f>
        <v/>
      </c>
      <c r="AZ83" s="41" t="str">
        <f t="shared" ref="AZ83:AZ95" si="152">IF(DA83="","",IF(DA83="x",AZ$6,0)+IF(DA83="S",-AZ$6-0.00001,0))</f>
        <v/>
      </c>
      <c r="BA83" s="42" t="str">
        <f t="shared" ref="BA83:BA95" si="153">IF(DB83="","",IF(DB83="x",BA$6,0)+IF(DB83="S",-BA$6-0.00001,0))</f>
        <v/>
      </c>
      <c r="BB83" s="37" t="s">
        <v>106</v>
      </c>
      <c r="BC83" s="21"/>
      <c r="BD83" s="21"/>
      <c r="BG83" t="str">
        <f>IF(NOT(ISERROR(HLOOKUP(Standings!BG$3,Entries!$C75:$K75,1,FALSE))),"x",IF(NOT(ISERROR(HLOOKUP(Standings!BG$3,Entries!$L75:$L75,1,FALSE))),"S",""))</f>
        <v/>
      </c>
      <c r="BH83" t="str">
        <f>IF(NOT(ISERROR(HLOOKUP(Standings!BH$3,Entries!$C75:$K75,1,FALSE))),"x",IF(NOT(ISERROR(HLOOKUP(Standings!BH$3,Entries!$L75:$L75,1,FALSE))),"S",""))</f>
        <v/>
      </c>
      <c r="BI83" t="str">
        <f>IF(NOT(ISERROR(HLOOKUP(Standings!BI$3,Entries!$C75:$K75,1,FALSE))),"x",IF(NOT(ISERROR(HLOOKUP(Standings!BI$3,Entries!$L75:$L75,1,FALSE))),"S",""))</f>
        <v/>
      </c>
      <c r="BJ83" t="str">
        <f>IF(NOT(ISERROR(HLOOKUP(Standings!BJ$3,Entries!$C75:$K75,1,FALSE))),"x",IF(NOT(ISERROR(HLOOKUP(Standings!BJ$3,Entries!$L75:$L75,1,FALSE))),"S",""))</f>
        <v/>
      </c>
      <c r="BK83" t="str">
        <f>IF(NOT(ISERROR(HLOOKUP(Standings!BK$3,Entries!$C75:$K75,1,FALSE))),"x",IF(NOT(ISERROR(HLOOKUP(Standings!BK$3,Entries!$L75:$L75,1,FALSE))),"S",""))</f>
        <v/>
      </c>
      <c r="BL83" t="str">
        <f>IF(NOT(ISERROR(HLOOKUP(Standings!BL$3,Entries!$C75:$K75,1,FALSE))),"x",IF(NOT(ISERROR(HLOOKUP(Standings!BL$3,Entries!$L75:$L75,1,FALSE))),"S",""))</f>
        <v/>
      </c>
      <c r="BM83" t="str">
        <f>IF(NOT(ISERROR(HLOOKUP(Standings!BM$3,Entries!$C75:$K75,1,FALSE))),"x",IF(NOT(ISERROR(HLOOKUP(Standings!BM$3,Entries!$L75:$L75,1,FALSE))),"S",""))</f>
        <v/>
      </c>
      <c r="BN83" t="str">
        <f>IF(NOT(ISERROR(HLOOKUP(Standings!BN$3,Entries!$C75:$K75,1,FALSE))),"x",IF(NOT(ISERROR(HLOOKUP(Standings!BN$3,Entries!$L75:$L75,1,FALSE))),"S",""))</f>
        <v/>
      </c>
      <c r="BO83" t="str">
        <f>IF(NOT(ISERROR(HLOOKUP(Standings!BO$3,Entries!$C75:$K75,1,FALSE))),"x",IF(NOT(ISERROR(HLOOKUP(Standings!BO$3,Entries!$L75:$L75,1,FALSE))),"S",""))</f>
        <v/>
      </c>
      <c r="BP83" t="str">
        <f>IF(NOT(ISERROR(HLOOKUP(Standings!BP$3,Entries!$C75:$K75,1,FALSE))),"x",IF(NOT(ISERROR(HLOOKUP(Standings!BP$3,Entries!$L75:$L75,1,FALSE))),"S",""))</f>
        <v/>
      </c>
      <c r="BQ83" t="str">
        <f>IF(NOT(ISERROR(HLOOKUP(Standings!BQ$3,Entries!$C75:$K75,1,FALSE))),"x",IF(NOT(ISERROR(HLOOKUP(Standings!BQ$3,Entries!$L75:$L75,1,FALSE))),"S",""))</f>
        <v/>
      </c>
      <c r="BR83" t="str">
        <f>IF(NOT(ISERROR(HLOOKUP(Standings!BR$3,Entries!$C75:$K75,1,FALSE))),"x",IF(NOT(ISERROR(HLOOKUP(Standings!BR$3,Entries!$L75:$L75,1,FALSE))),"S",""))</f>
        <v/>
      </c>
      <c r="BS83" t="str">
        <f>IF(NOT(ISERROR(HLOOKUP(Standings!BS$3,Entries!$C75:$K75,1,FALSE))),"x",IF(NOT(ISERROR(HLOOKUP(Standings!BS$3,Entries!$L75:$L75,1,FALSE))),"S",""))</f>
        <v/>
      </c>
      <c r="BT83" t="str">
        <f>IF(NOT(ISERROR(HLOOKUP(Standings!BT$3,Entries!$C75:$K75,1,FALSE))),"x",IF(NOT(ISERROR(HLOOKUP(Standings!BT$3,Entries!$L75:$L75,1,FALSE))),"S",""))</f>
        <v/>
      </c>
      <c r="BU83" t="str">
        <f>IF(NOT(ISERROR(HLOOKUP(Standings!BU$3,Entries!$C75:$K75,1,FALSE))),"x",IF(NOT(ISERROR(HLOOKUP(Standings!BU$3,Entries!$L75:$L75,1,FALSE))),"S",""))</f>
        <v/>
      </c>
      <c r="BV83" t="str">
        <f>IF(NOT(ISERROR(HLOOKUP(Standings!BV$3,Entries!$C75:$K75,1,FALSE))),"x",IF(NOT(ISERROR(HLOOKUP(Standings!BV$3,Entries!$L75:$L75,1,FALSE))),"S",""))</f>
        <v/>
      </c>
      <c r="BW83" t="str">
        <f>IF(NOT(ISERROR(HLOOKUP(Standings!BW$3,Entries!$C75:$K75,1,FALSE))),"x",IF(NOT(ISERROR(HLOOKUP(Standings!BW$3,Entries!$L75:$L75,1,FALSE))),"S",""))</f>
        <v/>
      </c>
      <c r="BX83" t="str">
        <f>IF(NOT(ISERROR(HLOOKUP(Standings!BX$3,Entries!$C75:$K75,1,FALSE))),"x",IF(NOT(ISERROR(HLOOKUP(Standings!BX$3,Entries!$L75:$L75,1,FALSE))),"S",""))</f>
        <v/>
      </c>
      <c r="BY83" t="str">
        <f>IF(NOT(ISERROR(HLOOKUP(Standings!BY$3,Entries!$C75:$K75,1,FALSE))),"x",IF(NOT(ISERROR(HLOOKUP(Standings!BY$3,Entries!$L75:$L75,1,FALSE))),"S",""))</f>
        <v/>
      </c>
      <c r="BZ83" t="str">
        <f>IF(NOT(ISERROR(HLOOKUP(Standings!BZ$3,Entries!$C75:$K75,1,FALSE))),"x",IF(NOT(ISERROR(HLOOKUP(Standings!BZ$3,Entries!$L75:$L75,1,FALSE))),"S",""))</f>
        <v/>
      </c>
      <c r="CA83" t="str">
        <f>IF(NOT(ISERROR(HLOOKUP(Standings!CA$3,Entries!$C75:$K75,1,FALSE))),"x",IF(NOT(ISERROR(HLOOKUP(Standings!CA$3,Entries!$L75:$L75,1,FALSE))),"S",""))</f>
        <v>x</v>
      </c>
      <c r="CB83" t="str">
        <f>IF(NOT(ISERROR(HLOOKUP(Standings!CB$3,Entries!$C75:$K75,1,FALSE))),"x",IF(NOT(ISERROR(HLOOKUP(Standings!CB$3,Entries!$L75:$L75,1,FALSE))),"S",""))</f>
        <v/>
      </c>
      <c r="CC83" t="str">
        <f>IF(NOT(ISERROR(HLOOKUP(Standings!CC$3,Entries!$C75:$K75,1,FALSE))),"x",IF(NOT(ISERROR(HLOOKUP(Standings!CC$3,Entries!$L75:$L75,1,FALSE))),"S",""))</f>
        <v/>
      </c>
      <c r="CD83" t="str">
        <f>IF(NOT(ISERROR(HLOOKUP(Standings!CD$3,Entries!$C75:$K75,1,FALSE))),"x",IF(NOT(ISERROR(HLOOKUP(Standings!CD$3,Entries!$L75:$L75,1,FALSE))),"S",""))</f>
        <v/>
      </c>
      <c r="CE83" t="str">
        <f>IF(NOT(ISERROR(HLOOKUP(Standings!CE$3,Entries!$C75:$K75,1,FALSE))),"x",IF(NOT(ISERROR(HLOOKUP(Standings!CE$3,Entries!$L75:$L75,1,FALSE))),"S",""))</f>
        <v>x</v>
      </c>
      <c r="CF83" t="str">
        <f>IF(NOT(ISERROR(HLOOKUP(Standings!CF$3,Entries!$C75:$K75,1,FALSE))),"x",IF(NOT(ISERROR(HLOOKUP(Standings!CF$3,Entries!$L75:$L75,1,FALSE))),"S",""))</f>
        <v/>
      </c>
      <c r="CG83" t="str">
        <f>IF(NOT(ISERROR(HLOOKUP(Standings!CG$3,Entries!$C75:$K75,1,FALSE))),"x",IF(NOT(ISERROR(HLOOKUP(Standings!CG$3,Entries!$L75:$L75,1,FALSE))),"S",""))</f>
        <v/>
      </c>
      <c r="CH83" t="str">
        <f>IF(NOT(ISERROR(HLOOKUP(Standings!CH$3,Entries!$C75:$K75,1,FALSE))),"x",IF(NOT(ISERROR(HLOOKUP(Standings!CH$3,Entries!$L75:$L75,1,FALSE))),"S",""))</f>
        <v/>
      </c>
      <c r="CI83" t="str">
        <f>IF(NOT(ISERROR(HLOOKUP(Standings!CI$3,Entries!$C75:$K75,1,FALSE))),"x",IF(NOT(ISERROR(HLOOKUP(Standings!CI$3,Entries!$L75:$L75,1,FALSE))),"S",""))</f>
        <v/>
      </c>
      <c r="CJ83" t="str">
        <f>IF(NOT(ISERROR(HLOOKUP(Standings!CJ$3,Entries!$C75:$K75,1,FALSE))),"x",IF(NOT(ISERROR(HLOOKUP(Standings!CJ$3,Entries!$L75:$L75,1,FALSE))),"S",""))</f>
        <v/>
      </c>
      <c r="CK83" t="str">
        <f>IF(NOT(ISERROR(HLOOKUP(Standings!CK$3,Entries!$C75:$K75,1,FALSE))),"x",IF(NOT(ISERROR(HLOOKUP(Standings!CK$3,Entries!$L75:$L75,1,FALSE))),"S",""))</f>
        <v/>
      </c>
      <c r="CL83" t="str">
        <f>IF(NOT(ISERROR(HLOOKUP(Standings!CL$3,Entries!$C75:$K75,1,FALSE))),"x",IF(NOT(ISERROR(HLOOKUP(Standings!CL$3,Entries!$L75:$L75,1,FALSE))),"S",""))</f>
        <v/>
      </c>
      <c r="CM83" t="str">
        <f>IF(NOT(ISERROR(HLOOKUP(Standings!CM$3,Entries!$C75:$K75,1,FALSE))),"x",IF(NOT(ISERROR(HLOOKUP(Standings!CM$3,Entries!$L75:$L75,1,FALSE))),"S",""))</f>
        <v/>
      </c>
      <c r="CN83" t="str">
        <f>IF(NOT(ISERROR(HLOOKUP(Standings!CN$3,Entries!$C75:$K75,1,FALSE))),"x",IF(NOT(ISERROR(HLOOKUP(Standings!CN$3,Entries!$L75:$L75,1,FALSE))),"S",""))</f>
        <v/>
      </c>
      <c r="CO83" t="str">
        <f>IF(NOT(ISERROR(HLOOKUP(Standings!CO$3,Entries!$C75:$K75,1,FALSE))),"x",IF(NOT(ISERROR(HLOOKUP(Standings!CO$3,Entries!$L75:$L75,1,FALSE))),"S",""))</f>
        <v/>
      </c>
      <c r="CP83" t="str">
        <f>IF(NOT(ISERROR(HLOOKUP(Standings!CP$3,Entries!$C75:$K75,1,FALSE))),"x",IF(NOT(ISERROR(HLOOKUP(Standings!CP$3,Entries!$L75:$L75,1,FALSE))),"S",""))</f>
        <v/>
      </c>
      <c r="CQ83" t="str">
        <f>IF(NOT(ISERROR(HLOOKUP(Standings!CQ$3,Entries!$C75:$K75,1,FALSE))),"x",IF(NOT(ISERROR(HLOOKUP(Standings!CQ$3,Entries!$L75:$L75,1,FALSE))),"S",""))</f>
        <v>x</v>
      </c>
      <c r="CR83" t="str">
        <f>IF(NOT(ISERROR(HLOOKUP(Standings!CR$3,Entries!$C75:$K75,1,FALSE))),"x",IF(NOT(ISERROR(HLOOKUP(Standings!CR$3,Entries!$L75:$L75,1,FALSE))),"S",""))</f>
        <v/>
      </c>
      <c r="CS83" t="str">
        <f>IF(NOT(ISERROR(HLOOKUP(Standings!CS$3,Entries!$C75:$K75,1,FALSE))),"x",IF(NOT(ISERROR(HLOOKUP(Standings!CS$3,Entries!$L75:$L75,1,FALSE))),"S",""))</f>
        <v/>
      </c>
      <c r="CT83" t="str">
        <f>IF(NOT(ISERROR(HLOOKUP(Standings!CT$3,Entries!$C75:$K75,1,FALSE))),"x",IF(NOT(ISERROR(HLOOKUP(Standings!CT$3,Entries!$L75:$L75,1,FALSE))),"S",""))</f>
        <v/>
      </c>
      <c r="CU83" t="str">
        <f>IF(NOT(ISERROR(HLOOKUP(Standings!CU$3,Entries!$C75:$K75,1,FALSE))),"x",IF(NOT(ISERROR(HLOOKUP(Standings!CU$3,Entries!$L75:$L75,1,FALSE))),"S",""))</f>
        <v/>
      </c>
      <c r="CV83" t="str">
        <f>IF(NOT(ISERROR(HLOOKUP(Standings!CV$3,Entries!$C75:$K75,1,FALSE))),"x",IF(NOT(ISERROR(HLOOKUP(Standings!CV$3,Entries!$L75:$L75,1,FALSE))),"S",""))</f>
        <v/>
      </c>
      <c r="CW83" t="str">
        <f>IF(NOT(ISERROR(HLOOKUP(Standings!CW$3,Entries!$C75:$K75,1,FALSE))),"x",IF(NOT(ISERROR(HLOOKUP(Standings!CW$3,Entries!$L75:$L75,1,FALSE))),"S",""))</f>
        <v>S</v>
      </c>
      <c r="CX83" t="str">
        <f>IF(NOT(ISERROR(HLOOKUP(Standings!CX$3,Entries!$C75:$K75,1,FALSE))),"x",IF(NOT(ISERROR(HLOOKUP(Standings!CX$3,Entries!$L75:$L75,1,FALSE))),"S",""))</f>
        <v/>
      </c>
      <c r="CY83" t="str">
        <f>IF(NOT(ISERROR(HLOOKUP(Standings!CY$3,Entries!$C75:$K75,1,FALSE))),"x",IF(NOT(ISERROR(HLOOKUP(Standings!CY$3,Entries!$L75:$L75,1,FALSE))),"S",""))</f>
        <v/>
      </c>
      <c r="CZ83" t="str">
        <f>IF(NOT(ISERROR(HLOOKUP(Standings!CZ$3,Entries!$C75:$K75,1,FALSE))),"x",IF(NOT(ISERROR(HLOOKUP(Standings!CZ$3,Entries!$L75:$L75,1,FALSE))),"S",""))</f>
        <v/>
      </c>
      <c r="DA83" t="str">
        <f>IF(NOT(ISERROR(HLOOKUP(Standings!DA$3,Entries!$C75:$K75,1,FALSE))),"x",IF(NOT(ISERROR(HLOOKUP(Standings!DA$3,Entries!$L75:$L75,1,FALSE))),"S",""))</f>
        <v/>
      </c>
      <c r="DB83" t="str">
        <f>IF(NOT(ISERROR(HLOOKUP(Standings!DB$3,Entries!$C75:$K75,1,FALSE))),"x",IF(NOT(ISERROR(HLOOKUP(Standings!DB$3,Entries!$L75:$L75,1,FALSE))),"S",""))</f>
        <v/>
      </c>
    </row>
    <row r="84" spans="1:106" x14ac:dyDescent="0.25">
      <c r="A84" s="18"/>
      <c r="B84">
        <v>26</v>
      </c>
      <c r="C84" t="str">
        <f>Entries!B76</f>
        <v>BBRooks</v>
      </c>
      <c r="D84" s="4">
        <f t="shared" si="55"/>
        <v>55</v>
      </c>
      <c r="E84" s="31">
        <f t="shared" si="105"/>
        <v>0</v>
      </c>
      <c r="F84" s="40" t="str">
        <f t="shared" si="106"/>
        <v/>
      </c>
      <c r="G84" s="41" t="str">
        <f t="shared" si="107"/>
        <v/>
      </c>
      <c r="H84" s="41" t="str">
        <f t="shared" si="108"/>
        <v/>
      </c>
      <c r="I84" s="42" t="str">
        <f t="shared" si="109"/>
        <v/>
      </c>
      <c r="J84" s="40" t="str">
        <f t="shared" si="110"/>
        <v/>
      </c>
      <c r="K84" s="41" t="str">
        <f t="shared" si="111"/>
        <v/>
      </c>
      <c r="L84" s="41" t="str">
        <f t="shared" si="112"/>
        <v/>
      </c>
      <c r="M84" s="42" t="str">
        <f t="shared" si="113"/>
        <v/>
      </c>
      <c r="N84" s="43" t="str">
        <f t="shared" si="114"/>
        <v/>
      </c>
      <c r="O84" s="41">
        <f t="shared" si="115"/>
        <v>0</v>
      </c>
      <c r="P84" s="41" t="str">
        <f t="shared" si="116"/>
        <v/>
      </c>
      <c r="Q84" s="42" t="str">
        <f t="shared" si="117"/>
        <v/>
      </c>
      <c r="R84" s="40" t="str">
        <f t="shared" si="118"/>
        <v/>
      </c>
      <c r="S84" s="41" t="str">
        <f t="shared" si="119"/>
        <v/>
      </c>
      <c r="T84" s="43" t="str">
        <f t="shared" si="120"/>
        <v/>
      </c>
      <c r="U84" s="42" t="str">
        <f t="shared" si="121"/>
        <v/>
      </c>
      <c r="V84" s="40" t="str">
        <f t="shared" si="122"/>
        <v/>
      </c>
      <c r="W84" s="41" t="str">
        <f t="shared" si="123"/>
        <v/>
      </c>
      <c r="X84" s="41">
        <f t="shared" si="124"/>
        <v>0</v>
      </c>
      <c r="Y84" s="42" t="str">
        <f t="shared" si="125"/>
        <v/>
      </c>
      <c r="Z84" s="40" t="str">
        <f t="shared" si="126"/>
        <v/>
      </c>
      <c r="AA84" s="41" t="str">
        <f t="shared" si="127"/>
        <v/>
      </c>
      <c r="AB84" s="41" t="str">
        <f t="shared" si="128"/>
        <v/>
      </c>
      <c r="AC84" s="42">
        <f t="shared" si="129"/>
        <v>0</v>
      </c>
      <c r="AD84" s="40" t="str">
        <f t="shared" si="130"/>
        <v/>
      </c>
      <c r="AE84" s="41">
        <f t="shared" si="131"/>
        <v>0</v>
      </c>
      <c r="AF84" s="41" t="str">
        <f t="shared" si="132"/>
        <v/>
      </c>
      <c r="AG84" s="42" t="str">
        <f t="shared" si="133"/>
        <v/>
      </c>
      <c r="AH84" s="40" t="str">
        <f t="shared" si="134"/>
        <v/>
      </c>
      <c r="AI84" s="41" t="str">
        <f t="shared" si="135"/>
        <v/>
      </c>
      <c r="AJ84" s="41" t="str">
        <f t="shared" si="136"/>
        <v/>
      </c>
      <c r="AK84" s="42" t="str">
        <f t="shared" si="137"/>
        <v/>
      </c>
      <c r="AL84" s="40">
        <f t="shared" si="138"/>
        <v>0</v>
      </c>
      <c r="AM84" s="41" t="str">
        <f t="shared" si="139"/>
        <v/>
      </c>
      <c r="AN84" s="41" t="str">
        <f t="shared" si="140"/>
        <v/>
      </c>
      <c r="AO84" s="42" t="str">
        <f t="shared" si="141"/>
        <v/>
      </c>
      <c r="AP84" s="40" t="str">
        <f t="shared" si="142"/>
        <v/>
      </c>
      <c r="AQ84" s="41" t="str">
        <f t="shared" si="143"/>
        <v/>
      </c>
      <c r="AR84" s="41">
        <f t="shared" si="144"/>
        <v>0</v>
      </c>
      <c r="AS84" s="42" t="str">
        <f t="shared" si="145"/>
        <v/>
      </c>
      <c r="AT84" s="40">
        <f t="shared" si="146"/>
        <v>-1.0000000000000001E-5</v>
      </c>
      <c r="AU84" s="41" t="str">
        <f t="shared" si="147"/>
        <v/>
      </c>
      <c r="AV84" s="41" t="str">
        <f t="shared" si="148"/>
        <v/>
      </c>
      <c r="AW84" s="42" t="str">
        <f t="shared" si="149"/>
        <v/>
      </c>
      <c r="AX84" s="40" t="str">
        <f t="shared" si="150"/>
        <v/>
      </c>
      <c r="AY84" s="41">
        <f t="shared" si="151"/>
        <v>0</v>
      </c>
      <c r="AZ84" s="41" t="str">
        <f t="shared" si="152"/>
        <v/>
      </c>
      <c r="BA84" s="42" t="str">
        <f t="shared" si="153"/>
        <v/>
      </c>
      <c r="BB84" s="37" t="s">
        <v>106</v>
      </c>
      <c r="BC84" s="21"/>
      <c r="BD84" s="21"/>
      <c r="BG84" t="str">
        <f>IF(NOT(ISERROR(HLOOKUP(Standings!BG$3,Entries!$C76:$K76,1,FALSE))),"x",IF(NOT(ISERROR(HLOOKUP(Standings!BG$3,Entries!$L76:$L76,1,FALSE))),"S",""))</f>
        <v/>
      </c>
      <c r="BH84" t="str">
        <f>IF(NOT(ISERROR(HLOOKUP(Standings!BH$3,Entries!$C76:$K76,1,FALSE))),"x",IF(NOT(ISERROR(HLOOKUP(Standings!BH$3,Entries!$L76:$L76,1,FALSE))),"S",""))</f>
        <v/>
      </c>
      <c r="BI84" t="str">
        <f>IF(NOT(ISERROR(HLOOKUP(Standings!BI$3,Entries!$C76:$K76,1,FALSE))),"x",IF(NOT(ISERROR(HLOOKUP(Standings!BI$3,Entries!$L76:$L76,1,FALSE))),"S",""))</f>
        <v/>
      </c>
      <c r="BJ84" t="str">
        <f>IF(NOT(ISERROR(HLOOKUP(Standings!BJ$3,Entries!$C76:$K76,1,FALSE))),"x",IF(NOT(ISERROR(HLOOKUP(Standings!BJ$3,Entries!$L76:$L76,1,FALSE))),"S",""))</f>
        <v/>
      </c>
      <c r="BK84" t="str">
        <f>IF(NOT(ISERROR(HLOOKUP(Standings!BK$3,Entries!$C76:$K76,1,FALSE))),"x",IF(NOT(ISERROR(HLOOKUP(Standings!BK$3,Entries!$L76:$L76,1,FALSE))),"S",""))</f>
        <v/>
      </c>
      <c r="BL84" t="str">
        <f>IF(NOT(ISERROR(HLOOKUP(Standings!BL$3,Entries!$C76:$K76,1,FALSE))),"x",IF(NOT(ISERROR(HLOOKUP(Standings!BL$3,Entries!$L76:$L76,1,FALSE))),"S",""))</f>
        <v/>
      </c>
      <c r="BM84" t="str">
        <f>IF(NOT(ISERROR(HLOOKUP(Standings!BM$3,Entries!$C76:$K76,1,FALSE))),"x",IF(NOT(ISERROR(HLOOKUP(Standings!BM$3,Entries!$L76:$L76,1,FALSE))),"S",""))</f>
        <v/>
      </c>
      <c r="BN84" t="str">
        <f>IF(NOT(ISERROR(HLOOKUP(Standings!BN$3,Entries!$C76:$K76,1,FALSE))),"x",IF(NOT(ISERROR(HLOOKUP(Standings!BN$3,Entries!$L76:$L76,1,FALSE))),"S",""))</f>
        <v/>
      </c>
      <c r="BO84" t="str">
        <f>IF(NOT(ISERROR(HLOOKUP(Standings!BO$3,Entries!$C76:$K76,1,FALSE))),"x",IF(NOT(ISERROR(HLOOKUP(Standings!BO$3,Entries!$L76:$L76,1,FALSE))),"S",""))</f>
        <v/>
      </c>
      <c r="BP84" t="str">
        <f>IF(NOT(ISERROR(HLOOKUP(Standings!BP$3,Entries!$C76:$K76,1,FALSE))),"x",IF(NOT(ISERROR(HLOOKUP(Standings!BP$3,Entries!$L76:$L76,1,FALSE))),"S",""))</f>
        <v>x</v>
      </c>
      <c r="BQ84" t="str">
        <f>IF(NOT(ISERROR(HLOOKUP(Standings!BQ$3,Entries!$C76:$K76,1,FALSE))),"x",IF(NOT(ISERROR(HLOOKUP(Standings!BQ$3,Entries!$L76:$L76,1,FALSE))),"S",""))</f>
        <v/>
      </c>
      <c r="BR84" t="str">
        <f>IF(NOT(ISERROR(HLOOKUP(Standings!BR$3,Entries!$C76:$K76,1,FALSE))),"x",IF(NOT(ISERROR(HLOOKUP(Standings!BR$3,Entries!$L76:$L76,1,FALSE))),"S",""))</f>
        <v/>
      </c>
      <c r="BS84" t="str">
        <f>IF(NOT(ISERROR(HLOOKUP(Standings!BS$3,Entries!$C76:$K76,1,FALSE))),"x",IF(NOT(ISERROR(HLOOKUP(Standings!BS$3,Entries!$L76:$L76,1,FALSE))),"S",""))</f>
        <v/>
      </c>
      <c r="BT84" t="str">
        <f>IF(NOT(ISERROR(HLOOKUP(Standings!BT$3,Entries!$C76:$K76,1,FALSE))),"x",IF(NOT(ISERROR(HLOOKUP(Standings!BT$3,Entries!$L76:$L76,1,FALSE))),"S",""))</f>
        <v/>
      </c>
      <c r="BU84" t="str">
        <f>IF(NOT(ISERROR(HLOOKUP(Standings!BU$3,Entries!$C76:$K76,1,FALSE))),"x",IF(NOT(ISERROR(HLOOKUP(Standings!BU$3,Entries!$L76:$L76,1,FALSE))),"S",""))</f>
        <v/>
      </c>
      <c r="BV84" t="str">
        <f>IF(NOT(ISERROR(HLOOKUP(Standings!BV$3,Entries!$C76:$K76,1,FALSE))),"x",IF(NOT(ISERROR(HLOOKUP(Standings!BV$3,Entries!$L76:$L76,1,FALSE))),"S",""))</f>
        <v/>
      </c>
      <c r="BW84" t="str">
        <f>IF(NOT(ISERROR(HLOOKUP(Standings!BW$3,Entries!$C76:$K76,1,FALSE))),"x",IF(NOT(ISERROR(HLOOKUP(Standings!BW$3,Entries!$L76:$L76,1,FALSE))),"S",""))</f>
        <v/>
      </c>
      <c r="BX84" t="str">
        <f>IF(NOT(ISERROR(HLOOKUP(Standings!BX$3,Entries!$C76:$K76,1,FALSE))),"x",IF(NOT(ISERROR(HLOOKUP(Standings!BX$3,Entries!$L76:$L76,1,FALSE))),"S",""))</f>
        <v/>
      </c>
      <c r="BY84" t="str">
        <f>IF(NOT(ISERROR(HLOOKUP(Standings!BY$3,Entries!$C76:$K76,1,FALSE))),"x",IF(NOT(ISERROR(HLOOKUP(Standings!BY$3,Entries!$L76:$L76,1,FALSE))),"S",""))</f>
        <v>x</v>
      </c>
      <c r="BZ84" t="str">
        <f>IF(NOT(ISERROR(HLOOKUP(Standings!BZ$3,Entries!$C76:$K76,1,FALSE))),"x",IF(NOT(ISERROR(HLOOKUP(Standings!BZ$3,Entries!$L76:$L76,1,FALSE))),"S",""))</f>
        <v/>
      </c>
      <c r="CA84" t="str">
        <f>IF(NOT(ISERROR(HLOOKUP(Standings!CA$3,Entries!$C76:$K76,1,FALSE))),"x",IF(NOT(ISERROR(HLOOKUP(Standings!CA$3,Entries!$L76:$L76,1,FALSE))),"S",""))</f>
        <v/>
      </c>
      <c r="CB84" t="str">
        <f>IF(NOT(ISERROR(HLOOKUP(Standings!CB$3,Entries!$C76:$K76,1,FALSE))),"x",IF(NOT(ISERROR(HLOOKUP(Standings!CB$3,Entries!$L76:$L76,1,FALSE))),"S",""))</f>
        <v/>
      </c>
      <c r="CC84" t="str">
        <f>IF(NOT(ISERROR(HLOOKUP(Standings!CC$3,Entries!$C76:$K76,1,FALSE))),"x",IF(NOT(ISERROR(HLOOKUP(Standings!CC$3,Entries!$L76:$L76,1,FALSE))),"S",""))</f>
        <v/>
      </c>
      <c r="CD84" t="str">
        <f>IF(NOT(ISERROR(HLOOKUP(Standings!CD$3,Entries!$C76:$K76,1,FALSE))),"x",IF(NOT(ISERROR(HLOOKUP(Standings!CD$3,Entries!$L76:$L76,1,FALSE))),"S",""))</f>
        <v>x</v>
      </c>
      <c r="CE84" t="str">
        <f>IF(NOT(ISERROR(HLOOKUP(Standings!CE$3,Entries!$C76:$K76,1,FALSE))),"x",IF(NOT(ISERROR(HLOOKUP(Standings!CE$3,Entries!$L76:$L76,1,FALSE))),"S",""))</f>
        <v/>
      </c>
      <c r="CF84" t="str">
        <f>IF(NOT(ISERROR(HLOOKUP(Standings!CF$3,Entries!$C76:$K76,1,FALSE))),"x",IF(NOT(ISERROR(HLOOKUP(Standings!CF$3,Entries!$L76:$L76,1,FALSE))),"S",""))</f>
        <v>x</v>
      </c>
      <c r="CG84" t="str">
        <f>IF(NOT(ISERROR(HLOOKUP(Standings!CG$3,Entries!$C76:$K76,1,FALSE))),"x",IF(NOT(ISERROR(HLOOKUP(Standings!CG$3,Entries!$L76:$L76,1,FALSE))),"S",""))</f>
        <v/>
      </c>
      <c r="CH84" t="str">
        <f>IF(NOT(ISERROR(HLOOKUP(Standings!CH$3,Entries!$C76:$K76,1,FALSE))),"x",IF(NOT(ISERROR(HLOOKUP(Standings!CH$3,Entries!$L76:$L76,1,FALSE))),"S",""))</f>
        <v/>
      </c>
      <c r="CI84" t="str">
        <f>IF(NOT(ISERROR(HLOOKUP(Standings!CI$3,Entries!$C76:$K76,1,FALSE))),"x",IF(NOT(ISERROR(HLOOKUP(Standings!CI$3,Entries!$L76:$L76,1,FALSE))),"S",""))</f>
        <v/>
      </c>
      <c r="CJ84" t="str">
        <f>IF(NOT(ISERROR(HLOOKUP(Standings!CJ$3,Entries!$C76:$K76,1,FALSE))),"x",IF(NOT(ISERROR(HLOOKUP(Standings!CJ$3,Entries!$L76:$L76,1,FALSE))),"S",""))</f>
        <v/>
      </c>
      <c r="CK84" t="str">
        <f>IF(NOT(ISERROR(HLOOKUP(Standings!CK$3,Entries!$C76:$K76,1,FALSE))),"x",IF(NOT(ISERROR(HLOOKUP(Standings!CK$3,Entries!$L76:$L76,1,FALSE))),"S",""))</f>
        <v/>
      </c>
      <c r="CL84" t="str">
        <f>IF(NOT(ISERROR(HLOOKUP(Standings!CL$3,Entries!$C76:$K76,1,FALSE))),"x",IF(NOT(ISERROR(HLOOKUP(Standings!CL$3,Entries!$L76:$L76,1,FALSE))),"S",""))</f>
        <v/>
      </c>
      <c r="CM84" t="str">
        <f>IF(NOT(ISERROR(HLOOKUP(Standings!CM$3,Entries!$C76:$K76,1,FALSE))),"x",IF(NOT(ISERROR(HLOOKUP(Standings!CM$3,Entries!$L76:$L76,1,FALSE))),"S",""))</f>
        <v>x</v>
      </c>
      <c r="CN84" t="str">
        <f>IF(NOT(ISERROR(HLOOKUP(Standings!CN$3,Entries!$C76:$K76,1,FALSE))),"x",IF(NOT(ISERROR(HLOOKUP(Standings!CN$3,Entries!$L76:$L76,1,FALSE))),"S",""))</f>
        <v/>
      </c>
      <c r="CO84" t="str">
        <f>IF(NOT(ISERROR(HLOOKUP(Standings!CO$3,Entries!$C76:$K76,1,FALSE))),"x",IF(NOT(ISERROR(HLOOKUP(Standings!CO$3,Entries!$L76:$L76,1,FALSE))),"S",""))</f>
        <v/>
      </c>
      <c r="CP84" t="str">
        <f>IF(NOT(ISERROR(HLOOKUP(Standings!CP$3,Entries!$C76:$K76,1,FALSE))),"x",IF(NOT(ISERROR(HLOOKUP(Standings!CP$3,Entries!$L76:$L76,1,FALSE))),"S",""))</f>
        <v/>
      </c>
      <c r="CQ84" t="str">
        <f>IF(NOT(ISERROR(HLOOKUP(Standings!CQ$3,Entries!$C76:$K76,1,FALSE))),"x",IF(NOT(ISERROR(HLOOKUP(Standings!CQ$3,Entries!$L76:$L76,1,FALSE))),"S",""))</f>
        <v/>
      </c>
      <c r="CR84" t="str">
        <f>IF(NOT(ISERROR(HLOOKUP(Standings!CR$3,Entries!$C76:$K76,1,FALSE))),"x",IF(NOT(ISERROR(HLOOKUP(Standings!CR$3,Entries!$L76:$L76,1,FALSE))),"S",""))</f>
        <v/>
      </c>
      <c r="CS84" t="str">
        <f>IF(NOT(ISERROR(HLOOKUP(Standings!CS$3,Entries!$C76:$K76,1,FALSE))),"x",IF(NOT(ISERROR(HLOOKUP(Standings!CS$3,Entries!$L76:$L76,1,FALSE))),"S",""))</f>
        <v>x</v>
      </c>
      <c r="CT84" t="str">
        <f>IF(NOT(ISERROR(HLOOKUP(Standings!CT$3,Entries!$C76:$K76,1,FALSE))),"x",IF(NOT(ISERROR(HLOOKUP(Standings!CT$3,Entries!$L76:$L76,1,FALSE))),"S",""))</f>
        <v/>
      </c>
      <c r="CU84" t="str">
        <f>IF(NOT(ISERROR(HLOOKUP(Standings!CU$3,Entries!$C76:$K76,1,FALSE))),"x",IF(NOT(ISERROR(HLOOKUP(Standings!CU$3,Entries!$L76:$L76,1,FALSE))),"S",""))</f>
        <v>S</v>
      </c>
      <c r="CV84" t="str">
        <f>IF(NOT(ISERROR(HLOOKUP(Standings!CV$3,Entries!$C76:$K76,1,FALSE))),"x",IF(NOT(ISERROR(HLOOKUP(Standings!CV$3,Entries!$L76:$L76,1,FALSE))),"S",""))</f>
        <v/>
      </c>
      <c r="CW84" t="str">
        <f>IF(NOT(ISERROR(HLOOKUP(Standings!CW$3,Entries!$C76:$K76,1,FALSE))),"x",IF(NOT(ISERROR(HLOOKUP(Standings!CW$3,Entries!$L76:$L76,1,FALSE))),"S",""))</f>
        <v/>
      </c>
      <c r="CX84" t="str">
        <f>IF(NOT(ISERROR(HLOOKUP(Standings!CX$3,Entries!$C76:$K76,1,FALSE))),"x",IF(NOT(ISERROR(HLOOKUP(Standings!CX$3,Entries!$L76:$L76,1,FALSE))),"S",""))</f>
        <v/>
      </c>
      <c r="CY84" t="str">
        <f>IF(NOT(ISERROR(HLOOKUP(Standings!CY$3,Entries!$C76:$K76,1,FALSE))),"x",IF(NOT(ISERROR(HLOOKUP(Standings!CY$3,Entries!$L76:$L76,1,FALSE))),"S",""))</f>
        <v/>
      </c>
      <c r="CZ84" t="str">
        <f>IF(NOT(ISERROR(HLOOKUP(Standings!CZ$3,Entries!$C76:$K76,1,FALSE))),"x",IF(NOT(ISERROR(HLOOKUP(Standings!CZ$3,Entries!$L76:$L76,1,FALSE))),"S",""))</f>
        <v>x</v>
      </c>
      <c r="DA84" t="str">
        <f>IF(NOT(ISERROR(HLOOKUP(Standings!DA$3,Entries!$C76:$K76,1,FALSE))),"x",IF(NOT(ISERROR(HLOOKUP(Standings!DA$3,Entries!$L76:$L76,1,FALSE))),"S",""))</f>
        <v/>
      </c>
      <c r="DB84" t="str">
        <f>IF(NOT(ISERROR(HLOOKUP(Standings!DB$3,Entries!$C76:$K76,1,FALSE))),"x",IF(NOT(ISERROR(HLOOKUP(Standings!DB$3,Entries!$L76:$L76,1,FALSE))),"S",""))</f>
        <v/>
      </c>
    </row>
    <row r="85" spans="1:106" x14ac:dyDescent="0.25">
      <c r="A85" s="18"/>
      <c r="B85">
        <v>26</v>
      </c>
      <c r="C85" t="str">
        <f>Entries!B77</f>
        <v>Craig Miller 1</v>
      </c>
      <c r="D85" s="4">
        <f t="shared" si="55"/>
        <v>55</v>
      </c>
      <c r="E85" s="31">
        <f t="shared" si="105"/>
        <v>0</v>
      </c>
      <c r="F85" s="40" t="str">
        <f t="shared" si="106"/>
        <v/>
      </c>
      <c r="G85" s="41" t="str">
        <f t="shared" si="107"/>
        <v/>
      </c>
      <c r="H85" s="41" t="str">
        <f t="shared" si="108"/>
        <v/>
      </c>
      <c r="I85" s="42" t="str">
        <f t="shared" si="109"/>
        <v/>
      </c>
      <c r="J85" s="40" t="str">
        <f t="shared" si="110"/>
        <v/>
      </c>
      <c r="K85" s="41" t="str">
        <f t="shared" si="111"/>
        <v/>
      </c>
      <c r="L85" s="41" t="str">
        <f t="shared" si="112"/>
        <v/>
      </c>
      <c r="M85" s="42" t="str">
        <f t="shared" si="113"/>
        <v/>
      </c>
      <c r="N85" s="43" t="str">
        <f t="shared" si="114"/>
        <v/>
      </c>
      <c r="O85" s="41" t="str">
        <f t="shared" si="115"/>
        <v/>
      </c>
      <c r="P85" s="41" t="str">
        <f t="shared" si="116"/>
        <v/>
      </c>
      <c r="Q85" s="42" t="str">
        <f t="shared" si="117"/>
        <v/>
      </c>
      <c r="R85" s="40" t="str">
        <f t="shared" si="118"/>
        <v/>
      </c>
      <c r="S85" s="41" t="str">
        <f t="shared" si="119"/>
        <v/>
      </c>
      <c r="T85" s="43" t="str">
        <f t="shared" si="120"/>
        <v/>
      </c>
      <c r="U85" s="42" t="str">
        <f t="shared" si="121"/>
        <v/>
      </c>
      <c r="V85" s="40" t="str">
        <f t="shared" si="122"/>
        <v/>
      </c>
      <c r="W85" s="41" t="str">
        <f t="shared" si="123"/>
        <v/>
      </c>
      <c r="X85" s="41" t="str">
        <f t="shared" si="124"/>
        <v/>
      </c>
      <c r="Y85" s="42" t="str">
        <f t="shared" si="125"/>
        <v/>
      </c>
      <c r="Z85" s="40" t="str">
        <f t="shared" si="126"/>
        <v/>
      </c>
      <c r="AA85" s="41">
        <f t="shared" si="127"/>
        <v>0</v>
      </c>
      <c r="AB85" s="41" t="str">
        <f t="shared" si="128"/>
        <v/>
      </c>
      <c r="AC85" s="42" t="str">
        <f t="shared" si="129"/>
        <v/>
      </c>
      <c r="AD85" s="40" t="str">
        <f t="shared" si="130"/>
        <v/>
      </c>
      <c r="AE85" s="41" t="str">
        <f t="shared" si="131"/>
        <v/>
      </c>
      <c r="AF85" s="41" t="str">
        <f t="shared" si="132"/>
        <v/>
      </c>
      <c r="AG85" s="42" t="str">
        <f t="shared" si="133"/>
        <v/>
      </c>
      <c r="AH85" s="40">
        <f t="shared" si="134"/>
        <v>0</v>
      </c>
      <c r="AI85" s="41" t="str">
        <f t="shared" si="135"/>
        <v/>
      </c>
      <c r="AJ85" s="41" t="str">
        <f t="shared" si="136"/>
        <v/>
      </c>
      <c r="AK85" s="42" t="str">
        <f t="shared" si="137"/>
        <v/>
      </c>
      <c r="AL85" s="40" t="str">
        <f t="shared" si="138"/>
        <v/>
      </c>
      <c r="AM85" s="41">
        <f t="shared" si="139"/>
        <v>0</v>
      </c>
      <c r="AN85" s="41" t="str">
        <f t="shared" si="140"/>
        <v/>
      </c>
      <c r="AO85" s="42" t="str">
        <f t="shared" si="141"/>
        <v/>
      </c>
      <c r="AP85" s="40" t="str">
        <f t="shared" si="142"/>
        <v/>
      </c>
      <c r="AQ85" s="41" t="str">
        <f t="shared" si="143"/>
        <v/>
      </c>
      <c r="AR85" s="41" t="str">
        <f t="shared" si="144"/>
        <v/>
      </c>
      <c r="AS85" s="42">
        <f t="shared" si="145"/>
        <v>-1.0000000000000001E-5</v>
      </c>
      <c r="AT85" s="40" t="str">
        <f t="shared" si="146"/>
        <v/>
      </c>
      <c r="AU85" s="41" t="str">
        <f t="shared" si="147"/>
        <v/>
      </c>
      <c r="AV85" s="41" t="str">
        <f t="shared" si="148"/>
        <v/>
      </c>
      <c r="AW85" s="42" t="str">
        <f t="shared" si="149"/>
        <v/>
      </c>
      <c r="AX85" s="40" t="str">
        <f t="shared" si="150"/>
        <v/>
      </c>
      <c r="AY85" s="41" t="str">
        <f t="shared" si="151"/>
        <v/>
      </c>
      <c r="AZ85" s="41" t="str">
        <f t="shared" si="152"/>
        <v/>
      </c>
      <c r="BA85" s="42" t="str">
        <f t="shared" si="153"/>
        <v/>
      </c>
      <c r="BB85" s="37" t="s">
        <v>106</v>
      </c>
      <c r="BC85" s="21"/>
      <c r="BD85" s="21"/>
      <c r="BG85" t="str">
        <f>IF(NOT(ISERROR(HLOOKUP(Standings!BG$3,Entries!$C77:$K77,1,FALSE))),"x",IF(NOT(ISERROR(HLOOKUP(Standings!BG$3,Entries!$L77:$L77,1,FALSE))),"S",""))</f>
        <v/>
      </c>
      <c r="BH85" t="str">
        <f>IF(NOT(ISERROR(HLOOKUP(Standings!BH$3,Entries!$C77:$K77,1,FALSE))),"x",IF(NOT(ISERROR(HLOOKUP(Standings!BH$3,Entries!$L77:$L77,1,FALSE))),"S",""))</f>
        <v/>
      </c>
      <c r="BI85" t="str">
        <f>IF(NOT(ISERROR(HLOOKUP(Standings!BI$3,Entries!$C77:$K77,1,FALSE))),"x",IF(NOT(ISERROR(HLOOKUP(Standings!BI$3,Entries!$L77:$L77,1,FALSE))),"S",""))</f>
        <v/>
      </c>
      <c r="BJ85" t="str">
        <f>IF(NOT(ISERROR(HLOOKUP(Standings!BJ$3,Entries!$C77:$K77,1,FALSE))),"x",IF(NOT(ISERROR(HLOOKUP(Standings!BJ$3,Entries!$L77:$L77,1,FALSE))),"S",""))</f>
        <v/>
      </c>
      <c r="BK85" t="str">
        <f>IF(NOT(ISERROR(HLOOKUP(Standings!BK$3,Entries!$C77:$K77,1,FALSE))),"x",IF(NOT(ISERROR(HLOOKUP(Standings!BK$3,Entries!$L77:$L77,1,FALSE))),"S",""))</f>
        <v/>
      </c>
      <c r="BL85" t="str">
        <f>IF(NOT(ISERROR(HLOOKUP(Standings!BL$3,Entries!$C77:$K77,1,FALSE))),"x",IF(NOT(ISERROR(HLOOKUP(Standings!BL$3,Entries!$L77:$L77,1,FALSE))),"S",""))</f>
        <v/>
      </c>
      <c r="BM85" t="str">
        <f>IF(NOT(ISERROR(HLOOKUP(Standings!BM$3,Entries!$C77:$K77,1,FALSE))),"x",IF(NOT(ISERROR(HLOOKUP(Standings!BM$3,Entries!$L77:$L77,1,FALSE))),"S",""))</f>
        <v/>
      </c>
      <c r="BN85" t="str">
        <f>IF(NOT(ISERROR(HLOOKUP(Standings!BN$3,Entries!$C77:$K77,1,FALSE))),"x",IF(NOT(ISERROR(HLOOKUP(Standings!BN$3,Entries!$L77:$L77,1,FALSE))),"S",""))</f>
        <v/>
      </c>
      <c r="BO85" t="str">
        <f>IF(NOT(ISERROR(HLOOKUP(Standings!BO$3,Entries!$C77:$K77,1,FALSE))),"x",IF(NOT(ISERROR(HLOOKUP(Standings!BO$3,Entries!$L77:$L77,1,FALSE))),"S",""))</f>
        <v/>
      </c>
      <c r="BP85" t="str">
        <f>IF(NOT(ISERROR(HLOOKUP(Standings!BP$3,Entries!$C77:$K77,1,FALSE))),"x",IF(NOT(ISERROR(HLOOKUP(Standings!BP$3,Entries!$L77:$L77,1,FALSE))),"S",""))</f>
        <v/>
      </c>
      <c r="BQ85" t="str">
        <f>IF(NOT(ISERROR(HLOOKUP(Standings!BQ$3,Entries!$C77:$K77,1,FALSE))),"x",IF(NOT(ISERROR(HLOOKUP(Standings!BQ$3,Entries!$L77:$L77,1,FALSE))),"S",""))</f>
        <v/>
      </c>
      <c r="BR85" t="str">
        <f>IF(NOT(ISERROR(HLOOKUP(Standings!BR$3,Entries!$C77:$K77,1,FALSE))),"x",IF(NOT(ISERROR(HLOOKUP(Standings!BR$3,Entries!$L77:$L77,1,FALSE))),"S",""))</f>
        <v/>
      </c>
      <c r="BS85" t="str">
        <f>IF(NOT(ISERROR(HLOOKUP(Standings!BS$3,Entries!$C77:$K77,1,FALSE))),"x",IF(NOT(ISERROR(HLOOKUP(Standings!BS$3,Entries!$L77:$L77,1,FALSE))),"S",""))</f>
        <v/>
      </c>
      <c r="BT85" t="str">
        <f>IF(NOT(ISERROR(HLOOKUP(Standings!BT$3,Entries!$C77:$K77,1,FALSE))),"x",IF(NOT(ISERROR(HLOOKUP(Standings!BT$3,Entries!$L77:$L77,1,FALSE))),"S",""))</f>
        <v/>
      </c>
      <c r="BU85" t="str">
        <f>IF(NOT(ISERROR(HLOOKUP(Standings!BU$3,Entries!$C77:$K77,1,FALSE))),"x",IF(NOT(ISERROR(HLOOKUP(Standings!BU$3,Entries!$L77:$L77,1,FALSE))),"S",""))</f>
        <v/>
      </c>
      <c r="BV85" t="str">
        <f>IF(NOT(ISERROR(HLOOKUP(Standings!BV$3,Entries!$C77:$K77,1,FALSE))),"x",IF(NOT(ISERROR(HLOOKUP(Standings!BV$3,Entries!$L77:$L77,1,FALSE))),"S",""))</f>
        <v/>
      </c>
      <c r="BW85" t="str">
        <f>IF(NOT(ISERROR(HLOOKUP(Standings!BW$3,Entries!$C77:$K77,1,FALSE))),"x",IF(NOT(ISERROR(HLOOKUP(Standings!BW$3,Entries!$L77:$L77,1,FALSE))),"S",""))</f>
        <v/>
      </c>
      <c r="BX85" t="str">
        <f>IF(NOT(ISERROR(HLOOKUP(Standings!BX$3,Entries!$C77:$K77,1,FALSE))),"x",IF(NOT(ISERROR(HLOOKUP(Standings!BX$3,Entries!$L77:$L77,1,FALSE))),"S",""))</f>
        <v/>
      </c>
      <c r="BY85" t="str">
        <f>IF(NOT(ISERROR(HLOOKUP(Standings!BY$3,Entries!$C77:$K77,1,FALSE))),"x",IF(NOT(ISERROR(HLOOKUP(Standings!BY$3,Entries!$L77:$L77,1,FALSE))),"S",""))</f>
        <v/>
      </c>
      <c r="BZ85" t="str">
        <f>IF(NOT(ISERROR(HLOOKUP(Standings!BZ$3,Entries!$C77:$K77,1,FALSE))),"x",IF(NOT(ISERROR(HLOOKUP(Standings!BZ$3,Entries!$L77:$L77,1,FALSE))),"S",""))</f>
        <v/>
      </c>
      <c r="CA85" t="str">
        <f>IF(NOT(ISERROR(HLOOKUP(Standings!CA$3,Entries!$C77:$K77,1,FALSE))),"x",IF(NOT(ISERROR(HLOOKUP(Standings!CA$3,Entries!$L77:$L77,1,FALSE))),"S",""))</f>
        <v/>
      </c>
      <c r="CB85" t="str">
        <f>IF(NOT(ISERROR(HLOOKUP(Standings!CB$3,Entries!$C77:$K77,1,FALSE))),"x",IF(NOT(ISERROR(HLOOKUP(Standings!CB$3,Entries!$L77:$L77,1,FALSE))),"S",""))</f>
        <v>x</v>
      </c>
      <c r="CC85" t="str">
        <f>IF(NOT(ISERROR(HLOOKUP(Standings!CC$3,Entries!$C77:$K77,1,FALSE))),"x",IF(NOT(ISERROR(HLOOKUP(Standings!CC$3,Entries!$L77:$L77,1,FALSE))),"S",""))</f>
        <v/>
      </c>
      <c r="CD85" t="str">
        <f>IF(NOT(ISERROR(HLOOKUP(Standings!CD$3,Entries!$C77:$K77,1,FALSE))),"x",IF(NOT(ISERROR(HLOOKUP(Standings!CD$3,Entries!$L77:$L77,1,FALSE))),"S",""))</f>
        <v/>
      </c>
      <c r="CE85" t="str">
        <f>IF(NOT(ISERROR(HLOOKUP(Standings!CE$3,Entries!$C77:$K77,1,FALSE))),"x",IF(NOT(ISERROR(HLOOKUP(Standings!CE$3,Entries!$L77:$L77,1,FALSE))),"S",""))</f>
        <v/>
      </c>
      <c r="CF85" t="str">
        <f>IF(NOT(ISERROR(HLOOKUP(Standings!CF$3,Entries!$C77:$K77,1,FALSE))),"x",IF(NOT(ISERROR(HLOOKUP(Standings!CF$3,Entries!$L77:$L77,1,FALSE))),"S",""))</f>
        <v/>
      </c>
      <c r="CG85" t="str">
        <f>IF(NOT(ISERROR(HLOOKUP(Standings!CG$3,Entries!$C77:$K77,1,FALSE))),"x",IF(NOT(ISERROR(HLOOKUP(Standings!CG$3,Entries!$L77:$L77,1,FALSE))),"S",""))</f>
        <v/>
      </c>
      <c r="CH85" t="str">
        <f>IF(NOT(ISERROR(HLOOKUP(Standings!CH$3,Entries!$C77:$K77,1,FALSE))),"x",IF(NOT(ISERROR(HLOOKUP(Standings!CH$3,Entries!$L77:$L77,1,FALSE))),"S",""))</f>
        <v/>
      </c>
      <c r="CI85" t="str">
        <f>IF(NOT(ISERROR(HLOOKUP(Standings!CI$3,Entries!$C77:$K77,1,FALSE))),"x",IF(NOT(ISERROR(HLOOKUP(Standings!CI$3,Entries!$L77:$L77,1,FALSE))),"S",""))</f>
        <v>x</v>
      </c>
      <c r="CJ85" t="str">
        <f>IF(NOT(ISERROR(HLOOKUP(Standings!CJ$3,Entries!$C77:$K77,1,FALSE))),"x",IF(NOT(ISERROR(HLOOKUP(Standings!CJ$3,Entries!$L77:$L77,1,FALSE))),"S",""))</f>
        <v/>
      </c>
      <c r="CK85" t="str">
        <f>IF(NOT(ISERROR(HLOOKUP(Standings!CK$3,Entries!$C77:$K77,1,FALSE))),"x",IF(NOT(ISERROR(HLOOKUP(Standings!CK$3,Entries!$L77:$L77,1,FALSE))),"S",""))</f>
        <v/>
      </c>
      <c r="CL85" t="str">
        <f>IF(NOT(ISERROR(HLOOKUP(Standings!CL$3,Entries!$C77:$K77,1,FALSE))),"x",IF(NOT(ISERROR(HLOOKUP(Standings!CL$3,Entries!$L77:$L77,1,FALSE))),"S",""))</f>
        <v/>
      </c>
      <c r="CM85" t="str">
        <f>IF(NOT(ISERROR(HLOOKUP(Standings!CM$3,Entries!$C77:$K77,1,FALSE))),"x",IF(NOT(ISERROR(HLOOKUP(Standings!CM$3,Entries!$L77:$L77,1,FALSE))),"S",""))</f>
        <v/>
      </c>
      <c r="CN85" t="str">
        <f>IF(NOT(ISERROR(HLOOKUP(Standings!CN$3,Entries!$C77:$K77,1,FALSE))),"x",IF(NOT(ISERROR(HLOOKUP(Standings!CN$3,Entries!$L77:$L77,1,FALSE))),"S",""))</f>
        <v>x</v>
      </c>
      <c r="CO85" t="str">
        <f>IF(NOT(ISERROR(HLOOKUP(Standings!CO$3,Entries!$C77:$K77,1,FALSE))),"x",IF(NOT(ISERROR(HLOOKUP(Standings!CO$3,Entries!$L77:$L77,1,FALSE))),"S",""))</f>
        <v/>
      </c>
      <c r="CP85" t="str">
        <f>IF(NOT(ISERROR(HLOOKUP(Standings!CP$3,Entries!$C77:$K77,1,FALSE))),"x",IF(NOT(ISERROR(HLOOKUP(Standings!CP$3,Entries!$L77:$L77,1,FALSE))),"S",""))</f>
        <v/>
      </c>
      <c r="CQ85" t="str">
        <f>IF(NOT(ISERROR(HLOOKUP(Standings!CQ$3,Entries!$C77:$K77,1,FALSE))),"x",IF(NOT(ISERROR(HLOOKUP(Standings!CQ$3,Entries!$L77:$L77,1,FALSE))),"S",""))</f>
        <v/>
      </c>
      <c r="CR85" t="str">
        <f>IF(NOT(ISERROR(HLOOKUP(Standings!CR$3,Entries!$C77:$K77,1,FALSE))),"x",IF(NOT(ISERROR(HLOOKUP(Standings!CR$3,Entries!$L77:$L77,1,FALSE))),"S",""))</f>
        <v/>
      </c>
      <c r="CS85" t="str">
        <f>IF(NOT(ISERROR(HLOOKUP(Standings!CS$3,Entries!$C77:$K77,1,FALSE))),"x",IF(NOT(ISERROR(HLOOKUP(Standings!CS$3,Entries!$L77:$L77,1,FALSE))),"S",""))</f>
        <v/>
      </c>
      <c r="CT85" t="str">
        <f>IF(NOT(ISERROR(HLOOKUP(Standings!CT$3,Entries!$C77:$K77,1,FALSE))),"x",IF(NOT(ISERROR(HLOOKUP(Standings!CT$3,Entries!$L77:$L77,1,FALSE))),"S",""))</f>
        <v>S</v>
      </c>
      <c r="CU85" t="str">
        <f>IF(NOT(ISERROR(HLOOKUP(Standings!CU$3,Entries!$C77:$K77,1,FALSE))),"x",IF(NOT(ISERROR(HLOOKUP(Standings!CU$3,Entries!$L77:$L77,1,FALSE))),"S",""))</f>
        <v/>
      </c>
      <c r="CV85" t="str">
        <f>IF(NOT(ISERROR(HLOOKUP(Standings!CV$3,Entries!$C77:$K77,1,FALSE))),"x",IF(NOT(ISERROR(HLOOKUP(Standings!CV$3,Entries!$L77:$L77,1,FALSE))),"S",""))</f>
        <v/>
      </c>
      <c r="CW85" t="str">
        <f>IF(NOT(ISERROR(HLOOKUP(Standings!CW$3,Entries!$C77:$K77,1,FALSE))),"x",IF(NOT(ISERROR(HLOOKUP(Standings!CW$3,Entries!$L77:$L77,1,FALSE))),"S",""))</f>
        <v/>
      </c>
      <c r="CX85" t="str">
        <f>IF(NOT(ISERROR(HLOOKUP(Standings!CX$3,Entries!$C77:$K77,1,FALSE))),"x",IF(NOT(ISERROR(HLOOKUP(Standings!CX$3,Entries!$L77:$L77,1,FALSE))),"S",""))</f>
        <v/>
      </c>
      <c r="CY85" t="str">
        <f>IF(NOT(ISERROR(HLOOKUP(Standings!CY$3,Entries!$C77:$K77,1,FALSE))),"x",IF(NOT(ISERROR(HLOOKUP(Standings!CY$3,Entries!$L77:$L77,1,FALSE))),"S",""))</f>
        <v/>
      </c>
      <c r="CZ85" t="str">
        <f>IF(NOT(ISERROR(HLOOKUP(Standings!CZ$3,Entries!$C77:$K77,1,FALSE))),"x",IF(NOT(ISERROR(HLOOKUP(Standings!CZ$3,Entries!$L77:$L77,1,FALSE))),"S",""))</f>
        <v/>
      </c>
      <c r="DA85" t="str">
        <f>IF(NOT(ISERROR(HLOOKUP(Standings!DA$3,Entries!$C77:$K77,1,FALSE))),"x",IF(NOT(ISERROR(HLOOKUP(Standings!DA$3,Entries!$L77:$L77,1,FALSE))),"S",""))</f>
        <v/>
      </c>
      <c r="DB85" t="str">
        <f>IF(NOT(ISERROR(HLOOKUP(Standings!DB$3,Entries!$C77:$K77,1,FALSE))),"x",IF(NOT(ISERROR(HLOOKUP(Standings!DB$3,Entries!$L77:$L77,1,FALSE))),"S",""))</f>
        <v/>
      </c>
    </row>
    <row r="86" spans="1:106" x14ac:dyDescent="0.25">
      <c r="A86" s="18"/>
      <c r="B86">
        <v>26</v>
      </c>
      <c r="C86" t="str">
        <f>Entries!B78</f>
        <v>Craig Miller 2</v>
      </c>
      <c r="D86" s="4">
        <f t="shared" si="55"/>
        <v>18</v>
      </c>
      <c r="E86" s="31">
        <f t="shared" si="105"/>
        <v>2</v>
      </c>
      <c r="F86" s="40" t="str">
        <f t="shared" si="106"/>
        <v/>
      </c>
      <c r="G86" s="41" t="str">
        <f t="shared" si="107"/>
        <v/>
      </c>
      <c r="H86" s="41" t="str">
        <f t="shared" si="108"/>
        <v/>
      </c>
      <c r="I86" s="42" t="str">
        <f t="shared" si="109"/>
        <v/>
      </c>
      <c r="J86" s="40" t="str">
        <f t="shared" si="110"/>
        <v/>
      </c>
      <c r="K86" s="41" t="str">
        <f t="shared" si="111"/>
        <v/>
      </c>
      <c r="L86" s="41" t="str">
        <f t="shared" si="112"/>
        <v/>
      </c>
      <c r="M86" s="42" t="str">
        <f t="shared" si="113"/>
        <v/>
      </c>
      <c r="N86" s="43" t="str">
        <f t="shared" si="114"/>
        <v/>
      </c>
      <c r="O86" s="41" t="str">
        <f t="shared" si="115"/>
        <v/>
      </c>
      <c r="P86" s="41" t="str">
        <f t="shared" si="116"/>
        <v/>
      </c>
      <c r="Q86" s="42" t="str">
        <f t="shared" si="117"/>
        <v/>
      </c>
      <c r="R86" s="40">
        <f t="shared" si="118"/>
        <v>2</v>
      </c>
      <c r="S86" s="41" t="str">
        <f t="shared" si="119"/>
        <v/>
      </c>
      <c r="T86" s="43" t="str">
        <f t="shared" si="120"/>
        <v/>
      </c>
      <c r="U86" s="42" t="str">
        <f t="shared" si="121"/>
        <v/>
      </c>
      <c r="V86" s="40" t="str">
        <f t="shared" si="122"/>
        <v/>
      </c>
      <c r="W86" s="41" t="str">
        <f t="shared" si="123"/>
        <v/>
      </c>
      <c r="X86" s="41">
        <f t="shared" si="124"/>
        <v>0</v>
      </c>
      <c r="Y86" s="42" t="str">
        <f t="shared" si="125"/>
        <v/>
      </c>
      <c r="Z86" s="40" t="str">
        <f t="shared" si="126"/>
        <v/>
      </c>
      <c r="AA86" s="41" t="str">
        <f t="shared" si="127"/>
        <v/>
      </c>
      <c r="AB86" s="41" t="str">
        <f t="shared" si="128"/>
        <v/>
      </c>
      <c r="AC86" s="42" t="str">
        <f t="shared" si="129"/>
        <v/>
      </c>
      <c r="AD86" s="40">
        <f t="shared" si="130"/>
        <v>0</v>
      </c>
      <c r="AE86" s="41" t="str">
        <f t="shared" si="131"/>
        <v/>
      </c>
      <c r="AF86" s="41" t="str">
        <f t="shared" si="132"/>
        <v/>
      </c>
      <c r="AG86" s="42" t="str">
        <f t="shared" si="133"/>
        <v/>
      </c>
      <c r="AH86" s="40" t="str">
        <f t="shared" si="134"/>
        <v/>
      </c>
      <c r="AI86" s="41" t="str">
        <f t="shared" si="135"/>
        <v/>
      </c>
      <c r="AJ86" s="41" t="str">
        <f t="shared" si="136"/>
        <v/>
      </c>
      <c r="AK86" s="42" t="str">
        <f t="shared" si="137"/>
        <v/>
      </c>
      <c r="AL86" s="40" t="str">
        <f t="shared" si="138"/>
        <v/>
      </c>
      <c r="AM86" s="41" t="str">
        <f t="shared" si="139"/>
        <v/>
      </c>
      <c r="AN86" s="41">
        <f t="shared" si="140"/>
        <v>0</v>
      </c>
      <c r="AO86" s="42" t="str">
        <f t="shared" si="141"/>
        <v/>
      </c>
      <c r="AP86" s="40" t="str">
        <f t="shared" si="142"/>
        <v/>
      </c>
      <c r="AQ86" s="41" t="str">
        <f t="shared" si="143"/>
        <v/>
      </c>
      <c r="AR86" s="41" t="str">
        <f t="shared" si="144"/>
        <v/>
      </c>
      <c r="AS86" s="42" t="str">
        <f t="shared" si="145"/>
        <v/>
      </c>
      <c r="AT86" s="40" t="str">
        <f t="shared" si="146"/>
        <v/>
      </c>
      <c r="AU86" s="41" t="str">
        <f t="shared" si="147"/>
        <v/>
      </c>
      <c r="AV86" s="41" t="str">
        <f t="shared" si="148"/>
        <v/>
      </c>
      <c r="AW86" s="42" t="str">
        <f t="shared" si="149"/>
        <v/>
      </c>
      <c r="AX86" s="40" t="str">
        <f t="shared" si="150"/>
        <v/>
      </c>
      <c r="AY86" s="41" t="str">
        <f t="shared" si="151"/>
        <v/>
      </c>
      <c r="AZ86" s="41" t="str">
        <f t="shared" si="152"/>
        <v/>
      </c>
      <c r="BA86" s="42" t="str">
        <f t="shared" si="153"/>
        <v/>
      </c>
      <c r="BB86" s="37" t="s">
        <v>106</v>
      </c>
      <c r="BC86" s="21"/>
      <c r="BD86" s="21"/>
      <c r="BG86" t="str">
        <f>IF(NOT(ISERROR(HLOOKUP(Standings!BG$3,Entries!$C78:$K78,1,FALSE))),"x",IF(NOT(ISERROR(HLOOKUP(Standings!BG$3,Entries!$L78:$L78,1,FALSE))),"S",""))</f>
        <v/>
      </c>
      <c r="BH86" t="str">
        <f>IF(NOT(ISERROR(HLOOKUP(Standings!BH$3,Entries!$C78:$K78,1,FALSE))),"x",IF(NOT(ISERROR(HLOOKUP(Standings!BH$3,Entries!$L78:$L78,1,FALSE))),"S",""))</f>
        <v/>
      </c>
      <c r="BI86" t="str">
        <f>IF(NOT(ISERROR(HLOOKUP(Standings!BI$3,Entries!$C78:$K78,1,FALSE))),"x",IF(NOT(ISERROR(HLOOKUP(Standings!BI$3,Entries!$L78:$L78,1,FALSE))),"S",""))</f>
        <v/>
      </c>
      <c r="BJ86" t="str">
        <f>IF(NOT(ISERROR(HLOOKUP(Standings!BJ$3,Entries!$C78:$K78,1,FALSE))),"x",IF(NOT(ISERROR(HLOOKUP(Standings!BJ$3,Entries!$L78:$L78,1,FALSE))),"S",""))</f>
        <v/>
      </c>
      <c r="BK86" t="str">
        <f>IF(NOT(ISERROR(HLOOKUP(Standings!BK$3,Entries!$C78:$K78,1,FALSE))),"x",IF(NOT(ISERROR(HLOOKUP(Standings!BK$3,Entries!$L78:$L78,1,FALSE))),"S",""))</f>
        <v/>
      </c>
      <c r="BL86" t="str">
        <f>IF(NOT(ISERROR(HLOOKUP(Standings!BL$3,Entries!$C78:$K78,1,FALSE))),"x",IF(NOT(ISERROR(HLOOKUP(Standings!BL$3,Entries!$L78:$L78,1,FALSE))),"S",""))</f>
        <v/>
      </c>
      <c r="BM86" t="str">
        <f>IF(NOT(ISERROR(HLOOKUP(Standings!BM$3,Entries!$C78:$K78,1,FALSE))),"x",IF(NOT(ISERROR(HLOOKUP(Standings!BM$3,Entries!$L78:$L78,1,FALSE))),"S",""))</f>
        <v/>
      </c>
      <c r="BN86" t="str">
        <f>IF(NOT(ISERROR(HLOOKUP(Standings!BN$3,Entries!$C78:$K78,1,FALSE))),"x",IF(NOT(ISERROR(HLOOKUP(Standings!BN$3,Entries!$L78:$L78,1,FALSE))),"S",""))</f>
        <v/>
      </c>
      <c r="BO86" t="str">
        <f>IF(NOT(ISERROR(HLOOKUP(Standings!BO$3,Entries!$C78:$K78,1,FALSE))),"x",IF(NOT(ISERROR(HLOOKUP(Standings!BO$3,Entries!$L78:$L78,1,FALSE))),"S",""))</f>
        <v/>
      </c>
      <c r="BP86" t="str">
        <f>IF(NOT(ISERROR(HLOOKUP(Standings!BP$3,Entries!$C78:$K78,1,FALSE))),"x",IF(NOT(ISERROR(HLOOKUP(Standings!BP$3,Entries!$L78:$L78,1,FALSE))),"S",""))</f>
        <v/>
      </c>
      <c r="BQ86" t="str">
        <f>IF(NOT(ISERROR(HLOOKUP(Standings!BQ$3,Entries!$C78:$K78,1,FALSE))),"x",IF(NOT(ISERROR(HLOOKUP(Standings!BQ$3,Entries!$L78:$L78,1,FALSE))),"S",""))</f>
        <v/>
      </c>
      <c r="BR86" t="str">
        <f>IF(NOT(ISERROR(HLOOKUP(Standings!BR$3,Entries!$C78:$K78,1,FALSE))),"x",IF(NOT(ISERROR(HLOOKUP(Standings!BR$3,Entries!$L78:$L78,1,FALSE))),"S",""))</f>
        <v/>
      </c>
      <c r="BS86" t="str">
        <f>IF(NOT(ISERROR(HLOOKUP(Standings!BS$3,Entries!$C78:$K78,1,FALSE))),"x",IF(NOT(ISERROR(HLOOKUP(Standings!BS$3,Entries!$L78:$L78,1,FALSE))),"S",""))</f>
        <v>x</v>
      </c>
      <c r="BT86" t="str">
        <f>IF(NOT(ISERROR(HLOOKUP(Standings!BT$3,Entries!$C78:$K78,1,FALSE))),"x",IF(NOT(ISERROR(HLOOKUP(Standings!BT$3,Entries!$L78:$L78,1,FALSE))),"S",""))</f>
        <v/>
      </c>
      <c r="BU86" t="str">
        <f>IF(NOT(ISERROR(HLOOKUP(Standings!BU$3,Entries!$C78:$K78,1,FALSE))),"x",IF(NOT(ISERROR(HLOOKUP(Standings!BU$3,Entries!$L78:$L78,1,FALSE))),"S",""))</f>
        <v/>
      </c>
      <c r="BV86" t="str">
        <f>IF(NOT(ISERROR(HLOOKUP(Standings!BV$3,Entries!$C78:$K78,1,FALSE))),"x",IF(NOT(ISERROR(HLOOKUP(Standings!BV$3,Entries!$L78:$L78,1,FALSE))),"S",""))</f>
        <v/>
      </c>
      <c r="BW86" t="str">
        <f>IF(NOT(ISERROR(HLOOKUP(Standings!BW$3,Entries!$C78:$K78,1,FALSE))),"x",IF(NOT(ISERROR(HLOOKUP(Standings!BW$3,Entries!$L78:$L78,1,FALSE))),"S",""))</f>
        <v/>
      </c>
      <c r="BX86" t="str">
        <f>IF(NOT(ISERROR(HLOOKUP(Standings!BX$3,Entries!$C78:$K78,1,FALSE))),"x",IF(NOT(ISERROR(HLOOKUP(Standings!BX$3,Entries!$L78:$L78,1,FALSE))),"S",""))</f>
        <v/>
      </c>
      <c r="BY86" t="str">
        <f>IF(NOT(ISERROR(HLOOKUP(Standings!BY$3,Entries!$C78:$K78,1,FALSE))),"x",IF(NOT(ISERROR(HLOOKUP(Standings!BY$3,Entries!$L78:$L78,1,FALSE))),"S",""))</f>
        <v>x</v>
      </c>
      <c r="BZ86" t="str">
        <f>IF(NOT(ISERROR(HLOOKUP(Standings!BZ$3,Entries!$C78:$K78,1,FALSE))),"x",IF(NOT(ISERROR(HLOOKUP(Standings!BZ$3,Entries!$L78:$L78,1,FALSE))),"S",""))</f>
        <v/>
      </c>
      <c r="CA86" t="str">
        <f>IF(NOT(ISERROR(HLOOKUP(Standings!CA$3,Entries!$C78:$K78,1,FALSE))),"x",IF(NOT(ISERROR(HLOOKUP(Standings!CA$3,Entries!$L78:$L78,1,FALSE))),"S",""))</f>
        <v/>
      </c>
      <c r="CB86" t="str">
        <f>IF(NOT(ISERROR(HLOOKUP(Standings!CB$3,Entries!$C78:$K78,1,FALSE))),"x",IF(NOT(ISERROR(HLOOKUP(Standings!CB$3,Entries!$L78:$L78,1,FALSE))),"S",""))</f>
        <v/>
      </c>
      <c r="CC86" t="str">
        <f>IF(NOT(ISERROR(HLOOKUP(Standings!CC$3,Entries!$C78:$K78,1,FALSE))),"x",IF(NOT(ISERROR(HLOOKUP(Standings!CC$3,Entries!$L78:$L78,1,FALSE))),"S",""))</f>
        <v/>
      </c>
      <c r="CD86" t="str">
        <f>IF(NOT(ISERROR(HLOOKUP(Standings!CD$3,Entries!$C78:$K78,1,FALSE))),"x",IF(NOT(ISERROR(HLOOKUP(Standings!CD$3,Entries!$L78:$L78,1,FALSE))),"S",""))</f>
        <v/>
      </c>
      <c r="CE86" t="str">
        <f>IF(NOT(ISERROR(HLOOKUP(Standings!CE$3,Entries!$C78:$K78,1,FALSE))),"x",IF(NOT(ISERROR(HLOOKUP(Standings!CE$3,Entries!$L78:$L78,1,FALSE))),"S",""))</f>
        <v>x</v>
      </c>
      <c r="CF86" t="str">
        <f>IF(NOT(ISERROR(HLOOKUP(Standings!CF$3,Entries!$C78:$K78,1,FALSE))),"x",IF(NOT(ISERROR(HLOOKUP(Standings!CF$3,Entries!$L78:$L78,1,FALSE))),"S",""))</f>
        <v/>
      </c>
      <c r="CG86" t="str">
        <f>IF(NOT(ISERROR(HLOOKUP(Standings!CG$3,Entries!$C78:$K78,1,FALSE))),"x",IF(NOT(ISERROR(HLOOKUP(Standings!CG$3,Entries!$L78:$L78,1,FALSE))),"S",""))</f>
        <v/>
      </c>
      <c r="CH86" t="str">
        <f>IF(NOT(ISERROR(HLOOKUP(Standings!CH$3,Entries!$C78:$K78,1,FALSE))),"x",IF(NOT(ISERROR(HLOOKUP(Standings!CH$3,Entries!$L78:$L78,1,FALSE))),"S",""))</f>
        <v/>
      </c>
      <c r="CI86" t="str">
        <f>IF(NOT(ISERROR(HLOOKUP(Standings!CI$3,Entries!$C78:$K78,1,FALSE))),"x",IF(NOT(ISERROR(HLOOKUP(Standings!CI$3,Entries!$L78:$L78,1,FALSE))),"S",""))</f>
        <v/>
      </c>
      <c r="CJ86" t="str">
        <f>IF(NOT(ISERROR(HLOOKUP(Standings!CJ$3,Entries!$C78:$K78,1,FALSE))),"x",IF(NOT(ISERROR(HLOOKUP(Standings!CJ$3,Entries!$L78:$L78,1,FALSE))),"S",""))</f>
        <v/>
      </c>
      <c r="CK86" t="str">
        <f>IF(NOT(ISERROR(HLOOKUP(Standings!CK$3,Entries!$C78:$K78,1,FALSE))),"x",IF(NOT(ISERROR(HLOOKUP(Standings!CK$3,Entries!$L78:$L78,1,FALSE))),"S",""))</f>
        <v/>
      </c>
      <c r="CL86" t="str">
        <f>IF(NOT(ISERROR(HLOOKUP(Standings!CL$3,Entries!$C78:$K78,1,FALSE))),"x",IF(NOT(ISERROR(HLOOKUP(Standings!CL$3,Entries!$L78:$L78,1,FALSE))),"S",""))</f>
        <v/>
      </c>
      <c r="CM86" t="str">
        <f>IF(NOT(ISERROR(HLOOKUP(Standings!CM$3,Entries!$C78:$K78,1,FALSE))),"x",IF(NOT(ISERROR(HLOOKUP(Standings!CM$3,Entries!$L78:$L78,1,FALSE))),"S",""))</f>
        <v/>
      </c>
      <c r="CN86" t="str">
        <f>IF(NOT(ISERROR(HLOOKUP(Standings!CN$3,Entries!$C78:$K78,1,FALSE))),"x",IF(NOT(ISERROR(HLOOKUP(Standings!CN$3,Entries!$L78:$L78,1,FALSE))),"S",""))</f>
        <v/>
      </c>
      <c r="CO86" t="str">
        <f>IF(NOT(ISERROR(HLOOKUP(Standings!CO$3,Entries!$C78:$K78,1,FALSE))),"x",IF(NOT(ISERROR(HLOOKUP(Standings!CO$3,Entries!$L78:$L78,1,FALSE))),"S",""))</f>
        <v>x</v>
      </c>
      <c r="CP86" t="str">
        <f>IF(NOT(ISERROR(HLOOKUP(Standings!CP$3,Entries!$C78:$K78,1,FALSE))),"x",IF(NOT(ISERROR(HLOOKUP(Standings!CP$3,Entries!$L78:$L78,1,FALSE))),"S",""))</f>
        <v/>
      </c>
      <c r="CQ86" t="str">
        <f>IF(NOT(ISERROR(HLOOKUP(Standings!CQ$3,Entries!$C78:$K78,1,FALSE))),"x",IF(NOT(ISERROR(HLOOKUP(Standings!CQ$3,Entries!$L78:$L78,1,FALSE))),"S",""))</f>
        <v/>
      </c>
      <c r="CR86" t="str">
        <f>IF(NOT(ISERROR(HLOOKUP(Standings!CR$3,Entries!$C78:$K78,1,FALSE))),"x",IF(NOT(ISERROR(HLOOKUP(Standings!CR$3,Entries!$L78:$L78,1,FALSE))),"S",""))</f>
        <v/>
      </c>
      <c r="CS86" t="str">
        <f>IF(NOT(ISERROR(HLOOKUP(Standings!CS$3,Entries!$C78:$K78,1,FALSE))),"x",IF(NOT(ISERROR(HLOOKUP(Standings!CS$3,Entries!$L78:$L78,1,FALSE))),"S",""))</f>
        <v/>
      </c>
      <c r="CT86" t="str">
        <f>IF(NOT(ISERROR(HLOOKUP(Standings!CT$3,Entries!$C78:$K78,1,FALSE))),"x",IF(NOT(ISERROR(HLOOKUP(Standings!CT$3,Entries!$L78:$L78,1,FALSE))),"S",""))</f>
        <v/>
      </c>
      <c r="CU86" t="str">
        <f>IF(NOT(ISERROR(HLOOKUP(Standings!CU$3,Entries!$C78:$K78,1,FALSE))),"x",IF(NOT(ISERROR(HLOOKUP(Standings!CU$3,Entries!$L78:$L78,1,FALSE))),"S",""))</f>
        <v/>
      </c>
      <c r="CV86" t="str">
        <f>IF(NOT(ISERROR(HLOOKUP(Standings!CV$3,Entries!$C78:$K78,1,FALSE))),"x",IF(NOT(ISERROR(HLOOKUP(Standings!CV$3,Entries!$L78:$L78,1,FALSE))),"S",""))</f>
        <v/>
      </c>
      <c r="CW86" t="str">
        <f>IF(NOT(ISERROR(HLOOKUP(Standings!CW$3,Entries!$C78:$K78,1,FALSE))),"x",IF(NOT(ISERROR(HLOOKUP(Standings!CW$3,Entries!$L78:$L78,1,FALSE))),"S",""))</f>
        <v/>
      </c>
      <c r="CX86" t="str">
        <f>IF(NOT(ISERROR(HLOOKUP(Standings!CX$3,Entries!$C78:$K78,1,FALSE))),"x",IF(NOT(ISERROR(HLOOKUP(Standings!CX$3,Entries!$L78:$L78,1,FALSE))),"S",""))</f>
        <v/>
      </c>
      <c r="CY86" t="str">
        <f>IF(NOT(ISERROR(HLOOKUP(Standings!CY$3,Entries!$C78:$K78,1,FALSE))),"x",IF(NOT(ISERROR(HLOOKUP(Standings!CY$3,Entries!$L78:$L78,1,FALSE))),"S",""))</f>
        <v/>
      </c>
      <c r="CZ86" t="str">
        <f>IF(NOT(ISERROR(HLOOKUP(Standings!CZ$3,Entries!$C78:$K78,1,FALSE))),"x",IF(NOT(ISERROR(HLOOKUP(Standings!CZ$3,Entries!$L78:$L78,1,FALSE))),"S",""))</f>
        <v/>
      </c>
      <c r="DA86" t="str">
        <f>IF(NOT(ISERROR(HLOOKUP(Standings!DA$3,Entries!$C78:$K78,1,FALSE))),"x",IF(NOT(ISERROR(HLOOKUP(Standings!DA$3,Entries!$L78:$L78,1,FALSE))),"S",""))</f>
        <v/>
      </c>
      <c r="DB86" t="str">
        <f>IF(NOT(ISERROR(HLOOKUP(Standings!DB$3,Entries!$C78:$K78,1,FALSE))),"x",IF(NOT(ISERROR(HLOOKUP(Standings!DB$3,Entries!$L78:$L78,1,FALSE))),"S",""))</f>
        <v/>
      </c>
    </row>
    <row r="87" spans="1:106" x14ac:dyDescent="0.25">
      <c r="A87" s="18"/>
      <c r="B87">
        <v>26</v>
      </c>
      <c r="C87" t="str">
        <f>Entries!B79</f>
        <v>Dane Miller</v>
      </c>
      <c r="D87" s="4">
        <f t="shared" si="55"/>
        <v>55</v>
      </c>
      <c r="E87" s="31">
        <f t="shared" si="105"/>
        <v>0</v>
      </c>
      <c r="F87" s="40" t="str">
        <f t="shared" si="106"/>
        <v/>
      </c>
      <c r="G87" s="41" t="str">
        <f t="shared" si="107"/>
        <v/>
      </c>
      <c r="H87" s="41" t="str">
        <f t="shared" si="108"/>
        <v/>
      </c>
      <c r="I87" s="42" t="str">
        <f t="shared" si="109"/>
        <v/>
      </c>
      <c r="J87" s="40" t="str">
        <f t="shared" si="110"/>
        <v/>
      </c>
      <c r="K87" s="41" t="str">
        <f t="shared" si="111"/>
        <v/>
      </c>
      <c r="L87" s="41" t="str">
        <f t="shared" si="112"/>
        <v/>
      </c>
      <c r="M87" s="42" t="str">
        <f t="shared" si="113"/>
        <v/>
      </c>
      <c r="N87" s="43" t="str">
        <f t="shared" si="114"/>
        <v/>
      </c>
      <c r="O87" s="41" t="str">
        <f t="shared" si="115"/>
        <v/>
      </c>
      <c r="P87" s="41" t="str">
        <f t="shared" si="116"/>
        <v/>
      </c>
      <c r="Q87" s="42" t="str">
        <f t="shared" si="117"/>
        <v/>
      </c>
      <c r="R87" s="40" t="str">
        <f t="shared" si="118"/>
        <v/>
      </c>
      <c r="S87" s="41" t="str">
        <f t="shared" si="119"/>
        <v/>
      </c>
      <c r="T87" s="43" t="str">
        <f t="shared" si="120"/>
        <v/>
      </c>
      <c r="U87" s="42" t="str">
        <f t="shared" si="121"/>
        <v/>
      </c>
      <c r="V87" s="40">
        <f t="shared" si="122"/>
        <v>0</v>
      </c>
      <c r="W87" s="41" t="str">
        <f t="shared" si="123"/>
        <v/>
      </c>
      <c r="X87" s="41" t="str">
        <f t="shared" si="124"/>
        <v/>
      </c>
      <c r="Y87" s="42" t="str">
        <f t="shared" si="125"/>
        <v/>
      </c>
      <c r="Z87" s="40">
        <f t="shared" si="126"/>
        <v>0</v>
      </c>
      <c r="AA87" s="41" t="str">
        <f t="shared" si="127"/>
        <v/>
      </c>
      <c r="AB87" s="41" t="str">
        <f t="shared" si="128"/>
        <v/>
      </c>
      <c r="AC87" s="42" t="str">
        <f t="shared" si="129"/>
        <v/>
      </c>
      <c r="AD87" s="40" t="str">
        <f t="shared" si="130"/>
        <v/>
      </c>
      <c r="AE87" s="41" t="str">
        <f t="shared" si="131"/>
        <v/>
      </c>
      <c r="AF87" s="41" t="str">
        <f t="shared" si="132"/>
        <v/>
      </c>
      <c r="AG87" s="42" t="str">
        <f t="shared" si="133"/>
        <v/>
      </c>
      <c r="AH87" s="40" t="str">
        <f t="shared" si="134"/>
        <v/>
      </c>
      <c r="AI87" s="41" t="str">
        <f t="shared" si="135"/>
        <v/>
      </c>
      <c r="AJ87" s="41" t="str">
        <f t="shared" si="136"/>
        <v/>
      </c>
      <c r="AK87" s="42" t="str">
        <f t="shared" si="137"/>
        <v/>
      </c>
      <c r="AL87" s="40" t="str">
        <f t="shared" si="138"/>
        <v/>
      </c>
      <c r="AM87" s="41">
        <f t="shared" si="139"/>
        <v>-1.0000000000000001E-5</v>
      </c>
      <c r="AN87" s="41" t="str">
        <f t="shared" si="140"/>
        <v/>
      </c>
      <c r="AO87" s="42" t="str">
        <f t="shared" si="141"/>
        <v/>
      </c>
      <c r="AP87" s="40" t="str">
        <f t="shared" si="142"/>
        <v/>
      </c>
      <c r="AQ87" s="41">
        <f t="shared" si="143"/>
        <v>0</v>
      </c>
      <c r="AR87" s="41" t="str">
        <f t="shared" si="144"/>
        <v/>
      </c>
      <c r="AS87" s="42" t="str">
        <f t="shared" si="145"/>
        <v/>
      </c>
      <c r="AT87" s="40" t="str">
        <f t="shared" si="146"/>
        <v/>
      </c>
      <c r="AU87" s="41" t="str">
        <f t="shared" si="147"/>
        <v/>
      </c>
      <c r="AV87" s="41">
        <f t="shared" si="148"/>
        <v>0</v>
      </c>
      <c r="AW87" s="42" t="str">
        <f t="shared" si="149"/>
        <v/>
      </c>
      <c r="AX87" s="40" t="str">
        <f t="shared" si="150"/>
        <v/>
      </c>
      <c r="AY87" s="41" t="str">
        <f t="shared" si="151"/>
        <v/>
      </c>
      <c r="AZ87" s="41" t="str">
        <f t="shared" si="152"/>
        <v/>
      </c>
      <c r="BA87" s="42" t="str">
        <f t="shared" si="153"/>
        <v/>
      </c>
      <c r="BB87" s="37" t="s">
        <v>106</v>
      </c>
      <c r="BC87" s="21"/>
      <c r="BD87" s="21"/>
      <c r="BG87" t="str">
        <f>IF(NOT(ISERROR(HLOOKUP(Standings!BG$3,Entries!$C79:$K79,1,FALSE))),"x",IF(NOT(ISERROR(HLOOKUP(Standings!BG$3,Entries!$L79:$L79,1,FALSE))),"S",""))</f>
        <v/>
      </c>
      <c r="BH87" t="str">
        <f>IF(NOT(ISERROR(HLOOKUP(Standings!BH$3,Entries!$C79:$K79,1,FALSE))),"x",IF(NOT(ISERROR(HLOOKUP(Standings!BH$3,Entries!$L79:$L79,1,FALSE))),"S",""))</f>
        <v/>
      </c>
      <c r="BI87" t="str">
        <f>IF(NOT(ISERROR(HLOOKUP(Standings!BI$3,Entries!$C79:$K79,1,FALSE))),"x",IF(NOT(ISERROR(HLOOKUP(Standings!BI$3,Entries!$L79:$L79,1,FALSE))),"S",""))</f>
        <v/>
      </c>
      <c r="BJ87" t="str">
        <f>IF(NOT(ISERROR(HLOOKUP(Standings!BJ$3,Entries!$C79:$K79,1,FALSE))),"x",IF(NOT(ISERROR(HLOOKUP(Standings!BJ$3,Entries!$L79:$L79,1,FALSE))),"S",""))</f>
        <v/>
      </c>
      <c r="BK87" t="str">
        <f>IF(NOT(ISERROR(HLOOKUP(Standings!BK$3,Entries!$C79:$K79,1,FALSE))),"x",IF(NOT(ISERROR(HLOOKUP(Standings!BK$3,Entries!$L79:$L79,1,FALSE))),"S",""))</f>
        <v/>
      </c>
      <c r="BL87" t="str">
        <f>IF(NOT(ISERROR(HLOOKUP(Standings!BL$3,Entries!$C79:$K79,1,FALSE))),"x",IF(NOT(ISERROR(HLOOKUP(Standings!BL$3,Entries!$L79:$L79,1,FALSE))),"S",""))</f>
        <v/>
      </c>
      <c r="BM87" t="str">
        <f>IF(NOT(ISERROR(HLOOKUP(Standings!BM$3,Entries!$C79:$K79,1,FALSE))),"x",IF(NOT(ISERROR(HLOOKUP(Standings!BM$3,Entries!$L79:$L79,1,FALSE))),"S",""))</f>
        <v/>
      </c>
      <c r="BN87" t="str">
        <f>IF(NOT(ISERROR(HLOOKUP(Standings!BN$3,Entries!$C79:$K79,1,FALSE))),"x",IF(NOT(ISERROR(HLOOKUP(Standings!BN$3,Entries!$L79:$L79,1,FALSE))),"S",""))</f>
        <v/>
      </c>
      <c r="BO87" t="str">
        <f>IF(NOT(ISERROR(HLOOKUP(Standings!BO$3,Entries!$C79:$K79,1,FALSE))),"x",IF(NOT(ISERROR(HLOOKUP(Standings!BO$3,Entries!$L79:$L79,1,FALSE))),"S",""))</f>
        <v/>
      </c>
      <c r="BP87" t="str">
        <f>IF(NOT(ISERROR(HLOOKUP(Standings!BP$3,Entries!$C79:$K79,1,FALSE))),"x",IF(NOT(ISERROR(HLOOKUP(Standings!BP$3,Entries!$L79:$L79,1,FALSE))),"S",""))</f>
        <v/>
      </c>
      <c r="BQ87" t="str">
        <f>IF(NOT(ISERROR(HLOOKUP(Standings!BQ$3,Entries!$C79:$K79,1,FALSE))),"x",IF(NOT(ISERROR(HLOOKUP(Standings!BQ$3,Entries!$L79:$L79,1,FALSE))),"S",""))</f>
        <v/>
      </c>
      <c r="BR87" t="str">
        <f>IF(NOT(ISERROR(HLOOKUP(Standings!BR$3,Entries!$C79:$K79,1,FALSE))),"x",IF(NOT(ISERROR(HLOOKUP(Standings!BR$3,Entries!$L79:$L79,1,FALSE))),"S",""))</f>
        <v/>
      </c>
      <c r="BS87" t="str">
        <f>IF(NOT(ISERROR(HLOOKUP(Standings!BS$3,Entries!$C79:$K79,1,FALSE))),"x",IF(NOT(ISERROR(HLOOKUP(Standings!BS$3,Entries!$L79:$L79,1,FALSE))),"S",""))</f>
        <v/>
      </c>
      <c r="BT87" t="str">
        <f>IF(NOT(ISERROR(HLOOKUP(Standings!BT$3,Entries!$C79:$K79,1,FALSE))),"x",IF(NOT(ISERROR(HLOOKUP(Standings!BT$3,Entries!$L79:$L79,1,FALSE))),"S",""))</f>
        <v/>
      </c>
      <c r="BU87" t="str">
        <f>IF(NOT(ISERROR(HLOOKUP(Standings!BU$3,Entries!$C79:$K79,1,FALSE))),"x",IF(NOT(ISERROR(HLOOKUP(Standings!BU$3,Entries!$L79:$L79,1,FALSE))),"S",""))</f>
        <v/>
      </c>
      <c r="BV87" t="str">
        <f>IF(NOT(ISERROR(HLOOKUP(Standings!BV$3,Entries!$C79:$K79,1,FALSE))),"x",IF(NOT(ISERROR(HLOOKUP(Standings!BV$3,Entries!$L79:$L79,1,FALSE))),"S",""))</f>
        <v/>
      </c>
      <c r="BW87" t="str">
        <f>IF(NOT(ISERROR(HLOOKUP(Standings!BW$3,Entries!$C79:$K79,1,FALSE))),"x",IF(NOT(ISERROR(HLOOKUP(Standings!BW$3,Entries!$L79:$L79,1,FALSE))),"S",""))</f>
        <v>x</v>
      </c>
      <c r="BX87" t="str">
        <f>IF(NOT(ISERROR(HLOOKUP(Standings!BX$3,Entries!$C79:$K79,1,FALSE))),"x",IF(NOT(ISERROR(HLOOKUP(Standings!BX$3,Entries!$L79:$L79,1,FALSE))),"S",""))</f>
        <v/>
      </c>
      <c r="BY87" t="str">
        <f>IF(NOT(ISERROR(HLOOKUP(Standings!BY$3,Entries!$C79:$K79,1,FALSE))),"x",IF(NOT(ISERROR(HLOOKUP(Standings!BY$3,Entries!$L79:$L79,1,FALSE))),"S",""))</f>
        <v/>
      </c>
      <c r="BZ87" t="str">
        <f>IF(NOT(ISERROR(HLOOKUP(Standings!BZ$3,Entries!$C79:$K79,1,FALSE))),"x",IF(NOT(ISERROR(HLOOKUP(Standings!BZ$3,Entries!$L79:$L79,1,FALSE))),"S",""))</f>
        <v/>
      </c>
      <c r="CA87" t="str">
        <f>IF(NOT(ISERROR(HLOOKUP(Standings!CA$3,Entries!$C79:$K79,1,FALSE))),"x",IF(NOT(ISERROR(HLOOKUP(Standings!CA$3,Entries!$L79:$L79,1,FALSE))),"S",""))</f>
        <v>x</v>
      </c>
      <c r="CB87" t="str">
        <f>IF(NOT(ISERROR(HLOOKUP(Standings!CB$3,Entries!$C79:$K79,1,FALSE))),"x",IF(NOT(ISERROR(HLOOKUP(Standings!CB$3,Entries!$L79:$L79,1,FALSE))),"S",""))</f>
        <v/>
      </c>
      <c r="CC87" t="str">
        <f>IF(NOT(ISERROR(HLOOKUP(Standings!CC$3,Entries!$C79:$K79,1,FALSE))),"x",IF(NOT(ISERROR(HLOOKUP(Standings!CC$3,Entries!$L79:$L79,1,FALSE))),"S",""))</f>
        <v/>
      </c>
      <c r="CD87" t="str">
        <f>IF(NOT(ISERROR(HLOOKUP(Standings!CD$3,Entries!$C79:$K79,1,FALSE))),"x",IF(NOT(ISERROR(HLOOKUP(Standings!CD$3,Entries!$L79:$L79,1,FALSE))),"S",""))</f>
        <v/>
      </c>
      <c r="CE87" t="str">
        <f>IF(NOT(ISERROR(HLOOKUP(Standings!CE$3,Entries!$C79:$K79,1,FALSE))),"x",IF(NOT(ISERROR(HLOOKUP(Standings!CE$3,Entries!$L79:$L79,1,FALSE))),"S",""))</f>
        <v/>
      </c>
      <c r="CF87" t="str">
        <f>IF(NOT(ISERROR(HLOOKUP(Standings!CF$3,Entries!$C79:$K79,1,FALSE))),"x",IF(NOT(ISERROR(HLOOKUP(Standings!CF$3,Entries!$L79:$L79,1,FALSE))),"S",""))</f>
        <v/>
      </c>
      <c r="CG87" t="str">
        <f>IF(NOT(ISERROR(HLOOKUP(Standings!CG$3,Entries!$C79:$K79,1,FALSE))),"x",IF(NOT(ISERROR(HLOOKUP(Standings!CG$3,Entries!$L79:$L79,1,FALSE))),"S",""))</f>
        <v/>
      </c>
      <c r="CH87" t="str">
        <f>IF(NOT(ISERROR(HLOOKUP(Standings!CH$3,Entries!$C79:$K79,1,FALSE))),"x",IF(NOT(ISERROR(HLOOKUP(Standings!CH$3,Entries!$L79:$L79,1,FALSE))),"S",""))</f>
        <v/>
      </c>
      <c r="CI87" t="str">
        <f>IF(NOT(ISERROR(HLOOKUP(Standings!CI$3,Entries!$C79:$K79,1,FALSE))),"x",IF(NOT(ISERROR(HLOOKUP(Standings!CI$3,Entries!$L79:$L79,1,FALSE))),"S",""))</f>
        <v/>
      </c>
      <c r="CJ87" t="str">
        <f>IF(NOT(ISERROR(HLOOKUP(Standings!CJ$3,Entries!$C79:$K79,1,FALSE))),"x",IF(NOT(ISERROR(HLOOKUP(Standings!CJ$3,Entries!$L79:$L79,1,FALSE))),"S",""))</f>
        <v/>
      </c>
      <c r="CK87" t="str">
        <f>IF(NOT(ISERROR(HLOOKUP(Standings!CK$3,Entries!$C79:$K79,1,FALSE))),"x",IF(NOT(ISERROR(HLOOKUP(Standings!CK$3,Entries!$L79:$L79,1,FALSE))),"S",""))</f>
        <v/>
      </c>
      <c r="CL87" t="str">
        <f>IF(NOT(ISERROR(HLOOKUP(Standings!CL$3,Entries!$C79:$K79,1,FALSE))),"x",IF(NOT(ISERROR(HLOOKUP(Standings!CL$3,Entries!$L79:$L79,1,FALSE))),"S",""))</f>
        <v/>
      </c>
      <c r="CM87" t="str">
        <f>IF(NOT(ISERROR(HLOOKUP(Standings!CM$3,Entries!$C79:$K79,1,FALSE))),"x",IF(NOT(ISERROR(HLOOKUP(Standings!CM$3,Entries!$L79:$L79,1,FALSE))),"S",""))</f>
        <v/>
      </c>
      <c r="CN87" t="str">
        <f>IF(NOT(ISERROR(HLOOKUP(Standings!CN$3,Entries!$C79:$K79,1,FALSE))),"x",IF(NOT(ISERROR(HLOOKUP(Standings!CN$3,Entries!$L79:$L79,1,FALSE))),"S",""))</f>
        <v>S</v>
      </c>
      <c r="CO87" t="str">
        <f>IF(NOT(ISERROR(HLOOKUP(Standings!CO$3,Entries!$C79:$K79,1,FALSE))),"x",IF(NOT(ISERROR(HLOOKUP(Standings!CO$3,Entries!$L79:$L79,1,FALSE))),"S",""))</f>
        <v/>
      </c>
      <c r="CP87" t="str">
        <f>IF(NOT(ISERROR(HLOOKUP(Standings!CP$3,Entries!$C79:$K79,1,FALSE))),"x",IF(NOT(ISERROR(HLOOKUP(Standings!CP$3,Entries!$L79:$L79,1,FALSE))),"S",""))</f>
        <v/>
      </c>
      <c r="CQ87" t="str">
        <f>IF(NOT(ISERROR(HLOOKUP(Standings!CQ$3,Entries!$C79:$K79,1,FALSE))),"x",IF(NOT(ISERROR(HLOOKUP(Standings!CQ$3,Entries!$L79:$L79,1,FALSE))),"S",""))</f>
        <v/>
      </c>
      <c r="CR87" t="str">
        <f>IF(NOT(ISERROR(HLOOKUP(Standings!CR$3,Entries!$C79:$K79,1,FALSE))),"x",IF(NOT(ISERROR(HLOOKUP(Standings!CR$3,Entries!$L79:$L79,1,FALSE))),"S",""))</f>
        <v>x</v>
      </c>
      <c r="CS87" t="str">
        <f>IF(NOT(ISERROR(HLOOKUP(Standings!CS$3,Entries!$C79:$K79,1,FALSE))),"x",IF(NOT(ISERROR(HLOOKUP(Standings!CS$3,Entries!$L79:$L79,1,FALSE))),"S",""))</f>
        <v/>
      </c>
      <c r="CT87" t="str">
        <f>IF(NOT(ISERROR(HLOOKUP(Standings!CT$3,Entries!$C79:$K79,1,FALSE))),"x",IF(NOT(ISERROR(HLOOKUP(Standings!CT$3,Entries!$L79:$L79,1,FALSE))),"S",""))</f>
        <v/>
      </c>
      <c r="CU87" t="str">
        <f>IF(NOT(ISERROR(HLOOKUP(Standings!CU$3,Entries!$C79:$K79,1,FALSE))),"x",IF(NOT(ISERROR(HLOOKUP(Standings!CU$3,Entries!$L79:$L79,1,FALSE))),"S",""))</f>
        <v/>
      </c>
      <c r="CV87" t="str">
        <f>IF(NOT(ISERROR(HLOOKUP(Standings!CV$3,Entries!$C79:$K79,1,FALSE))),"x",IF(NOT(ISERROR(HLOOKUP(Standings!CV$3,Entries!$L79:$L79,1,FALSE))),"S",""))</f>
        <v/>
      </c>
      <c r="CW87" t="str">
        <f>IF(NOT(ISERROR(HLOOKUP(Standings!CW$3,Entries!$C79:$K79,1,FALSE))),"x",IF(NOT(ISERROR(HLOOKUP(Standings!CW$3,Entries!$L79:$L79,1,FALSE))),"S",""))</f>
        <v>x</v>
      </c>
      <c r="CX87" t="str">
        <f>IF(NOT(ISERROR(HLOOKUP(Standings!CX$3,Entries!$C79:$K79,1,FALSE))),"x",IF(NOT(ISERROR(HLOOKUP(Standings!CX$3,Entries!$L79:$L79,1,FALSE))),"S",""))</f>
        <v/>
      </c>
      <c r="CY87" t="str">
        <f>IF(NOT(ISERROR(HLOOKUP(Standings!CY$3,Entries!$C79:$K79,1,FALSE))),"x",IF(NOT(ISERROR(HLOOKUP(Standings!CY$3,Entries!$L79:$L79,1,FALSE))),"S",""))</f>
        <v/>
      </c>
      <c r="CZ87" t="str">
        <f>IF(NOT(ISERROR(HLOOKUP(Standings!CZ$3,Entries!$C79:$K79,1,FALSE))),"x",IF(NOT(ISERROR(HLOOKUP(Standings!CZ$3,Entries!$L79:$L79,1,FALSE))),"S",""))</f>
        <v/>
      </c>
      <c r="DA87" t="str">
        <f>IF(NOT(ISERROR(HLOOKUP(Standings!DA$3,Entries!$C79:$K79,1,FALSE))),"x",IF(NOT(ISERROR(HLOOKUP(Standings!DA$3,Entries!$L79:$L79,1,FALSE))),"S",""))</f>
        <v/>
      </c>
      <c r="DB87" t="str">
        <f>IF(NOT(ISERROR(HLOOKUP(Standings!DB$3,Entries!$C79:$K79,1,FALSE))),"x",IF(NOT(ISERROR(HLOOKUP(Standings!DB$3,Entries!$L79:$L79,1,FALSE))),"S",""))</f>
        <v/>
      </c>
    </row>
    <row r="88" spans="1:106" x14ac:dyDescent="0.25">
      <c r="A88" s="18"/>
      <c r="B88">
        <v>26</v>
      </c>
      <c r="C88" t="str">
        <f>Entries!B80</f>
        <v>DC</v>
      </c>
      <c r="D88" s="4">
        <f t="shared" si="55"/>
        <v>55</v>
      </c>
      <c r="E88" s="31">
        <f t="shared" si="105"/>
        <v>0</v>
      </c>
      <c r="F88" s="40" t="str">
        <f t="shared" si="106"/>
        <v/>
      </c>
      <c r="G88" s="41" t="str">
        <f t="shared" si="107"/>
        <v/>
      </c>
      <c r="H88" s="41" t="str">
        <f t="shared" si="108"/>
        <v/>
      </c>
      <c r="I88" s="42" t="str">
        <f t="shared" si="109"/>
        <v/>
      </c>
      <c r="J88" s="40" t="str">
        <f t="shared" si="110"/>
        <v/>
      </c>
      <c r="K88" s="41" t="str">
        <f t="shared" si="111"/>
        <v/>
      </c>
      <c r="L88" s="41" t="str">
        <f t="shared" si="112"/>
        <v/>
      </c>
      <c r="M88" s="42" t="str">
        <f t="shared" si="113"/>
        <v/>
      </c>
      <c r="N88" s="43" t="str">
        <f t="shared" si="114"/>
        <v/>
      </c>
      <c r="O88" s="41" t="str">
        <f t="shared" si="115"/>
        <v/>
      </c>
      <c r="P88" s="41" t="str">
        <f t="shared" si="116"/>
        <v/>
      </c>
      <c r="Q88" s="42" t="str">
        <f t="shared" si="117"/>
        <v/>
      </c>
      <c r="R88" s="40" t="str">
        <f t="shared" si="118"/>
        <v/>
      </c>
      <c r="S88" s="41">
        <f t="shared" si="119"/>
        <v>0</v>
      </c>
      <c r="T88" s="43" t="str">
        <f t="shared" si="120"/>
        <v/>
      </c>
      <c r="U88" s="42" t="str">
        <f t="shared" si="121"/>
        <v/>
      </c>
      <c r="V88" s="40" t="str">
        <f t="shared" si="122"/>
        <v/>
      </c>
      <c r="W88" s="41" t="str">
        <f t="shared" si="123"/>
        <v/>
      </c>
      <c r="X88" s="41" t="str">
        <f t="shared" si="124"/>
        <v/>
      </c>
      <c r="Y88" s="42">
        <f t="shared" si="125"/>
        <v>0</v>
      </c>
      <c r="Z88" s="40" t="str">
        <f t="shared" si="126"/>
        <v/>
      </c>
      <c r="AA88" s="41">
        <f t="shared" si="127"/>
        <v>0</v>
      </c>
      <c r="AB88" s="41" t="str">
        <f t="shared" si="128"/>
        <v/>
      </c>
      <c r="AC88" s="42" t="str">
        <f t="shared" si="129"/>
        <v/>
      </c>
      <c r="AD88" s="40" t="str">
        <f t="shared" si="130"/>
        <v/>
      </c>
      <c r="AE88" s="41" t="str">
        <f t="shared" si="131"/>
        <v/>
      </c>
      <c r="AF88" s="41" t="str">
        <f t="shared" si="132"/>
        <v/>
      </c>
      <c r="AG88" s="42">
        <f t="shared" si="133"/>
        <v>0</v>
      </c>
      <c r="AH88" s="40" t="str">
        <f t="shared" si="134"/>
        <v/>
      </c>
      <c r="AI88" s="41" t="str">
        <f t="shared" si="135"/>
        <v/>
      </c>
      <c r="AJ88" s="41" t="str">
        <f t="shared" si="136"/>
        <v/>
      </c>
      <c r="AK88" s="42">
        <f t="shared" si="137"/>
        <v>0</v>
      </c>
      <c r="AL88" s="40" t="str">
        <f t="shared" si="138"/>
        <v/>
      </c>
      <c r="AM88" s="41" t="str">
        <f t="shared" si="139"/>
        <v/>
      </c>
      <c r="AN88" s="41">
        <f t="shared" si="140"/>
        <v>0</v>
      </c>
      <c r="AO88" s="42" t="str">
        <f t="shared" si="141"/>
        <v/>
      </c>
      <c r="AP88" s="40">
        <f t="shared" si="142"/>
        <v>0</v>
      </c>
      <c r="AQ88" s="41" t="str">
        <f t="shared" si="143"/>
        <v/>
      </c>
      <c r="AR88" s="41" t="str">
        <f t="shared" si="144"/>
        <v/>
      </c>
      <c r="AS88" s="42" t="str">
        <f t="shared" si="145"/>
        <v/>
      </c>
      <c r="AT88" s="40" t="str">
        <f t="shared" si="146"/>
        <v/>
      </c>
      <c r="AU88" s="41" t="str">
        <f t="shared" si="147"/>
        <v/>
      </c>
      <c r="AV88" s="41" t="str">
        <f t="shared" si="148"/>
        <v/>
      </c>
      <c r="AW88" s="42">
        <f t="shared" si="149"/>
        <v>0</v>
      </c>
      <c r="AX88" s="40">
        <f t="shared" si="150"/>
        <v>-1.0000000000000001E-5</v>
      </c>
      <c r="AY88" s="41" t="str">
        <f t="shared" si="151"/>
        <v/>
      </c>
      <c r="AZ88" s="41" t="str">
        <f t="shared" si="152"/>
        <v/>
      </c>
      <c r="BA88" s="42" t="str">
        <f t="shared" si="153"/>
        <v/>
      </c>
      <c r="BB88" s="37" t="s">
        <v>106</v>
      </c>
      <c r="BC88" s="21"/>
      <c r="BD88" s="21"/>
      <c r="BG88" t="str">
        <f>IF(NOT(ISERROR(HLOOKUP(Standings!BG$3,Entries!$C80:$K80,1,FALSE))),"x",IF(NOT(ISERROR(HLOOKUP(Standings!BG$3,Entries!$L80:$L80,1,FALSE))),"S",""))</f>
        <v/>
      </c>
      <c r="BH88" t="str">
        <f>IF(NOT(ISERROR(HLOOKUP(Standings!BH$3,Entries!$C80:$K80,1,FALSE))),"x",IF(NOT(ISERROR(HLOOKUP(Standings!BH$3,Entries!$L80:$L80,1,FALSE))),"S",""))</f>
        <v/>
      </c>
      <c r="BI88" t="str">
        <f>IF(NOT(ISERROR(HLOOKUP(Standings!BI$3,Entries!$C80:$K80,1,FALSE))),"x",IF(NOT(ISERROR(HLOOKUP(Standings!BI$3,Entries!$L80:$L80,1,FALSE))),"S",""))</f>
        <v/>
      </c>
      <c r="BJ88" t="str">
        <f>IF(NOT(ISERROR(HLOOKUP(Standings!BJ$3,Entries!$C80:$K80,1,FALSE))),"x",IF(NOT(ISERROR(HLOOKUP(Standings!BJ$3,Entries!$L80:$L80,1,FALSE))),"S",""))</f>
        <v/>
      </c>
      <c r="BK88" t="str">
        <f>IF(NOT(ISERROR(HLOOKUP(Standings!BK$3,Entries!$C80:$K80,1,FALSE))),"x",IF(NOT(ISERROR(HLOOKUP(Standings!BK$3,Entries!$L80:$L80,1,FALSE))),"S",""))</f>
        <v/>
      </c>
      <c r="BL88" t="str">
        <f>IF(NOT(ISERROR(HLOOKUP(Standings!BL$3,Entries!$C80:$K80,1,FALSE))),"x",IF(NOT(ISERROR(HLOOKUP(Standings!BL$3,Entries!$L80:$L80,1,FALSE))),"S",""))</f>
        <v/>
      </c>
      <c r="BM88" t="str">
        <f>IF(NOT(ISERROR(HLOOKUP(Standings!BM$3,Entries!$C80:$K80,1,FALSE))),"x",IF(NOT(ISERROR(HLOOKUP(Standings!BM$3,Entries!$L80:$L80,1,FALSE))),"S",""))</f>
        <v/>
      </c>
      <c r="BN88" t="str">
        <f>IF(NOT(ISERROR(HLOOKUP(Standings!BN$3,Entries!$C80:$K80,1,FALSE))),"x",IF(NOT(ISERROR(HLOOKUP(Standings!BN$3,Entries!$L80:$L80,1,FALSE))),"S",""))</f>
        <v/>
      </c>
      <c r="BO88" t="str">
        <f>IF(NOT(ISERROR(HLOOKUP(Standings!BO$3,Entries!$C80:$K80,1,FALSE))),"x",IF(NOT(ISERROR(HLOOKUP(Standings!BO$3,Entries!$L80:$L80,1,FALSE))),"S",""))</f>
        <v/>
      </c>
      <c r="BP88" t="str">
        <f>IF(NOT(ISERROR(HLOOKUP(Standings!BP$3,Entries!$C80:$K80,1,FALSE))),"x",IF(NOT(ISERROR(HLOOKUP(Standings!BP$3,Entries!$L80:$L80,1,FALSE))),"S",""))</f>
        <v/>
      </c>
      <c r="BQ88" t="str">
        <f>IF(NOT(ISERROR(HLOOKUP(Standings!BQ$3,Entries!$C80:$K80,1,FALSE))),"x",IF(NOT(ISERROR(HLOOKUP(Standings!BQ$3,Entries!$L80:$L80,1,FALSE))),"S",""))</f>
        <v/>
      </c>
      <c r="BR88" t="str">
        <f>IF(NOT(ISERROR(HLOOKUP(Standings!BR$3,Entries!$C80:$K80,1,FALSE))),"x",IF(NOT(ISERROR(HLOOKUP(Standings!BR$3,Entries!$L80:$L80,1,FALSE))),"S",""))</f>
        <v/>
      </c>
      <c r="BS88" t="str">
        <f>IF(NOT(ISERROR(HLOOKUP(Standings!BS$3,Entries!$C80:$K80,1,FALSE))),"x",IF(NOT(ISERROR(HLOOKUP(Standings!BS$3,Entries!$L80:$L80,1,FALSE))),"S",""))</f>
        <v/>
      </c>
      <c r="BT88" t="str">
        <f>IF(NOT(ISERROR(HLOOKUP(Standings!BT$3,Entries!$C80:$K80,1,FALSE))),"x",IF(NOT(ISERROR(HLOOKUP(Standings!BT$3,Entries!$L80:$L80,1,FALSE))),"S",""))</f>
        <v>x</v>
      </c>
      <c r="BU88" t="str">
        <f>IF(NOT(ISERROR(HLOOKUP(Standings!BU$3,Entries!$C80:$K80,1,FALSE))),"x",IF(NOT(ISERROR(HLOOKUP(Standings!BU$3,Entries!$L80:$L80,1,FALSE))),"S",""))</f>
        <v/>
      </c>
      <c r="BV88" t="str">
        <f>IF(NOT(ISERROR(HLOOKUP(Standings!BV$3,Entries!$C80:$K80,1,FALSE))),"x",IF(NOT(ISERROR(HLOOKUP(Standings!BV$3,Entries!$L80:$L80,1,FALSE))),"S",""))</f>
        <v/>
      </c>
      <c r="BW88" t="str">
        <f>IF(NOT(ISERROR(HLOOKUP(Standings!BW$3,Entries!$C80:$K80,1,FALSE))),"x",IF(NOT(ISERROR(HLOOKUP(Standings!BW$3,Entries!$L80:$L80,1,FALSE))),"S",""))</f>
        <v/>
      </c>
      <c r="BX88" t="str">
        <f>IF(NOT(ISERROR(HLOOKUP(Standings!BX$3,Entries!$C80:$K80,1,FALSE))),"x",IF(NOT(ISERROR(HLOOKUP(Standings!BX$3,Entries!$L80:$L80,1,FALSE))),"S",""))</f>
        <v/>
      </c>
      <c r="BY88" t="str">
        <f>IF(NOT(ISERROR(HLOOKUP(Standings!BY$3,Entries!$C80:$K80,1,FALSE))),"x",IF(NOT(ISERROR(HLOOKUP(Standings!BY$3,Entries!$L80:$L80,1,FALSE))),"S",""))</f>
        <v/>
      </c>
      <c r="BZ88" t="str">
        <f>IF(NOT(ISERROR(HLOOKUP(Standings!BZ$3,Entries!$C80:$K80,1,FALSE))),"x",IF(NOT(ISERROR(HLOOKUP(Standings!BZ$3,Entries!$L80:$L80,1,FALSE))),"S",""))</f>
        <v>x</v>
      </c>
      <c r="CA88" t="str">
        <f>IF(NOT(ISERROR(HLOOKUP(Standings!CA$3,Entries!$C80:$K80,1,FALSE))),"x",IF(NOT(ISERROR(HLOOKUP(Standings!CA$3,Entries!$L80:$L80,1,FALSE))),"S",""))</f>
        <v/>
      </c>
      <c r="CB88" t="str">
        <f>IF(NOT(ISERROR(HLOOKUP(Standings!CB$3,Entries!$C80:$K80,1,FALSE))),"x",IF(NOT(ISERROR(HLOOKUP(Standings!CB$3,Entries!$L80:$L80,1,FALSE))),"S",""))</f>
        <v>x</v>
      </c>
      <c r="CC88" t="str">
        <f>IF(NOT(ISERROR(HLOOKUP(Standings!CC$3,Entries!$C80:$K80,1,FALSE))),"x",IF(NOT(ISERROR(HLOOKUP(Standings!CC$3,Entries!$L80:$L80,1,FALSE))),"S",""))</f>
        <v/>
      </c>
      <c r="CD88" t="str">
        <f>IF(NOT(ISERROR(HLOOKUP(Standings!CD$3,Entries!$C80:$K80,1,FALSE))),"x",IF(NOT(ISERROR(HLOOKUP(Standings!CD$3,Entries!$L80:$L80,1,FALSE))),"S",""))</f>
        <v/>
      </c>
      <c r="CE88" t="str">
        <f>IF(NOT(ISERROR(HLOOKUP(Standings!CE$3,Entries!$C80:$K80,1,FALSE))),"x",IF(NOT(ISERROR(HLOOKUP(Standings!CE$3,Entries!$L80:$L80,1,FALSE))),"S",""))</f>
        <v/>
      </c>
      <c r="CF88" t="str">
        <f>IF(NOT(ISERROR(HLOOKUP(Standings!CF$3,Entries!$C80:$K80,1,FALSE))),"x",IF(NOT(ISERROR(HLOOKUP(Standings!CF$3,Entries!$L80:$L80,1,FALSE))),"S",""))</f>
        <v/>
      </c>
      <c r="CG88" t="str">
        <f>IF(NOT(ISERROR(HLOOKUP(Standings!CG$3,Entries!$C80:$K80,1,FALSE))),"x",IF(NOT(ISERROR(HLOOKUP(Standings!CG$3,Entries!$L80:$L80,1,FALSE))),"S",""))</f>
        <v/>
      </c>
      <c r="CH88" t="str">
        <f>IF(NOT(ISERROR(HLOOKUP(Standings!CH$3,Entries!$C80:$K80,1,FALSE))),"x",IF(NOT(ISERROR(HLOOKUP(Standings!CH$3,Entries!$L80:$L80,1,FALSE))),"S",""))</f>
        <v>x</v>
      </c>
      <c r="CI88" t="str">
        <f>IF(NOT(ISERROR(HLOOKUP(Standings!CI$3,Entries!$C80:$K80,1,FALSE))),"x",IF(NOT(ISERROR(HLOOKUP(Standings!CI$3,Entries!$L80:$L80,1,FALSE))),"S",""))</f>
        <v/>
      </c>
      <c r="CJ88" t="str">
        <f>IF(NOT(ISERROR(HLOOKUP(Standings!CJ$3,Entries!$C80:$K80,1,FALSE))),"x",IF(NOT(ISERROR(HLOOKUP(Standings!CJ$3,Entries!$L80:$L80,1,FALSE))),"S",""))</f>
        <v/>
      </c>
      <c r="CK88" t="str">
        <f>IF(NOT(ISERROR(HLOOKUP(Standings!CK$3,Entries!$C80:$K80,1,FALSE))),"x",IF(NOT(ISERROR(HLOOKUP(Standings!CK$3,Entries!$L80:$L80,1,FALSE))),"S",""))</f>
        <v/>
      </c>
      <c r="CL88" t="str">
        <f>IF(NOT(ISERROR(HLOOKUP(Standings!CL$3,Entries!$C80:$K80,1,FALSE))),"x",IF(NOT(ISERROR(HLOOKUP(Standings!CL$3,Entries!$L80:$L80,1,FALSE))),"S",""))</f>
        <v>x</v>
      </c>
      <c r="CM88" t="str">
        <f>IF(NOT(ISERROR(HLOOKUP(Standings!CM$3,Entries!$C80:$K80,1,FALSE))),"x",IF(NOT(ISERROR(HLOOKUP(Standings!CM$3,Entries!$L80:$L80,1,FALSE))),"S",""))</f>
        <v/>
      </c>
      <c r="CN88" t="str">
        <f>IF(NOT(ISERROR(HLOOKUP(Standings!CN$3,Entries!$C80:$K80,1,FALSE))),"x",IF(NOT(ISERROR(HLOOKUP(Standings!CN$3,Entries!$L80:$L80,1,FALSE))),"S",""))</f>
        <v/>
      </c>
      <c r="CO88" t="str">
        <f>IF(NOT(ISERROR(HLOOKUP(Standings!CO$3,Entries!$C80:$K80,1,FALSE))),"x",IF(NOT(ISERROR(HLOOKUP(Standings!CO$3,Entries!$L80:$L80,1,FALSE))),"S",""))</f>
        <v>x</v>
      </c>
      <c r="CP88" t="str">
        <f>IF(NOT(ISERROR(HLOOKUP(Standings!CP$3,Entries!$C80:$K80,1,FALSE))),"x",IF(NOT(ISERROR(HLOOKUP(Standings!CP$3,Entries!$L80:$L80,1,FALSE))),"S",""))</f>
        <v/>
      </c>
      <c r="CQ88" t="str">
        <f>IF(NOT(ISERROR(HLOOKUP(Standings!CQ$3,Entries!$C80:$K80,1,FALSE))),"x",IF(NOT(ISERROR(HLOOKUP(Standings!CQ$3,Entries!$L80:$L80,1,FALSE))),"S",""))</f>
        <v>x</v>
      </c>
      <c r="CR88" t="str">
        <f>IF(NOT(ISERROR(HLOOKUP(Standings!CR$3,Entries!$C80:$K80,1,FALSE))),"x",IF(NOT(ISERROR(HLOOKUP(Standings!CR$3,Entries!$L80:$L80,1,FALSE))),"S",""))</f>
        <v/>
      </c>
      <c r="CS88" t="str">
        <f>IF(NOT(ISERROR(HLOOKUP(Standings!CS$3,Entries!$C80:$K80,1,FALSE))),"x",IF(NOT(ISERROR(HLOOKUP(Standings!CS$3,Entries!$L80:$L80,1,FALSE))),"S",""))</f>
        <v/>
      </c>
      <c r="CT88" t="str">
        <f>IF(NOT(ISERROR(HLOOKUP(Standings!CT$3,Entries!$C80:$K80,1,FALSE))),"x",IF(NOT(ISERROR(HLOOKUP(Standings!CT$3,Entries!$L80:$L80,1,FALSE))),"S",""))</f>
        <v/>
      </c>
      <c r="CU88" t="str">
        <f>IF(NOT(ISERROR(HLOOKUP(Standings!CU$3,Entries!$C80:$K80,1,FALSE))),"x",IF(NOT(ISERROR(HLOOKUP(Standings!CU$3,Entries!$L80:$L80,1,FALSE))),"S",""))</f>
        <v/>
      </c>
      <c r="CV88" t="str">
        <f>IF(NOT(ISERROR(HLOOKUP(Standings!CV$3,Entries!$C80:$K80,1,FALSE))),"x",IF(NOT(ISERROR(HLOOKUP(Standings!CV$3,Entries!$L80:$L80,1,FALSE))),"S",""))</f>
        <v/>
      </c>
      <c r="CW88" t="str">
        <f>IF(NOT(ISERROR(HLOOKUP(Standings!CW$3,Entries!$C80:$K80,1,FALSE))),"x",IF(NOT(ISERROR(HLOOKUP(Standings!CW$3,Entries!$L80:$L80,1,FALSE))),"S",""))</f>
        <v/>
      </c>
      <c r="CX88" t="str">
        <f>IF(NOT(ISERROR(HLOOKUP(Standings!CX$3,Entries!$C80:$K80,1,FALSE))),"x",IF(NOT(ISERROR(HLOOKUP(Standings!CX$3,Entries!$L80:$L80,1,FALSE))),"S",""))</f>
        <v>x</v>
      </c>
      <c r="CY88" t="str">
        <f>IF(NOT(ISERROR(HLOOKUP(Standings!CY$3,Entries!$C80:$K80,1,FALSE))),"x",IF(NOT(ISERROR(HLOOKUP(Standings!CY$3,Entries!$L80:$L80,1,FALSE))),"S",""))</f>
        <v>S</v>
      </c>
      <c r="CZ88" t="str">
        <f>IF(NOT(ISERROR(HLOOKUP(Standings!CZ$3,Entries!$C80:$K80,1,FALSE))),"x",IF(NOT(ISERROR(HLOOKUP(Standings!CZ$3,Entries!$L80:$L80,1,FALSE))),"S",""))</f>
        <v/>
      </c>
      <c r="DA88" t="str">
        <f>IF(NOT(ISERROR(HLOOKUP(Standings!DA$3,Entries!$C80:$K80,1,FALSE))),"x",IF(NOT(ISERROR(HLOOKUP(Standings!DA$3,Entries!$L80:$L80,1,FALSE))),"S",""))</f>
        <v/>
      </c>
      <c r="DB88" t="str">
        <f>IF(NOT(ISERROR(HLOOKUP(Standings!DB$3,Entries!$C80:$K80,1,FALSE))),"x",IF(NOT(ISERROR(HLOOKUP(Standings!DB$3,Entries!$L80:$L80,1,FALSE))),"S",""))</f>
        <v/>
      </c>
    </row>
    <row r="89" spans="1:106" x14ac:dyDescent="0.25">
      <c r="A89" s="18"/>
      <c r="B89">
        <v>26</v>
      </c>
      <c r="C89" t="str">
        <f>Entries!B81</f>
        <v>MatthewLeners</v>
      </c>
      <c r="D89" s="4">
        <f t="shared" si="55"/>
        <v>18</v>
      </c>
      <c r="E89" s="31">
        <f t="shared" si="105"/>
        <v>2</v>
      </c>
      <c r="F89" s="40" t="str">
        <f t="shared" si="106"/>
        <v/>
      </c>
      <c r="G89" s="41" t="str">
        <f t="shared" si="107"/>
        <v/>
      </c>
      <c r="H89" s="41" t="str">
        <f t="shared" si="108"/>
        <v/>
      </c>
      <c r="I89" s="42" t="str">
        <f t="shared" si="109"/>
        <v/>
      </c>
      <c r="J89" s="40" t="str">
        <f t="shared" si="110"/>
        <v/>
      </c>
      <c r="K89" s="41" t="str">
        <f t="shared" si="111"/>
        <v/>
      </c>
      <c r="L89" s="41" t="str">
        <f t="shared" si="112"/>
        <v/>
      </c>
      <c r="M89" s="42" t="str">
        <f t="shared" si="113"/>
        <v/>
      </c>
      <c r="N89" s="43" t="str">
        <f t="shared" si="114"/>
        <v/>
      </c>
      <c r="O89" s="41" t="str">
        <f t="shared" si="115"/>
        <v/>
      </c>
      <c r="P89" s="41" t="str">
        <f t="shared" si="116"/>
        <v/>
      </c>
      <c r="Q89" s="42" t="str">
        <f t="shared" si="117"/>
        <v/>
      </c>
      <c r="R89" s="40">
        <f t="shared" si="118"/>
        <v>2</v>
      </c>
      <c r="S89" s="41" t="str">
        <f t="shared" si="119"/>
        <v/>
      </c>
      <c r="T89" s="43" t="str">
        <f t="shared" si="120"/>
        <v/>
      </c>
      <c r="U89" s="42" t="str">
        <f t="shared" si="121"/>
        <v/>
      </c>
      <c r="V89" s="40">
        <f t="shared" si="122"/>
        <v>0</v>
      </c>
      <c r="W89" s="41" t="str">
        <f t="shared" si="123"/>
        <v/>
      </c>
      <c r="X89" s="41" t="str">
        <f t="shared" si="124"/>
        <v/>
      </c>
      <c r="Y89" s="42" t="str">
        <f t="shared" si="125"/>
        <v/>
      </c>
      <c r="Z89" s="40" t="str">
        <f t="shared" si="126"/>
        <v/>
      </c>
      <c r="AA89" s="41" t="str">
        <f t="shared" si="127"/>
        <v/>
      </c>
      <c r="AB89" s="41" t="str">
        <f t="shared" si="128"/>
        <v/>
      </c>
      <c r="AC89" s="42" t="str">
        <f t="shared" si="129"/>
        <v/>
      </c>
      <c r="AD89" s="40" t="str">
        <f t="shared" si="130"/>
        <v/>
      </c>
      <c r="AE89" s="41" t="str">
        <f t="shared" si="131"/>
        <v/>
      </c>
      <c r="AF89" s="41" t="str">
        <f t="shared" si="132"/>
        <v/>
      </c>
      <c r="AG89" s="42" t="str">
        <f t="shared" si="133"/>
        <v/>
      </c>
      <c r="AH89" s="40" t="str">
        <f t="shared" si="134"/>
        <v/>
      </c>
      <c r="AI89" s="41" t="str">
        <f t="shared" si="135"/>
        <v/>
      </c>
      <c r="AJ89" s="41" t="str">
        <f t="shared" si="136"/>
        <v/>
      </c>
      <c r="AK89" s="42" t="str">
        <f t="shared" si="137"/>
        <v/>
      </c>
      <c r="AL89" s="40">
        <f t="shared" si="138"/>
        <v>0</v>
      </c>
      <c r="AM89" s="41" t="str">
        <f t="shared" si="139"/>
        <v/>
      </c>
      <c r="AN89" s="41" t="str">
        <f t="shared" si="140"/>
        <v/>
      </c>
      <c r="AO89" s="42" t="str">
        <f t="shared" si="141"/>
        <v/>
      </c>
      <c r="AP89" s="40" t="str">
        <f t="shared" si="142"/>
        <v/>
      </c>
      <c r="AQ89" s="41">
        <f t="shared" si="143"/>
        <v>0</v>
      </c>
      <c r="AR89" s="41" t="str">
        <f t="shared" si="144"/>
        <v/>
      </c>
      <c r="AS89" s="42" t="str">
        <f t="shared" si="145"/>
        <v/>
      </c>
      <c r="AT89" s="40" t="str">
        <f t="shared" si="146"/>
        <v/>
      </c>
      <c r="AU89" s="41" t="str">
        <f t="shared" si="147"/>
        <v/>
      </c>
      <c r="AV89" s="41" t="str">
        <f t="shared" si="148"/>
        <v/>
      </c>
      <c r="AW89" s="42" t="str">
        <f t="shared" si="149"/>
        <v/>
      </c>
      <c r="AX89" s="40">
        <f t="shared" si="150"/>
        <v>-1.0000000000000001E-5</v>
      </c>
      <c r="AY89" s="41">
        <f t="shared" si="151"/>
        <v>0</v>
      </c>
      <c r="AZ89" s="41" t="str">
        <f t="shared" si="152"/>
        <v/>
      </c>
      <c r="BA89" s="42" t="str">
        <f t="shared" si="153"/>
        <v/>
      </c>
      <c r="BB89" s="37" t="s">
        <v>106</v>
      </c>
      <c r="BC89" s="21"/>
      <c r="BD89" s="21"/>
      <c r="BG89" t="str">
        <f>IF(NOT(ISERROR(HLOOKUP(Standings!BG$3,Entries!$C81:$K81,1,FALSE))),"x",IF(NOT(ISERROR(HLOOKUP(Standings!BG$3,Entries!$L81:$L81,1,FALSE))),"S",""))</f>
        <v/>
      </c>
      <c r="BH89" t="str">
        <f>IF(NOT(ISERROR(HLOOKUP(Standings!BH$3,Entries!$C81:$K81,1,FALSE))),"x",IF(NOT(ISERROR(HLOOKUP(Standings!BH$3,Entries!$L81:$L81,1,FALSE))),"S",""))</f>
        <v/>
      </c>
      <c r="BI89" t="str">
        <f>IF(NOT(ISERROR(HLOOKUP(Standings!BI$3,Entries!$C81:$K81,1,FALSE))),"x",IF(NOT(ISERROR(HLOOKUP(Standings!BI$3,Entries!$L81:$L81,1,FALSE))),"S",""))</f>
        <v/>
      </c>
      <c r="BJ89" t="str">
        <f>IF(NOT(ISERROR(HLOOKUP(Standings!BJ$3,Entries!$C81:$K81,1,FALSE))),"x",IF(NOT(ISERROR(HLOOKUP(Standings!BJ$3,Entries!$L81:$L81,1,FALSE))),"S",""))</f>
        <v/>
      </c>
      <c r="BK89" t="str">
        <f>IF(NOT(ISERROR(HLOOKUP(Standings!BK$3,Entries!$C81:$K81,1,FALSE))),"x",IF(NOT(ISERROR(HLOOKUP(Standings!BK$3,Entries!$L81:$L81,1,FALSE))),"S",""))</f>
        <v/>
      </c>
      <c r="BL89" t="str">
        <f>IF(NOT(ISERROR(HLOOKUP(Standings!BL$3,Entries!$C81:$K81,1,FALSE))),"x",IF(NOT(ISERROR(HLOOKUP(Standings!BL$3,Entries!$L81:$L81,1,FALSE))),"S",""))</f>
        <v/>
      </c>
      <c r="BM89" t="str">
        <f>IF(NOT(ISERROR(HLOOKUP(Standings!BM$3,Entries!$C81:$K81,1,FALSE))),"x",IF(NOT(ISERROR(HLOOKUP(Standings!BM$3,Entries!$L81:$L81,1,FALSE))),"S",""))</f>
        <v/>
      </c>
      <c r="BN89" t="str">
        <f>IF(NOT(ISERROR(HLOOKUP(Standings!BN$3,Entries!$C81:$K81,1,FALSE))),"x",IF(NOT(ISERROR(HLOOKUP(Standings!BN$3,Entries!$L81:$L81,1,FALSE))),"S",""))</f>
        <v/>
      </c>
      <c r="BO89" t="str">
        <f>IF(NOT(ISERROR(HLOOKUP(Standings!BO$3,Entries!$C81:$K81,1,FALSE))),"x",IF(NOT(ISERROR(HLOOKUP(Standings!BO$3,Entries!$L81:$L81,1,FALSE))),"S",""))</f>
        <v/>
      </c>
      <c r="BP89" t="str">
        <f>IF(NOT(ISERROR(HLOOKUP(Standings!BP$3,Entries!$C81:$K81,1,FALSE))),"x",IF(NOT(ISERROR(HLOOKUP(Standings!BP$3,Entries!$L81:$L81,1,FALSE))),"S",""))</f>
        <v/>
      </c>
      <c r="BQ89" t="str">
        <f>IF(NOT(ISERROR(HLOOKUP(Standings!BQ$3,Entries!$C81:$K81,1,FALSE))),"x",IF(NOT(ISERROR(HLOOKUP(Standings!BQ$3,Entries!$L81:$L81,1,FALSE))),"S",""))</f>
        <v/>
      </c>
      <c r="BR89" t="str">
        <f>IF(NOT(ISERROR(HLOOKUP(Standings!BR$3,Entries!$C81:$K81,1,FALSE))),"x",IF(NOT(ISERROR(HLOOKUP(Standings!BR$3,Entries!$L81:$L81,1,FALSE))),"S",""))</f>
        <v/>
      </c>
      <c r="BS89" t="str">
        <f>IF(NOT(ISERROR(HLOOKUP(Standings!BS$3,Entries!$C81:$K81,1,FALSE))),"x",IF(NOT(ISERROR(HLOOKUP(Standings!BS$3,Entries!$L81:$L81,1,FALSE))),"S",""))</f>
        <v>x</v>
      </c>
      <c r="BT89" t="str">
        <f>IF(NOT(ISERROR(HLOOKUP(Standings!BT$3,Entries!$C81:$K81,1,FALSE))),"x",IF(NOT(ISERROR(HLOOKUP(Standings!BT$3,Entries!$L81:$L81,1,FALSE))),"S",""))</f>
        <v/>
      </c>
      <c r="BU89" t="str">
        <f>IF(NOT(ISERROR(HLOOKUP(Standings!BU$3,Entries!$C81:$K81,1,FALSE))),"x",IF(NOT(ISERROR(HLOOKUP(Standings!BU$3,Entries!$L81:$L81,1,FALSE))),"S",""))</f>
        <v/>
      </c>
      <c r="BV89" t="str">
        <f>IF(NOT(ISERROR(HLOOKUP(Standings!BV$3,Entries!$C81:$K81,1,FALSE))),"x",IF(NOT(ISERROR(HLOOKUP(Standings!BV$3,Entries!$L81:$L81,1,FALSE))),"S",""))</f>
        <v/>
      </c>
      <c r="BW89" t="str">
        <f>IF(NOT(ISERROR(HLOOKUP(Standings!BW$3,Entries!$C81:$K81,1,FALSE))),"x",IF(NOT(ISERROR(HLOOKUP(Standings!BW$3,Entries!$L81:$L81,1,FALSE))),"S",""))</f>
        <v>x</v>
      </c>
      <c r="BX89" t="str">
        <f>IF(NOT(ISERROR(HLOOKUP(Standings!BX$3,Entries!$C81:$K81,1,FALSE))),"x",IF(NOT(ISERROR(HLOOKUP(Standings!BX$3,Entries!$L81:$L81,1,FALSE))),"S",""))</f>
        <v/>
      </c>
      <c r="BY89" t="str">
        <f>IF(NOT(ISERROR(HLOOKUP(Standings!BY$3,Entries!$C81:$K81,1,FALSE))),"x",IF(NOT(ISERROR(HLOOKUP(Standings!BY$3,Entries!$L81:$L81,1,FALSE))),"S",""))</f>
        <v/>
      </c>
      <c r="BZ89" t="str">
        <f>IF(NOT(ISERROR(HLOOKUP(Standings!BZ$3,Entries!$C81:$K81,1,FALSE))),"x",IF(NOT(ISERROR(HLOOKUP(Standings!BZ$3,Entries!$L81:$L81,1,FALSE))),"S",""))</f>
        <v/>
      </c>
      <c r="CA89" t="str">
        <f>IF(NOT(ISERROR(HLOOKUP(Standings!CA$3,Entries!$C81:$K81,1,FALSE))),"x",IF(NOT(ISERROR(HLOOKUP(Standings!CA$3,Entries!$L81:$L81,1,FALSE))),"S",""))</f>
        <v/>
      </c>
      <c r="CB89" t="str">
        <f>IF(NOT(ISERROR(HLOOKUP(Standings!CB$3,Entries!$C81:$K81,1,FALSE))),"x",IF(NOT(ISERROR(HLOOKUP(Standings!CB$3,Entries!$L81:$L81,1,FALSE))),"S",""))</f>
        <v/>
      </c>
      <c r="CC89" t="str">
        <f>IF(NOT(ISERROR(HLOOKUP(Standings!CC$3,Entries!$C81:$K81,1,FALSE))),"x",IF(NOT(ISERROR(HLOOKUP(Standings!CC$3,Entries!$L81:$L81,1,FALSE))),"S",""))</f>
        <v/>
      </c>
      <c r="CD89" t="str">
        <f>IF(NOT(ISERROR(HLOOKUP(Standings!CD$3,Entries!$C81:$K81,1,FALSE))),"x",IF(NOT(ISERROR(HLOOKUP(Standings!CD$3,Entries!$L81:$L81,1,FALSE))),"S",""))</f>
        <v/>
      </c>
      <c r="CE89" t="str">
        <f>IF(NOT(ISERROR(HLOOKUP(Standings!CE$3,Entries!$C81:$K81,1,FALSE))),"x",IF(NOT(ISERROR(HLOOKUP(Standings!CE$3,Entries!$L81:$L81,1,FALSE))),"S",""))</f>
        <v/>
      </c>
      <c r="CF89" t="str">
        <f>IF(NOT(ISERROR(HLOOKUP(Standings!CF$3,Entries!$C81:$K81,1,FALSE))),"x",IF(NOT(ISERROR(HLOOKUP(Standings!CF$3,Entries!$L81:$L81,1,FALSE))),"S",""))</f>
        <v/>
      </c>
      <c r="CG89" t="str">
        <f>IF(NOT(ISERROR(HLOOKUP(Standings!CG$3,Entries!$C81:$K81,1,FALSE))),"x",IF(NOT(ISERROR(HLOOKUP(Standings!CG$3,Entries!$L81:$L81,1,FALSE))),"S",""))</f>
        <v/>
      </c>
      <c r="CH89" t="str">
        <f>IF(NOT(ISERROR(HLOOKUP(Standings!CH$3,Entries!$C81:$K81,1,FALSE))),"x",IF(NOT(ISERROR(HLOOKUP(Standings!CH$3,Entries!$L81:$L81,1,FALSE))),"S",""))</f>
        <v/>
      </c>
      <c r="CI89" t="str">
        <f>IF(NOT(ISERROR(HLOOKUP(Standings!CI$3,Entries!$C81:$K81,1,FALSE))),"x",IF(NOT(ISERROR(HLOOKUP(Standings!CI$3,Entries!$L81:$L81,1,FALSE))),"S",""))</f>
        <v/>
      </c>
      <c r="CJ89" t="str">
        <f>IF(NOT(ISERROR(HLOOKUP(Standings!CJ$3,Entries!$C81:$K81,1,FALSE))),"x",IF(NOT(ISERROR(HLOOKUP(Standings!CJ$3,Entries!$L81:$L81,1,FALSE))),"S",""))</f>
        <v/>
      </c>
      <c r="CK89" t="str">
        <f>IF(NOT(ISERROR(HLOOKUP(Standings!CK$3,Entries!$C81:$K81,1,FALSE))),"x",IF(NOT(ISERROR(HLOOKUP(Standings!CK$3,Entries!$L81:$L81,1,FALSE))),"S",""))</f>
        <v/>
      </c>
      <c r="CL89" t="str">
        <f>IF(NOT(ISERROR(HLOOKUP(Standings!CL$3,Entries!$C81:$K81,1,FALSE))),"x",IF(NOT(ISERROR(HLOOKUP(Standings!CL$3,Entries!$L81:$L81,1,FALSE))),"S",""))</f>
        <v/>
      </c>
      <c r="CM89" t="str">
        <f>IF(NOT(ISERROR(HLOOKUP(Standings!CM$3,Entries!$C81:$K81,1,FALSE))),"x",IF(NOT(ISERROR(HLOOKUP(Standings!CM$3,Entries!$L81:$L81,1,FALSE))),"S",""))</f>
        <v>x</v>
      </c>
      <c r="CN89" t="str">
        <f>IF(NOT(ISERROR(HLOOKUP(Standings!CN$3,Entries!$C81:$K81,1,FALSE))),"x",IF(NOT(ISERROR(HLOOKUP(Standings!CN$3,Entries!$L81:$L81,1,FALSE))),"S",""))</f>
        <v/>
      </c>
      <c r="CO89" t="str">
        <f>IF(NOT(ISERROR(HLOOKUP(Standings!CO$3,Entries!$C81:$K81,1,FALSE))),"x",IF(NOT(ISERROR(HLOOKUP(Standings!CO$3,Entries!$L81:$L81,1,FALSE))),"S",""))</f>
        <v/>
      </c>
      <c r="CP89" t="str">
        <f>IF(NOT(ISERROR(HLOOKUP(Standings!CP$3,Entries!$C81:$K81,1,FALSE))),"x",IF(NOT(ISERROR(HLOOKUP(Standings!CP$3,Entries!$L81:$L81,1,FALSE))),"S",""))</f>
        <v/>
      </c>
      <c r="CQ89" t="str">
        <f>IF(NOT(ISERROR(HLOOKUP(Standings!CQ$3,Entries!$C81:$K81,1,FALSE))),"x",IF(NOT(ISERROR(HLOOKUP(Standings!CQ$3,Entries!$L81:$L81,1,FALSE))),"S",""))</f>
        <v/>
      </c>
      <c r="CR89" t="str">
        <f>IF(NOT(ISERROR(HLOOKUP(Standings!CR$3,Entries!$C81:$K81,1,FALSE))),"x",IF(NOT(ISERROR(HLOOKUP(Standings!CR$3,Entries!$L81:$L81,1,FALSE))),"S",""))</f>
        <v>x</v>
      </c>
      <c r="CS89" t="str">
        <f>IF(NOT(ISERROR(HLOOKUP(Standings!CS$3,Entries!$C81:$K81,1,FALSE))),"x",IF(NOT(ISERROR(HLOOKUP(Standings!CS$3,Entries!$L81:$L81,1,FALSE))),"S",""))</f>
        <v/>
      </c>
      <c r="CT89" t="str">
        <f>IF(NOT(ISERROR(HLOOKUP(Standings!CT$3,Entries!$C81:$K81,1,FALSE))),"x",IF(NOT(ISERROR(HLOOKUP(Standings!CT$3,Entries!$L81:$L81,1,FALSE))),"S",""))</f>
        <v/>
      </c>
      <c r="CU89" t="str">
        <f>IF(NOT(ISERROR(HLOOKUP(Standings!CU$3,Entries!$C81:$K81,1,FALSE))),"x",IF(NOT(ISERROR(HLOOKUP(Standings!CU$3,Entries!$L81:$L81,1,FALSE))),"S",""))</f>
        <v/>
      </c>
      <c r="CV89" t="str">
        <f>IF(NOT(ISERROR(HLOOKUP(Standings!CV$3,Entries!$C81:$K81,1,FALSE))),"x",IF(NOT(ISERROR(HLOOKUP(Standings!CV$3,Entries!$L81:$L81,1,FALSE))),"S",""))</f>
        <v/>
      </c>
      <c r="CW89" t="str">
        <f>IF(NOT(ISERROR(HLOOKUP(Standings!CW$3,Entries!$C81:$K81,1,FALSE))),"x",IF(NOT(ISERROR(HLOOKUP(Standings!CW$3,Entries!$L81:$L81,1,FALSE))),"S",""))</f>
        <v/>
      </c>
      <c r="CX89" t="str">
        <f>IF(NOT(ISERROR(HLOOKUP(Standings!CX$3,Entries!$C81:$K81,1,FALSE))),"x",IF(NOT(ISERROR(HLOOKUP(Standings!CX$3,Entries!$L81:$L81,1,FALSE))),"S",""))</f>
        <v/>
      </c>
      <c r="CY89" t="str">
        <f>IF(NOT(ISERROR(HLOOKUP(Standings!CY$3,Entries!$C81:$K81,1,FALSE))),"x",IF(NOT(ISERROR(HLOOKUP(Standings!CY$3,Entries!$L81:$L81,1,FALSE))),"S",""))</f>
        <v>S</v>
      </c>
      <c r="CZ89" t="str">
        <f>IF(NOT(ISERROR(HLOOKUP(Standings!CZ$3,Entries!$C81:$K81,1,FALSE))),"x",IF(NOT(ISERROR(HLOOKUP(Standings!CZ$3,Entries!$L81:$L81,1,FALSE))),"S",""))</f>
        <v>x</v>
      </c>
      <c r="DA89" t="str">
        <f>IF(NOT(ISERROR(HLOOKUP(Standings!DA$3,Entries!$C81:$K81,1,FALSE))),"x",IF(NOT(ISERROR(HLOOKUP(Standings!DA$3,Entries!$L81:$L81,1,FALSE))),"S",""))</f>
        <v/>
      </c>
      <c r="DB89" t="str">
        <f>IF(NOT(ISERROR(HLOOKUP(Standings!DB$3,Entries!$C81:$K81,1,FALSE))),"x",IF(NOT(ISERROR(HLOOKUP(Standings!DB$3,Entries!$L81:$L81,1,FALSE))),"S",""))</f>
        <v/>
      </c>
    </row>
    <row r="90" spans="1:106" x14ac:dyDescent="0.25">
      <c r="A90" s="18"/>
      <c r="B90">
        <v>26</v>
      </c>
      <c r="C90" t="str">
        <f>Entries!B82</f>
        <v>reidschaefer1</v>
      </c>
      <c r="D90" s="4">
        <f t="shared" si="55"/>
        <v>55</v>
      </c>
      <c r="E90" s="31">
        <f t="shared" si="105"/>
        <v>0</v>
      </c>
      <c r="F90" s="40" t="str">
        <f t="shared" si="106"/>
        <v/>
      </c>
      <c r="G90" s="41" t="str">
        <f t="shared" si="107"/>
        <v/>
      </c>
      <c r="H90" s="41" t="str">
        <f t="shared" si="108"/>
        <v/>
      </c>
      <c r="I90" s="42" t="str">
        <f t="shared" si="109"/>
        <v/>
      </c>
      <c r="J90" s="40" t="str">
        <f t="shared" si="110"/>
        <v/>
      </c>
      <c r="K90" s="41" t="str">
        <f t="shared" si="111"/>
        <v/>
      </c>
      <c r="L90" s="41" t="str">
        <f t="shared" si="112"/>
        <v/>
      </c>
      <c r="M90" s="42" t="str">
        <f t="shared" si="113"/>
        <v/>
      </c>
      <c r="N90" s="43">
        <f t="shared" si="114"/>
        <v>0</v>
      </c>
      <c r="O90" s="41">
        <f t="shared" si="115"/>
        <v>0</v>
      </c>
      <c r="P90" s="41" t="str">
        <f t="shared" si="116"/>
        <v/>
      </c>
      <c r="Q90" s="42" t="str">
        <f t="shared" si="117"/>
        <v/>
      </c>
      <c r="R90" s="40" t="str">
        <f t="shared" si="118"/>
        <v/>
      </c>
      <c r="S90" s="41" t="str">
        <f t="shared" si="119"/>
        <v/>
      </c>
      <c r="T90" s="43" t="str">
        <f t="shared" si="120"/>
        <v/>
      </c>
      <c r="U90" s="42" t="str">
        <f t="shared" si="121"/>
        <v/>
      </c>
      <c r="V90" s="40" t="str">
        <f t="shared" si="122"/>
        <v/>
      </c>
      <c r="W90" s="41" t="str">
        <f t="shared" si="123"/>
        <v/>
      </c>
      <c r="X90" s="41" t="str">
        <f t="shared" si="124"/>
        <v/>
      </c>
      <c r="Y90" s="42" t="str">
        <f t="shared" si="125"/>
        <v/>
      </c>
      <c r="Z90" s="40">
        <f t="shared" si="126"/>
        <v>0</v>
      </c>
      <c r="AA90" s="41" t="str">
        <f t="shared" si="127"/>
        <v/>
      </c>
      <c r="AB90" s="41" t="str">
        <f t="shared" si="128"/>
        <v/>
      </c>
      <c r="AC90" s="42" t="str">
        <f t="shared" si="129"/>
        <v/>
      </c>
      <c r="AD90" s="40" t="str">
        <f t="shared" si="130"/>
        <v/>
      </c>
      <c r="AE90" s="41" t="str">
        <f t="shared" si="131"/>
        <v/>
      </c>
      <c r="AF90" s="41">
        <f t="shared" si="132"/>
        <v>0</v>
      </c>
      <c r="AG90" s="42" t="str">
        <f t="shared" si="133"/>
        <v/>
      </c>
      <c r="AH90" s="40">
        <f t="shared" si="134"/>
        <v>-1.0000000000000001E-5</v>
      </c>
      <c r="AI90" s="41" t="str">
        <f t="shared" si="135"/>
        <v/>
      </c>
      <c r="AJ90" s="41" t="str">
        <f t="shared" si="136"/>
        <v/>
      </c>
      <c r="AK90" s="42" t="str">
        <f t="shared" si="137"/>
        <v/>
      </c>
      <c r="AL90" s="40" t="str">
        <f t="shared" si="138"/>
        <v/>
      </c>
      <c r="AM90" s="41" t="str">
        <f t="shared" si="139"/>
        <v/>
      </c>
      <c r="AN90" s="41" t="str">
        <f t="shared" si="140"/>
        <v/>
      </c>
      <c r="AO90" s="42" t="str">
        <f t="shared" si="141"/>
        <v/>
      </c>
      <c r="AP90" s="40">
        <f t="shared" si="142"/>
        <v>0</v>
      </c>
      <c r="AQ90" s="41" t="str">
        <f t="shared" si="143"/>
        <v/>
      </c>
      <c r="AR90" s="41" t="str">
        <f t="shared" si="144"/>
        <v/>
      </c>
      <c r="AS90" s="42" t="str">
        <f t="shared" si="145"/>
        <v/>
      </c>
      <c r="AT90" s="40" t="str">
        <f t="shared" si="146"/>
        <v/>
      </c>
      <c r="AU90" s="41" t="str">
        <f t="shared" si="147"/>
        <v/>
      </c>
      <c r="AV90" s="41" t="str">
        <f t="shared" si="148"/>
        <v/>
      </c>
      <c r="AW90" s="42" t="str">
        <f t="shared" si="149"/>
        <v/>
      </c>
      <c r="AX90" s="40" t="str">
        <f t="shared" si="150"/>
        <v/>
      </c>
      <c r="AY90" s="41" t="str">
        <f t="shared" si="151"/>
        <v/>
      </c>
      <c r="AZ90" s="41" t="str">
        <f t="shared" si="152"/>
        <v/>
      </c>
      <c r="BA90" s="42" t="str">
        <f t="shared" si="153"/>
        <v/>
      </c>
      <c r="BB90" s="37" t="s">
        <v>106</v>
      </c>
      <c r="BC90" s="21"/>
      <c r="BD90" s="21"/>
      <c r="BG90" t="str">
        <f>IF(NOT(ISERROR(HLOOKUP(Standings!BG$3,Entries!$C82:$K82,1,FALSE))),"x",IF(NOT(ISERROR(HLOOKUP(Standings!BG$3,Entries!$L82:$L82,1,FALSE))),"S",""))</f>
        <v/>
      </c>
      <c r="BH90" t="str">
        <f>IF(NOT(ISERROR(HLOOKUP(Standings!BH$3,Entries!$C82:$K82,1,FALSE))),"x",IF(NOT(ISERROR(HLOOKUP(Standings!BH$3,Entries!$L82:$L82,1,FALSE))),"S",""))</f>
        <v/>
      </c>
      <c r="BI90" t="str">
        <f>IF(NOT(ISERROR(HLOOKUP(Standings!BI$3,Entries!$C82:$K82,1,FALSE))),"x",IF(NOT(ISERROR(HLOOKUP(Standings!BI$3,Entries!$L82:$L82,1,FALSE))),"S",""))</f>
        <v/>
      </c>
      <c r="BJ90" t="str">
        <f>IF(NOT(ISERROR(HLOOKUP(Standings!BJ$3,Entries!$C82:$K82,1,FALSE))),"x",IF(NOT(ISERROR(HLOOKUP(Standings!BJ$3,Entries!$L82:$L82,1,FALSE))),"S",""))</f>
        <v/>
      </c>
      <c r="BK90" t="str">
        <f>IF(NOT(ISERROR(HLOOKUP(Standings!BK$3,Entries!$C82:$K82,1,FALSE))),"x",IF(NOT(ISERROR(HLOOKUP(Standings!BK$3,Entries!$L82:$L82,1,FALSE))),"S",""))</f>
        <v/>
      </c>
      <c r="BL90" t="str">
        <f>IF(NOT(ISERROR(HLOOKUP(Standings!BL$3,Entries!$C82:$K82,1,FALSE))),"x",IF(NOT(ISERROR(HLOOKUP(Standings!BL$3,Entries!$L82:$L82,1,FALSE))),"S",""))</f>
        <v/>
      </c>
      <c r="BM90" t="str">
        <f>IF(NOT(ISERROR(HLOOKUP(Standings!BM$3,Entries!$C82:$K82,1,FALSE))),"x",IF(NOT(ISERROR(HLOOKUP(Standings!BM$3,Entries!$L82:$L82,1,FALSE))),"S",""))</f>
        <v/>
      </c>
      <c r="BN90" t="str">
        <f>IF(NOT(ISERROR(HLOOKUP(Standings!BN$3,Entries!$C82:$K82,1,FALSE))),"x",IF(NOT(ISERROR(HLOOKUP(Standings!BN$3,Entries!$L82:$L82,1,FALSE))),"S",""))</f>
        <v/>
      </c>
      <c r="BO90" t="str">
        <f>IF(NOT(ISERROR(HLOOKUP(Standings!BO$3,Entries!$C82:$K82,1,FALSE))),"x",IF(NOT(ISERROR(HLOOKUP(Standings!BO$3,Entries!$L82:$L82,1,FALSE))),"S",""))</f>
        <v>x</v>
      </c>
      <c r="BP90" t="str">
        <f>IF(NOT(ISERROR(HLOOKUP(Standings!BP$3,Entries!$C82:$K82,1,FALSE))),"x",IF(NOT(ISERROR(HLOOKUP(Standings!BP$3,Entries!$L82:$L82,1,FALSE))),"S",""))</f>
        <v>x</v>
      </c>
      <c r="BQ90" t="str">
        <f>IF(NOT(ISERROR(HLOOKUP(Standings!BQ$3,Entries!$C82:$K82,1,FALSE))),"x",IF(NOT(ISERROR(HLOOKUP(Standings!BQ$3,Entries!$L82:$L82,1,FALSE))),"S",""))</f>
        <v/>
      </c>
      <c r="BR90" t="str">
        <f>IF(NOT(ISERROR(HLOOKUP(Standings!BR$3,Entries!$C82:$K82,1,FALSE))),"x",IF(NOT(ISERROR(HLOOKUP(Standings!BR$3,Entries!$L82:$L82,1,FALSE))),"S",""))</f>
        <v/>
      </c>
      <c r="BS90" t="str">
        <f>IF(NOT(ISERROR(HLOOKUP(Standings!BS$3,Entries!$C82:$K82,1,FALSE))),"x",IF(NOT(ISERROR(HLOOKUP(Standings!BS$3,Entries!$L82:$L82,1,FALSE))),"S",""))</f>
        <v/>
      </c>
      <c r="BT90" t="str">
        <f>IF(NOT(ISERROR(HLOOKUP(Standings!BT$3,Entries!$C82:$K82,1,FALSE))),"x",IF(NOT(ISERROR(HLOOKUP(Standings!BT$3,Entries!$L82:$L82,1,FALSE))),"S",""))</f>
        <v/>
      </c>
      <c r="BU90" t="str">
        <f>IF(NOT(ISERROR(HLOOKUP(Standings!BU$3,Entries!$C82:$K82,1,FALSE))),"x",IF(NOT(ISERROR(HLOOKUP(Standings!BU$3,Entries!$L82:$L82,1,FALSE))),"S",""))</f>
        <v/>
      </c>
      <c r="BV90" t="str">
        <f>IF(NOT(ISERROR(HLOOKUP(Standings!BV$3,Entries!$C82:$K82,1,FALSE))),"x",IF(NOT(ISERROR(HLOOKUP(Standings!BV$3,Entries!$L82:$L82,1,FALSE))),"S",""))</f>
        <v/>
      </c>
      <c r="BW90" t="str">
        <f>IF(NOT(ISERROR(HLOOKUP(Standings!BW$3,Entries!$C82:$K82,1,FALSE))),"x",IF(NOT(ISERROR(HLOOKUP(Standings!BW$3,Entries!$L82:$L82,1,FALSE))),"S",""))</f>
        <v/>
      </c>
      <c r="BX90" t="str">
        <f>IF(NOT(ISERROR(HLOOKUP(Standings!BX$3,Entries!$C82:$K82,1,FALSE))),"x",IF(NOT(ISERROR(HLOOKUP(Standings!BX$3,Entries!$L82:$L82,1,FALSE))),"S",""))</f>
        <v/>
      </c>
      <c r="BY90" t="str">
        <f>IF(NOT(ISERROR(HLOOKUP(Standings!BY$3,Entries!$C82:$K82,1,FALSE))),"x",IF(NOT(ISERROR(HLOOKUP(Standings!BY$3,Entries!$L82:$L82,1,FALSE))),"S",""))</f>
        <v/>
      </c>
      <c r="BZ90" t="str">
        <f>IF(NOT(ISERROR(HLOOKUP(Standings!BZ$3,Entries!$C82:$K82,1,FALSE))),"x",IF(NOT(ISERROR(HLOOKUP(Standings!BZ$3,Entries!$L82:$L82,1,FALSE))),"S",""))</f>
        <v/>
      </c>
      <c r="CA90" t="str">
        <f>IF(NOT(ISERROR(HLOOKUP(Standings!CA$3,Entries!$C82:$K82,1,FALSE))),"x",IF(NOT(ISERROR(HLOOKUP(Standings!CA$3,Entries!$L82:$L82,1,FALSE))),"S",""))</f>
        <v>x</v>
      </c>
      <c r="CB90" t="str">
        <f>IF(NOT(ISERROR(HLOOKUP(Standings!CB$3,Entries!$C82:$K82,1,FALSE))),"x",IF(NOT(ISERROR(HLOOKUP(Standings!CB$3,Entries!$L82:$L82,1,FALSE))),"S",""))</f>
        <v/>
      </c>
      <c r="CC90" t="str">
        <f>IF(NOT(ISERROR(HLOOKUP(Standings!CC$3,Entries!$C82:$K82,1,FALSE))),"x",IF(NOT(ISERROR(HLOOKUP(Standings!CC$3,Entries!$L82:$L82,1,FALSE))),"S",""))</f>
        <v/>
      </c>
      <c r="CD90" t="str">
        <f>IF(NOT(ISERROR(HLOOKUP(Standings!CD$3,Entries!$C82:$K82,1,FALSE))),"x",IF(NOT(ISERROR(HLOOKUP(Standings!CD$3,Entries!$L82:$L82,1,FALSE))),"S",""))</f>
        <v/>
      </c>
      <c r="CE90" t="str">
        <f>IF(NOT(ISERROR(HLOOKUP(Standings!CE$3,Entries!$C82:$K82,1,FALSE))),"x",IF(NOT(ISERROR(HLOOKUP(Standings!CE$3,Entries!$L82:$L82,1,FALSE))),"S",""))</f>
        <v/>
      </c>
      <c r="CF90" t="str">
        <f>IF(NOT(ISERROR(HLOOKUP(Standings!CF$3,Entries!$C82:$K82,1,FALSE))),"x",IF(NOT(ISERROR(HLOOKUP(Standings!CF$3,Entries!$L82:$L82,1,FALSE))),"S",""))</f>
        <v/>
      </c>
      <c r="CG90" t="str">
        <f>IF(NOT(ISERROR(HLOOKUP(Standings!CG$3,Entries!$C82:$K82,1,FALSE))),"x",IF(NOT(ISERROR(HLOOKUP(Standings!CG$3,Entries!$L82:$L82,1,FALSE))),"S",""))</f>
        <v>x</v>
      </c>
      <c r="CH90" t="str">
        <f>IF(NOT(ISERROR(HLOOKUP(Standings!CH$3,Entries!$C82:$K82,1,FALSE))),"x",IF(NOT(ISERROR(HLOOKUP(Standings!CH$3,Entries!$L82:$L82,1,FALSE))),"S",""))</f>
        <v/>
      </c>
      <c r="CI90" t="str">
        <f>IF(NOT(ISERROR(HLOOKUP(Standings!CI$3,Entries!$C82:$K82,1,FALSE))),"x",IF(NOT(ISERROR(HLOOKUP(Standings!CI$3,Entries!$L82:$L82,1,FALSE))),"S",""))</f>
        <v>S</v>
      </c>
      <c r="CJ90" t="str">
        <f>IF(NOT(ISERROR(HLOOKUP(Standings!CJ$3,Entries!$C82:$K82,1,FALSE))),"x",IF(NOT(ISERROR(HLOOKUP(Standings!CJ$3,Entries!$L82:$L82,1,FALSE))),"S",""))</f>
        <v/>
      </c>
      <c r="CK90" t="str">
        <f>IF(NOT(ISERROR(HLOOKUP(Standings!CK$3,Entries!$C82:$K82,1,FALSE))),"x",IF(NOT(ISERROR(HLOOKUP(Standings!CK$3,Entries!$L82:$L82,1,FALSE))),"S",""))</f>
        <v/>
      </c>
      <c r="CL90" t="str">
        <f>IF(NOT(ISERROR(HLOOKUP(Standings!CL$3,Entries!$C82:$K82,1,FALSE))),"x",IF(NOT(ISERROR(HLOOKUP(Standings!CL$3,Entries!$L82:$L82,1,FALSE))),"S",""))</f>
        <v/>
      </c>
      <c r="CM90" t="str">
        <f>IF(NOT(ISERROR(HLOOKUP(Standings!CM$3,Entries!$C82:$K82,1,FALSE))),"x",IF(NOT(ISERROR(HLOOKUP(Standings!CM$3,Entries!$L82:$L82,1,FALSE))),"S",""))</f>
        <v/>
      </c>
      <c r="CN90" t="str">
        <f>IF(NOT(ISERROR(HLOOKUP(Standings!CN$3,Entries!$C82:$K82,1,FALSE))),"x",IF(NOT(ISERROR(HLOOKUP(Standings!CN$3,Entries!$L82:$L82,1,FALSE))),"S",""))</f>
        <v/>
      </c>
      <c r="CO90" t="str">
        <f>IF(NOT(ISERROR(HLOOKUP(Standings!CO$3,Entries!$C82:$K82,1,FALSE))),"x",IF(NOT(ISERROR(HLOOKUP(Standings!CO$3,Entries!$L82:$L82,1,FALSE))),"S",""))</f>
        <v/>
      </c>
      <c r="CP90" t="str">
        <f>IF(NOT(ISERROR(HLOOKUP(Standings!CP$3,Entries!$C82:$K82,1,FALSE))),"x",IF(NOT(ISERROR(HLOOKUP(Standings!CP$3,Entries!$L82:$L82,1,FALSE))),"S",""))</f>
        <v/>
      </c>
      <c r="CQ90" t="str">
        <f>IF(NOT(ISERROR(HLOOKUP(Standings!CQ$3,Entries!$C82:$K82,1,FALSE))),"x",IF(NOT(ISERROR(HLOOKUP(Standings!CQ$3,Entries!$L82:$L82,1,FALSE))),"S",""))</f>
        <v>x</v>
      </c>
      <c r="CR90" t="str">
        <f>IF(NOT(ISERROR(HLOOKUP(Standings!CR$3,Entries!$C82:$K82,1,FALSE))),"x",IF(NOT(ISERROR(HLOOKUP(Standings!CR$3,Entries!$L82:$L82,1,FALSE))),"S",""))</f>
        <v/>
      </c>
      <c r="CS90" t="str">
        <f>IF(NOT(ISERROR(HLOOKUP(Standings!CS$3,Entries!$C82:$K82,1,FALSE))),"x",IF(NOT(ISERROR(HLOOKUP(Standings!CS$3,Entries!$L82:$L82,1,FALSE))),"S",""))</f>
        <v/>
      </c>
      <c r="CT90" t="str">
        <f>IF(NOT(ISERROR(HLOOKUP(Standings!CT$3,Entries!$C82:$K82,1,FALSE))),"x",IF(NOT(ISERROR(HLOOKUP(Standings!CT$3,Entries!$L82:$L82,1,FALSE))),"S",""))</f>
        <v/>
      </c>
      <c r="CU90" t="str">
        <f>IF(NOT(ISERROR(HLOOKUP(Standings!CU$3,Entries!$C82:$K82,1,FALSE))),"x",IF(NOT(ISERROR(HLOOKUP(Standings!CU$3,Entries!$L82:$L82,1,FALSE))),"S",""))</f>
        <v/>
      </c>
      <c r="CV90" t="str">
        <f>IF(NOT(ISERROR(HLOOKUP(Standings!CV$3,Entries!$C82:$K82,1,FALSE))),"x",IF(NOT(ISERROR(HLOOKUP(Standings!CV$3,Entries!$L82:$L82,1,FALSE))),"S",""))</f>
        <v/>
      </c>
      <c r="CW90" t="str">
        <f>IF(NOT(ISERROR(HLOOKUP(Standings!CW$3,Entries!$C82:$K82,1,FALSE))),"x",IF(NOT(ISERROR(HLOOKUP(Standings!CW$3,Entries!$L82:$L82,1,FALSE))),"S",""))</f>
        <v/>
      </c>
      <c r="CX90" t="str">
        <f>IF(NOT(ISERROR(HLOOKUP(Standings!CX$3,Entries!$C82:$K82,1,FALSE))),"x",IF(NOT(ISERROR(HLOOKUP(Standings!CX$3,Entries!$L82:$L82,1,FALSE))),"S",""))</f>
        <v/>
      </c>
      <c r="CY90" t="str">
        <f>IF(NOT(ISERROR(HLOOKUP(Standings!CY$3,Entries!$C82:$K82,1,FALSE))),"x",IF(NOT(ISERROR(HLOOKUP(Standings!CY$3,Entries!$L82:$L82,1,FALSE))),"S",""))</f>
        <v/>
      </c>
      <c r="CZ90" t="str">
        <f>IF(NOT(ISERROR(HLOOKUP(Standings!CZ$3,Entries!$C82:$K82,1,FALSE))),"x",IF(NOT(ISERROR(HLOOKUP(Standings!CZ$3,Entries!$L82:$L82,1,FALSE))),"S",""))</f>
        <v/>
      </c>
      <c r="DA90" t="str">
        <f>IF(NOT(ISERROR(HLOOKUP(Standings!DA$3,Entries!$C82:$K82,1,FALSE))),"x",IF(NOT(ISERROR(HLOOKUP(Standings!DA$3,Entries!$L82:$L82,1,FALSE))),"S",""))</f>
        <v/>
      </c>
      <c r="DB90" t="str">
        <f>IF(NOT(ISERROR(HLOOKUP(Standings!DB$3,Entries!$C82:$K82,1,FALSE))),"x",IF(NOT(ISERROR(HLOOKUP(Standings!DB$3,Entries!$L82:$L82,1,FALSE))),"S",""))</f>
        <v/>
      </c>
    </row>
    <row r="91" spans="1:106" x14ac:dyDescent="0.25">
      <c r="A91" s="18"/>
      <c r="B91">
        <v>26</v>
      </c>
      <c r="C91" t="str">
        <f>Entries!B83</f>
        <v>RobertSpangler</v>
      </c>
      <c r="D91" s="4">
        <f t="shared" si="55"/>
        <v>18</v>
      </c>
      <c r="E91" s="31">
        <f t="shared" si="105"/>
        <v>2</v>
      </c>
      <c r="F91" s="40">
        <f t="shared" si="106"/>
        <v>2</v>
      </c>
      <c r="G91" s="41" t="str">
        <f t="shared" si="107"/>
        <v/>
      </c>
      <c r="H91" s="41" t="str">
        <f t="shared" si="108"/>
        <v/>
      </c>
      <c r="I91" s="42" t="str">
        <f t="shared" si="109"/>
        <v/>
      </c>
      <c r="J91" s="40" t="str">
        <f t="shared" si="110"/>
        <v/>
      </c>
      <c r="K91" s="41" t="str">
        <f t="shared" si="111"/>
        <v/>
      </c>
      <c r="L91" s="41" t="str">
        <f t="shared" si="112"/>
        <v/>
      </c>
      <c r="M91" s="42" t="str">
        <f t="shared" si="113"/>
        <v/>
      </c>
      <c r="N91" s="43" t="str">
        <f t="shared" si="114"/>
        <v/>
      </c>
      <c r="O91" s="41">
        <f t="shared" si="115"/>
        <v>0</v>
      </c>
      <c r="P91" s="41" t="str">
        <f t="shared" si="116"/>
        <v/>
      </c>
      <c r="Q91" s="42" t="str">
        <f t="shared" si="117"/>
        <v/>
      </c>
      <c r="R91" s="40" t="str">
        <f t="shared" si="118"/>
        <v/>
      </c>
      <c r="S91" s="41" t="str">
        <f t="shared" si="119"/>
        <v/>
      </c>
      <c r="T91" s="43" t="str">
        <f t="shared" si="120"/>
        <v/>
      </c>
      <c r="U91" s="42" t="str">
        <f t="shared" si="121"/>
        <v/>
      </c>
      <c r="V91" s="40">
        <f t="shared" si="122"/>
        <v>0</v>
      </c>
      <c r="W91" s="41" t="str">
        <f t="shared" si="123"/>
        <v/>
      </c>
      <c r="X91" s="41" t="str">
        <f t="shared" si="124"/>
        <v/>
      </c>
      <c r="Y91" s="42" t="str">
        <f t="shared" si="125"/>
        <v/>
      </c>
      <c r="Z91" s="40" t="str">
        <f t="shared" si="126"/>
        <v/>
      </c>
      <c r="AA91" s="41" t="str">
        <f t="shared" si="127"/>
        <v/>
      </c>
      <c r="AB91" s="41" t="str">
        <f t="shared" si="128"/>
        <v/>
      </c>
      <c r="AC91" s="42" t="str">
        <f t="shared" si="129"/>
        <v/>
      </c>
      <c r="AD91" s="40">
        <f t="shared" si="130"/>
        <v>0</v>
      </c>
      <c r="AE91" s="41" t="str">
        <f t="shared" si="131"/>
        <v/>
      </c>
      <c r="AF91" s="41" t="str">
        <f t="shared" si="132"/>
        <v/>
      </c>
      <c r="AG91" s="42" t="str">
        <f t="shared" si="133"/>
        <v/>
      </c>
      <c r="AH91" s="40" t="str">
        <f t="shared" si="134"/>
        <v/>
      </c>
      <c r="AI91" s="41" t="str">
        <f t="shared" si="135"/>
        <v/>
      </c>
      <c r="AJ91" s="41" t="str">
        <f t="shared" si="136"/>
        <v/>
      </c>
      <c r="AK91" s="42" t="str">
        <f t="shared" si="137"/>
        <v/>
      </c>
      <c r="AL91" s="40">
        <f t="shared" si="138"/>
        <v>-1.0000000000000001E-5</v>
      </c>
      <c r="AM91" s="41" t="str">
        <f t="shared" si="139"/>
        <v/>
      </c>
      <c r="AN91" s="41" t="str">
        <f t="shared" si="140"/>
        <v/>
      </c>
      <c r="AO91" s="42" t="str">
        <f t="shared" si="141"/>
        <v/>
      </c>
      <c r="AP91" s="40" t="str">
        <f t="shared" si="142"/>
        <v/>
      </c>
      <c r="AQ91" s="41" t="str">
        <f t="shared" si="143"/>
        <v/>
      </c>
      <c r="AR91" s="41">
        <f t="shared" si="144"/>
        <v>0</v>
      </c>
      <c r="AS91" s="42" t="str">
        <f t="shared" si="145"/>
        <v/>
      </c>
      <c r="AT91" s="40" t="str">
        <f t="shared" si="146"/>
        <v/>
      </c>
      <c r="AU91" s="41" t="str">
        <f t="shared" si="147"/>
        <v/>
      </c>
      <c r="AV91" s="41">
        <f t="shared" si="148"/>
        <v>0</v>
      </c>
      <c r="AW91" s="42" t="str">
        <f t="shared" si="149"/>
        <v/>
      </c>
      <c r="AX91" s="40" t="str">
        <f t="shared" si="150"/>
        <v/>
      </c>
      <c r="AY91" s="41" t="str">
        <f t="shared" si="151"/>
        <v/>
      </c>
      <c r="AZ91" s="41" t="str">
        <f t="shared" si="152"/>
        <v/>
      </c>
      <c r="BA91" s="42" t="str">
        <f t="shared" si="153"/>
        <v/>
      </c>
      <c r="BB91" s="37" t="s">
        <v>106</v>
      </c>
      <c r="BC91" s="21"/>
      <c r="BD91" s="21"/>
      <c r="BG91" t="str">
        <f>IF(NOT(ISERROR(HLOOKUP(Standings!BG$3,Entries!$C83:$K83,1,FALSE))),"x",IF(NOT(ISERROR(HLOOKUP(Standings!BG$3,Entries!$L83:$L83,1,FALSE))),"S",""))</f>
        <v>x</v>
      </c>
      <c r="BH91" t="str">
        <f>IF(NOT(ISERROR(HLOOKUP(Standings!BH$3,Entries!$C83:$K83,1,FALSE))),"x",IF(NOT(ISERROR(HLOOKUP(Standings!BH$3,Entries!$L83:$L83,1,FALSE))),"S",""))</f>
        <v/>
      </c>
      <c r="BI91" t="str">
        <f>IF(NOT(ISERROR(HLOOKUP(Standings!BI$3,Entries!$C83:$K83,1,FALSE))),"x",IF(NOT(ISERROR(HLOOKUP(Standings!BI$3,Entries!$L83:$L83,1,FALSE))),"S",""))</f>
        <v/>
      </c>
      <c r="BJ91" t="str">
        <f>IF(NOT(ISERROR(HLOOKUP(Standings!BJ$3,Entries!$C83:$K83,1,FALSE))),"x",IF(NOT(ISERROR(HLOOKUP(Standings!BJ$3,Entries!$L83:$L83,1,FALSE))),"S",""))</f>
        <v/>
      </c>
      <c r="BK91" t="str">
        <f>IF(NOT(ISERROR(HLOOKUP(Standings!BK$3,Entries!$C83:$K83,1,FALSE))),"x",IF(NOT(ISERROR(HLOOKUP(Standings!BK$3,Entries!$L83:$L83,1,FALSE))),"S",""))</f>
        <v/>
      </c>
      <c r="BL91" t="str">
        <f>IF(NOT(ISERROR(HLOOKUP(Standings!BL$3,Entries!$C83:$K83,1,FALSE))),"x",IF(NOT(ISERROR(HLOOKUP(Standings!BL$3,Entries!$L83:$L83,1,FALSE))),"S",""))</f>
        <v/>
      </c>
      <c r="BM91" t="str">
        <f>IF(NOT(ISERROR(HLOOKUP(Standings!BM$3,Entries!$C83:$K83,1,FALSE))),"x",IF(NOT(ISERROR(HLOOKUP(Standings!BM$3,Entries!$L83:$L83,1,FALSE))),"S",""))</f>
        <v/>
      </c>
      <c r="BN91" t="str">
        <f>IF(NOT(ISERROR(HLOOKUP(Standings!BN$3,Entries!$C83:$K83,1,FALSE))),"x",IF(NOT(ISERROR(HLOOKUP(Standings!BN$3,Entries!$L83:$L83,1,FALSE))),"S",""))</f>
        <v/>
      </c>
      <c r="BO91" t="str">
        <f>IF(NOT(ISERROR(HLOOKUP(Standings!BO$3,Entries!$C83:$K83,1,FALSE))),"x",IF(NOT(ISERROR(HLOOKUP(Standings!BO$3,Entries!$L83:$L83,1,FALSE))),"S",""))</f>
        <v/>
      </c>
      <c r="BP91" t="str">
        <f>IF(NOT(ISERROR(HLOOKUP(Standings!BP$3,Entries!$C83:$K83,1,FALSE))),"x",IF(NOT(ISERROR(HLOOKUP(Standings!BP$3,Entries!$L83:$L83,1,FALSE))),"S",""))</f>
        <v>x</v>
      </c>
      <c r="BQ91" t="str">
        <f>IF(NOT(ISERROR(HLOOKUP(Standings!BQ$3,Entries!$C83:$K83,1,FALSE))),"x",IF(NOT(ISERROR(HLOOKUP(Standings!BQ$3,Entries!$L83:$L83,1,FALSE))),"S",""))</f>
        <v/>
      </c>
      <c r="BR91" t="str">
        <f>IF(NOT(ISERROR(HLOOKUP(Standings!BR$3,Entries!$C83:$K83,1,FALSE))),"x",IF(NOT(ISERROR(HLOOKUP(Standings!BR$3,Entries!$L83:$L83,1,FALSE))),"S",""))</f>
        <v/>
      </c>
      <c r="BS91" t="str">
        <f>IF(NOT(ISERROR(HLOOKUP(Standings!BS$3,Entries!$C83:$K83,1,FALSE))),"x",IF(NOT(ISERROR(HLOOKUP(Standings!BS$3,Entries!$L83:$L83,1,FALSE))),"S",""))</f>
        <v/>
      </c>
      <c r="BT91" t="str">
        <f>IF(NOT(ISERROR(HLOOKUP(Standings!BT$3,Entries!$C83:$K83,1,FALSE))),"x",IF(NOT(ISERROR(HLOOKUP(Standings!BT$3,Entries!$L83:$L83,1,FALSE))),"S",""))</f>
        <v/>
      </c>
      <c r="BU91" t="str">
        <f>IF(NOT(ISERROR(HLOOKUP(Standings!BU$3,Entries!$C83:$K83,1,FALSE))),"x",IF(NOT(ISERROR(HLOOKUP(Standings!BU$3,Entries!$L83:$L83,1,FALSE))),"S",""))</f>
        <v/>
      </c>
      <c r="BV91" t="str">
        <f>IF(NOT(ISERROR(HLOOKUP(Standings!BV$3,Entries!$C83:$K83,1,FALSE))),"x",IF(NOT(ISERROR(HLOOKUP(Standings!BV$3,Entries!$L83:$L83,1,FALSE))),"S",""))</f>
        <v/>
      </c>
      <c r="BW91" t="str">
        <f>IF(NOT(ISERROR(HLOOKUP(Standings!BW$3,Entries!$C83:$K83,1,FALSE))),"x",IF(NOT(ISERROR(HLOOKUP(Standings!BW$3,Entries!$L83:$L83,1,FALSE))),"S",""))</f>
        <v>x</v>
      </c>
      <c r="BX91" t="str">
        <f>IF(NOT(ISERROR(HLOOKUP(Standings!BX$3,Entries!$C83:$K83,1,FALSE))),"x",IF(NOT(ISERROR(HLOOKUP(Standings!BX$3,Entries!$L83:$L83,1,FALSE))),"S",""))</f>
        <v/>
      </c>
      <c r="BY91" t="str">
        <f>IF(NOT(ISERROR(HLOOKUP(Standings!BY$3,Entries!$C83:$K83,1,FALSE))),"x",IF(NOT(ISERROR(HLOOKUP(Standings!BY$3,Entries!$L83:$L83,1,FALSE))),"S",""))</f>
        <v/>
      </c>
      <c r="BZ91" t="str">
        <f>IF(NOT(ISERROR(HLOOKUP(Standings!BZ$3,Entries!$C83:$K83,1,FALSE))),"x",IF(NOT(ISERROR(HLOOKUP(Standings!BZ$3,Entries!$L83:$L83,1,FALSE))),"S",""))</f>
        <v/>
      </c>
      <c r="CA91" t="str">
        <f>IF(NOT(ISERROR(HLOOKUP(Standings!CA$3,Entries!$C83:$K83,1,FALSE))),"x",IF(NOT(ISERROR(HLOOKUP(Standings!CA$3,Entries!$L83:$L83,1,FALSE))),"S",""))</f>
        <v/>
      </c>
      <c r="CB91" t="str">
        <f>IF(NOT(ISERROR(HLOOKUP(Standings!CB$3,Entries!$C83:$K83,1,FALSE))),"x",IF(NOT(ISERROR(HLOOKUP(Standings!CB$3,Entries!$L83:$L83,1,FALSE))),"S",""))</f>
        <v/>
      </c>
      <c r="CC91" t="str">
        <f>IF(NOT(ISERROR(HLOOKUP(Standings!CC$3,Entries!$C83:$K83,1,FALSE))),"x",IF(NOT(ISERROR(HLOOKUP(Standings!CC$3,Entries!$L83:$L83,1,FALSE))),"S",""))</f>
        <v/>
      </c>
      <c r="CD91" t="str">
        <f>IF(NOT(ISERROR(HLOOKUP(Standings!CD$3,Entries!$C83:$K83,1,FALSE))),"x",IF(NOT(ISERROR(HLOOKUP(Standings!CD$3,Entries!$L83:$L83,1,FALSE))),"S",""))</f>
        <v/>
      </c>
      <c r="CE91" t="str">
        <f>IF(NOT(ISERROR(HLOOKUP(Standings!CE$3,Entries!$C83:$K83,1,FALSE))),"x",IF(NOT(ISERROR(HLOOKUP(Standings!CE$3,Entries!$L83:$L83,1,FALSE))),"S",""))</f>
        <v>x</v>
      </c>
      <c r="CF91" t="str">
        <f>IF(NOT(ISERROR(HLOOKUP(Standings!CF$3,Entries!$C83:$K83,1,FALSE))),"x",IF(NOT(ISERROR(HLOOKUP(Standings!CF$3,Entries!$L83:$L83,1,FALSE))),"S",""))</f>
        <v/>
      </c>
      <c r="CG91" t="str">
        <f>IF(NOT(ISERROR(HLOOKUP(Standings!CG$3,Entries!$C83:$K83,1,FALSE))),"x",IF(NOT(ISERROR(HLOOKUP(Standings!CG$3,Entries!$L83:$L83,1,FALSE))),"S",""))</f>
        <v/>
      </c>
      <c r="CH91" t="str">
        <f>IF(NOT(ISERROR(HLOOKUP(Standings!CH$3,Entries!$C83:$K83,1,FALSE))),"x",IF(NOT(ISERROR(HLOOKUP(Standings!CH$3,Entries!$L83:$L83,1,FALSE))),"S",""))</f>
        <v/>
      </c>
      <c r="CI91" t="str">
        <f>IF(NOT(ISERROR(HLOOKUP(Standings!CI$3,Entries!$C83:$K83,1,FALSE))),"x",IF(NOT(ISERROR(HLOOKUP(Standings!CI$3,Entries!$L83:$L83,1,FALSE))),"S",""))</f>
        <v/>
      </c>
      <c r="CJ91" t="str">
        <f>IF(NOT(ISERROR(HLOOKUP(Standings!CJ$3,Entries!$C83:$K83,1,FALSE))),"x",IF(NOT(ISERROR(HLOOKUP(Standings!CJ$3,Entries!$L83:$L83,1,FALSE))),"S",""))</f>
        <v/>
      </c>
      <c r="CK91" t="str">
        <f>IF(NOT(ISERROR(HLOOKUP(Standings!CK$3,Entries!$C83:$K83,1,FALSE))),"x",IF(NOT(ISERROR(HLOOKUP(Standings!CK$3,Entries!$L83:$L83,1,FALSE))),"S",""))</f>
        <v/>
      </c>
      <c r="CL91" t="str">
        <f>IF(NOT(ISERROR(HLOOKUP(Standings!CL$3,Entries!$C83:$K83,1,FALSE))),"x",IF(NOT(ISERROR(HLOOKUP(Standings!CL$3,Entries!$L83:$L83,1,FALSE))),"S",""))</f>
        <v/>
      </c>
      <c r="CM91" t="str">
        <f>IF(NOT(ISERROR(HLOOKUP(Standings!CM$3,Entries!$C83:$K83,1,FALSE))),"x",IF(NOT(ISERROR(HLOOKUP(Standings!CM$3,Entries!$L83:$L83,1,FALSE))),"S",""))</f>
        <v>S</v>
      </c>
      <c r="CN91" t="str">
        <f>IF(NOT(ISERROR(HLOOKUP(Standings!CN$3,Entries!$C83:$K83,1,FALSE))),"x",IF(NOT(ISERROR(HLOOKUP(Standings!CN$3,Entries!$L83:$L83,1,FALSE))),"S",""))</f>
        <v/>
      </c>
      <c r="CO91" t="str">
        <f>IF(NOT(ISERROR(HLOOKUP(Standings!CO$3,Entries!$C83:$K83,1,FALSE))),"x",IF(NOT(ISERROR(HLOOKUP(Standings!CO$3,Entries!$L83:$L83,1,FALSE))),"S",""))</f>
        <v/>
      </c>
      <c r="CP91" t="str">
        <f>IF(NOT(ISERROR(HLOOKUP(Standings!CP$3,Entries!$C83:$K83,1,FALSE))),"x",IF(NOT(ISERROR(HLOOKUP(Standings!CP$3,Entries!$L83:$L83,1,FALSE))),"S",""))</f>
        <v/>
      </c>
      <c r="CQ91" t="str">
        <f>IF(NOT(ISERROR(HLOOKUP(Standings!CQ$3,Entries!$C83:$K83,1,FALSE))),"x",IF(NOT(ISERROR(HLOOKUP(Standings!CQ$3,Entries!$L83:$L83,1,FALSE))),"S",""))</f>
        <v/>
      </c>
      <c r="CR91" t="str">
        <f>IF(NOT(ISERROR(HLOOKUP(Standings!CR$3,Entries!$C83:$K83,1,FALSE))),"x",IF(NOT(ISERROR(HLOOKUP(Standings!CR$3,Entries!$L83:$L83,1,FALSE))),"S",""))</f>
        <v/>
      </c>
      <c r="CS91" t="str">
        <f>IF(NOT(ISERROR(HLOOKUP(Standings!CS$3,Entries!$C83:$K83,1,FALSE))),"x",IF(NOT(ISERROR(HLOOKUP(Standings!CS$3,Entries!$L83:$L83,1,FALSE))),"S",""))</f>
        <v>x</v>
      </c>
      <c r="CT91" t="str">
        <f>IF(NOT(ISERROR(HLOOKUP(Standings!CT$3,Entries!$C83:$K83,1,FALSE))),"x",IF(NOT(ISERROR(HLOOKUP(Standings!CT$3,Entries!$L83:$L83,1,FALSE))),"S",""))</f>
        <v/>
      </c>
      <c r="CU91" t="str">
        <f>IF(NOT(ISERROR(HLOOKUP(Standings!CU$3,Entries!$C83:$K83,1,FALSE))),"x",IF(NOT(ISERROR(HLOOKUP(Standings!CU$3,Entries!$L83:$L83,1,FALSE))),"S",""))</f>
        <v/>
      </c>
      <c r="CV91" t="str">
        <f>IF(NOT(ISERROR(HLOOKUP(Standings!CV$3,Entries!$C83:$K83,1,FALSE))),"x",IF(NOT(ISERROR(HLOOKUP(Standings!CV$3,Entries!$L83:$L83,1,FALSE))),"S",""))</f>
        <v/>
      </c>
      <c r="CW91" t="str">
        <f>IF(NOT(ISERROR(HLOOKUP(Standings!CW$3,Entries!$C83:$K83,1,FALSE))),"x",IF(NOT(ISERROR(HLOOKUP(Standings!CW$3,Entries!$L83:$L83,1,FALSE))),"S",""))</f>
        <v>x</v>
      </c>
      <c r="CX91" t="str">
        <f>IF(NOT(ISERROR(HLOOKUP(Standings!CX$3,Entries!$C83:$K83,1,FALSE))),"x",IF(NOT(ISERROR(HLOOKUP(Standings!CX$3,Entries!$L83:$L83,1,FALSE))),"S",""))</f>
        <v/>
      </c>
      <c r="CY91" t="str">
        <f>IF(NOT(ISERROR(HLOOKUP(Standings!CY$3,Entries!$C83:$K83,1,FALSE))),"x",IF(NOT(ISERROR(HLOOKUP(Standings!CY$3,Entries!$L83:$L83,1,FALSE))),"S",""))</f>
        <v/>
      </c>
      <c r="CZ91" t="str">
        <f>IF(NOT(ISERROR(HLOOKUP(Standings!CZ$3,Entries!$C83:$K83,1,FALSE))),"x",IF(NOT(ISERROR(HLOOKUP(Standings!CZ$3,Entries!$L83:$L83,1,FALSE))),"S",""))</f>
        <v/>
      </c>
      <c r="DA91" t="str">
        <f>IF(NOT(ISERROR(HLOOKUP(Standings!DA$3,Entries!$C83:$K83,1,FALSE))),"x",IF(NOT(ISERROR(HLOOKUP(Standings!DA$3,Entries!$L83:$L83,1,FALSE))),"S",""))</f>
        <v/>
      </c>
      <c r="DB91" t="str">
        <f>IF(NOT(ISERROR(HLOOKUP(Standings!DB$3,Entries!$C83:$K83,1,FALSE))),"x",IF(NOT(ISERROR(HLOOKUP(Standings!DB$3,Entries!$L83:$L83,1,FALSE))),"S",""))</f>
        <v/>
      </c>
    </row>
    <row r="92" spans="1:106" x14ac:dyDescent="0.25">
      <c r="A92" s="18"/>
      <c r="B92">
        <v>26</v>
      </c>
      <c r="C92" t="str">
        <f>Entries!B84</f>
        <v>sarahschaefer</v>
      </c>
      <c r="D92" s="4">
        <f t="shared" si="55"/>
        <v>55</v>
      </c>
      <c r="E92" s="31">
        <f t="shared" si="105"/>
        <v>0</v>
      </c>
      <c r="F92" s="40" t="str">
        <f t="shared" si="106"/>
        <v/>
      </c>
      <c r="G92" s="41" t="str">
        <f t="shared" si="107"/>
        <v/>
      </c>
      <c r="H92" s="41" t="str">
        <f t="shared" si="108"/>
        <v/>
      </c>
      <c r="I92" s="42" t="str">
        <f t="shared" si="109"/>
        <v/>
      </c>
      <c r="J92" s="40" t="str">
        <f t="shared" si="110"/>
        <v/>
      </c>
      <c r="K92" s="41" t="str">
        <f t="shared" si="111"/>
        <v/>
      </c>
      <c r="L92" s="41" t="str">
        <f t="shared" si="112"/>
        <v/>
      </c>
      <c r="M92" s="42" t="str">
        <f t="shared" si="113"/>
        <v/>
      </c>
      <c r="N92" s="43" t="str">
        <f t="shared" si="114"/>
        <v/>
      </c>
      <c r="O92" s="41" t="str">
        <f t="shared" si="115"/>
        <v/>
      </c>
      <c r="P92" s="41" t="str">
        <f t="shared" si="116"/>
        <v/>
      </c>
      <c r="Q92" s="42">
        <f t="shared" si="117"/>
        <v>0</v>
      </c>
      <c r="R92" s="40" t="str">
        <f t="shared" si="118"/>
        <v/>
      </c>
      <c r="S92" s="41" t="str">
        <f t="shared" si="119"/>
        <v/>
      </c>
      <c r="T92" s="43" t="str">
        <f t="shared" si="120"/>
        <v/>
      </c>
      <c r="U92" s="42" t="str">
        <f t="shared" si="121"/>
        <v/>
      </c>
      <c r="V92" s="40" t="str">
        <f t="shared" si="122"/>
        <v/>
      </c>
      <c r="W92" s="41" t="str">
        <f t="shared" si="123"/>
        <v/>
      </c>
      <c r="X92" s="41" t="str">
        <f t="shared" si="124"/>
        <v/>
      </c>
      <c r="Y92" s="42">
        <f t="shared" si="125"/>
        <v>0</v>
      </c>
      <c r="Z92" s="40" t="str">
        <f t="shared" si="126"/>
        <v/>
      </c>
      <c r="AA92" s="41">
        <f t="shared" si="127"/>
        <v>0</v>
      </c>
      <c r="AB92" s="41" t="str">
        <f t="shared" si="128"/>
        <v/>
      </c>
      <c r="AC92" s="42" t="str">
        <f t="shared" si="129"/>
        <v/>
      </c>
      <c r="AD92" s="40">
        <f t="shared" si="130"/>
        <v>0</v>
      </c>
      <c r="AE92" s="41" t="str">
        <f t="shared" si="131"/>
        <v/>
      </c>
      <c r="AF92" s="41" t="str">
        <f t="shared" si="132"/>
        <v/>
      </c>
      <c r="AG92" s="42" t="str">
        <f t="shared" si="133"/>
        <v/>
      </c>
      <c r="AH92" s="40">
        <f t="shared" si="134"/>
        <v>-1.0000000000000001E-5</v>
      </c>
      <c r="AI92" s="41" t="str">
        <f t="shared" si="135"/>
        <v/>
      </c>
      <c r="AJ92" s="41" t="str">
        <f t="shared" si="136"/>
        <v/>
      </c>
      <c r="AK92" s="42">
        <f t="shared" si="137"/>
        <v>0</v>
      </c>
      <c r="AL92" s="40" t="str">
        <f t="shared" si="138"/>
        <v/>
      </c>
      <c r="AM92" s="41" t="str">
        <f t="shared" si="139"/>
        <v/>
      </c>
      <c r="AN92" s="41">
        <f t="shared" si="140"/>
        <v>0</v>
      </c>
      <c r="AO92" s="42" t="str">
        <f t="shared" si="141"/>
        <v/>
      </c>
      <c r="AP92" s="40" t="str">
        <f t="shared" si="142"/>
        <v/>
      </c>
      <c r="AQ92" s="41" t="str">
        <f t="shared" si="143"/>
        <v/>
      </c>
      <c r="AR92" s="41">
        <f t="shared" si="144"/>
        <v>0</v>
      </c>
      <c r="AS92" s="42" t="str">
        <f t="shared" si="145"/>
        <v/>
      </c>
      <c r="AT92" s="40" t="str">
        <f t="shared" si="146"/>
        <v/>
      </c>
      <c r="AU92" s="41" t="str">
        <f t="shared" si="147"/>
        <v/>
      </c>
      <c r="AV92" s="41">
        <f t="shared" si="148"/>
        <v>0</v>
      </c>
      <c r="AW92" s="42" t="str">
        <f t="shared" si="149"/>
        <v/>
      </c>
      <c r="AX92" s="40" t="str">
        <f t="shared" si="150"/>
        <v/>
      </c>
      <c r="AY92" s="41" t="str">
        <f t="shared" si="151"/>
        <v/>
      </c>
      <c r="AZ92" s="41" t="str">
        <f t="shared" si="152"/>
        <v/>
      </c>
      <c r="BA92" s="42" t="str">
        <f t="shared" si="153"/>
        <v/>
      </c>
      <c r="BB92" s="37" t="s">
        <v>106</v>
      </c>
      <c r="BC92" s="21"/>
      <c r="BD92" s="21"/>
      <c r="BG92" t="str">
        <f>IF(NOT(ISERROR(HLOOKUP(Standings!BG$3,Entries!$C84:$K84,1,FALSE))),"x",IF(NOT(ISERROR(HLOOKUP(Standings!BG$3,Entries!$L84:$L84,1,FALSE))),"S",""))</f>
        <v/>
      </c>
      <c r="BH92" t="str">
        <f>IF(NOT(ISERROR(HLOOKUP(Standings!BH$3,Entries!$C84:$K84,1,FALSE))),"x",IF(NOT(ISERROR(HLOOKUP(Standings!BH$3,Entries!$L84:$L84,1,FALSE))),"S",""))</f>
        <v/>
      </c>
      <c r="BI92" t="str">
        <f>IF(NOT(ISERROR(HLOOKUP(Standings!BI$3,Entries!$C84:$K84,1,FALSE))),"x",IF(NOT(ISERROR(HLOOKUP(Standings!BI$3,Entries!$L84:$L84,1,FALSE))),"S",""))</f>
        <v/>
      </c>
      <c r="BJ92" t="str">
        <f>IF(NOT(ISERROR(HLOOKUP(Standings!BJ$3,Entries!$C84:$K84,1,FALSE))),"x",IF(NOT(ISERROR(HLOOKUP(Standings!BJ$3,Entries!$L84:$L84,1,FALSE))),"S",""))</f>
        <v/>
      </c>
      <c r="BK92" t="str">
        <f>IF(NOT(ISERROR(HLOOKUP(Standings!BK$3,Entries!$C84:$K84,1,FALSE))),"x",IF(NOT(ISERROR(HLOOKUP(Standings!BK$3,Entries!$L84:$L84,1,FALSE))),"S",""))</f>
        <v/>
      </c>
      <c r="BL92" t="str">
        <f>IF(NOT(ISERROR(HLOOKUP(Standings!BL$3,Entries!$C84:$K84,1,FALSE))),"x",IF(NOT(ISERROR(HLOOKUP(Standings!BL$3,Entries!$L84:$L84,1,FALSE))),"S",""))</f>
        <v/>
      </c>
      <c r="BM92" t="str">
        <f>IF(NOT(ISERROR(HLOOKUP(Standings!BM$3,Entries!$C84:$K84,1,FALSE))),"x",IF(NOT(ISERROR(HLOOKUP(Standings!BM$3,Entries!$L84:$L84,1,FALSE))),"S",""))</f>
        <v/>
      </c>
      <c r="BN92" t="str">
        <f>IF(NOT(ISERROR(HLOOKUP(Standings!BN$3,Entries!$C84:$K84,1,FALSE))),"x",IF(NOT(ISERROR(HLOOKUP(Standings!BN$3,Entries!$L84:$L84,1,FALSE))),"S",""))</f>
        <v/>
      </c>
      <c r="BO92" t="str">
        <f>IF(NOT(ISERROR(HLOOKUP(Standings!BO$3,Entries!$C84:$K84,1,FALSE))),"x",IF(NOT(ISERROR(HLOOKUP(Standings!BO$3,Entries!$L84:$L84,1,FALSE))),"S",""))</f>
        <v/>
      </c>
      <c r="BP92" t="str">
        <f>IF(NOT(ISERROR(HLOOKUP(Standings!BP$3,Entries!$C84:$K84,1,FALSE))),"x",IF(NOT(ISERROR(HLOOKUP(Standings!BP$3,Entries!$L84:$L84,1,FALSE))),"S",""))</f>
        <v/>
      </c>
      <c r="BQ92" t="str">
        <f>IF(NOT(ISERROR(HLOOKUP(Standings!BQ$3,Entries!$C84:$K84,1,FALSE))),"x",IF(NOT(ISERROR(HLOOKUP(Standings!BQ$3,Entries!$L84:$L84,1,FALSE))),"S",""))</f>
        <v/>
      </c>
      <c r="BR92" t="str">
        <f>IF(NOT(ISERROR(HLOOKUP(Standings!BR$3,Entries!$C84:$K84,1,FALSE))),"x",IF(NOT(ISERROR(HLOOKUP(Standings!BR$3,Entries!$L84:$L84,1,FALSE))),"S",""))</f>
        <v>x</v>
      </c>
      <c r="BS92" t="str">
        <f>IF(NOT(ISERROR(HLOOKUP(Standings!BS$3,Entries!$C84:$K84,1,FALSE))),"x",IF(NOT(ISERROR(HLOOKUP(Standings!BS$3,Entries!$L84:$L84,1,FALSE))),"S",""))</f>
        <v/>
      </c>
      <c r="BT92" t="str">
        <f>IF(NOT(ISERROR(HLOOKUP(Standings!BT$3,Entries!$C84:$K84,1,FALSE))),"x",IF(NOT(ISERROR(HLOOKUP(Standings!BT$3,Entries!$L84:$L84,1,FALSE))),"S",""))</f>
        <v/>
      </c>
      <c r="BU92" t="str">
        <f>IF(NOT(ISERROR(HLOOKUP(Standings!BU$3,Entries!$C84:$K84,1,FALSE))),"x",IF(NOT(ISERROR(HLOOKUP(Standings!BU$3,Entries!$L84:$L84,1,FALSE))),"S",""))</f>
        <v/>
      </c>
      <c r="BV92" t="str">
        <f>IF(NOT(ISERROR(HLOOKUP(Standings!BV$3,Entries!$C84:$K84,1,FALSE))),"x",IF(NOT(ISERROR(HLOOKUP(Standings!BV$3,Entries!$L84:$L84,1,FALSE))),"S",""))</f>
        <v/>
      </c>
      <c r="BW92" t="str">
        <f>IF(NOT(ISERROR(HLOOKUP(Standings!BW$3,Entries!$C84:$K84,1,FALSE))),"x",IF(NOT(ISERROR(HLOOKUP(Standings!BW$3,Entries!$L84:$L84,1,FALSE))),"S",""))</f>
        <v/>
      </c>
      <c r="BX92" t="str">
        <f>IF(NOT(ISERROR(HLOOKUP(Standings!BX$3,Entries!$C84:$K84,1,FALSE))),"x",IF(NOT(ISERROR(HLOOKUP(Standings!BX$3,Entries!$L84:$L84,1,FALSE))),"S",""))</f>
        <v/>
      </c>
      <c r="BY92" t="str">
        <f>IF(NOT(ISERROR(HLOOKUP(Standings!BY$3,Entries!$C84:$K84,1,FALSE))),"x",IF(NOT(ISERROR(HLOOKUP(Standings!BY$3,Entries!$L84:$L84,1,FALSE))),"S",""))</f>
        <v/>
      </c>
      <c r="BZ92" t="str">
        <f>IF(NOT(ISERROR(HLOOKUP(Standings!BZ$3,Entries!$C84:$K84,1,FALSE))),"x",IF(NOT(ISERROR(HLOOKUP(Standings!BZ$3,Entries!$L84:$L84,1,FALSE))),"S",""))</f>
        <v>x</v>
      </c>
      <c r="CA92" t="str">
        <f>IF(NOT(ISERROR(HLOOKUP(Standings!CA$3,Entries!$C84:$K84,1,FALSE))),"x",IF(NOT(ISERROR(HLOOKUP(Standings!CA$3,Entries!$L84:$L84,1,FALSE))),"S",""))</f>
        <v/>
      </c>
      <c r="CB92" t="str">
        <f>IF(NOT(ISERROR(HLOOKUP(Standings!CB$3,Entries!$C84:$K84,1,FALSE))),"x",IF(NOT(ISERROR(HLOOKUP(Standings!CB$3,Entries!$L84:$L84,1,FALSE))),"S",""))</f>
        <v>x</v>
      </c>
      <c r="CC92" t="str">
        <f>IF(NOT(ISERROR(HLOOKUP(Standings!CC$3,Entries!$C84:$K84,1,FALSE))),"x",IF(NOT(ISERROR(HLOOKUP(Standings!CC$3,Entries!$L84:$L84,1,FALSE))),"S",""))</f>
        <v/>
      </c>
      <c r="CD92" t="str">
        <f>IF(NOT(ISERROR(HLOOKUP(Standings!CD$3,Entries!$C84:$K84,1,FALSE))),"x",IF(NOT(ISERROR(HLOOKUP(Standings!CD$3,Entries!$L84:$L84,1,FALSE))),"S",""))</f>
        <v/>
      </c>
      <c r="CE92" t="str">
        <f>IF(NOT(ISERROR(HLOOKUP(Standings!CE$3,Entries!$C84:$K84,1,FALSE))),"x",IF(NOT(ISERROR(HLOOKUP(Standings!CE$3,Entries!$L84:$L84,1,FALSE))),"S",""))</f>
        <v>x</v>
      </c>
      <c r="CF92" t="str">
        <f>IF(NOT(ISERROR(HLOOKUP(Standings!CF$3,Entries!$C84:$K84,1,FALSE))),"x",IF(NOT(ISERROR(HLOOKUP(Standings!CF$3,Entries!$L84:$L84,1,FALSE))),"S",""))</f>
        <v/>
      </c>
      <c r="CG92" t="str">
        <f>IF(NOT(ISERROR(HLOOKUP(Standings!CG$3,Entries!$C84:$K84,1,FALSE))),"x",IF(NOT(ISERROR(HLOOKUP(Standings!CG$3,Entries!$L84:$L84,1,FALSE))),"S",""))</f>
        <v/>
      </c>
      <c r="CH92" t="str">
        <f>IF(NOT(ISERROR(HLOOKUP(Standings!CH$3,Entries!$C84:$K84,1,FALSE))),"x",IF(NOT(ISERROR(HLOOKUP(Standings!CH$3,Entries!$L84:$L84,1,FALSE))),"S",""))</f>
        <v/>
      </c>
      <c r="CI92" t="str">
        <f>IF(NOT(ISERROR(HLOOKUP(Standings!CI$3,Entries!$C84:$K84,1,FALSE))),"x",IF(NOT(ISERROR(HLOOKUP(Standings!CI$3,Entries!$L84:$L84,1,FALSE))),"S",""))</f>
        <v>S</v>
      </c>
      <c r="CJ92" t="str">
        <f>IF(NOT(ISERROR(HLOOKUP(Standings!CJ$3,Entries!$C84:$K84,1,FALSE))),"x",IF(NOT(ISERROR(HLOOKUP(Standings!CJ$3,Entries!$L84:$L84,1,FALSE))),"S",""))</f>
        <v/>
      </c>
      <c r="CK92" t="str">
        <f>IF(NOT(ISERROR(HLOOKUP(Standings!CK$3,Entries!$C84:$K84,1,FALSE))),"x",IF(NOT(ISERROR(HLOOKUP(Standings!CK$3,Entries!$L84:$L84,1,FALSE))),"S",""))</f>
        <v/>
      </c>
      <c r="CL92" t="str">
        <f>IF(NOT(ISERROR(HLOOKUP(Standings!CL$3,Entries!$C84:$K84,1,FALSE))),"x",IF(NOT(ISERROR(HLOOKUP(Standings!CL$3,Entries!$L84:$L84,1,FALSE))),"S",""))</f>
        <v>x</v>
      </c>
      <c r="CM92" t="str">
        <f>IF(NOT(ISERROR(HLOOKUP(Standings!CM$3,Entries!$C84:$K84,1,FALSE))),"x",IF(NOT(ISERROR(HLOOKUP(Standings!CM$3,Entries!$L84:$L84,1,FALSE))),"S",""))</f>
        <v/>
      </c>
      <c r="CN92" t="str">
        <f>IF(NOT(ISERROR(HLOOKUP(Standings!CN$3,Entries!$C84:$K84,1,FALSE))),"x",IF(NOT(ISERROR(HLOOKUP(Standings!CN$3,Entries!$L84:$L84,1,FALSE))),"S",""))</f>
        <v/>
      </c>
      <c r="CO92" t="str">
        <f>IF(NOT(ISERROR(HLOOKUP(Standings!CO$3,Entries!$C84:$K84,1,FALSE))),"x",IF(NOT(ISERROR(HLOOKUP(Standings!CO$3,Entries!$L84:$L84,1,FALSE))),"S",""))</f>
        <v>x</v>
      </c>
      <c r="CP92" t="str">
        <f>IF(NOT(ISERROR(HLOOKUP(Standings!CP$3,Entries!$C84:$K84,1,FALSE))),"x",IF(NOT(ISERROR(HLOOKUP(Standings!CP$3,Entries!$L84:$L84,1,FALSE))),"S",""))</f>
        <v/>
      </c>
      <c r="CQ92" t="str">
        <f>IF(NOT(ISERROR(HLOOKUP(Standings!CQ$3,Entries!$C84:$K84,1,FALSE))),"x",IF(NOT(ISERROR(HLOOKUP(Standings!CQ$3,Entries!$L84:$L84,1,FALSE))),"S",""))</f>
        <v/>
      </c>
      <c r="CR92" t="str">
        <f>IF(NOT(ISERROR(HLOOKUP(Standings!CR$3,Entries!$C84:$K84,1,FALSE))),"x",IF(NOT(ISERROR(HLOOKUP(Standings!CR$3,Entries!$L84:$L84,1,FALSE))),"S",""))</f>
        <v/>
      </c>
      <c r="CS92" t="str">
        <f>IF(NOT(ISERROR(HLOOKUP(Standings!CS$3,Entries!$C84:$K84,1,FALSE))),"x",IF(NOT(ISERROR(HLOOKUP(Standings!CS$3,Entries!$L84:$L84,1,FALSE))),"S",""))</f>
        <v>x</v>
      </c>
      <c r="CT92" t="str">
        <f>IF(NOT(ISERROR(HLOOKUP(Standings!CT$3,Entries!$C84:$K84,1,FALSE))),"x",IF(NOT(ISERROR(HLOOKUP(Standings!CT$3,Entries!$L84:$L84,1,FALSE))),"S",""))</f>
        <v/>
      </c>
      <c r="CU92" t="str">
        <f>IF(NOT(ISERROR(HLOOKUP(Standings!CU$3,Entries!$C84:$K84,1,FALSE))),"x",IF(NOT(ISERROR(HLOOKUP(Standings!CU$3,Entries!$L84:$L84,1,FALSE))),"S",""))</f>
        <v/>
      </c>
      <c r="CV92" t="str">
        <f>IF(NOT(ISERROR(HLOOKUP(Standings!CV$3,Entries!$C84:$K84,1,FALSE))),"x",IF(NOT(ISERROR(HLOOKUP(Standings!CV$3,Entries!$L84:$L84,1,FALSE))),"S",""))</f>
        <v/>
      </c>
      <c r="CW92" t="str">
        <f>IF(NOT(ISERROR(HLOOKUP(Standings!CW$3,Entries!$C84:$K84,1,FALSE))),"x",IF(NOT(ISERROR(HLOOKUP(Standings!CW$3,Entries!$L84:$L84,1,FALSE))),"S",""))</f>
        <v>x</v>
      </c>
      <c r="CX92" t="str">
        <f>IF(NOT(ISERROR(HLOOKUP(Standings!CX$3,Entries!$C84:$K84,1,FALSE))),"x",IF(NOT(ISERROR(HLOOKUP(Standings!CX$3,Entries!$L84:$L84,1,FALSE))),"S",""))</f>
        <v/>
      </c>
      <c r="CY92" t="str">
        <f>IF(NOT(ISERROR(HLOOKUP(Standings!CY$3,Entries!$C84:$K84,1,FALSE))),"x",IF(NOT(ISERROR(HLOOKUP(Standings!CY$3,Entries!$L84:$L84,1,FALSE))),"S",""))</f>
        <v/>
      </c>
      <c r="CZ92" t="str">
        <f>IF(NOT(ISERROR(HLOOKUP(Standings!CZ$3,Entries!$C84:$K84,1,FALSE))),"x",IF(NOT(ISERROR(HLOOKUP(Standings!CZ$3,Entries!$L84:$L84,1,FALSE))),"S",""))</f>
        <v/>
      </c>
      <c r="DA92" t="str">
        <f>IF(NOT(ISERROR(HLOOKUP(Standings!DA$3,Entries!$C84:$K84,1,FALSE))),"x",IF(NOT(ISERROR(HLOOKUP(Standings!DA$3,Entries!$L84:$L84,1,FALSE))),"S",""))</f>
        <v/>
      </c>
      <c r="DB92" t="str">
        <f>IF(NOT(ISERROR(HLOOKUP(Standings!DB$3,Entries!$C84:$K84,1,FALSE))),"x",IF(NOT(ISERROR(HLOOKUP(Standings!DB$3,Entries!$L84:$L84,1,FALSE))),"S",""))</f>
        <v/>
      </c>
    </row>
    <row r="93" spans="1:106" x14ac:dyDescent="0.25">
      <c r="A93" s="18"/>
      <c r="B93">
        <v>26</v>
      </c>
      <c r="C93" t="str">
        <f>Entries!B85</f>
        <v>KenOlson1</v>
      </c>
      <c r="D93" s="4">
        <f t="shared" si="55"/>
        <v>18</v>
      </c>
      <c r="E93" s="31">
        <f t="shared" si="105"/>
        <v>2</v>
      </c>
      <c r="F93" s="40" t="str">
        <f t="shared" si="106"/>
        <v/>
      </c>
      <c r="G93" s="41" t="str">
        <f t="shared" si="107"/>
        <v/>
      </c>
      <c r="H93" s="41">
        <f t="shared" si="108"/>
        <v>2</v>
      </c>
      <c r="I93" s="42" t="str">
        <f t="shared" si="109"/>
        <v/>
      </c>
      <c r="J93" s="40" t="str">
        <f t="shared" si="110"/>
        <v/>
      </c>
      <c r="K93" s="41" t="str">
        <f t="shared" si="111"/>
        <v/>
      </c>
      <c r="L93" s="41" t="str">
        <f t="shared" si="112"/>
        <v/>
      </c>
      <c r="M93" s="42" t="str">
        <f t="shared" si="113"/>
        <v/>
      </c>
      <c r="N93" s="43" t="str">
        <f t="shared" si="114"/>
        <v/>
      </c>
      <c r="O93" s="41">
        <f t="shared" si="115"/>
        <v>0</v>
      </c>
      <c r="P93" s="41" t="str">
        <f t="shared" si="116"/>
        <v/>
      </c>
      <c r="Q93" s="42" t="str">
        <f t="shared" si="117"/>
        <v/>
      </c>
      <c r="R93" s="40" t="str">
        <f t="shared" si="118"/>
        <v/>
      </c>
      <c r="S93" s="41" t="str">
        <f t="shared" si="119"/>
        <v/>
      </c>
      <c r="T93" s="43" t="str">
        <f t="shared" si="120"/>
        <v/>
      </c>
      <c r="U93" s="42" t="str">
        <f t="shared" si="121"/>
        <v/>
      </c>
      <c r="V93" s="40" t="str">
        <f t="shared" si="122"/>
        <v/>
      </c>
      <c r="W93" s="41" t="str">
        <f t="shared" si="123"/>
        <v/>
      </c>
      <c r="X93" s="41" t="str">
        <f t="shared" si="124"/>
        <v/>
      </c>
      <c r="Y93" s="42" t="str">
        <f t="shared" si="125"/>
        <v/>
      </c>
      <c r="Z93" s="40">
        <f t="shared" si="126"/>
        <v>0</v>
      </c>
      <c r="AA93" s="41" t="str">
        <f t="shared" si="127"/>
        <v/>
      </c>
      <c r="AB93" s="41" t="str">
        <f t="shared" si="128"/>
        <v/>
      </c>
      <c r="AC93" s="42" t="str">
        <f t="shared" si="129"/>
        <v/>
      </c>
      <c r="AD93" s="40" t="str">
        <f t="shared" si="130"/>
        <v/>
      </c>
      <c r="AE93" s="41" t="str">
        <f t="shared" si="131"/>
        <v/>
      </c>
      <c r="AF93" s="41" t="str">
        <f t="shared" si="132"/>
        <v/>
      </c>
      <c r="AG93" s="42" t="str">
        <f t="shared" si="133"/>
        <v/>
      </c>
      <c r="AH93" s="40" t="str">
        <f t="shared" si="134"/>
        <v/>
      </c>
      <c r="AI93" s="41" t="str">
        <f t="shared" si="135"/>
        <v/>
      </c>
      <c r="AJ93" s="41" t="str">
        <f t="shared" si="136"/>
        <v/>
      </c>
      <c r="AK93" s="42" t="str">
        <f t="shared" si="137"/>
        <v/>
      </c>
      <c r="AL93" s="40" t="str">
        <f t="shared" si="138"/>
        <v/>
      </c>
      <c r="AM93" s="41">
        <f t="shared" si="139"/>
        <v>0</v>
      </c>
      <c r="AN93" s="41">
        <f t="shared" si="140"/>
        <v>-1.0000000000000001E-5</v>
      </c>
      <c r="AO93" s="42" t="str">
        <f t="shared" si="141"/>
        <v/>
      </c>
      <c r="AP93" s="40" t="str">
        <f t="shared" si="142"/>
        <v/>
      </c>
      <c r="AQ93" s="41" t="str">
        <f t="shared" si="143"/>
        <v/>
      </c>
      <c r="AR93" s="41" t="str">
        <f t="shared" si="144"/>
        <v/>
      </c>
      <c r="AS93" s="42" t="str">
        <f t="shared" si="145"/>
        <v/>
      </c>
      <c r="AT93" s="40">
        <f t="shared" si="146"/>
        <v>0</v>
      </c>
      <c r="AU93" s="41" t="str">
        <f t="shared" si="147"/>
        <v/>
      </c>
      <c r="AV93" s="41" t="str">
        <f t="shared" si="148"/>
        <v/>
      </c>
      <c r="AW93" s="42" t="str">
        <f t="shared" si="149"/>
        <v/>
      </c>
      <c r="AX93" s="40" t="str">
        <f t="shared" si="150"/>
        <v/>
      </c>
      <c r="AY93" s="41" t="str">
        <f t="shared" si="151"/>
        <v/>
      </c>
      <c r="AZ93" s="41" t="str">
        <f t="shared" si="152"/>
        <v/>
      </c>
      <c r="BA93" s="42" t="str">
        <f t="shared" si="153"/>
        <v/>
      </c>
      <c r="BB93" s="37" t="s">
        <v>106</v>
      </c>
      <c r="BC93" s="21"/>
      <c r="BD93" s="21"/>
      <c r="BG93" t="str">
        <f>IF(NOT(ISERROR(HLOOKUP(Standings!BG$3,Entries!$C85:$K85,1,FALSE))),"x",IF(NOT(ISERROR(HLOOKUP(Standings!BG$3,Entries!$L85:$L85,1,FALSE))),"S",""))</f>
        <v/>
      </c>
      <c r="BH93" t="str">
        <f>IF(NOT(ISERROR(HLOOKUP(Standings!BH$3,Entries!$C85:$K85,1,FALSE))),"x",IF(NOT(ISERROR(HLOOKUP(Standings!BH$3,Entries!$L85:$L85,1,FALSE))),"S",""))</f>
        <v/>
      </c>
      <c r="BI93" t="str">
        <f>IF(NOT(ISERROR(HLOOKUP(Standings!BI$3,Entries!$C85:$K85,1,FALSE))),"x",IF(NOT(ISERROR(HLOOKUP(Standings!BI$3,Entries!$L85:$L85,1,FALSE))),"S",""))</f>
        <v>x</v>
      </c>
      <c r="BJ93" t="str">
        <f>IF(NOT(ISERROR(HLOOKUP(Standings!BJ$3,Entries!$C85:$K85,1,FALSE))),"x",IF(NOT(ISERROR(HLOOKUP(Standings!BJ$3,Entries!$L85:$L85,1,FALSE))),"S",""))</f>
        <v/>
      </c>
      <c r="BK93" t="str">
        <f>IF(NOT(ISERROR(HLOOKUP(Standings!BK$3,Entries!$C85:$K85,1,FALSE))),"x",IF(NOT(ISERROR(HLOOKUP(Standings!BK$3,Entries!$L85:$L85,1,FALSE))),"S",""))</f>
        <v/>
      </c>
      <c r="BL93" t="str">
        <f>IF(NOT(ISERROR(HLOOKUP(Standings!BL$3,Entries!$C85:$K85,1,FALSE))),"x",IF(NOT(ISERROR(HLOOKUP(Standings!BL$3,Entries!$L85:$L85,1,FALSE))),"S",""))</f>
        <v/>
      </c>
      <c r="BM93" t="str">
        <f>IF(NOT(ISERROR(HLOOKUP(Standings!BM$3,Entries!$C85:$K85,1,FALSE))),"x",IF(NOT(ISERROR(HLOOKUP(Standings!BM$3,Entries!$L85:$L85,1,FALSE))),"S",""))</f>
        <v/>
      </c>
      <c r="BN93" t="str">
        <f>IF(NOT(ISERROR(HLOOKUP(Standings!BN$3,Entries!$C85:$K85,1,FALSE))),"x",IF(NOT(ISERROR(HLOOKUP(Standings!BN$3,Entries!$L85:$L85,1,FALSE))),"S",""))</f>
        <v/>
      </c>
      <c r="BO93" t="str">
        <f>IF(NOT(ISERROR(HLOOKUP(Standings!BO$3,Entries!$C85:$K85,1,FALSE))),"x",IF(NOT(ISERROR(HLOOKUP(Standings!BO$3,Entries!$L85:$L85,1,FALSE))),"S",""))</f>
        <v/>
      </c>
      <c r="BP93" t="str">
        <f>IF(NOT(ISERROR(HLOOKUP(Standings!BP$3,Entries!$C85:$K85,1,FALSE))),"x",IF(NOT(ISERROR(HLOOKUP(Standings!BP$3,Entries!$L85:$L85,1,FALSE))),"S",""))</f>
        <v>x</v>
      </c>
      <c r="BQ93" t="str">
        <f>IF(NOT(ISERROR(HLOOKUP(Standings!BQ$3,Entries!$C85:$K85,1,FALSE))),"x",IF(NOT(ISERROR(HLOOKUP(Standings!BQ$3,Entries!$L85:$L85,1,FALSE))),"S",""))</f>
        <v/>
      </c>
      <c r="BR93" t="str">
        <f>IF(NOT(ISERROR(HLOOKUP(Standings!BR$3,Entries!$C85:$K85,1,FALSE))),"x",IF(NOT(ISERROR(HLOOKUP(Standings!BR$3,Entries!$L85:$L85,1,FALSE))),"S",""))</f>
        <v/>
      </c>
      <c r="BS93" t="str">
        <f>IF(NOT(ISERROR(HLOOKUP(Standings!BS$3,Entries!$C85:$K85,1,FALSE))),"x",IF(NOT(ISERROR(HLOOKUP(Standings!BS$3,Entries!$L85:$L85,1,FALSE))),"S",""))</f>
        <v/>
      </c>
      <c r="BT93" t="str">
        <f>IF(NOT(ISERROR(HLOOKUP(Standings!BT$3,Entries!$C85:$K85,1,FALSE))),"x",IF(NOT(ISERROR(HLOOKUP(Standings!BT$3,Entries!$L85:$L85,1,FALSE))),"S",""))</f>
        <v/>
      </c>
      <c r="BU93" t="str">
        <f>IF(NOT(ISERROR(HLOOKUP(Standings!BU$3,Entries!$C85:$K85,1,FALSE))),"x",IF(NOT(ISERROR(HLOOKUP(Standings!BU$3,Entries!$L85:$L85,1,FALSE))),"S",""))</f>
        <v/>
      </c>
      <c r="BV93" t="str">
        <f>IF(NOT(ISERROR(HLOOKUP(Standings!BV$3,Entries!$C85:$K85,1,FALSE))),"x",IF(NOT(ISERROR(HLOOKUP(Standings!BV$3,Entries!$L85:$L85,1,FALSE))),"S",""))</f>
        <v/>
      </c>
      <c r="BW93" t="str">
        <f>IF(NOT(ISERROR(HLOOKUP(Standings!BW$3,Entries!$C85:$K85,1,FALSE))),"x",IF(NOT(ISERROR(HLOOKUP(Standings!BW$3,Entries!$L85:$L85,1,FALSE))),"S",""))</f>
        <v/>
      </c>
      <c r="BX93" t="str">
        <f>IF(NOT(ISERROR(HLOOKUP(Standings!BX$3,Entries!$C85:$K85,1,FALSE))),"x",IF(NOT(ISERROR(HLOOKUP(Standings!BX$3,Entries!$L85:$L85,1,FALSE))),"S",""))</f>
        <v/>
      </c>
      <c r="BY93" t="str">
        <f>IF(NOT(ISERROR(HLOOKUP(Standings!BY$3,Entries!$C85:$K85,1,FALSE))),"x",IF(NOT(ISERROR(HLOOKUP(Standings!BY$3,Entries!$L85:$L85,1,FALSE))),"S",""))</f>
        <v/>
      </c>
      <c r="BZ93" t="str">
        <f>IF(NOT(ISERROR(HLOOKUP(Standings!BZ$3,Entries!$C85:$K85,1,FALSE))),"x",IF(NOT(ISERROR(HLOOKUP(Standings!BZ$3,Entries!$L85:$L85,1,FALSE))),"S",""))</f>
        <v/>
      </c>
      <c r="CA93" t="str">
        <f>IF(NOT(ISERROR(HLOOKUP(Standings!CA$3,Entries!$C85:$K85,1,FALSE))),"x",IF(NOT(ISERROR(HLOOKUP(Standings!CA$3,Entries!$L85:$L85,1,FALSE))),"S",""))</f>
        <v>x</v>
      </c>
      <c r="CB93" t="str">
        <f>IF(NOT(ISERROR(HLOOKUP(Standings!CB$3,Entries!$C85:$K85,1,FALSE))),"x",IF(NOT(ISERROR(HLOOKUP(Standings!CB$3,Entries!$L85:$L85,1,FALSE))),"S",""))</f>
        <v/>
      </c>
      <c r="CC93" t="str">
        <f>IF(NOT(ISERROR(HLOOKUP(Standings!CC$3,Entries!$C85:$K85,1,FALSE))),"x",IF(NOT(ISERROR(HLOOKUP(Standings!CC$3,Entries!$L85:$L85,1,FALSE))),"S",""))</f>
        <v/>
      </c>
      <c r="CD93" t="str">
        <f>IF(NOT(ISERROR(HLOOKUP(Standings!CD$3,Entries!$C85:$K85,1,FALSE))),"x",IF(NOT(ISERROR(HLOOKUP(Standings!CD$3,Entries!$L85:$L85,1,FALSE))),"S",""))</f>
        <v/>
      </c>
      <c r="CE93" t="str">
        <f>IF(NOT(ISERROR(HLOOKUP(Standings!CE$3,Entries!$C85:$K85,1,FALSE))),"x",IF(NOT(ISERROR(HLOOKUP(Standings!CE$3,Entries!$L85:$L85,1,FALSE))),"S",""))</f>
        <v/>
      </c>
      <c r="CF93" t="str">
        <f>IF(NOT(ISERROR(HLOOKUP(Standings!CF$3,Entries!$C85:$K85,1,FALSE))),"x",IF(NOT(ISERROR(HLOOKUP(Standings!CF$3,Entries!$L85:$L85,1,FALSE))),"S",""))</f>
        <v/>
      </c>
      <c r="CG93" t="str">
        <f>IF(NOT(ISERROR(HLOOKUP(Standings!CG$3,Entries!$C85:$K85,1,FALSE))),"x",IF(NOT(ISERROR(HLOOKUP(Standings!CG$3,Entries!$L85:$L85,1,FALSE))),"S",""))</f>
        <v/>
      </c>
      <c r="CH93" t="str">
        <f>IF(NOT(ISERROR(HLOOKUP(Standings!CH$3,Entries!$C85:$K85,1,FALSE))),"x",IF(NOT(ISERROR(HLOOKUP(Standings!CH$3,Entries!$L85:$L85,1,FALSE))),"S",""))</f>
        <v/>
      </c>
      <c r="CI93" t="str">
        <f>IF(NOT(ISERROR(HLOOKUP(Standings!CI$3,Entries!$C85:$K85,1,FALSE))),"x",IF(NOT(ISERROR(HLOOKUP(Standings!CI$3,Entries!$L85:$L85,1,FALSE))),"S",""))</f>
        <v/>
      </c>
      <c r="CJ93" t="str">
        <f>IF(NOT(ISERROR(HLOOKUP(Standings!CJ$3,Entries!$C85:$K85,1,FALSE))),"x",IF(NOT(ISERROR(HLOOKUP(Standings!CJ$3,Entries!$L85:$L85,1,FALSE))),"S",""))</f>
        <v/>
      </c>
      <c r="CK93" t="str">
        <f>IF(NOT(ISERROR(HLOOKUP(Standings!CK$3,Entries!$C85:$K85,1,FALSE))),"x",IF(NOT(ISERROR(HLOOKUP(Standings!CK$3,Entries!$L85:$L85,1,FALSE))),"S",""))</f>
        <v/>
      </c>
      <c r="CL93" t="str">
        <f>IF(NOT(ISERROR(HLOOKUP(Standings!CL$3,Entries!$C85:$K85,1,FALSE))),"x",IF(NOT(ISERROR(HLOOKUP(Standings!CL$3,Entries!$L85:$L85,1,FALSE))),"S",""))</f>
        <v/>
      </c>
      <c r="CM93" t="str">
        <f>IF(NOT(ISERROR(HLOOKUP(Standings!CM$3,Entries!$C85:$K85,1,FALSE))),"x",IF(NOT(ISERROR(HLOOKUP(Standings!CM$3,Entries!$L85:$L85,1,FALSE))),"S",""))</f>
        <v/>
      </c>
      <c r="CN93" t="str">
        <f>IF(NOT(ISERROR(HLOOKUP(Standings!CN$3,Entries!$C85:$K85,1,FALSE))),"x",IF(NOT(ISERROR(HLOOKUP(Standings!CN$3,Entries!$L85:$L85,1,FALSE))),"S",""))</f>
        <v>x</v>
      </c>
      <c r="CO93" t="str">
        <f>IF(NOT(ISERROR(HLOOKUP(Standings!CO$3,Entries!$C85:$K85,1,FALSE))),"x",IF(NOT(ISERROR(HLOOKUP(Standings!CO$3,Entries!$L85:$L85,1,FALSE))),"S",""))</f>
        <v>S</v>
      </c>
      <c r="CP93" t="str">
        <f>IF(NOT(ISERROR(HLOOKUP(Standings!CP$3,Entries!$C85:$K85,1,FALSE))),"x",IF(NOT(ISERROR(HLOOKUP(Standings!CP$3,Entries!$L85:$L85,1,FALSE))),"S",""))</f>
        <v/>
      </c>
      <c r="CQ93" t="str">
        <f>IF(NOT(ISERROR(HLOOKUP(Standings!CQ$3,Entries!$C85:$K85,1,FALSE))),"x",IF(NOT(ISERROR(HLOOKUP(Standings!CQ$3,Entries!$L85:$L85,1,FALSE))),"S",""))</f>
        <v/>
      </c>
      <c r="CR93" t="str">
        <f>IF(NOT(ISERROR(HLOOKUP(Standings!CR$3,Entries!$C85:$K85,1,FALSE))),"x",IF(NOT(ISERROR(HLOOKUP(Standings!CR$3,Entries!$L85:$L85,1,FALSE))),"S",""))</f>
        <v/>
      </c>
      <c r="CS93" t="str">
        <f>IF(NOT(ISERROR(HLOOKUP(Standings!CS$3,Entries!$C85:$K85,1,FALSE))),"x",IF(NOT(ISERROR(HLOOKUP(Standings!CS$3,Entries!$L85:$L85,1,FALSE))),"S",""))</f>
        <v/>
      </c>
      <c r="CT93" t="str">
        <f>IF(NOT(ISERROR(HLOOKUP(Standings!CT$3,Entries!$C85:$K85,1,FALSE))),"x",IF(NOT(ISERROR(HLOOKUP(Standings!CT$3,Entries!$L85:$L85,1,FALSE))),"S",""))</f>
        <v/>
      </c>
      <c r="CU93" t="str">
        <f>IF(NOT(ISERROR(HLOOKUP(Standings!CU$3,Entries!$C85:$K85,1,FALSE))),"x",IF(NOT(ISERROR(HLOOKUP(Standings!CU$3,Entries!$L85:$L85,1,FALSE))),"S",""))</f>
        <v>x</v>
      </c>
      <c r="CV93" t="str">
        <f>IF(NOT(ISERROR(HLOOKUP(Standings!CV$3,Entries!$C85:$K85,1,FALSE))),"x",IF(NOT(ISERROR(HLOOKUP(Standings!CV$3,Entries!$L85:$L85,1,FALSE))),"S",""))</f>
        <v/>
      </c>
      <c r="CW93" t="str">
        <f>IF(NOT(ISERROR(HLOOKUP(Standings!CW$3,Entries!$C85:$K85,1,FALSE))),"x",IF(NOT(ISERROR(HLOOKUP(Standings!CW$3,Entries!$L85:$L85,1,FALSE))),"S",""))</f>
        <v/>
      </c>
      <c r="CX93" t="str">
        <f>IF(NOT(ISERROR(HLOOKUP(Standings!CX$3,Entries!$C85:$K85,1,FALSE))),"x",IF(NOT(ISERROR(HLOOKUP(Standings!CX$3,Entries!$L85:$L85,1,FALSE))),"S",""))</f>
        <v/>
      </c>
      <c r="CY93" t="str">
        <f>IF(NOT(ISERROR(HLOOKUP(Standings!CY$3,Entries!$C85:$K85,1,FALSE))),"x",IF(NOT(ISERROR(HLOOKUP(Standings!CY$3,Entries!$L85:$L85,1,FALSE))),"S",""))</f>
        <v/>
      </c>
      <c r="CZ93" t="str">
        <f>IF(NOT(ISERROR(HLOOKUP(Standings!CZ$3,Entries!$C85:$K85,1,FALSE))),"x",IF(NOT(ISERROR(HLOOKUP(Standings!CZ$3,Entries!$L85:$L85,1,FALSE))),"S",""))</f>
        <v/>
      </c>
      <c r="DA93" t="str">
        <f>IF(NOT(ISERROR(HLOOKUP(Standings!DA$3,Entries!$C85:$K85,1,FALSE))),"x",IF(NOT(ISERROR(HLOOKUP(Standings!DA$3,Entries!$L85:$L85,1,FALSE))),"S",""))</f>
        <v/>
      </c>
      <c r="DB93" t="str">
        <f>IF(NOT(ISERROR(HLOOKUP(Standings!DB$3,Entries!$C85:$K85,1,FALSE))),"x",IF(NOT(ISERROR(HLOOKUP(Standings!DB$3,Entries!$L85:$L85,1,FALSE))),"S",""))</f>
        <v/>
      </c>
    </row>
    <row r="94" spans="1:106" x14ac:dyDescent="0.25">
      <c r="A94" s="18"/>
      <c r="B94">
        <v>26</v>
      </c>
      <c r="C94" t="str">
        <f>Entries!B86</f>
        <v>KenOlson2</v>
      </c>
      <c r="D94" s="4">
        <f t="shared" si="55"/>
        <v>55</v>
      </c>
      <c r="E94" s="31">
        <f t="shared" si="105"/>
        <v>0</v>
      </c>
      <c r="F94" s="40" t="str">
        <f t="shared" si="106"/>
        <v/>
      </c>
      <c r="G94" s="41" t="str">
        <f t="shared" si="107"/>
        <v/>
      </c>
      <c r="H94" s="41" t="str">
        <f t="shared" si="108"/>
        <v/>
      </c>
      <c r="I94" s="42" t="str">
        <f t="shared" si="109"/>
        <v/>
      </c>
      <c r="J94" s="40" t="str">
        <f t="shared" si="110"/>
        <v/>
      </c>
      <c r="K94" s="41" t="str">
        <f t="shared" si="111"/>
        <v/>
      </c>
      <c r="L94" s="41" t="str">
        <f t="shared" si="112"/>
        <v/>
      </c>
      <c r="M94" s="42" t="str">
        <f t="shared" si="113"/>
        <v/>
      </c>
      <c r="N94" s="43" t="str">
        <f t="shared" si="114"/>
        <v/>
      </c>
      <c r="O94" s="41" t="str">
        <f t="shared" si="115"/>
        <v/>
      </c>
      <c r="P94" s="41" t="str">
        <f t="shared" si="116"/>
        <v/>
      </c>
      <c r="Q94" s="42" t="str">
        <f t="shared" si="117"/>
        <v/>
      </c>
      <c r="R94" s="40" t="str">
        <f t="shared" si="118"/>
        <v/>
      </c>
      <c r="S94" s="41" t="str">
        <f t="shared" si="119"/>
        <v/>
      </c>
      <c r="T94" s="43" t="str">
        <f t="shared" si="120"/>
        <v/>
      </c>
      <c r="U94" s="42">
        <f t="shared" si="121"/>
        <v>0</v>
      </c>
      <c r="V94" s="40" t="str">
        <f t="shared" si="122"/>
        <v/>
      </c>
      <c r="W94" s="41" t="str">
        <f t="shared" si="123"/>
        <v/>
      </c>
      <c r="X94" s="41" t="str">
        <f t="shared" si="124"/>
        <v/>
      </c>
      <c r="Y94" s="42" t="str">
        <f t="shared" si="125"/>
        <v/>
      </c>
      <c r="Z94" s="40">
        <f t="shared" si="126"/>
        <v>-1.0000000000000001E-5</v>
      </c>
      <c r="AA94" s="41" t="str">
        <f t="shared" si="127"/>
        <v/>
      </c>
      <c r="AB94" s="41" t="str">
        <f t="shared" si="128"/>
        <v/>
      </c>
      <c r="AC94" s="42" t="str">
        <f t="shared" si="129"/>
        <v/>
      </c>
      <c r="AD94" s="40" t="str">
        <f t="shared" si="130"/>
        <v/>
      </c>
      <c r="AE94" s="41" t="str">
        <f t="shared" si="131"/>
        <v/>
      </c>
      <c r="AF94" s="41" t="str">
        <f t="shared" si="132"/>
        <v/>
      </c>
      <c r="AG94" s="42" t="str">
        <f t="shared" si="133"/>
        <v/>
      </c>
      <c r="AH94" s="40" t="str">
        <f t="shared" si="134"/>
        <v/>
      </c>
      <c r="AI94" s="41" t="str">
        <f t="shared" si="135"/>
        <v/>
      </c>
      <c r="AJ94" s="41" t="str">
        <f t="shared" si="136"/>
        <v/>
      </c>
      <c r="AK94" s="42" t="str">
        <f t="shared" si="137"/>
        <v/>
      </c>
      <c r="AL94" s="40" t="str">
        <f t="shared" si="138"/>
        <v/>
      </c>
      <c r="AM94" s="41">
        <f t="shared" si="139"/>
        <v>0</v>
      </c>
      <c r="AN94" s="41" t="str">
        <f t="shared" si="140"/>
        <v/>
      </c>
      <c r="AO94" s="42" t="str">
        <f t="shared" si="141"/>
        <v/>
      </c>
      <c r="AP94" s="40">
        <f t="shared" si="142"/>
        <v>0</v>
      </c>
      <c r="AQ94" s="41" t="str">
        <f t="shared" si="143"/>
        <v/>
      </c>
      <c r="AR94" s="41" t="str">
        <f t="shared" si="144"/>
        <v/>
      </c>
      <c r="AS94" s="42" t="str">
        <f t="shared" si="145"/>
        <v/>
      </c>
      <c r="AT94" s="40">
        <f t="shared" si="146"/>
        <v>0</v>
      </c>
      <c r="AU94" s="41" t="str">
        <f t="shared" si="147"/>
        <v/>
      </c>
      <c r="AV94" s="41" t="str">
        <f t="shared" si="148"/>
        <v/>
      </c>
      <c r="AW94" s="42" t="str">
        <f t="shared" si="149"/>
        <v/>
      </c>
      <c r="AX94" s="40" t="str">
        <f t="shared" si="150"/>
        <v/>
      </c>
      <c r="AY94" s="41" t="str">
        <f t="shared" si="151"/>
        <v/>
      </c>
      <c r="AZ94" s="41" t="str">
        <f t="shared" si="152"/>
        <v/>
      </c>
      <c r="BA94" s="42" t="str">
        <f t="shared" si="153"/>
        <v/>
      </c>
      <c r="BB94" s="37" t="s">
        <v>106</v>
      </c>
      <c r="BC94" s="21"/>
      <c r="BD94" s="21"/>
      <c r="BG94" t="str">
        <f>IF(NOT(ISERROR(HLOOKUP(Standings!BG$3,Entries!$C86:$K86,1,FALSE))),"x",IF(NOT(ISERROR(HLOOKUP(Standings!BG$3,Entries!$L86:$L86,1,FALSE))),"S",""))</f>
        <v/>
      </c>
      <c r="BH94" t="str">
        <f>IF(NOT(ISERROR(HLOOKUP(Standings!BH$3,Entries!$C86:$K86,1,FALSE))),"x",IF(NOT(ISERROR(HLOOKUP(Standings!BH$3,Entries!$L86:$L86,1,FALSE))),"S",""))</f>
        <v/>
      </c>
      <c r="BI94" t="str">
        <f>IF(NOT(ISERROR(HLOOKUP(Standings!BI$3,Entries!$C86:$K86,1,FALSE))),"x",IF(NOT(ISERROR(HLOOKUP(Standings!BI$3,Entries!$L86:$L86,1,FALSE))),"S",""))</f>
        <v/>
      </c>
      <c r="BJ94" t="str">
        <f>IF(NOT(ISERROR(HLOOKUP(Standings!BJ$3,Entries!$C86:$K86,1,FALSE))),"x",IF(NOT(ISERROR(HLOOKUP(Standings!BJ$3,Entries!$L86:$L86,1,FALSE))),"S",""))</f>
        <v/>
      </c>
      <c r="BK94" t="str">
        <f>IF(NOT(ISERROR(HLOOKUP(Standings!BK$3,Entries!$C86:$K86,1,FALSE))),"x",IF(NOT(ISERROR(HLOOKUP(Standings!BK$3,Entries!$L86:$L86,1,FALSE))),"S",""))</f>
        <v/>
      </c>
      <c r="BL94" t="str">
        <f>IF(NOT(ISERROR(HLOOKUP(Standings!BL$3,Entries!$C86:$K86,1,FALSE))),"x",IF(NOT(ISERROR(HLOOKUP(Standings!BL$3,Entries!$L86:$L86,1,FALSE))),"S",""))</f>
        <v/>
      </c>
      <c r="BM94" t="str">
        <f>IF(NOT(ISERROR(HLOOKUP(Standings!BM$3,Entries!$C86:$K86,1,FALSE))),"x",IF(NOT(ISERROR(HLOOKUP(Standings!BM$3,Entries!$L86:$L86,1,FALSE))),"S",""))</f>
        <v/>
      </c>
      <c r="BN94" t="str">
        <f>IF(NOT(ISERROR(HLOOKUP(Standings!BN$3,Entries!$C86:$K86,1,FALSE))),"x",IF(NOT(ISERROR(HLOOKUP(Standings!BN$3,Entries!$L86:$L86,1,FALSE))),"S",""))</f>
        <v/>
      </c>
      <c r="BO94" t="str">
        <f>IF(NOT(ISERROR(HLOOKUP(Standings!BO$3,Entries!$C86:$K86,1,FALSE))),"x",IF(NOT(ISERROR(HLOOKUP(Standings!BO$3,Entries!$L86:$L86,1,FALSE))),"S",""))</f>
        <v/>
      </c>
      <c r="BP94" t="str">
        <f>IF(NOT(ISERROR(HLOOKUP(Standings!BP$3,Entries!$C86:$K86,1,FALSE))),"x",IF(NOT(ISERROR(HLOOKUP(Standings!BP$3,Entries!$L86:$L86,1,FALSE))),"S",""))</f>
        <v/>
      </c>
      <c r="BQ94" t="str">
        <f>IF(NOT(ISERROR(HLOOKUP(Standings!BQ$3,Entries!$C86:$K86,1,FALSE))),"x",IF(NOT(ISERROR(HLOOKUP(Standings!BQ$3,Entries!$L86:$L86,1,FALSE))),"S",""))</f>
        <v/>
      </c>
      <c r="BR94" t="str">
        <f>IF(NOT(ISERROR(HLOOKUP(Standings!BR$3,Entries!$C86:$K86,1,FALSE))),"x",IF(NOT(ISERROR(HLOOKUP(Standings!BR$3,Entries!$L86:$L86,1,FALSE))),"S",""))</f>
        <v/>
      </c>
      <c r="BS94" t="str">
        <f>IF(NOT(ISERROR(HLOOKUP(Standings!BS$3,Entries!$C86:$K86,1,FALSE))),"x",IF(NOT(ISERROR(HLOOKUP(Standings!BS$3,Entries!$L86:$L86,1,FALSE))),"S",""))</f>
        <v/>
      </c>
      <c r="BT94" t="str">
        <f>IF(NOT(ISERROR(HLOOKUP(Standings!BT$3,Entries!$C86:$K86,1,FALSE))),"x",IF(NOT(ISERROR(HLOOKUP(Standings!BT$3,Entries!$L86:$L86,1,FALSE))),"S",""))</f>
        <v/>
      </c>
      <c r="BU94" t="str">
        <f>IF(NOT(ISERROR(HLOOKUP(Standings!BU$3,Entries!$C86:$K86,1,FALSE))),"x",IF(NOT(ISERROR(HLOOKUP(Standings!BU$3,Entries!$L86:$L86,1,FALSE))),"S",""))</f>
        <v/>
      </c>
      <c r="BV94" t="str">
        <f>IF(NOT(ISERROR(HLOOKUP(Standings!BV$3,Entries!$C86:$K86,1,FALSE))),"x",IF(NOT(ISERROR(HLOOKUP(Standings!BV$3,Entries!$L86:$L86,1,FALSE))),"S",""))</f>
        <v>x</v>
      </c>
      <c r="BW94" t="str">
        <f>IF(NOT(ISERROR(HLOOKUP(Standings!BW$3,Entries!$C86:$K86,1,FALSE))),"x",IF(NOT(ISERROR(HLOOKUP(Standings!BW$3,Entries!$L86:$L86,1,FALSE))),"S",""))</f>
        <v/>
      </c>
      <c r="BX94" t="str">
        <f>IF(NOT(ISERROR(HLOOKUP(Standings!BX$3,Entries!$C86:$K86,1,FALSE))),"x",IF(NOT(ISERROR(HLOOKUP(Standings!BX$3,Entries!$L86:$L86,1,FALSE))),"S",""))</f>
        <v/>
      </c>
      <c r="BY94" t="str">
        <f>IF(NOT(ISERROR(HLOOKUP(Standings!BY$3,Entries!$C86:$K86,1,FALSE))),"x",IF(NOT(ISERROR(HLOOKUP(Standings!BY$3,Entries!$L86:$L86,1,FALSE))),"S",""))</f>
        <v/>
      </c>
      <c r="BZ94" t="str">
        <f>IF(NOT(ISERROR(HLOOKUP(Standings!BZ$3,Entries!$C86:$K86,1,FALSE))),"x",IF(NOT(ISERROR(HLOOKUP(Standings!BZ$3,Entries!$L86:$L86,1,FALSE))),"S",""))</f>
        <v/>
      </c>
      <c r="CA94" t="str">
        <f>IF(NOT(ISERROR(HLOOKUP(Standings!CA$3,Entries!$C86:$K86,1,FALSE))),"x",IF(NOT(ISERROR(HLOOKUP(Standings!CA$3,Entries!$L86:$L86,1,FALSE))),"S",""))</f>
        <v>S</v>
      </c>
      <c r="CB94" t="str">
        <f>IF(NOT(ISERROR(HLOOKUP(Standings!CB$3,Entries!$C86:$K86,1,FALSE))),"x",IF(NOT(ISERROR(HLOOKUP(Standings!CB$3,Entries!$L86:$L86,1,FALSE))),"S",""))</f>
        <v/>
      </c>
      <c r="CC94" t="str">
        <f>IF(NOT(ISERROR(HLOOKUP(Standings!CC$3,Entries!$C86:$K86,1,FALSE))),"x",IF(NOT(ISERROR(HLOOKUP(Standings!CC$3,Entries!$L86:$L86,1,FALSE))),"S",""))</f>
        <v/>
      </c>
      <c r="CD94" t="str">
        <f>IF(NOT(ISERROR(HLOOKUP(Standings!CD$3,Entries!$C86:$K86,1,FALSE))),"x",IF(NOT(ISERROR(HLOOKUP(Standings!CD$3,Entries!$L86:$L86,1,FALSE))),"S",""))</f>
        <v/>
      </c>
      <c r="CE94" t="str">
        <f>IF(NOT(ISERROR(HLOOKUP(Standings!CE$3,Entries!$C86:$K86,1,FALSE))),"x",IF(NOT(ISERROR(HLOOKUP(Standings!CE$3,Entries!$L86:$L86,1,FALSE))),"S",""))</f>
        <v/>
      </c>
      <c r="CF94" t="str">
        <f>IF(NOT(ISERROR(HLOOKUP(Standings!CF$3,Entries!$C86:$K86,1,FALSE))),"x",IF(NOT(ISERROR(HLOOKUP(Standings!CF$3,Entries!$L86:$L86,1,FALSE))),"S",""))</f>
        <v/>
      </c>
      <c r="CG94" t="str">
        <f>IF(NOT(ISERROR(HLOOKUP(Standings!CG$3,Entries!$C86:$K86,1,FALSE))),"x",IF(NOT(ISERROR(HLOOKUP(Standings!CG$3,Entries!$L86:$L86,1,FALSE))),"S",""))</f>
        <v/>
      </c>
      <c r="CH94" t="str">
        <f>IF(NOT(ISERROR(HLOOKUP(Standings!CH$3,Entries!$C86:$K86,1,FALSE))),"x",IF(NOT(ISERROR(HLOOKUP(Standings!CH$3,Entries!$L86:$L86,1,FALSE))),"S",""))</f>
        <v/>
      </c>
      <c r="CI94" t="str">
        <f>IF(NOT(ISERROR(HLOOKUP(Standings!CI$3,Entries!$C86:$K86,1,FALSE))),"x",IF(NOT(ISERROR(HLOOKUP(Standings!CI$3,Entries!$L86:$L86,1,FALSE))),"S",""))</f>
        <v/>
      </c>
      <c r="CJ94" t="str">
        <f>IF(NOT(ISERROR(HLOOKUP(Standings!CJ$3,Entries!$C86:$K86,1,FALSE))),"x",IF(NOT(ISERROR(HLOOKUP(Standings!CJ$3,Entries!$L86:$L86,1,FALSE))),"S",""))</f>
        <v/>
      </c>
      <c r="CK94" t="str">
        <f>IF(NOT(ISERROR(HLOOKUP(Standings!CK$3,Entries!$C86:$K86,1,FALSE))),"x",IF(NOT(ISERROR(HLOOKUP(Standings!CK$3,Entries!$L86:$L86,1,FALSE))),"S",""))</f>
        <v/>
      </c>
      <c r="CL94" t="str">
        <f>IF(NOT(ISERROR(HLOOKUP(Standings!CL$3,Entries!$C86:$K86,1,FALSE))),"x",IF(NOT(ISERROR(HLOOKUP(Standings!CL$3,Entries!$L86:$L86,1,FALSE))),"S",""))</f>
        <v/>
      </c>
      <c r="CM94" t="str">
        <f>IF(NOT(ISERROR(HLOOKUP(Standings!CM$3,Entries!$C86:$K86,1,FALSE))),"x",IF(NOT(ISERROR(HLOOKUP(Standings!CM$3,Entries!$L86:$L86,1,FALSE))),"S",""))</f>
        <v/>
      </c>
      <c r="CN94" t="str">
        <f>IF(NOT(ISERROR(HLOOKUP(Standings!CN$3,Entries!$C86:$K86,1,FALSE))),"x",IF(NOT(ISERROR(HLOOKUP(Standings!CN$3,Entries!$L86:$L86,1,FALSE))),"S",""))</f>
        <v>x</v>
      </c>
      <c r="CO94" t="str">
        <f>IF(NOT(ISERROR(HLOOKUP(Standings!CO$3,Entries!$C86:$K86,1,FALSE))),"x",IF(NOT(ISERROR(HLOOKUP(Standings!CO$3,Entries!$L86:$L86,1,FALSE))),"S",""))</f>
        <v/>
      </c>
      <c r="CP94" t="str">
        <f>IF(NOT(ISERROR(HLOOKUP(Standings!CP$3,Entries!$C86:$K86,1,FALSE))),"x",IF(NOT(ISERROR(HLOOKUP(Standings!CP$3,Entries!$L86:$L86,1,FALSE))),"S",""))</f>
        <v/>
      </c>
      <c r="CQ94" t="str">
        <f>IF(NOT(ISERROR(HLOOKUP(Standings!CQ$3,Entries!$C86:$K86,1,FALSE))),"x",IF(NOT(ISERROR(HLOOKUP(Standings!CQ$3,Entries!$L86:$L86,1,FALSE))),"S",""))</f>
        <v>x</v>
      </c>
      <c r="CR94" t="str">
        <f>IF(NOT(ISERROR(HLOOKUP(Standings!CR$3,Entries!$C86:$K86,1,FALSE))),"x",IF(NOT(ISERROR(HLOOKUP(Standings!CR$3,Entries!$L86:$L86,1,FALSE))),"S",""))</f>
        <v/>
      </c>
      <c r="CS94" t="str">
        <f>IF(NOT(ISERROR(HLOOKUP(Standings!CS$3,Entries!$C86:$K86,1,FALSE))),"x",IF(NOT(ISERROR(HLOOKUP(Standings!CS$3,Entries!$L86:$L86,1,FALSE))),"S",""))</f>
        <v/>
      </c>
      <c r="CT94" t="str">
        <f>IF(NOT(ISERROR(HLOOKUP(Standings!CT$3,Entries!$C86:$K86,1,FALSE))),"x",IF(NOT(ISERROR(HLOOKUP(Standings!CT$3,Entries!$L86:$L86,1,FALSE))),"S",""))</f>
        <v/>
      </c>
      <c r="CU94" t="str">
        <f>IF(NOT(ISERROR(HLOOKUP(Standings!CU$3,Entries!$C86:$K86,1,FALSE))),"x",IF(NOT(ISERROR(HLOOKUP(Standings!CU$3,Entries!$L86:$L86,1,FALSE))),"S",""))</f>
        <v>x</v>
      </c>
      <c r="CV94" t="str">
        <f>IF(NOT(ISERROR(HLOOKUP(Standings!CV$3,Entries!$C86:$K86,1,FALSE))),"x",IF(NOT(ISERROR(HLOOKUP(Standings!CV$3,Entries!$L86:$L86,1,FALSE))),"S",""))</f>
        <v/>
      </c>
      <c r="CW94" t="str">
        <f>IF(NOT(ISERROR(HLOOKUP(Standings!CW$3,Entries!$C86:$K86,1,FALSE))),"x",IF(NOT(ISERROR(HLOOKUP(Standings!CW$3,Entries!$L86:$L86,1,FALSE))),"S",""))</f>
        <v/>
      </c>
      <c r="CX94" t="str">
        <f>IF(NOT(ISERROR(HLOOKUP(Standings!CX$3,Entries!$C86:$K86,1,FALSE))),"x",IF(NOT(ISERROR(HLOOKUP(Standings!CX$3,Entries!$L86:$L86,1,FALSE))),"S",""))</f>
        <v/>
      </c>
      <c r="CY94" t="str">
        <f>IF(NOT(ISERROR(HLOOKUP(Standings!CY$3,Entries!$C86:$K86,1,FALSE))),"x",IF(NOT(ISERROR(HLOOKUP(Standings!CY$3,Entries!$L86:$L86,1,FALSE))),"S",""))</f>
        <v/>
      </c>
      <c r="CZ94" t="str">
        <f>IF(NOT(ISERROR(HLOOKUP(Standings!CZ$3,Entries!$C86:$K86,1,FALSE))),"x",IF(NOT(ISERROR(HLOOKUP(Standings!CZ$3,Entries!$L86:$L86,1,FALSE))),"S",""))</f>
        <v/>
      </c>
      <c r="DA94" t="str">
        <f>IF(NOT(ISERROR(HLOOKUP(Standings!DA$3,Entries!$C86:$K86,1,FALSE))),"x",IF(NOT(ISERROR(HLOOKUP(Standings!DA$3,Entries!$L86:$L86,1,FALSE))),"S",""))</f>
        <v/>
      </c>
      <c r="DB94" t="str">
        <f>IF(NOT(ISERROR(HLOOKUP(Standings!DB$3,Entries!$C86:$K86,1,FALSE))),"x",IF(NOT(ISERROR(HLOOKUP(Standings!DB$3,Entries!$L86:$L86,1,FALSE))),"S",""))</f>
        <v/>
      </c>
    </row>
    <row r="95" spans="1:106" x14ac:dyDescent="0.25">
      <c r="A95" s="18"/>
      <c r="B95">
        <v>26</v>
      </c>
      <c r="C95" t="str">
        <f>Entries!B87</f>
        <v>KenOlson3</v>
      </c>
      <c r="D95" s="4">
        <f t="shared" si="55"/>
        <v>55</v>
      </c>
      <c r="E95" s="31">
        <f t="shared" si="105"/>
        <v>0</v>
      </c>
      <c r="F95" s="40" t="str">
        <f t="shared" si="106"/>
        <v/>
      </c>
      <c r="G95" s="41" t="str">
        <f t="shared" si="107"/>
        <v/>
      </c>
      <c r="H95" s="41" t="str">
        <f t="shared" si="108"/>
        <v/>
      </c>
      <c r="I95" s="42" t="str">
        <f t="shared" si="109"/>
        <v/>
      </c>
      <c r="J95" s="40" t="str">
        <f t="shared" si="110"/>
        <v/>
      </c>
      <c r="K95" s="41" t="str">
        <f t="shared" si="111"/>
        <v/>
      </c>
      <c r="L95" s="41" t="str">
        <f t="shared" si="112"/>
        <v/>
      </c>
      <c r="M95" s="42" t="str">
        <f t="shared" si="113"/>
        <v/>
      </c>
      <c r="N95" s="43">
        <f t="shared" si="114"/>
        <v>-1.0000000000000001E-5</v>
      </c>
      <c r="O95" s="41" t="str">
        <f t="shared" si="115"/>
        <v/>
      </c>
      <c r="P95" s="41" t="str">
        <f t="shared" si="116"/>
        <v/>
      </c>
      <c r="Q95" s="42" t="str">
        <f t="shared" si="117"/>
        <v/>
      </c>
      <c r="R95" s="40" t="str">
        <f t="shared" si="118"/>
        <v/>
      </c>
      <c r="S95" s="41" t="str">
        <f t="shared" si="119"/>
        <v/>
      </c>
      <c r="T95" s="43" t="str">
        <f t="shared" si="120"/>
        <v/>
      </c>
      <c r="U95" s="42" t="str">
        <f t="shared" si="121"/>
        <v/>
      </c>
      <c r="V95" s="40" t="str">
        <f t="shared" si="122"/>
        <v/>
      </c>
      <c r="W95" s="41" t="str">
        <f t="shared" si="123"/>
        <v/>
      </c>
      <c r="X95" s="41" t="str">
        <f t="shared" si="124"/>
        <v/>
      </c>
      <c r="Y95" s="42" t="str">
        <f t="shared" si="125"/>
        <v/>
      </c>
      <c r="Z95" s="40" t="str">
        <f t="shared" si="126"/>
        <v/>
      </c>
      <c r="AA95" s="41" t="str">
        <f t="shared" si="127"/>
        <v/>
      </c>
      <c r="AB95" s="41" t="str">
        <f t="shared" si="128"/>
        <v/>
      </c>
      <c r="AC95" s="42" t="str">
        <f t="shared" si="129"/>
        <v/>
      </c>
      <c r="AD95" s="40" t="str">
        <f t="shared" si="130"/>
        <v/>
      </c>
      <c r="AE95" s="41" t="str">
        <f t="shared" si="131"/>
        <v/>
      </c>
      <c r="AF95" s="41" t="str">
        <f t="shared" si="132"/>
        <v/>
      </c>
      <c r="AG95" s="42" t="str">
        <f t="shared" si="133"/>
        <v/>
      </c>
      <c r="AH95" s="40">
        <f t="shared" si="134"/>
        <v>0</v>
      </c>
      <c r="AI95" s="41" t="str">
        <f t="shared" si="135"/>
        <v/>
      </c>
      <c r="AJ95" s="41" t="str">
        <f t="shared" si="136"/>
        <v/>
      </c>
      <c r="AK95" s="42" t="str">
        <f t="shared" si="137"/>
        <v/>
      </c>
      <c r="AL95" s="40">
        <f t="shared" si="138"/>
        <v>0</v>
      </c>
      <c r="AM95" s="41" t="str">
        <f t="shared" si="139"/>
        <v/>
      </c>
      <c r="AN95" s="41" t="str">
        <f t="shared" si="140"/>
        <v/>
      </c>
      <c r="AO95" s="42" t="str">
        <f t="shared" si="141"/>
        <v/>
      </c>
      <c r="AP95" s="40" t="str">
        <f t="shared" si="142"/>
        <v/>
      </c>
      <c r="AQ95" s="41" t="str">
        <f t="shared" si="143"/>
        <v/>
      </c>
      <c r="AR95" s="41" t="str">
        <f t="shared" si="144"/>
        <v/>
      </c>
      <c r="AS95" s="42" t="str">
        <f t="shared" si="145"/>
        <v/>
      </c>
      <c r="AT95" s="40" t="str">
        <f t="shared" si="146"/>
        <v/>
      </c>
      <c r="AU95" s="41" t="str">
        <f t="shared" si="147"/>
        <v/>
      </c>
      <c r="AV95" s="41" t="str">
        <f t="shared" si="148"/>
        <v/>
      </c>
      <c r="AW95" s="42" t="str">
        <f t="shared" si="149"/>
        <v/>
      </c>
      <c r="AX95" s="40" t="str">
        <f t="shared" si="150"/>
        <v/>
      </c>
      <c r="AY95" s="41">
        <f t="shared" si="151"/>
        <v>0</v>
      </c>
      <c r="AZ95" s="41" t="str">
        <f t="shared" si="152"/>
        <v/>
      </c>
      <c r="BA95" s="42" t="str">
        <f t="shared" si="153"/>
        <v/>
      </c>
      <c r="BB95" s="37" t="s">
        <v>106</v>
      </c>
      <c r="BC95" s="21"/>
      <c r="BD95" s="21"/>
      <c r="BG95" t="str">
        <f>IF(NOT(ISERROR(HLOOKUP(Standings!BG$3,Entries!$C87:$K87,1,FALSE))),"x",IF(NOT(ISERROR(HLOOKUP(Standings!BG$3,Entries!$L87:$L87,1,FALSE))),"S",""))</f>
        <v/>
      </c>
      <c r="BH95" t="str">
        <f>IF(NOT(ISERROR(HLOOKUP(Standings!BH$3,Entries!$C87:$K87,1,FALSE))),"x",IF(NOT(ISERROR(HLOOKUP(Standings!BH$3,Entries!$L87:$L87,1,FALSE))),"S",""))</f>
        <v/>
      </c>
      <c r="BI95" t="str">
        <f>IF(NOT(ISERROR(HLOOKUP(Standings!BI$3,Entries!$C87:$K87,1,FALSE))),"x",IF(NOT(ISERROR(HLOOKUP(Standings!BI$3,Entries!$L87:$L87,1,FALSE))),"S",""))</f>
        <v/>
      </c>
      <c r="BJ95" t="str">
        <f>IF(NOT(ISERROR(HLOOKUP(Standings!BJ$3,Entries!$C87:$K87,1,FALSE))),"x",IF(NOT(ISERROR(HLOOKUP(Standings!BJ$3,Entries!$L87:$L87,1,FALSE))),"S",""))</f>
        <v/>
      </c>
      <c r="BK95" t="str">
        <f>IF(NOT(ISERROR(HLOOKUP(Standings!BK$3,Entries!$C87:$K87,1,FALSE))),"x",IF(NOT(ISERROR(HLOOKUP(Standings!BK$3,Entries!$L87:$L87,1,FALSE))),"S",""))</f>
        <v/>
      </c>
      <c r="BL95" t="str">
        <f>IF(NOT(ISERROR(HLOOKUP(Standings!BL$3,Entries!$C87:$K87,1,FALSE))),"x",IF(NOT(ISERROR(HLOOKUP(Standings!BL$3,Entries!$L87:$L87,1,FALSE))),"S",""))</f>
        <v/>
      </c>
      <c r="BM95" t="str">
        <f>IF(NOT(ISERROR(HLOOKUP(Standings!BM$3,Entries!$C87:$K87,1,FALSE))),"x",IF(NOT(ISERROR(HLOOKUP(Standings!BM$3,Entries!$L87:$L87,1,FALSE))),"S",""))</f>
        <v/>
      </c>
      <c r="BN95" t="str">
        <f>IF(NOT(ISERROR(HLOOKUP(Standings!BN$3,Entries!$C87:$K87,1,FALSE))),"x",IF(NOT(ISERROR(HLOOKUP(Standings!BN$3,Entries!$L87:$L87,1,FALSE))),"S",""))</f>
        <v/>
      </c>
      <c r="BO95" t="str">
        <f>IF(NOT(ISERROR(HLOOKUP(Standings!BO$3,Entries!$C87:$K87,1,FALSE))),"x",IF(NOT(ISERROR(HLOOKUP(Standings!BO$3,Entries!$L87:$L87,1,FALSE))),"S",""))</f>
        <v>S</v>
      </c>
      <c r="BP95" t="str">
        <f>IF(NOT(ISERROR(HLOOKUP(Standings!BP$3,Entries!$C87:$K87,1,FALSE))),"x",IF(NOT(ISERROR(HLOOKUP(Standings!BP$3,Entries!$L87:$L87,1,FALSE))),"S",""))</f>
        <v/>
      </c>
      <c r="BQ95" t="str">
        <f>IF(NOT(ISERROR(HLOOKUP(Standings!BQ$3,Entries!$C87:$K87,1,FALSE))),"x",IF(NOT(ISERROR(HLOOKUP(Standings!BQ$3,Entries!$L87:$L87,1,FALSE))),"S",""))</f>
        <v/>
      </c>
      <c r="BR95" t="str">
        <f>IF(NOT(ISERROR(HLOOKUP(Standings!BR$3,Entries!$C87:$K87,1,FALSE))),"x",IF(NOT(ISERROR(HLOOKUP(Standings!BR$3,Entries!$L87:$L87,1,FALSE))),"S",""))</f>
        <v/>
      </c>
      <c r="BS95" t="str">
        <f>IF(NOT(ISERROR(HLOOKUP(Standings!BS$3,Entries!$C87:$K87,1,FALSE))),"x",IF(NOT(ISERROR(HLOOKUP(Standings!BS$3,Entries!$L87:$L87,1,FALSE))),"S",""))</f>
        <v/>
      </c>
      <c r="BT95" t="str">
        <f>IF(NOT(ISERROR(HLOOKUP(Standings!BT$3,Entries!$C87:$K87,1,FALSE))),"x",IF(NOT(ISERROR(HLOOKUP(Standings!BT$3,Entries!$L87:$L87,1,FALSE))),"S",""))</f>
        <v/>
      </c>
      <c r="BU95" t="str">
        <f>IF(NOT(ISERROR(HLOOKUP(Standings!BU$3,Entries!$C87:$K87,1,FALSE))),"x",IF(NOT(ISERROR(HLOOKUP(Standings!BU$3,Entries!$L87:$L87,1,FALSE))),"S",""))</f>
        <v/>
      </c>
      <c r="BV95" t="str">
        <f>IF(NOT(ISERROR(HLOOKUP(Standings!BV$3,Entries!$C87:$K87,1,FALSE))),"x",IF(NOT(ISERROR(HLOOKUP(Standings!BV$3,Entries!$L87:$L87,1,FALSE))),"S",""))</f>
        <v/>
      </c>
      <c r="BW95" t="str">
        <f>IF(NOT(ISERROR(HLOOKUP(Standings!BW$3,Entries!$C87:$K87,1,FALSE))),"x",IF(NOT(ISERROR(HLOOKUP(Standings!BW$3,Entries!$L87:$L87,1,FALSE))),"S",""))</f>
        <v/>
      </c>
      <c r="BX95" t="str">
        <f>IF(NOT(ISERROR(HLOOKUP(Standings!BX$3,Entries!$C87:$K87,1,FALSE))),"x",IF(NOT(ISERROR(HLOOKUP(Standings!BX$3,Entries!$L87:$L87,1,FALSE))),"S",""))</f>
        <v/>
      </c>
      <c r="BY95" t="str">
        <f>IF(NOT(ISERROR(HLOOKUP(Standings!BY$3,Entries!$C87:$K87,1,FALSE))),"x",IF(NOT(ISERROR(HLOOKUP(Standings!BY$3,Entries!$L87:$L87,1,FALSE))),"S",""))</f>
        <v/>
      </c>
      <c r="BZ95" t="str">
        <f>IF(NOT(ISERROR(HLOOKUP(Standings!BZ$3,Entries!$C87:$K87,1,FALSE))),"x",IF(NOT(ISERROR(HLOOKUP(Standings!BZ$3,Entries!$L87:$L87,1,FALSE))),"S",""))</f>
        <v/>
      </c>
      <c r="CA95" t="str">
        <f>IF(NOT(ISERROR(HLOOKUP(Standings!CA$3,Entries!$C87:$K87,1,FALSE))),"x",IF(NOT(ISERROR(HLOOKUP(Standings!CA$3,Entries!$L87:$L87,1,FALSE))),"S",""))</f>
        <v/>
      </c>
      <c r="CB95" t="str">
        <f>IF(NOT(ISERROR(HLOOKUP(Standings!CB$3,Entries!$C87:$K87,1,FALSE))),"x",IF(NOT(ISERROR(HLOOKUP(Standings!CB$3,Entries!$L87:$L87,1,FALSE))),"S",""))</f>
        <v/>
      </c>
      <c r="CC95" t="str">
        <f>IF(NOT(ISERROR(HLOOKUP(Standings!CC$3,Entries!$C87:$K87,1,FALSE))),"x",IF(NOT(ISERROR(HLOOKUP(Standings!CC$3,Entries!$L87:$L87,1,FALSE))),"S",""))</f>
        <v/>
      </c>
      <c r="CD95" t="str">
        <f>IF(NOT(ISERROR(HLOOKUP(Standings!CD$3,Entries!$C87:$K87,1,FALSE))),"x",IF(NOT(ISERROR(HLOOKUP(Standings!CD$3,Entries!$L87:$L87,1,FALSE))),"S",""))</f>
        <v/>
      </c>
      <c r="CE95" t="str">
        <f>IF(NOT(ISERROR(HLOOKUP(Standings!CE$3,Entries!$C87:$K87,1,FALSE))),"x",IF(NOT(ISERROR(HLOOKUP(Standings!CE$3,Entries!$L87:$L87,1,FALSE))),"S",""))</f>
        <v/>
      </c>
      <c r="CF95" t="str">
        <f>IF(NOT(ISERROR(HLOOKUP(Standings!CF$3,Entries!$C87:$K87,1,FALSE))),"x",IF(NOT(ISERROR(HLOOKUP(Standings!CF$3,Entries!$L87:$L87,1,FALSE))),"S",""))</f>
        <v/>
      </c>
      <c r="CG95" t="str">
        <f>IF(NOT(ISERROR(HLOOKUP(Standings!CG$3,Entries!$C87:$K87,1,FALSE))),"x",IF(NOT(ISERROR(HLOOKUP(Standings!CG$3,Entries!$L87:$L87,1,FALSE))),"S",""))</f>
        <v/>
      </c>
      <c r="CH95" t="str">
        <f>IF(NOT(ISERROR(HLOOKUP(Standings!CH$3,Entries!$C87:$K87,1,FALSE))),"x",IF(NOT(ISERROR(HLOOKUP(Standings!CH$3,Entries!$L87:$L87,1,FALSE))),"S",""))</f>
        <v/>
      </c>
      <c r="CI95" t="str">
        <f>IF(NOT(ISERROR(HLOOKUP(Standings!CI$3,Entries!$C87:$K87,1,FALSE))),"x",IF(NOT(ISERROR(HLOOKUP(Standings!CI$3,Entries!$L87:$L87,1,FALSE))),"S",""))</f>
        <v>x</v>
      </c>
      <c r="CJ95" t="str">
        <f>IF(NOT(ISERROR(HLOOKUP(Standings!CJ$3,Entries!$C87:$K87,1,FALSE))),"x",IF(NOT(ISERROR(HLOOKUP(Standings!CJ$3,Entries!$L87:$L87,1,FALSE))),"S",""))</f>
        <v/>
      </c>
      <c r="CK95" t="str">
        <f>IF(NOT(ISERROR(HLOOKUP(Standings!CK$3,Entries!$C87:$K87,1,FALSE))),"x",IF(NOT(ISERROR(HLOOKUP(Standings!CK$3,Entries!$L87:$L87,1,FALSE))),"S",""))</f>
        <v/>
      </c>
      <c r="CL95" t="str">
        <f>IF(NOT(ISERROR(HLOOKUP(Standings!CL$3,Entries!$C87:$K87,1,FALSE))),"x",IF(NOT(ISERROR(HLOOKUP(Standings!CL$3,Entries!$L87:$L87,1,FALSE))),"S",""))</f>
        <v/>
      </c>
      <c r="CM95" t="str">
        <f>IF(NOT(ISERROR(HLOOKUP(Standings!CM$3,Entries!$C87:$K87,1,FALSE))),"x",IF(NOT(ISERROR(HLOOKUP(Standings!CM$3,Entries!$L87:$L87,1,FALSE))),"S",""))</f>
        <v>x</v>
      </c>
      <c r="CN95" t="str">
        <f>IF(NOT(ISERROR(HLOOKUP(Standings!CN$3,Entries!$C87:$K87,1,FALSE))),"x",IF(NOT(ISERROR(HLOOKUP(Standings!CN$3,Entries!$L87:$L87,1,FALSE))),"S",""))</f>
        <v/>
      </c>
      <c r="CO95" t="str">
        <f>IF(NOT(ISERROR(HLOOKUP(Standings!CO$3,Entries!$C87:$K87,1,FALSE))),"x",IF(NOT(ISERROR(HLOOKUP(Standings!CO$3,Entries!$L87:$L87,1,FALSE))),"S",""))</f>
        <v/>
      </c>
      <c r="CP95" t="str">
        <f>IF(NOT(ISERROR(HLOOKUP(Standings!CP$3,Entries!$C87:$K87,1,FALSE))),"x",IF(NOT(ISERROR(HLOOKUP(Standings!CP$3,Entries!$L87:$L87,1,FALSE))),"S",""))</f>
        <v/>
      </c>
      <c r="CQ95" t="str">
        <f>IF(NOT(ISERROR(HLOOKUP(Standings!CQ$3,Entries!$C87:$K87,1,FALSE))),"x",IF(NOT(ISERROR(HLOOKUP(Standings!CQ$3,Entries!$L87:$L87,1,FALSE))),"S",""))</f>
        <v/>
      </c>
      <c r="CR95" t="str">
        <f>IF(NOT(ISERROR(HLOOKUP(Standings!CR$3,Entries!$C87:$K87,1,FALSE))),"x",IF(NOT(ISERROR(HLOOKUP(Standings!CR$3,Entries!$L87:$L87,1,FALSE))),"S",""))</f>
        <v/>
      </c>
      <c r="CS95" t="str">
        <f>IF(NOT(ISERROR(HLOOKUP(Standings!CS$3,Entries!$C87:$K87,1,FALSE))),"x",IF(NOT(ISERROR(HLOOKUP(Standings!CS$3,Entries!$L87:$L87,1,FALSE))),"S",""))</f>
        <v/>
      </c>
      <c r="CT95" t="str">
        <f>IF(NOT(ISERROR(HLOOKUP(Standings!CT$3,Entries!$C87:$K87,1,FALSE))),"x",IF(NOT(ISERROR(HLOOKUP(Standings!CT$3,Entries!$L87:$L87,1,FALSE))),"S",""))</f>
        <v/>
      </c>
      <c r="CU95" t="str">
        <f>IF(NOT(ISERROR(HLOOKUP(Standings!CU$3,Entries!$C87:$K87,1,FALSE))),"x",IF(NOT(ISERROR(HLOOKUP(Standings!CU$3,Entries!$L87:$L87,1,FALSE))),"S",""))</f>
        <v/>
      </c>
      <c r="CV95" t="str">
        <f>IF(NOT(ISERROR(HLOOKUP(Standings!CV$3,Entries!$C87:$K87,1,FALSE))),"x",IF(NOT(ISERROR(HLOOKUP(Standings!CV$3,Entries!$L87:$L87,1,FALSE))),"S",""))</f>
        <v/>
      </c>
      <c r="CW95" t="str">
        <f>IF(NOT(ISERROR(HLOOKUP(Standings!CW$3,Entries!$C87:$K87,1,FALSE))),"x",IF(NOT(ISERROR(HLOOKUP(Standings!CW$3,Entries!$L87:$L87,1,FALSE))),"S",""))</f>
        <v/>
      </c>
      <c r="CX95" t="str">
        <f>IF(NOT(ISERROR(HLOOKUP(Standings!CX$3,Entries!$C87:$K87,1,FALSE))),"x",IF(NOT(ISERROR(HLOOKUP(Standings!CX$3,Entries!$L87:$L87,1,FALSE))),"S",""))</f>
        <v/>
      </c>
      <c r="CY95" t="str">
        <f>IF(NOT(ISERROR(HLOOKUP(Standings!CY$3,Entries!$C87:$K87,1,FALSE))),"x",IF(NOT(ISERROR(HLOOKUP(Standings!CY$3,Entries!$L87:$L87,1,FALSE))),"S",""))</f>
        <v/>
      </c>
      <c r="CZ95" t="str">
        <f>IF(NOT(ISERROR(HLOOKUP(Standings!CZ$3,Entries!$C87:$K87,1,FALSE))),"x",IF(NOT(ISERROR(HLOOKUP(Standings!CZ$3,Entries!$L87:$L87,1,FALSE))),"S",""))</f>
        <v>x</v>
      </c>
      <c r="DA95" t="str">
        <f>IF(NOT(ISERROR(HLOOKUP(Standings!DA$3,Entries!$C87:$K87,1,FALSE))),"x",IF(NOT(ISERROR(HLOOKUP(Standings!DA$3,Entries!$L87:$L87,1,FALSE))),"S",""))</f>
        <v/>
      </c>
      <c r="DB95" t="str">
        <f>IF(NOT(ISERROR(HLOOKUP(Standings!DB$3,Entries!$C87:$K87,1,FALSE))),"x",IF(NOT(ISERROR(HLOOKUP(Standings!DB$3,Entries!$L87:$L87,1,FALSE))),"S",""))</f>
        <v/>
      </c>
    </row>
    <row r="96" spans="1:106" x14ac:dyDescent="0.25">
      <c r="A96" s="18"/>
      <c r="B96">
        <v>26</v>
      </c>
      <c r="C96" t="str">
        <f>Entries!B88</f>
        <v>Horth</v>
      </c>
      <c r="D96" s="4">
        <f t="shared" si="55"/>
        <v>8</v>
      </c>
      <c r="E96" s="31">
        <f t="shared" ref="E96:E101" si="154">IF(C96="","",ROUND(SUM(F96:AK96),0))</f>
        <v>3</v>
      </c>
      <c r="F96" s="40" t="str">
        <f t="shared" ref="F96:F101" si="155">IF(BG96="","",IF(BG96="x",F$6,0)+IF(BG96="S",-F$6-0.00001,0))</f>
        <v/>
      </c>
      <c r="G96" s="41">
        <f t="shared" ref="G96:G101" si="156">IF(BH96="","",IF(BH96="x",G$6,0)+IF(BH96="S",-G$6-0.00001,0))</f>
        <v>-1.0000000000000001E-5</v>
      </c>
      <c r="H96" s="41" t="str">
        <f t="shared" ref="H96:H101" si="157">IF(BI96="","",IF(BI96="x",H$6,0)+IF(BI96="S",-H$6-0.00001,0))</f>
        <v/>
      </c>
      <c r="I96" s="42" t="str">
        <f t="shared" ref="I96:I101" si="158">IF(BJ96="","",IF(BJ96="x",I$6,0)+IF(BJ96="S",-I$6-0.00001,0))</f>
        <v/>
      </c>
      <c r="J96" s="40">
        <f t="shared" ref="J96:J101" si="159">IF(BK96="","",IF(BK96="x",J$6,0)+IF(BK96="S",-J$6-0.00001,0))</f>
        <v>1</v>
      </c>
      <c r="K96" s="41" t="str">
        <f t="shared" ref="K96:K101" si="160">IF(BL96="","",IF(BL96="x",K$6,0)+IF(BL96="S",-K$6-0.00001,0))</f>
        <v/>
      </c>
      <c r="L96" s="41" t="str">
        <f t="shared" ref="L96:L101" si="161">IF(BM96="","",IF(BM96="x",L$6,0)+IF(BM96="S",-L$6-0.00001,0))</f>
        <v/>
      </c>
      <c r="M96" s="42" t="str">
        <f t="shared" ref="M96:M101" si="162">IF(BN96="","",IF(BN96="x",M$6,0)+IF(BN96="S",-M$6-0.00001,0))</f>
        <v/>
      </c>
      <c r="N96" s="43" t="str">
        <f t="shared" ref="N96:N101" si="163">IF(BO96="","",IF(BO96="x",N$6,0)+IF(BO96="S",-N$6-0.00001,0))</f>
        <v/>
      </c>
      <c r="O96" s="41" t="str">
        <f t="shared" ref="O96:O101" si="164">IF(BP96="","",IF(BP96="x",O$6,0)+IF(BP96="S",-O$6-0.00001,0))</f>
        <v/>
      </c>
      <c r="P96" s="41" t="str">
        <f t="shared" ref="P96:P101" si="165">IF(BQ96="","",IF(BQ96="x",P$6,0)+IF(BQ96="S",-P$6-0.00001,0))</f>
        <v/>
      </c>
      <c r="Q96" s="42" t="str">
        <f t="shared" ref="Q96:Q101" si="166">IF(BR96="","",IF(BR96="x",Q$6,0)+IF(BR96="S",-Q$6-0.00001,0))</f>
        <v/>
      </c>
      <c r="R96" s="40">
        <f t="shared" ref="R96:R101" si="167">IF(BS96="","",IF(BS96="x",R$6,0)+IF(BS96="S",-R$6-0.00001,0))</f>
        <v>2</v>
      </c>
      <c r="S96" s="41" t="str">
        <f t="shared" ref="S96:S101" si="168">IF(BT96="","",IF(BT96="x",S$6,0)+IF(BT96="S",-S$6-0.00001,0))</f>
        <v/>
      </c>
      <c r="T96" s="43" t="str">
        <f t="shared" ref="T96:T101" si="169">IF(BU96="","",IF(BU96="x",T$6,0)+IF(BU96="S",-T$6-0.00001,0))</f>
        <v/>
      </c>
      <c r="U96" s="42" t="str">
        <f t="shared" ref="U96:U101" si="170">IF(BV96="","",IF(BV96="x",U$6,0)+IF(BV96="S",-U$6-0.00001,0))</f>
        <v/>
      </c>
      <c r="V96" s="40" t="str">
        <f t="shared" ref="V96:V101" si="171">IF(BW96="","",IF(BW96="x",V$6,0)+IF(BW96="S",-V$6-0.00001,0))</f>
        <v/>
      </c>
      <c r="W96" s="41" t="str">
        <f t="shared" ref="W96:W101" si="172">IF(BX96="","",IF(BX96="x",W$6,0)+IF(BX96="S",-W$6-0.00001,0))</f>
        <v/>
      </c>
      <c r="X96" s="41" t="str">
        <f t="shared" ref="X96:X101" si="173">IF(BY96="","",IF(BY96="x",X$6,0)+IF(BY96="S",-X$6-0.00001,0))</f>
        <v/>
      </c>
      <c r="Y96" s="42" t="str">
        <f t="shared" ref="Y96:Y101" si="174">IF(BZ96="","",IF(BZ96="x",Y$6,0)+IF(BZ96="S",-Y$6-0.00001,0))</f>
        <v/>
      </c>
      <c r="Z96" s="40" t="str">
        <f t="shared" ref="Z96:Z101" si="175">IF(CA96="","",IF(CA96="x",Z$6,0)+IF(CA96="S",-Z$6-0.00001,0))</f>
        <v/>
      </c>
      <c r="AA96" s="41" t="str">
        <f t="shared" ref="AA96:AA101" si="176">IF(CB96="","",IF(CB96="x",AA$6,0)+IF(CB96="S",-AA$6-0.00001,0))</f>
        <v/>
      </c>
      <c r="AB96" s="41" t="str">
        <f t="shared" ref="AB96:AB101" si="177">IF(CC96="","",IF(CC96="x",AB$6,0)+IF(CC96="S",-AB$6-0.00001,0))</f>
        <v/>
      </c>
      <c r="AC96" s="42" t="str">
        <f t="shared" ref="AC96:AC101" si="178">IF(CD96="","",IF(CD96="x",AC$6,0)+IF(CD96="S",-AC$6-0.00001,0))</f>
        <v/>
      </c>
      <c r="AD96" s="40" t="str">
        <f t="shared" ref="AD96:AD101" si="179">IF(CE96="","",IF(CE96="x",AD$6,0)+IF(CE96="S",-AD$6-0.00001,0))</f>
        <v/>
      </c>
      <c r="AE96" s="41" t="str">
        <f t="shared" ref="AE96:AE101" si="180">IF(CF96="","",IF(CF96="x",AE$6,0)+IF(CF96="S",-AE$6-0.00001,0))</f>
        <v/>
      </c>
      <c r="AF96" s="41" t="str">
        <f t="shared" ref="AF96:AF101" si="181">IF(CG96="","",IF(CG96="x",AF$6,0)+IF(CG96="S",-AF$6-0.00001,0))</f>
        <v/>
      </c>
      <c r="AG96" s="42">
        <f t="shared" ref="AG96:AG101" si="182">IF(CH96="","",IF(CH96="x",AG$6,0)+IF(CH96="S",-AG$6-0.00001,0))</f>
        <v>0</v>
      </c>
      <c r="AH96" s="40" t="str">
        <f t="shared" ref="AH96:AH101" si="183">IF(CI96="","",IF(CI96="x",AH$6,0)+IF(CI96="S",-AH$6-0.00001,0))</f>
        <v/>
      </c>
      <c r="AI96" s="41" t="str">
        <f t="shared" ref="AI96:AI101" si="184">IF(CJ96="","",IF(CJ96="x",AI$6,0)+IF(CJ96="S",-AI$6-0.00001,0))</f>
        <v/>
      </c>
      <c r="AJ96" s="41" t="str">
        <f t="shared" ref="AJ96:AJ101" si="185">IF(CK96="","",IF(CK96="x",AJ$6,0)+IF(CK96="S",-AJ$6-0.00001,0))</f>
        <v/>
      </c>
      <c r="AK96" s="42" t="str">
        <f t="shared" ref="AK96:AK101" si="186">IF(CL96="","",IF(CL96="x",AK$6,0)+IF(CL96="S",-AK$6-0.00001,0))</f>
        <v/>
      </c>
      <c r="AL96" s="40" t="str">
        <f t="shared" ref="AL96:AL101" si="187">IF(CM96="","",IF(CM96="x",AL$6,0)+IF(CM96="S",-AL$6-0.00001,0))</f>
        <v/>
      </c>
      <c r="AM96" s="41" t="str">
        <f t="shared" ref="AM96:AM101" si="188">IF(CN96="","",IF(CN96="x",AM$6,0)+IF(CN96="S",-AM$6-0.00001,0))</f>
        <v/>
      </c>
      <c r="AN96" s="41" t="str">
        <f t="shared" ref="AN96:AN101" si="189">IF(CO96="","",IF(CO96="x",AN$6,0)+IF(CO96="S",-AN$6-0.00001,0))</f>
        <v/>
      </c>
      <c r="AO96" s="42" t="str">
        <f t="shared" ref="AO96:AO101" si="190">IF(CP96="","",IF(CP96="x",AO$6,0)+IF(CP96="S",-AO$6-0.00001,0))</f>
        <v/>
      </c>
      <c r="AP96" s="40" t="str">
        <f t="shared" ref="AP96:AP101" si="191">IF(CQ96="","",IF(CQ96="x",AP$6,0)+IF(CQ96="S",-AP$6-0.00001,0))</f>
        <v/>
      </c>
      <c r="AQ96" s="41" t="str">
        <f t="shared" ref="AQ96:AQ101" si="192">IF(CR96="","",IF(CR96="x",AQ$6,0)+IF(CR96="S",-AQ$6-0.00001,0))</f>
        <v/>
      </c>
      <c r="AR96" s="41" t="str">
        <f t="shared" ref="AR96:AR101" si="193">IF(CS96="","",IF(CS96="x",AR$6,0)+IF(CS96="S",-AR$6-0.00001,0))</f>
        <v/>
      </c>
      <c r="AS96" s="42" t="str">
        <f t="shared" ref="AS96:AS101" si="194">IF(CT96="","",IF(CT96="x",AS$6,0)+IF(CT96="S",-AS$6-0.00001,0))</f>
        <v/>
      </c>
      <c r="AT96" s="40" t="str">
        <f t="shared" ref="AT96:AT101" si="195">IF(CU96="","",IF(CU96="x",AT$6,0)+IF(CU96="S",-AT$6-0.00001,0))</f>
        <v/>
      </c>
      <c r="AU96" s="41" t="str">
        <f t="shared" ref="AU96:AU101" si="196">IF(CV96="","",IF(CV96="x",AU$6,0)+IF(CV96="S",-AU$6-0.00001,0))</f>
        <v/>
      </c>
      <c r="AV96" s="41" t="str">
        <f t="shared" ref="AV96:AV101" si="197">IF(CW96="","",IF(CW96="x",AV$6,0)+IF(CW96="S",-AV$6-0.00001,0))</f>
        <v/>
      </c>
      <c r="AW96" s="42" t="str">
        <f t="shared" ref="AW96:AW101" si="198">IF(CX96="","",IF(CX96="x",AW$6,0)+IF(CX96="S",-AW$6-0.00001,0))</f>
        <v/>
      </c>
      <c r="AX96" s="40">
        <f t="shared" ref="AX96:AX101" si="199">IF(CY96="","",IF(CY96="x",AX$6,0)+IF(CY96="S",-AX$6-0.00001,0))</f>
        <v>0</v>
      </c>
      <c r="AY96" s="41" t="str">
        <f t="shared" ref="AY96:AY101" si="200">IF(CZ96="","",IF(CZ96="x",AY$6,0)+IF(CZ96="S",-AY$6-0.00001,0))</f>
        <v/>
      </c>
      <c r="AZ96" s="41" t="str">
        <f t="shared" ref="AZ96:AZ101" si="201">IF(DA96="","",IF(DA96="x",AZ$6,0)+IF(DA96="S",-AZ$6-0.00001,0))</f>
        <v/>
      </c>
      <c r="BA96" s="42" t="str">
        <f t="shared" ref="BA96:BA101" si="202">IF(DB96="","",IF(DB96="x",BA$6,0)+IF(DB96="S",-BA$6-0.00001,0))</f>
        <v/>
      </c>
      <c r="BB96" s="37" t="s">
        <v>106</v>
      </c>
      <c r="BC96" s="21"/>
      <c r="BD96" s="21"/>
      <c r="BG96" t="str">
        <f>IF(NOT(ISERROR(HLOOKUP(Standings!BG$3,Entries!$C88:$K88,1,FALSE))),"x",IF(NOT(ISERROR(HLOOKUP(Standings!BG$3,Entries!$L88:$L88,1,FALSE))),"S",""))</f>
        <v/>
      </c>
      <c r="BH96" t="str">
        <f>IF(NOT(ISERROR(HLOOKUP(Standings!BH$3,Entries!$C88:$K88,1,FALSE))),"x",IF(NOT(ISERROR(HLOOKUP(Standings!BH$3,Entries!$L88:$L88,1,FALSE))),"S",""))</f>
        <v>S</v>
      </c>
      <c r="BI96" t="str">
        <f>IF(NOT(ISERROR(HLOOKUP(Standings!BI$3,Entries!$C88:$K88,1,FALSE))),"x",IF(NOT(ISERROR(HLOOKUP(Standings!BI$3,Entries!$L88:$L88,1,FALSE))),"S",""))</f>
        <v/>
      </c>
      <c r="BJ96" t="str">
        <f>IF(NOT(ISERROR(HLOOKUP(Standings!BJ$3,Entries!$C88:$K88,1,FALSE))),"x",IF(NOT(ISERROR(HLOOKUP(Standings!BJ$3,Entries!$L88:$L88,1,FALSE))),"S",""))</f>
        <v/>
      </c>
      <c r="BK96" t="str">
        <f>IF(NOT(ISERROR(HLOOKUP(Standings!BK$3,Entries!$C88:$K88,1,FALSE))),"x",IF(NOT(ISERROR(HLOOKUP(Standings!BK$3,Entries!$L88:$L88,1,FALSE))),"S",""))</f>
        <v>x</v>
      </c>
      <c r="BL96" t="str">
        <f>IF(NOT(ISERROR(HLOOKUP(Standings!BL$3,Entries!$C88:$K88,1,FALSE))),"x",IF(NOT(ISERROR(HLOOKUP(Standings!BL$3,Entries!$L88:$L88,1,FALSE))),"S",""))</f>
        <v/>
      </c>
      <c r="BM96" t="str">
        <f>IF(NOT(ISERROR(HLOOKUP(Standings!BM$3,Entries!$C88:$K88,1,FALSE))),"x",IF(NOT(ISERROR(HLOOKUP(Standings!BM$3,Entries!$L88:$L88,1,FALSE))),"S",""))</f>
        <v/>
      </c>
      <c r="BN96" t="str">
        <f>IF(NOT(ISERROR(HLOOKUP(Standings!BN$3,Entries!$C88:$K88,1,FALSE))),"x",IF(NOT(ISERROR(HLOOKUP(Standings!BN$3,Entries!$L88:$L88,1,FALSE))),"S",""))</f>
        <v/>
      </c>
      <c r="BO96" t="str">
        <f>IF(NOT(ISERROR(HLOOKUP(Standings!BO$3,Entries!$C88:$K88,1,FALSE))),"x",IF(NOT(ISERROR(HLOOKUP(Standings!BO$3,Entries!$L88:$L88,1,FALSE))),"S",""))</f>
        <v/>
      </c>
      <c r="BP96" t="str">
        <f>IF(NOT(ISERROR(HLOOKUP(Standings!BP$3,Entries!$C88:$K88,1,FALSE))),"x",IF(NOT(ISERROR(HLOOKUP(Standings!BP$3,Entries!$L88:$L88,1,FALSE))),"S",""))</f>
        <v/>
      </c>
      <c r="BQ96" t="str">
        <f>IF(NOT(ISERROR(HLOOKUP(Standings!BQ$3,Entries!$C88:$K88,1,FALSE))),"x",IF(NOT(ISERROR(HLOOKUP(Standings!BQ$3,Entries!$L88:$L88,1,FALSE))),"S",""))</f>
        <v/>
      </c>
      <c r="BR96" t="str">
        <f>IF(NOT(ISERROR(HLOOKUP(Standings!BR$3,Entries!$C88:$K88,1,FALSE))),"x",IF(NOT(ISERROR(HLOOKUP(Standings!BR$3,Entries!$L88:$L88,1,FALSE))),"S",""))</f>
        <v/>
      </c>
      <c r="BS96" t="str">
        <f>IF(NOT(ISERROR(HLOOKUP(Standings!BS$3,Entries!$C88:$K88,1,FALSE))),"x",IF(NOT(ISERROR(HLOOKUP(Standings!BS$3,Entries!$L88:$L88,1,FALSE))),"S",""))</f>
        <v>x</v>
      </c>
      <c r="BT96" t="str">
        <f>IF(NOT(ISERROR(HLOOKUP(Standings!BT$3,Entries!$C88:$K88,1,FALSE))),"x",IF(NOT(ISERROR(HLOOKUP(Standings!BT$3,Entries!$L88:$L88,1,FALSE))),"S",""))</f>
        <v/>
      </c>
      <c r="BU96" t="str">
        <f>IF(NOT(ISERROR(HLOOKUP(Standings!BU$3,Entries!$C88:$K88,1,FALSE))),"x",IF(NOT(ISERROR(HLOOKUP(Standings!BU$3,Entries!$L88:$L88,1,FALSE))),"S",""))</f>
        <v/>
      </c>
      <c r="BV96" t="str">
        <f>IF(NOT(ISERROR(HLOOKUP(Standings!BV$3,Entries!$C88:$K88,1,FALSE))),"x",IF(NOT(ISERROR(HLOOKUP(Standings!BV$3,Entries!$L88:$L88,1,FALSE))),"S",""))</f>
        <v/>
      </c>
      <c r="BW96" t="str">
        <f>IF(NOT(ISERROR(HLOOKUP(Standings!BW$3,Entries!$C88:$K88,1,FALSE))),"x",IF(NOT(ISERROR(HLOOKUP(Standings!BW$3,Entries!$L88:$L88,1,FALSE))),"S",""))</f>
        <v/>
      </c>
      <c r="BX96" t="str">
        <f>IF(NOT(ISERROR(HLOOKUP(Standings!BX$3,Entries!$C88:$K88,1,FALSE))),"x",IF(NOT(ISERROR(HLOOKUP(Standings!BX$3,Entries!$L88:$L88,1,FALSE))),"S",""))</f>
        <v/>
      </c>
      <c r="BY96" t="str">
        <f>IF(NOT(ISERROR(HLOOKUP(Standings!BY$3,Entries!$C88:$K88,1,FALSE))),"x",IF(NOT(ISERROR(HLOOKUP(Standings!BY$3,Entries!$L88:$L88,1,FALSE))),"S",""))</f>
        <v/>
      </c>
      <c r="BZ96" t="str">
        <f>IF(NOT(ISERROR(HLOOKUP(Standings!BZ$3,Entries!$C88:$K88,1,FALSE))),"x",IF(NOT(ISERROR(HLOOKUP(Standings!BZ$3,Entries!$L88:$L88,1,FALSE))),"S",""))</f>
        <v/>
      </c>
      <c r="CA96" t="str">
        <f>IF(NOT(ISERROR(HLOOKUP(Standings!CA$3,Entries!$C88:$K88,1,FALSE))),"x",IF(NOT(ISERROR(HLOOKUP(Standings!CA$3,Entries!$L88:$L88,1,FALSE))),"S",""))</f>
        <v/>
      </c>
      <c r="CB96" t="str">
        <f>IF(NOT(ISERROR(HLOOKUP(Standings!CB$3,Entries!$C88:$K88,1,FALSE))),"x",IF(NOT(ISERROR(HLOOKUP(Standings!CB$3,Entries!$L88:$L88,1,FALSE))),"S",""))</f>
        <v/>
      </c>
      <c r="CC96" t="str">
        <f>IF(NOT(ISERROR(HLOOKUP(Standings!CC$3,Entries!$C88:$K88,1,FALSE))),"x",IF(NOT(ISERROR(HLOOKUP(Standings!CC$3,Entries!$L88:$L88,1,FALSE))),"S",""))</f>
        <v/>
      </c>
      <c r="CD96" t="str">
        <f>IF(NOT(ISERROR(HLOOKUP(Standings!CD$3,Entries!$C88:$K88,1,FALSE))),"x",IF(NOT(ISERROR(HLOOKUP(Standings!CD$3,Entries!$L88:$L88,1,FALSE))),"S",""))</f>
        <v/>
      </c>
      <c r="CE96" t="str">
        <f>IF(NOT(ISERROR(HLOOKUP(Standings!CE$3,Entries!$C88:$K88,1,FALSE))),"x",IF(NOT(ISERROR(HLOOKUP(Standings!CE$3,Entries!$L88:$L88,1,FALSE))),"S",""))</f>
        <v/>
      </c>
      <c r="CF96" t="str">
        <f>IF(NOT(ISERROR(HLOOKUP(Standings!CF$3,Entries!$C88:$K88,1,FALSE))),"x",IF(NOT(ISERROR(HLOOKUP(Standings!CF$3,Entries!$L88:$L88,1,FALSE))),"S",""))</f>
        <v/>
      </c>
      <c r="CG96" t="str">
        <f>IF(NOT(ISERROR(HLOOKUP(Standings!CG$3,Entries!$C88:$K88,1,FALSE))),"x",IF(NOT(ISERROR(HLOOKUP(Standings!CG$3,Entries!$L88:$L88,1,FALSE))),"S",""))</f>
        <v/>
      </c>
      <c r="CH96" t="str">
        <f>IF(NOT(ISERROR(HLOOKUP(Standings!CH$3,Entries!$C88:$K88,1,FALSE))),"x",IF(NOT(ISERROR(HLOOKUP(Standings!CH$3,Entries!$L88:$L88,1,FALSE))),"S",""))</f>
        <v>x</v>
      </c>
      <c r="CI96" t="str">
        <f>IF(NOT(ISERROR(HLOOKUP(Standings!CI$3,Entries!$C88:$K88,1,FALSE))),"x",IF(NOT(ISERROR(HLOOKUP(Standings!CI$3,Entries!$L88:$L88,1,FALSE))),"S",""))</f>
        <v/>
      </c>
      <c r="CJ96" t="str">
        <f>IF(NOT(ISERROR(HLOOKUP(Standings!CJ$3,Entries!$C88:$K88,1,FALSE))),"x",IF(NOT(ISERROR(HLOOKUP(Standings!CJ$3,Entries!$L88:$L88,1,FALSE))),"S",""))</f>
        <v/>
      </c>
      <c r="CK96" t="str">
        <f>IF(NOT(ISERROR(HLOOKUP(Standings!CK$3,Entries!$C88:$K88,1,FALSE))),"x",IF(NOT(ISERROR(HLOOKUP(Standings!CK$3,Entries!$L88:$L88,1,FALSE))),"S",""))</f>
        <v/>
      </c>
      <c r="CL96" t="str">
        <f>IF(NOT(ISERROR(HLOOKUP(Standings!CL$3,Entries!$C88:$K88,1,FALSE))),"x",IF(NOT(ISERROR(HLOOKUP(Standings!CL$3,Entries!$L88:$L88,1,FALSE))),"S",""))</f>
        <v/>
      </c>
      <c r="CM96" t="str">
        <f>IF(NOT(ISERROR(HLOOKUP(Standings!CM$3,Entries!$C88:$K88,1,FALSE))),"x",IF(NOT(ISERROR(HLOOKUP(Standings!CM$3,Entries!$L88:$L88,1,FALSE))),"S",""))</f>
        <v/>
      </c>
      <c r="CN96" t="str">
        <f>IF(NOT(ISERROR(HLOOKUP(Standings!CN$3,Entries!$C88:$K88,1,FALSE))),"x",IF(NOT(ISERROR(HLOOKUP(Standings!CN$3,Entries!$L88:$L88,1,FALSE))),"S",""))</f>
        <v/>
      </c>
      <c r="CO96" t="str">
        <f>IF(NOT(ISERROR(HLOOKUP(Standings!CO$3,Entries!$C88:$K88,1,FALSE))),"x",IF(NOT(ISERROR(HLOOKUP(Standings!CO$3,Entries!$L88:$L88,1,FALSE))),"S",""))</f>
        <v/>
      </c>
      <c r="CP96" t="str">
        <f>IF(NOT(ISERROR(HLOOKUP(Standings!CP$3,Entries!$C88:$K88,1,FALSE))),"x",IF(NOT(ISERROR(HLOOKUP(Standings!CP$3,Entries!$L88:$L88,1,FALSE))),"S",""))</f>
        <v/>
      </c>
      <c r="CQ96" t="str">
        <f>IF(NOT(ISERROR(HLOOKUP(Standings!CQ$3,Entries!$C88:$K88,1,FALSE))),"x",IF(NOT(ISERROR(HLOOKUP(Standings!CQ$3,Entries!$L88:$L88,1,FALSE))),"S",""))</f>
        <v/>
      </c>
      <c r="CR96" t="str">
        <f>IF(NOT(ISERROR(HLOOKUP(Standings!CR$3,Entries!$C88:$K88,1,FALSE))),"x",IF(NOT(ISERROR(HLOOKUP(Standings!CR$3,Entries!$L88:$L88,1,FALSE))),"S",""))</f>
        <v/>
      </c>
      <c r="CS96" t="str">
        <f>IF(NOT(ISERROR(HLOOKUP(Standings!CS$3,Entries!$C88:$K88,1,FALSE))),"x",IF(NOT(ISERROR(HLOOKUP(Standings!CS$3,Entries!$L88:$L88,1,FALSE))),"S",""))</f>
        <v/>
      </c>
      <c r="CT96" t="str">
        <f>IF(NOT(ISERROR(HLOOKUP(Standings!CT$3,Entries!$C88:$K88,1,FALSE))),"x",IF(NOT(ISERROR(HLOOKUP(Standings!CT$3,Entries!$L88:$L88,1,FALSE))),"S",""))</f>
        <v/>
      </c>
      <c r="CU96" t="str">
        <f>IF(NOT(ISERROR(HLOOKUP(Standings!CU$3,Entries!$C88:$K88,1,FALSE))),"x",IF(NOT(ISERROR(HLOOKUP(Standings!CU$3,Entries!$L88:$L88,1,FALSE))),"S",""))</f>
        <v/>
      </c>
      <c r="CV96" t="str">
        <f>IF(NOT(ISERROR(HLOOKUP(Standings!CV$3,Entries!$C88:$K88,1,FALSE))),"x",IF(NOT(ISERROR(HLOOKUP(Standings!CV$3,Entries!$L88:$L88,1,FALSE))),"S",""))</f>
        <v/>
      </c>
      <c r="CW96" t="str">
        <f>IF(NOT(ISERROR(HLOOKUP(Standings!CW$3,Entries!$C88:$K88,1,FALSE))),"x",IF(NOT(ISERROR(HLOOKUP(Standings!CW$3,Entries!$L88:$L88,1,FALSE))),"S",""))</f>
        <v/>
      </c>
      <c r="CX96" t="str">
        <f>IF(NOT(ISERROR(HLOOKUP(Standings!CX$3,Entries!$C88:$K88,1,FALSE))),"x",IF(NOT(ISERROR(HLOOKUP(Standings!CX$3,Entries!$L88:$L88,1,FALSE))),"S",""))</f>
        <v/>
      </c>
      <c r="CY96" t="str">
        <f>IF(NOT(ISERROR(HLOOKUP(Standings!CY$3,Entries!$C88:$K88,1,FALSE))),"x",IF(NOT(ISERROR(HLOOKUP(Standings!CY$3,Entries!$L88:$L88,1,FALSE))),"S",""))</f>
        <v>x</v>
      </c>
      <c r="CZ96" t="str">
        <f>IF(NOT(ISERROR(HLOOKUP(Standings!CZ$3,Entries!$C88:$K88,1,FALSE))),"x",IF(NOT(ISERROR(HLOOKUP(Standings!CZ$3,Entries!$L88:$L88,1,FALSE))),"S",""))</f>
        <v/>
      </c>
      <c r="DA96" t="str">
        <f>IF(NOT(ISERROR(HLOOKUP(Standings!DA$3,Entries!$C88:$K88,1,FALSE))),"x",IF(NOT(ISERROR(HLOOKUP(Standings!DA$3,Entries!$L88:$L88,1,FALSE))),"S",""))</f>
        <v/>
      </c>
      <c r="DB96" t="str">
        <f>IF(NOT(ISERROR(HLOOKUP(Standings!DB$3,Entries!$C88:$K88,1,FALSE))),"x",IF(NOT(ISERROR(HLOOKUP(Standings!DB$3,Entries!$L88:$L88,1,FALSE))),"S",""))</f>
        <v/>
      </c>
    </row>
    <row r="97" spans="1:106" x14ac:dyDescent="0.25">
      <c r="A97" s="18"/>
      <c r="B97">
        <v>26</v>
      </c>
      <c r="C97" t="str">
        <f>Entries!B89</f>
        <v>MonicaBullock</v>
      </c>
      <c r="D97" s="4">
        <f t="shared" si="55"/>
        <v>55</v>
      </c>
      <c r="E97" s="31">
        <f t="shared" si="154"/>
        <v>0</v>
      </c>
      <c r="F97" s="40" t="str">
        <f t="shared" si="155"/>
        <v/>
      </c>
      <c r="G97" s="41" t="str">
        <f t="shared" si="156"/>
        <v/>
      </c>
      <c r="H97" s="41" t="str">
        <f t="shared" si="157"/>
        <v/>
      </c>
      <c r="I97" s="42" t="str">
        <f t="shared" si="158"/>
        <v/>
      </c>
      <c r="J97" s="40" t="str">
        <f t="shared" si="159"/>
        <v/>
      </c>
      <c r="K97" s="41">
        <f t="shared" si="160"/>
        <v>0</v>
      </c>
      <c r="L97" s="41" t="str">
        <f t="shared" si="161"/>
        <v/>
      </c>
      <c r="M97" s="42" t="str">
        <f t="shared" si="162"/>
        <v/>
      </c>
      <c r="N97" s="43" t="str">
        <f t="shared" si="163"/>
        <v/>
      </c>
      <c r="O97" s="41" t="str">
        <f t="shared" si="164"/>
        <v/>
      </c>
      <c r="P97" s="41" t="str">
        <f t="shared" si="165"/>
        <v/>
      </c>
      <c r="Q97" s="42" t="str">
        <f t="shared" si="166"/>
        <v/>
      </c>
      <c r="R97" s="40" t="str">
        <f t="shared" si="167"/>
        <v/>
      </c>
      <c r="S97" s="41" t="str">
        <f t="shared" si="168"/>
        <v/>
      </c>
      <c r="T97" s="43" t="str">
        <f t="shared" si="169"/>
        <v/>
      </c>
      <c r="U97" s="42" t="str">
        <f t="shared" si="170"/>
        <v/>
      </c>
      <c r="V97" s="40" t="str">
        <f t="shared" si="171"/>
        <v/>
      </c>
      <c r="W97" s="41" t="str">
        <f t="shared" si="172"/>
        <v/>
      </c>
      <c r="X97" s="41" t="str">
        <f t="shared" si="173"/>
        <v/>
      </c>
      <c r="Y97" s="42">
        <f t="shared" si="174"/>
        <v>0</v>
      </c>
      <c r="Z97" s="40" t="str">
        <f t="shared" si="175"/>
        <v/>
      </c>
      <c r="AA97" s="41">
        <f t="shared" si="176"/>
        <v>0</v>
      </c>
      <c r="AB97" s="41" t="str">
        <f t="shared" si="177"/>
        <v/>
      </c>
      <c r="AC97" s="42" t="str">
        <f t="shared" si="178"/>
        <v/>
      </c>
      <c r="AD97" s="40">
        <f t="shared" si="179"/>
        <v>-1.0000000000000001E-5</v>
      </c>
      <c r="AE97" s="41" t="str">
        <f t="shared" si="180"/>
        <v/>
      </c>
      <c r="AF97" s="41" t="str">
        <f t="shared" si="181"/>
        <v/>
      </c>
      <c r="AG97" s="42" t="str">
        <f t="shared" si="182"/>
        <v/>
      </c>
      <c r="AH97" s="40" t="str">
        <f t="shared" si="183"/>
        <v/>
      </c>
      <c r="AI97" s="41" t="str">
        <f t="shared" si="184"/>
        <v/>
      </c>
      <c r="AJ97" s="41" t="str">
        <f t="shared" si="185"/>
        <v/>
      </c>
      <c r="AK97" s="42" t="str">
        <f t="shared" si="186"/>
        <v/>
      </c>
      <c r="AL97" s="40" t="str">
        <f t="shared" si="187"/>
        <v/>
      </c>
      <c r="AM97" s="41" t="str">
        <f t="shared" si="188"/>
        <v/>
      </c>
      <c r="AN97" s="41" t="str">
        <f t="shared" si="189"/>
        <v/>
      </c>
      <c r="AO97" s="42" t="str">
        <f t="shared" si="190"/>
        <v/>
      </c>
      <c r="AP97" s="40" t="str">
        <f t="shared" si="191"/>
        <v/>
      </c>
      <c r="AQ97" s="41" t="str">
        <f t="shared" si="192"/>
        <v/>
      </c>
      <c r="AR97" s="41" t="str">
        <f t="shared" si="193"/>
        <v/>
      </c>
      <c r="AS97" s="42" t="str">
        <f t="shared" si="194"/>
        <v/>
      </c>
      <c r="AT97" s="40">
        <f t="shared" si="195"/>
        <v>0</v>
      </c>
      <c r="AU97" s="41" t="str">
        <f t="shared" si="196"/>
        <v/>
      </c>
      <c r="AV97" s="41">
        <f t="shared" si="197"/>
        <v>0</v>
      </c>
      <c r="AW97" s="42" t="str">
        <f t="shared" si="198"/>
        <v/>
      </c>
      <c r="AX97" s="40" t="str">
        <f t="shared" si="199"/>
        <v/>
      </c>
      <c r="AY97" s="41" t="str">
        <f t="shared" si="200"/>
        <v/>
      </c>
      <c r="AZ97" s="41" t="str">
        <f t="shared" si="201"/>
        <v/>
      </c>
      <c r="BA97" s="42" t="str">
        <f t="shared" si="202"/>
        <v/>
      </c>
      <c r="BB97" s="37" t="s">
        <v>106</v>
      </c>
      <c r="BC97" s="21"/>
      <c r="BD97" s="21"/>
      <c r="BG97" t="str">
        <f>IF(NOT(ISERROR(HLOOKUP(Standings!BG$3,Entries!$C89:$K89,1,FALSE))),"x",IF(NOT(ISERROR(HLOOKUP(Standings!BG$3,Entries!$L89:$L89,1,FALSE))),"S",""))</f>
        <v/>
      </c>
      <c r="BH97" t="str">
        <f>IF(NOT(ISERROR(HLOOKUP(Standings!BH$3,Entries!$C89:$K89,1,FALSE))),"x",IF(NOT(ISERROR(HLOOKUP(Standings!BH$3,Entries!$L89:$L89,1,FALSE))),"S",""))</f>
        <v/>
      </c>
      <c r="BI97" t="str">
        <f>IF(NOT(ISERROR(HLOOKUP(Standings!BI$3,Entries!$C89:$K89,1,FALSE))),"x",IF(NOT(ISERROR(HLOOKUP(Standings!BI$3,Entries!$L89:$L89,1,FALSE))),"S",""))</f>
        <v/>
      </c>
      <c r="BJ97" t="str">
        <f>IF(NOT(ISERROR(HLOOKUP(Standings!BJ$3,Entries!$C89:$K89,1,FALSE))),"x",IF(NOT(ISERROR(HLOOKUP(Standings!BJ$3,Entries!$L89:$L89,1,FALSE))),"S",""))</f>
        <v/>
      </c>
      <c r="BK97" t="str">
        <f>IF(NOT(ISERROR(HLOOKUP(Standings!BK$3,Entries!$C89:$K89,1,FALSE))),"x",IF(NOT(ISERROR(HLOOKUP(Standings!BK$3,Entries!$L89:$L89,1,FALSE))),"S",""))</f>
        <v/>
      </c>
      <c r="BL97" t="str">
        <f>IF(NOT(ISERROR(HLOOKUP(Standings!BL$3,Entries!$C89:$K89,1,FALSE))),"x",IF(NOT(ISERROR(HLOOKUP(Standings!BL$3,Entries!$L89:$L89,1,FALSE))),"S",""))</f>
        <v>x</v>
      </c>
      <c r="BM97" t="str">
        <f>IF(NOT(ISERROR(HLOOKUP(Standings!BM$3,Entries!$C89:$K89,1,FALSE))),"x",IF(NOT(ISERROR(HLOOKUP(Standings!BM$3,Entries!$L89:$L89,1,FALSE))),"S",""))</f>
        <v/>
      </c>
      <c r="BN97" t="str">
        <f>IF(NOT(ISERROR(HLOOKUP(Standings!BN$3,Entries!$C89:$K89,1,FALSE))),"x",IF(NOT(ISERROR(HLOOKUP(Standings!BN$3,Entries!$L89:$L89,1,FALSE))),"S",""))</f>
        <v/>
      </c>
      <c r="BO97" t="str">
        <f>IF(NOT(ISERROR(HLOOKUP(Standings!BO$3,Entries!$C89:$K89,1,FALSE))),"x",IF(NOT(ISERROR(HLOOKUP(Standings!BO$3,Entries!$L89:$L89,1,FALSE))),"S",""))</f>
        <v/>
      </c>
      <c r="BP97" t="str">
        <f>IF(NOT(ISERROR(HLOOKUP(Standings!BP$3,Entries!$C89:$K89,1,FALSE))),"x",IF(NOT(ISERROR(HLOOKUP(Standings!BP$3,Entries!$L89:$L89,1,FALSE))),"S",""))</f>
        <v/>
      </c>
      <c r="BQ97" t="str">
        <f>IF(NOT(ISERROR(HLOOKUP(Standings!BQ$3,Entries!$C89:$K89,1,FALSE))),"x",IF(NOT(ISERROR(HLOOKUP(Standings!BQ$3,Entries!$L89:$L89,1,FALSE))),"S",""))</f>
        <v/>
      </c>
      <c r="BR97" t="str">
        <f>IF(NOT(ISERROR(HLOOKUP(Standings!BR$3,Entries!$C89:$K89,1,FALSE))),"x",IF(NOT(ISERROR(HLOOKUP(Standings!BR$3,Entries!$L89:$L89,1,FALSE))),"S",""))</f>
        <v/>
      </c>
      <c r="BS97" t="str">
        <f>IF(NOT(ISERROR(HLOOKUP(Standings!BS$3,Entries!$C89:$K89,1,FALSE))),"x",IF(NOT(ISERROR(HLOOKUP(Standings!BS$3,Entries!$L89:$L89,1,FALSE))),"S",""))</f>
        <v/>
      </c>
      <c r="BT97" t="str">
        <f>IF(NOT(ISERROR(HLOOKUP(Standings!BT$3,Entries!$C89:$K89,1,FALSE))),"x",IF(NOT(ISERROR(HLOOKUP(Standings!BT$3,Entries!$L89:$L89,1,FALSE))),"S",""))</f>
        <v/>
      </c>
      <c r="BU97" t="str">
        <f>IF(NOT(ISERROR(HLOOKUP(Standings!BU$3,Entries!$C89:$K89,1,FALSE))),"x",IF(NOT(ISERROR(HLOOKUP(Standings!BU$3,Entries!$L89:$L89,1,FALSE))),"S",""))</f>
        <v/>
      </c>
      <c r="BV97" t="str">
        <f>IF(NOT(ISERROR(HLOOKUP(Standings!BV$3,Entries!$C89:$K89,1,FALSE))),"x",IF(NOT(ISERROR(HLOOKUP(Standings!BV$3,Entries!$L89:$L89,1,FALSE))),"S",""))</f>
        <v/>
      </c>
      <c r="BW97" t="str">
        <f>IF(NOT(ISERROR(HLOOKUP(Standings!BW$3,Entries!$C89:$K89,1,FALSE))),"x",IF(NOT(ISERROR(HLOOKUP(Standings!BW$3,Entries!$L89:$L89,1,FALSE))),"S",""))</f>
        <v/>
      </c>
      <c r="BX97" t="str">
        <f>IF(NOT(ISERROR(HLOOKUP(Standings!BX$3,Entries!$C89:$K89,1,FALSE))),"x",IF(NOT(ISERROR(HLOOKUP(Standings!BX$3,Entries!$L89:$L89,1,FALSE))),"S",""))</f>
        <v/>
      </c>
      <c r="BY97" t="str">
        <f>IF(NOT(ISERROR(HLOOKUP(Standings!BY$3,Entries!$C89:$K89,1,FALSE))),"x",IF(NOT(ISERROR(HLOOKUP(Standings!BY$3,Entries!$L89:$L89,1,FALSE))),"S",""))</f>
        <v/>
      </c>
      <c r="BZ97" t="str">
        <f>IF(NOT(ISERROR(HLOOKUP(Standings!BZ$3,Entries!$C89:$K89,1,FALSE))),"x",IF(NOT(ISERROR(HLOOKUP(Standings!BZ$3,Entries!$L89:$L89,1,FALSE))),"S",""))</f>
        <v>x</v>
      </c>
      <c r="CA97" t="str">
        <f>IF(NOT(ISERROR(HLOOKUP(Standings!CA$3,Entries!$C89:$K89,1,FALSE))),"x",IF(NOT(ISERROR(HLOOKUP(Standings!CA$3,Entries!$L89:$L89,1,FALSE))),"S",""))</f>
        <v/>
      </c>
      <c r="CB97" t="str">
        <f>IF(NOT(ISERROR(HLOOKUP(Standings!CB$3,Entries!$C89:$K89,1,FALSE))),"x",IF(NOT(ISERROR(HLOOKUP(Standings!CB$3,Entries!$L89:$L89,1,FALSE))),"S",""))</f>
        <v>x</v>
      </c>
      <c r="CC97" t="str">
        <f>IF(NOT(ISERROR(HLOOKUP(Standings!CC$3,Entries!$C89:$K89,1,FALSE))),"x",IF(NOT(ISERROR(HLOOKUP(Standings!CC$3,Entries!$L89:$L89,1,FALSE))),"S",""))</f>
        <v/>
      </c>
      <c r="CD97" t="str">
        <f>IF(NOT(ISERROR(HLOOKUP(Standings!CD$3,Entries!$C89:$K89,1,FALSE))),"x",IF(NOT(ISERROR(HLOOKUP(Standings!CD$3,Entries!$L89:$L89,1,FALSE))),"S",""))</f>
        <v/>
      </c>
      <c r="CE97" t="str">
        <f>IF(NOT(ISERROR(HLOOKUP(Standings!CE$3,Entries!$C89:$K89,1,FALSE))),"x",IF(NOT(ISERROR(HLOOKUP(Standings!CE$3,Entries!$L89:$L89,1,FALSE))),"S",""))</f>
        <v>S</v>
      </c>
      <c r="CF97" t="str">
        <f>IF(NOT(ISERROR(HLOOKUP(Standings!CF$3,Entries!$C89:$K89,1,FALSE))),"x",IF(NOT(ISERROR(HLOOKUP(Standings!CF$3,Entries!$L89:$L89,1,FALSE))),"S",""))</f>
        <v/>
      </c>
      <c r="CG97" t="str">
        <f>IF(NOT(ISERROR(HLOOKUP(Standings!CG$3,Entries!$C89:$K89,1,FALSE))),"x",IF(NOT(ISERROR(HLOOKUP(Standings!CG$3,Entries!$L89:$L89,1,FALSE))),"S",""))</f>
        <v/>
      </c>
      <c r="CH97" t="str">
        <f>IF(NOT(ISERROR(HLOOKUP(Standings!CH$3,Entries!$C89:$K89,1,FALSE))),"x",IF(NOT(ISERROR(HLOOKUP(Standings!CH$3,Entries!$L89:$L89,1,FALSE))),"S",""))</f>
        <v/>
      </c>
      <c r="CI97" t="str">
        <f>IF(NOT(ISERROR(HLOOKUP(Standings!CI$3,Entries!$C89:$K89,1,FALSE))),"x",IF(NOT(ISERROR(HLOOKUP(Standings!CI$3,Entries!$L89:$L89,1,FALSE))),"S",""))</f>
        <v/>
      </c>
      <c r="CJ97" t="str">
        <f>IF(NOT(ISERROR(HLOOKUP(Standings!CJ$3,Entries!$C89:$K89,1,FALSE))),"x",IF(NOT(ISERROR(HLOOKUP(Standings!CJ$3,Entries!$L89:$L89,1,FALSE))),"S",""))</f>
        <v/>
      </c>
      <c r="CK97" t="str">
        <f>IF(NOT(ISERROR(HLOOKUP(Standings!CK$3,Entries!$C89:$K89,1,FALSE))),"x",IF(NOT(ISERROR(HLOOKUP(Standings!CK$3,Entries!$L89:$L89,1,FALSE))),"S",""))</f>
        <v/>
      </c>
      <c r="CL97" t="str">
        <f>IF(NOT(ISERROR(HLOOKUP(Standings!CL$3,Entries!$C89:$K89,1,FALSE))),"x",IF(NOT(ISERROR(HLOOKUP(Standings!CL$3,Entries!$L89:$L89,1,FALSE))),"S",""))</f>
        <v/>
      </c>
      <c r="CM97" t="str">
        <f>IF(NOT(ISERROR(HLOOKUP(Standings!CM$3,Entries!$C89:$K89,1,FALSE))),"x",IF(NOT(ISERROR(HLOOKUP(Standings!CM$3,Entries!$L89:$L89,1,FALSE))),"S",""))</f>
        <v/>
      </c>
      <c r="CN97" t="str">
        <f>IF(NOT(ISERROR(HLOOKUP(Standings!CN$3,Entries!$C89:$K89,1,FALSE))),"x",IF(NOT(ISERROR(HLOOKUP(Standings!CN$3,Entries!$L89:$L89,1,FALSE))),"S",""))</f>
        <v/>
      </c>
      <c r="CO97" t="str">
        <f>IF(NOT(ISERROR(HLOOKUP(Standings!CO$3,Entries!$C89:$K89,1,FALSE))),"x",IF(NOT(ISERROR(HLOOKUP(Standings!CO$3,Entries!$L89:$L89,1,FALSE))),"S",""))</f>
        <v/>
      </c>
      <c r="CP97" t="str">
        <f>IF(NOT(ISERROR(HLOOKUP(Standings!CP$3,Entries!$C89:$K89,1,FALSE))),"x",IF(NOT(ISERROR(HLOOKUP(Standings!CP$3,Entries!$L89:$L89,1,FALSE))),"S",""))</f>
        <v/>
      </c>
      <c r="CQ97" t="str">
        <f>IF(NOT(ISERROR(HLOOKUP(Standings!CQ$3,Entries!$C89:$K89,1,FALSE))),"x",IF(NOT(ISERROR(HLOOKUP(Standings!CQ$3,Entries!$L89:$L89,1,FALSE))),"S",""))</f>
        <v/>
      </c>
      <c r="CR97" t="str">
        <f>IF(NOT(ISERROR(HLOOKUP(Standings!CR$3,Entries!$C89:$K89,1,FALSE))),"x",IF(NOT(ISERROR(HLOOKUP(Standings!CR$3,Entries!$L89:$L89,1,FALSE))),"S",""))</f>
        <v/>
      </c>
      <c r="CS97" t="str">
        <f>IF(NOT(ISERROR(HLOOKUP(Standings!CS$3,Entries!$C89:$K89,1,FALSE))),"x",IF(NOT(ISERROR(HLOOKUP(Standings!CS$3,Entries!$L89:$L89,1,FALSE))),"S",""))</f>
        <v/>
      </c>
      <c r="CT97" t="str">
        <f>IF(NOT(ISERROR(HLOOKUP(Standings!CT$3,Entries!$C89:$K89,1,FALSE))),"x",IF(NOT(ISERROR(HLOOKUP(Standings!CT$3,Entries!$L89:$L89,1,FALSE))),"S",""))</f>
        <v/>
      </c>
      <c r="CU97" t="str">
        <f>IF(NOT(ISERROR(HLOOKUP(Standings!CU$3,Entries!$C89:$K89,1,FALSE))),"x",IF(NOT(ISERROR(HLOOKUP(Standings!CU$3,Entries!$L89:$L89,1,FALSE))),"S",""))</f>
        <v>x</v>
      </c>
      <c r="CV97" t="str">
        <f>IF(NOT(ISERROR(HLOOKUP(Standings!CV$3,Entries!$C89:$K89,1,FALSE))),"x",IF(NOT(ISERROR(HLOOKUP(Standings!CV$3,Entries!$L89:$L89,1,FALSE))),"S",""))</f>
        <v/>
      </c>
      <c r="CW97" t="str">
        <f>IF(NOT(ISERROR(HLOOKUP(Standings!CW$3,Entries!$C89:$K89,1,FALSE))),"x",IF(NOT(ISERROR(HLOOKUP(Standings!CW$3,Entries!$L89:$L89,1,FALSE))),"S",""))</f>
        <v>x</v>
      </c>
      <c r="CX97" t="str">
        <f>IF(NOT(ISERROR(HLOOKUP(Standings!CX$3,Entries!$C89:$K89,1,FALSE))),"x",IF(NOT(ISERROR(HLOOKUP(Standings!CX$3,Entries!$L89:$L89,1,FALSE))),"S",""))</f>
        <v/>
      </c>
      <c r="CY97" t="str">
        <f>IF(NOT(ISERROR(HLOOKUP(Standings!CY$3,Entries!$C89:$K89,1,FALSE))),"x",IF(NOT(ISERROR(HLOOKUP(Standings!CY$3,Entries!$L89:$L89,1,FALSE))),"S",""))</f>
        <v/>
      </c>
      <c r="CZ97" t="str">
        <f>IF(NOT(ISERROR(HLOOKUP(Standings!CZ$3,Entries!$C89:$K89,1,FALSE))),"x",IF(NOT(ISERROR(HLOOKUP(Standings!CZ$3,Entries!$L89:$L89,1,FALSE))),"S",""))</f>
        <v/>
      </c>
      <c r="DA97" t="str">
        <f>IF(NOT(ISERROR(HLOOKUP(Standings!DA$3,Entries!$C89:$K89,1,FALSE))),"x",IF(NOT(ISERROR(HLOOKUP(Standings!DA$3,Entries!$L89:$L89,1,FALSE))),"S",""))</f>
        <v/>
      </c>
      <c r="DB97" t="str">
        <f>IF(NOT(ISERROR(HLOOKUP(Standings!DB$3,Entries!$C89:$K89,1,FALSE))),"x",IF(NOT(ISERROR(HLOOKUP(Standings!DB$3,Entries!$L89:$L89,1,FALSE))),"S",""))</f>
        <v/>
      </c>
    </row>
    <row r="98" spans="1:106" x14ac:dyDescent="0.25">
      <c r="A98" s="18"/>
      <c r="B98">
        <v>26</v>
      </c>
      <c r="C98" t="str">
        <f>Entries!B90</f>
        <v>mynameisjeff</v>
      </c>
      <c r="D98" s="4">
        <f t="shared" si="55"/>
        <v>55</v>
      </c>
      <c r="E98" s="31">
        <f t="shared" si="154"/>
        <v>0</v>
      </c>
      <c r="F98" s="40" t="str">
        <f t="shared" si="155"/>
        <v/>
      </c>
      <c r="G98" s="41" t="str">
        <f t="shared" si="156"/>
        <v/>
      </c>
      <c r="H98" s="41" t="str">
        <f t="shared" si="157"/>
        <v/>
      </c>
      <c r="I98" s="42" t="str">
        <f t="shared" si="158"/>
        <v/>
      </c>
      <c r="J98" s="40" t="str">
        <f t="shared" si="159"/>
        <v/>
      </c>
      <c r="K98" s="41">
        <f t="shared" si="160"/>
        <v>0</v>
      </c>
      <c r="L98" s="41" t="str">
        <f t="shared" si="161"/>
        <v/>
      </c>
      <c r="M98" s="42" t="str">
        <f t="shared" si="162"/>
        <v/>
      </c>
      <c r="N98" s="43">
        <f t="shared" si="163"/>
        <v>0</v>
      </c>
      <c r="O98" s="41" t="str">
        <f t="shared" si="164"/>
        <v/>
      </c>
      <c r="P98" s="41" t="str">
        <f t="shared" si="165"/>
        <v/>
      </c>
      <c r="Q98" s="42" t="str">
        <f t="shared" si="166"/>
        <v/>
      </c>
      <c r="R98" s="40" t="str">
        <f t="shared" si="167"/>
        <v/>
      </c>
      <c r="S98" s="41" t="str">
        <f t="shared" si="168"/>
        <v/>
      </c>
      <c r="T98" s="43" t="str">
        <f t="shared" si="169"/>
        <v/>
      </c>
      <c r="U98" s="42" t="str">
        <f t="shared" si="170"/>
        <v/>
      </c>
      <c r="V98" s="40" t="str">
        <f t="shared" si="171"/>
        <v/>
      </c>
      <c r="W98" s="41" t="str">
        <f t="shared" si="172"/>
        <v/>
      </c>
      <c r="X98" s="41" t="str">
        <f t="shared" si="173"/>
        <v/>
      </c>
      <c r="Y98" s="42" t="str">
        <f t="shared" si="174"/>
        <v/>
      </c>
      <c r="Z98" s="40" t="str">
        <f t="shared" si="175"/>
        <v/>
      </c>
      <c r="AA98" s="41" t="str">
        <f t="shared" si="176"/>
        <v/>
      </c>
      <c r="AB98" s="41" t="str">
        <f t="shared" si="177"/>
        <v/>
      </c>
      <c r="AC98" s="42" t="str">
        <f t="shared" si="178"/>
        <v/>
      </c>
      <c r="AD98" s="40" t="str">
        <f t="shared" si="179"/>
        <v/>
      </c>
      <c r="AE98" s="41" t="str">
        <f t="shared" si="180"/>
        <v/>
      </c>
      <c r="AF98" s="41" t="str">
        <f t="shared" si="181"/>
        <v/>
      </c>
      <c r="AG98" s="42" t="str">
        <f t="shared" si="182"/>
        <v/>
      </c>
      <c r="AH98" s="40" t="str">
        <f t="shared" si="183"/>
        <v/>
      </c>
      <c r="AI98" s="41" t="str">
        <f t="shared" si="184"/>
        <v/>
      </c>
      <c r="AJ98" s="41" t="str">
        <f t="shared" si="185"/>
        <v/>
      </c>
      <c r="AK98" s="42" t="str">
        <f t="shared" si="186"/>
        <v/>
      </c>
      <c r="AL98" s="40" t="str">
        <f t="shared" si="187"/>
        <v/>
      </c>
      <c r="AM98" s="41" t="str">
        <f t="shared" si="188"/>
        <v/>
      </c>
      <c r="AN98" s="41">
        <f t="shared" si="189"/>
        <v>-1.0000000000000001E-5</v>
      </c>
      <c r="AO98" s="42" t="str">
        <f t="shared" si="190"/>
        <v/>
      </c>
      <c r="AP98" s="40" t="str">
        <f t="shared" si="191"/>
        <v/>
      </c>
      <c r="AQ98" s="41" t="str">
        <f t="shared" si="192"/>
        <v/>
      </c>
      <c r="AR98" s="41" t="str">
        <f t="shared" si="193"/>
        <v/>
      </c>
      <c r="AS98" s="42" t="str">
        <f t="shared" si="194"/>
        <v/>
      </c>
      <c r="AT98" s="40">
        <f t="shared" si="195"/>
        <v>0</v>
      </c>
      <c r="AU98" s="41" t="str">
        <f t="shared" si="196"/>
        <v/>
      </c>
      <c r="AV98" s="41" t="str">
        <f t="shared" si="197"/>
        <v/>
      </c>
      <c r="AW98" s="42" t="str">
        <f t="shared" si="198"/>
        <v/>
      </c>
      <c r="AX98" s="40" t="str">
        <f t="shared" si="199"/>
        <v/>
      </c>
      <c r="AY98" s="41" t="str">
        <f t="shared" si="200"/>
        <v/>
      </c>
      <c r="AZ98" s="41" t="str">
        <f t="shared" si="201"/>
        <v/>
      </c>
      <c r="BA98" s="42" t="str">
        <f t="shared" si="202"/>
        <v/>
      </c>
      <c r="BB98" s="37" t="s">
        <v>106</v>
      </c>
      <c r="BC98" s="21"/>
      <c r="BD98" s="21"/>
      <c r="BG98" t="str">
        <f>IF(NOT(ISERROR(HLOOKUP(Standings!BG$3,Entries!$C90:$K90,1,FALSE))),"x",IF(NOT(ISERROR(HLOOKUP(Standings!BG$3,Entries!$L90:$L90,1,FALSE))),"S",""))</f>
        <v/>
      </c>
      <c r="BH98" t="str">
        <f>IF(NOT(ISERROR(HLOOKUP(Standings!BH$3,Entries!$C90:$K90,1,FALSE))),"x",IF(NOT(ISERROR(HLOOKUP(Standings!BH$3,Entries!$L90:$L90,1,FALSE))),"S",""))</f>
        <v/>
      </c>
      <c r="BI98" t="str">
        <f>IF(NOT(ISERROR(HLOOKUP(Standings!BI$3,Entries!$C90:$K90,1,FALSE))),"x",IF(NOT(ISERROR(HLOOKUP(Standings!BI$3,Entries!$L90:$L90,1,FALSE))),"S",""))</f>
        <v/>
      </c>
      <c r="BJ98" t="str">
        <f>IF(NOT(ISERROR(HLOOKUP(Standings!BJ$3,Entries!$C90:$K90,1,FALSE))),"x",IF(NOT(ISERROR(HLOOKUP(Standings!BJ$3,Entries!$L90:$L90,1,FALSE))),"S",""))</f>
        <v/>
      </c>
      <c r="BK98" t="str">
        <f>IF(NOT(ISERROR(HLOOKUP(Standings!BK$3,Entries!$C90:$K90,1,FALSE))),"x",IF(NOT(ISERROR(HLOOKUP(Standings!BK$3,Entries!$L90:$L90,1,FALSE))),"S",""))</f>
        <v/>
      </c>
      <c r="BL98" t="str">
        <f>IF(NOT(ISERROR(HLOOKUP(Standings!BL$3,Entries!$C90:$K90,1,FALSE))),"x",IF(NOT(ISERROR(HLOOKUP(Standings!BL$3,Entries!$L90:$L90,1,FALSE))),"S",""))</f>
        <v>x</v>
      </c>
      <c r="BM98" t="str">
        <f>IF(NOT(ISERROR(HLOOKUP(Standings!BM$3,Entries!$C90:$K90,1,FALSE))),"x",IF(NOT(ISERROR(HLOOKUP(Standings!BM$3,Entries!$L90:$L90,1,FALSE))),"S",""))</f>
        <v/>
      </c>
      <c r="BN98" t="str">
        <f>IF(NOT(ISERROR(HLOOKUP(Standings!BN$3,Entries!$C90:$K90,1,FALSE))),"x",IF(NOT(ISERROR(HLOOKUP(Standings!BN$3,Entries!$L90:$L90,1,FALSE))),"S",""))</f>
        <v/>
      </c>
      <c r="BO98" t="str">
        <f>IF(NOT(ISERROR(HLOOKUP(Standings!BO$3,Entries!$C90:$K90,1,FALSE))),"x",IF(NOT(ISERROR(HLOOKUP(Standings!BO$3,Entries!$L90:$L90,1,FALSE))),"S",""))</f>
        <v>x</v>
      </c>
      <c r="BP98" t="str">
        <f>IF(NOT(ISERROR(HLOOKUP(Standings!BP$3,Entries!$C90:$K90,1,FALSE))),"x",IF(NOT(ISERROR(HLOOKUP(Standings!BP$3,Entries!$L90:$L90,1,FALSE))),"S",""))</f>
        <v/>
      </c>
      <c r="BQ98" t="str">
        <f>IF(NOT(ISERROR(HLOOKUP(Standings!BQ$3,Entries!$C90:$K90,1,FALSE))),"x",IF(NOT(ISERROR(HLOOKUP(Standings!BQ$3,Entries!$L90:$L90,1,FALSE))),"S",""))</f>
        <v/>
      </c>
      <c r="BR98" t="str">
        <f>IF(NOT(ISERROR(HLOOKUP(Standings!BR$3,Entries!$C90:$K90,1,FALSE))),"x",IF(NOT(ISERROR(HLOOKUP(Standings!BR$3,Entries!$L90:$L90,1,FALSE))),"S",""))</f>
        <v/>
      </c>
      <c r="BS98" t="str">
        <f>IF(NOT(ISERROR(HLOOKUP(Standings!BS$3,Entries!$C90:$K90,1,FALSE))),"x",IF(NOT(ISERROR(HLOOKUP(Standings!BS$3,Entries!$L90:$L90,1,FALSE))),"S",""))</f>
        <v/>
      </c>
      <c r="BT98" t="str">
        <f>IF(NOT(ISERROR(HLOOKUP(Standings!BT$3,Entries!$C90:$K90,1,FALSE))),"x",IF(NOT(ISERROR(HLOOKUP(Standings!BT$3,Entries!$L90:$L90,1,FALSE))),"S",""))</f>
        <v/>
      </c>
      <c r="BU98" t="str">
        <f>IF(NOT(ISERROR(HLOOKUP(Standings!BU$3,Entries!$C90:$K90,1,FALSE))),"x",IF(NOT(ISERROR(HLOOKUP(Standings!BU$3,Entries!$L90:$L90,1,FALSE))),"S",""))</f>
        <v/>
      </c>
      <c r="BV98" t="str">
        <f>IF(NOT(ISERROR(HLOOKUP(Standings!BV$3,Entries!$C90:$K90,1,FALSE))),"x",IF(NOT(ISERROR(HLOOKUP(Standings!BV$3,Entries!$L90:$L90,1,FALSE))),"S",""))</f>
        <v/>
      </c>
      <c r="BW98" t="str">
        <f>IF(NOT(ISERROR(HLOOKUP(Standings!BW$3,Entries!$C90:$K90,1,FALSE))),"x",IF(NOT(ISERROR(HLOOKUP(Standings!BW$3,Entries!$L90:$L90,1,FALSE))),"S",""))</f>
        <v/>
      </c>
      <c r="BX98" t="str">
        <f>IF(NOT(ISERROR(HLOOKUP(Standings!BX$3,Entries!$C90:$K90,1,FALSE))),"x",IF(NOT(ISERROR(HLOOKUP(Standings!BX$3,Entries!$L90:$L90,1,FALSE))),"S",""))</f>
        <v/>
      </c>
      <c r="BY98" t="str">
        <f>IF(NOT(ISERROR(HLOOKUP(Standings!BY$3,Entries!$C90:$K90,1,FALSE))),"x",IF(NOT(ISERROR(HLOOKUP(Standings!BY$3,Entries!$L90:$L90,1,FALSE))),"S",""))</f>
        <v/>
      </c>
      <c r="BZ98" t="str">
        <f>IF(NOT(ISERROR(HLOOKUP(Standings!BZ$3,Entries!$C90:$K90,1,FALSE))),"x",IF(NOT(ISERROR(HLOOKUP(Standings!BZ$3,Entries!$L90:$L90,1,FALSE))),"S",""))</f>
        <v/>
      </c>
      <c r="CA98" t="str">
        <f>IF(NOT(ISERROR(HLOOKUP(Standings!CA$3,Entries!$C90:$K90,1,FALSE))),"x",IF(NOT(ISERROR(HLOOKUP(Standings!CA$3,Entries!$L90:$L90,1,FALSE))),"S",""))</f>
        <v/>
      </c>
      <c r="CB98" t="str">
        <f>IF(NOT(ISERROR(HLOOKUP(Standings!CB$3,Entries!$C90:$K90,1,FALSE))),"x",IF(NOT(ISERROR(HLOOKUP(Standings!CB$3,Entries!$L90:$L90,1,FALSE))),"S",""))</f>
        <v/>
      </c>
      <c r="CC98" t="str">
        <f>IF(NOT(ISERROR(HLOOKUP(Standings!CC$3,Entries!$C90:$K90,1,FALSE))),"x",IF(NOT(ISERROR(HLOOKUP(Standings!CC$3,Entries!$L90:$L90,1,FALSE))),"S",""))</f>
        <v/>
      </c>
      <c r="CD98" t="str">
        <f>IF(NOT(ISERROR(HLOOKUP(Standings!CD$3,Entries!$C90:$K90,1,FALSE))),"x",IF(NOT(ISERROR(HLOOKUP(Standings!CD$3,Entries!$L90:$L90,1,FALSE))),"S",""))</f>
        <v/>
      </c>
      <c r="CE98" t="str">
        <f>IF(NOT(ISERROR(HLOOKUP(Standings!CE$3,Entries!$C90:$K90,1,FALSE))),"x",IF(NOT(ISERROR(HLOOKUP(Standings!CE$3,Entries!$L90:$L90,1,FALSE))),"S",""))</f>
        <v/>
      </c>
      <c r="CF98" t="str">
        <f>IF(NOT(ISERROR(HLOOKUP(Standings!CF$3,Entries!$C90:$K90,1,FALSE))),"x",IF(NOT(ISERROR(HLOOKUP(Standings!CF$3,Entries!$L90:$L90,1,FALSE))),"S",""))</f>
        <v/>
      </c>
      <c r="CG98" t="str">
        <f>IF(NOT(ISERROR(HLOOKUP(Standings!CG$3,Entries!$C90:$K90,1,FALSE))),"x",IF(NOT(ISERROR(HLOOKUP(Standings!CG$3,Entries!$L90:$L90,1,FALSE))),"S",""))</f>
        <v/>
      </c>
      <c r="CH98" t="str">
        <f>IF(NOT(ISERROR(HLOOKUP(Standings!CH$3,Entries!$C90:$K90,1,FALSE))),"x",IF(NOT(ISERROR(HLOOKUP(Standings!CH$3,Entries!$L90:$L90,1,FALSE))),"S",""))</f>
        <v/>
      </c>
      <c r="CI98" t="str">
        <f>IF(NOT(ISERROR(HLOOKUP(Standings!CI$3,Entries!$C90:$K90,1,FALSE))),"x",IF(NOT(ISERROR(HLOOKUP(Standings!CI$3,Entries!$L90:$L90,1,FALSE))),"S",""))</f>
        <v/>
      </c>
      <c r="CJ98" t="str">
        <f>IF(NOT(ISERROR(HLOOKUP(Standings!CJ$3,Entries!$C90:$K90,1,FALSE))),"x",IF(NOT(ISERROR(HLOOKUP(Standings!CJ$3,Entries!$L90:$L90,1,FALSE))),"S",""))</f>
        <v/>
      </c>
      <c r="CK98" t="str">
        <f>IF(NOT(ISERROR(HLOOKUP(Standings!CK$3,Entries!$C90:$K90,1,FALSE))),"x",IF(NOT(ISERROR(HLOOKUP(Standings!CK$3,Entries!$L90:$L90,1,FALSE))),"S",""))</f>
        <v/>
      </c>
      <c r="CL98" t="str">
        <f>IF(NOT(ISERROR(HLOOKUP(Standings!CL$3,Entries!$C90:$K90,1,FALSE))),"x",IF(NOT(ISERROR(HLOOKUP(Standings!CL$3,Entries!$L90:$L90,1,FALSE))),"S",""))</f>
        <v/>
      </c>
      <c r="CM98" t="str">
        <f>IF(NOT(ISERROR(HLOOKUP(Standings!CM$3,Entries!$C90:$K90,1,FALSE))),"x",IF(NOT(ISERROR(HLOOKUP(Standings!CM$3,Entries!$L90:$L90,1,FALSE))),"S",""))</f>
        <v/>
      </c>
      <c r="CN98" t="str">
        <f>IF(NOT(ISERROR(HLOOKUP(Standings!CN$3,Entries!$C90:$K90,1,FALSE))),"x",IF(NOT(ISERROR(HLOOKUP(Standings!CN$3,Entries!$L90:$L90,1,FALSE))),"S",""))</f>
        <v/>
      </c>
      <c r="CO98" t="str">
        <f>IF(NOT(ISERROR(HLOOKUP(Standings!CO$3,Entries!$C90:$K90,1,FALSE))),"x",IF(NOT(ISERROR(HLOOKUP(Standings!CO$3,Entries!$L90:$L90,1,FALSE))),"S",""))</f>
        <v>S</v>
      </c>
      <c r="CP98" t="str">
        <f>IF(NOT(ISERROR(HLOOKUP(Standings!CP$3,Entries!$C90:$K90,1,FALSE))),"x",IF(NOT(ISERROR(HLOOKUP(Standings!CP$3,Entries!$L90:$L90,1,FALSE))),"S",""))</f>
        <v/>
      </c>
      <c r="CQ98" t="str">
        <f>IF(NOT(ISERROR(HLOOKUP(Standings!CQ$3,Entries!$C90:$K90,1,FALSE))),"x",IF(NOT(ISERROR(HLOOKUP(Standings!CQ$3,Entries!$L90:$L90,1,FALSE))),"S",""))</f>
        <v/>
      </c>
      <c r="CR98" t="str">
        <f>IF(NOT(ISERROR(HLOOKUP(Standings!CR$3,Entries!$C90:$K90,1,FALSE))),"x",IF(NOT(ISERROR(HLOOKUP(Standings!CR$3,Entries!$L90:$L90,1,FALSE))),"S",""))</f>
        <v/>
      </c>
      <c r="CS98" t="str">
        <f>IF(NOT(ISERROR(HLOOKUP(Standings!CS$3,Entries!$C90:$K90,1,FALSE))),"x",IF(NOT(ISERROR(HLOOKUP(Standings!CS$3,Entries!$L90:$L90,1,FALSE))),"S",""))</f>
        <v/>
      </c>
      <c r="CT98" t="str">
        <f>IF(NOT(ISERROR(HLOOKUP(Standings!CT$3,Entries!$C90:$K90,1,FALSE))),"x",IF(NOT(ISERROR(HLOOKUP(Standings!CT$3,Entries!$L90:$L90,1,FALSE))),"S",""))</f>
        <v/>
      </c>
      <c r="CU98" t="str">
        <f>IF(NOT(ISERROR(HLOOKUP(Standings!CU$3,Entries!$C90:$K90,1,FALSE))),"x",IF(NOT(ISERROR(HLOOKUP(Standings!CU$3,Entries!$L90:$L90,1,FALSE))),"S",""))</f>
        <v>x</v>
      </c>
      <c r="CV98" t="str">
        <f>IF(NOT(ISERROR(HLOOKUP(Standings!CV$3,Entries!$C90:$K90,1,FALSE))),"x",IF(NOT(ISERROR(HLOOKUP(Standings!CV$3,Entries!$L90:$L90,1,FALSE))),"S",""))</f>
        <v/>
      </c>
      <c r="CW98" t="str">
        <f>IF(NOT(ISERROR(HLOOKUP(Standings!CW$3,Entries!$C90:$K90,1,FALSE))),"x",IF(NOT(ISERROR(HLOOKUP(Standings!CW$3,Entries!$L90:$L90,1,FALSE))),"S",""))</f>
        <v/>
      </c>
      <c r="CX98" t="str">
        <f>IF(NOT(ISERROR(HLOOKUP(Standings!CX$3,Entries!$C90:$K90,1,FALSE))),"x",IF(NOT(ISERROR(HLOOKUP(Standings!CX$3,Entries!$L90:$L90,1,FALSE))),"S",""))</f>
        <v/>
      </c>
      <c r="CY98" t="str">
        <f>IF(NOT(ISERROR(HLOOKUP(Standings!CY$3,Entries!$C90:$K90,1,FALSE))),"x",IF(NOT(ISERROR(HLOOKUP(Standings!CY$3,Entries!$L90:$L90,1,FALSE))),"S",""))</f>
        <v/>
      </c>
      <c r="CZ98" t="str">
        <f>IF(NOT(ISERROR(HLOOKUP(Standings!CZ$3,Entries!$C90:$K90,1,FALSE))),"x",IF(NOT(ISERROR(HLOOKUP(Standings!CZ$3,Entries!$L90:$L90,1,FALSE))),"S",""))</f>
        <v/>
      </c>
      <c r="DA98" t="str">
        <f>IF(NOT(ISERROR(HLOOKUP(Standings!DA$3,Entries!$C90:$K90,1,FALSE))),"x",IF(NOT(ISERROR(HLOOKUP(Standings!DA$3,Entries!$L90:$L90,1,FALSE))),"S",""))</f>
        <v/>
      </c>
      <c r="DB98" t="str">
        <f>IF(NOT(ISERROR(HLOOKUP(Standings!DB$3,Entries!$C90:$K90,1,FALSE))),"x",IF(NOT(ISERROR(HLOOKUP(Standings!DB$3,Entries!$L90:$L90,1,FALSE))),"S",""))</f>
        <v/>
      </c>
    </row>
    <row r="99" spans="1:106" x14ac:dyDescent="0.25">
      <c r="A99" s="18"/>
      <c r="B99">
        <v>26</v>
      </c>
      <c r="C99" t="str">
        <f>Entries!B91</f>
        <v>NTourville1</v>
      </c>
      <c r="D99" s="4">
        <f t="shared" si="55"/>
        <v>1</v>
      </c>
      <c r="E99" s="31">
        <f t="shared" si="154"/>
        <v>6</v>
      </c>
      <c r="F99" s="40">
        <f t="shared" si="155"/>
        <v>2</v>
      </c>
      <c r="G99" s="41">
        <f t="shared" si="156"/>
        <v>0</v>
      </c>
      <c r="H99" s="41">
        <f t="shared" si="157"/>
        <v>2</v>
      </c>
      <c r="I99" s="42">
        <f t="shared" si="158"/>
        <v>0</v>
      </c>
      <c r="J99" s="40">
        <f t="shared" si="159"/>
        <v>1</v>
      </c>
      <c r="K99" s="41">
        <f t="shared" si="160"/>
        <v>0</v>
      </c>
      <c r="L99" s="41">
        <f t="shared" si="161"/>
        <v>0</v>
      </c>
      <c r="M99" s="42">
        <f t="shared" si="162"/>
        <v>1</v>
      </c>
      <c r="N99" s="43">
        <f t="shared" si="163"/>
        <v>0</v>
      </c>
      <c r="O99" s="41" t="str">
        <f t="shared" si="164"/>
        <v/>
      </c>
      <c r="P99" s="41" t="str">
        <f t="shared" si="165"/>
        <v/>
      </c>
      <c r="Q99" s="42" t="str">
        <f t="shared" si="166"/>
        <v/>
      </c>
      <c r="R99" s="40" t="str">
        <f t="shared" si="167"/>
        <v/>
      </c>
      <c r="S99" s="41" t="str">
        <f t="shared" si="168"/>
        <v/>
      </c>
      <c r="T99" s="43" t="str">
        <f t="shared" si="169"/>
        <v/>
      </c>
      <c r="U99" s="42" t="str">
        <f t="shared" si="170"/>
        <v/>
      </c>
      <c r="V99" s="40" t="str">
        <f t="shared" si="171"/>
        <v/>
      </c>
      <c r="W99" s="41" t="str">
        <f t="shared" si="172"/>
        <v/>
      </c>
      <c r="X99" s="41" t="str">
        <f t="shared" si="173"/>
        <v/>
      </c>
      <c r="Y99" s="42" t="str">
        <f t="shared" si="174"/>
        <v/>
      </c>
      <c r="Z99" s="40" t="str">
        <f t="shared" si="175"/>
        <v/>
      </c>
      <c r="AA99" s="41" t="str">
        <f t="shared" si="176"/>
        <v/>
      </c>
      <c r="AB99" s="41" t="str">
        <f t="shared" si="177"/>
        <v/>
      </c>
      <c r="AC99" s="42" t="str">
        <f t="shared" si="178"/>
        <v/>
      </c>
      <c r="AD99" s="40" t="str">
        <f t="shared" si="179"/>
        <v/>
      </c>
      <c r="AE99" s="41" t="str">
        <f t="shared" si="180"/>
        <v/>
      </c>
      <c r="AF99" s="41" t="str">
        <f t="shared" si="181"/>
        <v/>
      </c>
      <c r="AG99" s="42" t="str">
        <f t="shared" si="182"/>
        <v/>
      </c>
      <c r="AH99" s="40" t="str">
        <f t="shared" si="183"/>
        <v/>
      </c>
      <c r="AI99" s="41" t="str">
        <f t="shared" si="184"/>
        <v/>
      </c>
      <c r="AJ99" s="41" t="str">
        <f t="shared" si="185"/>
        <v/>
      </c>
      <c r="AK99" s="42" t="str">
        <f t="shared" si="186"/>
        <v/>
      </c>
      <c r="AL99" s="40">
        <f t="shared" si="187"/>
        <v>-1.0000000000000001E-5</v>
      </c>
      <c r="AM99" s="41" t="str">
        <f t="shared" si="188"/>
        <v/>
      </c>
      <c r="AN99" s="41" t="str">
        <f t="shared" si="189"/>
        <v/>
      </c>
      <c r="AO99" s="42" t="str">
        <f t="shared" si="190"/>
        <v/>
      </c>
      <c r="AP99" s="40" t="str">
        <f t="shared" si="191"/>
        <v/>
      </c>
      <c r="AQ99" s="41" t="str">
        <f t="shared" si="192"/>
        <v/>
      </c>
      <c r="AR99" s="41" t="str">
        <f t="shared" si="193"/>
        <v/>
      </c>
      <c r="AS99" s="42" t="str">
        <f t="shared" si="194"/>
        <v/>
      </c>
      <c r="AT99" s="40" t="str">
        <f t="shared" si="195"/>
        <v/>
      </c>
      <c r="AU99" s="41" t="str">
        <f t="shared" si="196"/>
        <v/>
      </c>
      <c r="AV99" s="41" t="str">
        <f t="shared" si="197"/>
        <v/>
      </c>
      <c r="AW99" s="42" t="str">
        <f t="shared" si="198"/>
        <v/>
      </c>
      <c r="AX99" s="40" t="str">
        <f t="shared" si="199"/>
        <v/>
      </c>
      <c r="AY99" s="41" t="str">
        <f t="shared" si="200"/>
        <v/>
      </c>
      <c r="AZ99" s="41" t="str">
        <f t="shared" si="201"/>
        <v/>
      </c>
      <c r="BA99" s="42" t="str">
        <f t="shared" si="202"/>
        <v/>
      </c>
      <c r="BB99" s="37" t="s">
        <v>106</v>
      </c>
      <c r="BC99" s="21"/>
      <c r="BD99" s="21"/>
      <c r="BG99" t="str">
        <f>IF(NOT(ISERROR(HLOOKUP(Standings!BG$3,Entries!$C91:$K91,1,FALSE))),"x",IF(NOT(ISERROR(HLOOKUP(Standings!BG$3,Entries!$L91:$L91,1,FALSE))),"S",""))</f>
        <v>x</v>
      </c>
      <c r="BH99" t="str">
        <f>IF(NOT(ISERROR(HLOOKUP(Standings!BH$3,Entries!$C91:$K91,1,FALSE))),"x",IF(NOT(ISERROR(HLOOKUP(Standings!BH$3,Entries!$L91:$L91,1,FALSE))),"S",""))</f>
        <v>x</v>
      </c>
      <c r="BI99" t="str">
        <f>IF(NOT(ISERROR(HLOOKUP(Standings!BI$3,Entries!$C91:$K91,1,FALSE))),"x",IF(NOT(ISERROR(HLOOKUP(Standings!BI$3,Entries!$L91:$L91,1,FALSE))),"S",""))</f>
        <v>x</v>
      </c>
      <c r="BJ99" t="str">
        <f>IF(NOT(ISERROR(HLOOKUP(Standings!BJ$3,Entries!$C91:$K91,1,FALSE))),"x",IF(NOT(ISERROR(HLOOKUP(Standings!BJ$3,Entries!$L91:$L91,1,FALSE))),"S",""))</f>
        <v>x</v>
      </c>
      <c r="BK99" t="str">
        <f>IF(NOT(ISERROR(HLOOKUP(Standings!BK$3,Entries!$C91:$K91,1,FALSE))),"x",IF(NOT(ISERROR(HLOOKUP(Standings!BK$3,Entries!$L91:$L91,1,FALSE))),"S",""))</f>
        <v>x</v>
      </c>
      <c r="BL99" t="str">
        <f>IF(NOT(ISERROR(HLOOKUP(Standings!BL$3,Entries!$C91:$K91,1,FALSE))),"x",IF(NOT(ISERROR(HLOOKUP(Standings!BL$3,Entries!$L91:$L91,1,FALSE))),"S",""))</f>
        <v>x</v>
      </c>
      <c r="BM99" t="str">
        <f>IF(NOT(ISERROR(HLOOKUP(Standings!BM$3,Entries!$C91:$K91,1,FALSE))),"x",IF(NOT(ISERROR(HLOOKUP(Standings!BM$3,Entries!$L91:$L91,1,FALSE))),"S",""))</f>
        <v>x</v>
      </c>
      <c r="BN99" t="str">
        <f>IF(NOT(ISERROR(HLOOKUP(Standings!BN$3,Entries!$C91:$K91,1,FALSE))),"x",IF(NOT(ISERROR(HLOOKUP(Standings!BN$3,Entries!$L91:$L91,1,FALSE))),"S",""))</f>
        <v>x</v>
      </c>
      <c r="BO99" t="str">
        <f>IF(NOT(ISERROR(HLOOKUP(Standings!BO$3,Entries!$C91:$K91,1,FALSE))),"x",IF(NOT(ISERROR(HLOOKUP(Standings!BO$3,Entries!$L91:$L91,1,FALSE))),"S",""))</f>
        <v>x</v>
      </c>
      <c r="BP99" t="str">
        <f>IF(NOT(ISERROR(HLOOKUP(Standings!BP$3,Entries!$C91:$K91,1,FALSE))),"x",IF(NOT(ISERROR(HLOOKUP(Standings!BP$3,Entries!$L91:$L91,1,FALSE))),"S",""))</f>
        <v/>
      </c>
      <c r="BQ99" t="str">
        <f>IF(NOT(ISERROR(HLOOKUP(Standings!BQ$3,Entries!$C91:$K91,1,FALSE))),"x",IF(NOT(ISERROR(HLOOKUP(Standings!BQ$3,Entries!$L91:$L91,1,FALSE))),"S",""))</f>
        <v/>
      </c>
      <c r="BR99" t="str">
        <f>IF(NOT(ISERROR(HLOOKUP(Standings!BR$3,Entries!$C91:$K91,1,FALSE))),"x",IF(NOT(ISERROR(HLOOKUP(Standings!BR$3,Entries!$L91:$L91,1,FALSE))),"S",""))</f>
        <v/>
      </c>
      <c r="BS99" t="str">
        <f>IF(NOT(ISERROR(HLOOKUP(Standings!BS$3,Entries!$C91:$K91,1,FALSE))),"x",IF(NOT(ISERROR(HLOOKUP(Standings!BS$3,Entries!$L91:$L91,1,FALSE))),"S",""))</f>
        <v/>
      </c>
      <c r="BT99" t="str">
        <f>IF(NOT(ISERROR(HLOOKUP(Standings!BT$3,Entries!$C91:$K91,1,FALSE))),"x",IF(NOT(ISERROR(HLOOKUP(Standings!BT$3,Entries!$L91:$L91,1,FALSE))),"S",""))</f>
        <v/>
      </c>
      <c r="BU99" t="str">
        <f>IF(NOT(ISERROR(HLOOKUP(Standings!BU$3,Entries!$C91:$K91,1,FALSE))),"x",IF(NOT(ISERROR(HLOOKUP(Standings!BU$3,Entries!$L91:$L91,1,FALSE))),"S",""))</f>
        <v/>
      </c>
      <c r="BV99" t="str">
        <f>IF(NOT(ISERROR(HLOOKUP(Standings!BV$3,Entries!$C91:$K91,1,FALSE))),"x",IF(NOT(ISERROR(HLOOKUP(Standings!BV$3,Entries!$L91:$L91,1,FALSE))),"S",""))</f>
        <v/>
      </c>
      <c r="BW99" t="str">
        <f>IF(NOT(ISERROR(HLOOKUP(Standings!BW$3,Entries!$C91:$K91,1,FALSE))),"x",IF(NOT(ISERROR(HLOOKUP(Standings!BW$3,Entries!$L91:$L91,1,FALSE))),"S",""))</f>
        <v/>
      </c>
      <c r="BX99" t="str">
        <f>IF(NOT(ISERROR(HLOOKUP(Standings!BX$3,Entries!$C91:$K91,1,FALSE))),"x",IF(NOT(ISERROR(HLOOKUP(Standings!BX$3,Entries!$L91:$L91,1,FALSE))),"S",""))</f>
        <v/>
      </c>
      <c r="BY99" t="str">
        <f>IF(NOT(ISERROR(HLOOKUP(Standings!BY$3,Entries!$C91:$K91,1,FALSE))),"x",IF(NOT(ISERROR(HLOOKUP(Standings!BY$3,Entries!$L91:$L91,1,FALSE))),"S",""))</f>
        <v/>
      </c>
      <c r="BZ99" t="str">
        <f>IF(NOT(ISERROR(HLOOKUP(Standings!BZ$3,Entries!$C91:$K91,1,FALSE))),"x",IF(NOT(ISERROR(HLOOKUP(Standings!BZ$3,Entries!$L91:$L91,1,FALSE))),"S",""))</f>
        <v/>
      </c>
      <c r="CA99" t="str">
        <f>IF(NOT(ISERROR(HLOOKUP(Standings!CA$3,Entries!$C91:$K91,1,FALSE))),"x",IF(NOT(ISERROR(HLOOKUP(Standings!CA$3,Entries!$L91:$L91,1,FALSE))),"S",""))</f>
        <v/>
      </c>
      <c r="CB99" t="str">
        <f>IF(NOT(ISERROR(HLOOKUP(Standings!CB$3,Entries!$C91:$K91,1,FALSE))),"x",IF(NOT(ISERROR(HLOOKUP(Standings!CB$3,Entries!$L91:$L91,1,FALSE))),"S",""))</f>
        <v/>
      </c>
      <c r="CC99" t="str">
        <f>IF(NOT(ISERROR(HLOOKUP(Standings!CC$3,Entries!$C91:$K91,1,FALSE))),"x",IF(NOT(ISERROR(HLOOKUP(Standings!CC$3,Entries!$L91:$L91,1,FALSE))),"S",""))</f>
        <v/>
      </c>
      <c r="CD99" t="str">
        <f>IF(NOT(ISERROR(HLOOKUP(Standings!CD$3,Entries!$C91:$K91,1,FALSE))),"x",IF(NOT(ISERROR(HLOOKUP(Standings!CD$3,Entries!$L91:$L91,1,FALSE))),"S",""))</f>
        <v/>
      </c>
      <c r="CE99" t="str">
        <f>IF(NOT(ISERROR(HLOOKUP(Standings!CE$3,Entries!$C91:$K91,1,FALSE))),"x",IF(NOT(ISERROR(HLOOKUP(Standings!CE$3,Entries!$L91:$L91,1,FALSE))),"S",""))</f>
        <v/>
      </c>
      <c r="CF99" t="str">
        <f>IF(NOT(ISERROR(HLOOKUP(Standings!CF$3,Entries!$C91:$K91,1,FALSE))),"x",IF(NOT(ISERROR(HLOOKUP(Standings!CF$3,Entries!$L91:$L91,1,FALSE))),"S",""))</f>
        <v/>
      </c>
      <c r="CG99" t="str">
        <f>IF(NOT(ISERROR(HLOOKUP(Standings!CG$3,Entries!$C91:$K91,1,FALSE))),"x",IF(NOT(ISERROR(HLOOKUP(Standings!CG$3,Entries!$L91:$L91,1,FALSE))),"S",""))</f>
        <v/>
      </c>
      <c r="CH99" t="str">
        <f>IF(NOT(ISERROR(HLOOKUP(Standings!CH$3,Entries!$C91:$K91,1,FALSE))),"x",IF(NOT(ISERROR(HLOOKUP(Standings!CH$3,Entries!$L91:$L91,1,FALSE))),"S",""))</f>
        <v/>
      </c>
      <c r="CI99" t="str">
        <f>IF(NOT(ISERROR(HLOOKUP(Standings!CI$3,Entries!$C91:$K91,1,FALSE))),"x",IF(NOT(ISERROR(HLOOKUP(Standings!CI$3,Entries!$L91:$L91,1,FALSE))),"S",""))</f>
        <v/>
      </c>
      <c r="CJ99" t="str">
        <f>IF(NOT(ISERROR(HLOOKUP(Standings!CJ$3,Entries!$C91:$K91,1,FALSE))),"x",IF(NOT(ISERROR(HLOOKUP(Standings!CJ$3,Entries!$L91:$L91,1,FALSE))),"S",""))</f>
        <v/>
      </c>
      <c r="CK99" t="str">
        <f>IF(NOT(ISERROR(HLOOKUP(Standings!CK$3,Entries!$C91:$K91,1,FALSE))),"x",IF(NOT(ISERROR(HLOOKUP(Standings!CK$3,Entries!$L91:$L91,1,FALSE))),"S",""))</f>
        <v/>
      </c>
      <c r="CL99" t="str">
        <f>IF(NOT(ISERROR(HLOOKUP(Standings!CL$3,Entries!$C91:$K91,1,FALSE))),"x",IF(NOT(ISERROR(HLOOKUP(Standings!CL$3,Entries!$L91:$L91,1,FALSE))),"S",""))</f>
        <v/>
      </c>
      <c r="CM99" t="str">
        <f>IF(NOT(ISERROR(HLOOKUP(Standings!CM$3,Entries!$C91:$K91,1,FALSE))),"x",IF(NOT(ISERROR(HLOOKUP(Standings!CM$3,Entries!$L91:$L91,1,FALSE))),"S",""))</f>
        <v>S</v>
      </c>
      <c r="CN99" t="str">
        <f>IF(NOT(ISERROR(HLOOKUP(Standings!CN$3,Entries!$C91:$K91,1,FALSE))),"x",IF(NOT(ISERROR(HLOOKUP(Standings!CN$3,Entries!$L91:$L91,1,FALSE))),"S",""))</f>
        <v/>
      </c>
      <c r="CO99" t="str">
        <f>IF(NOT(ISERROR(HLOOKUP(Standings!CO$3,Entries!$C91:$K91,1,FALSE))),"x",IF(NOT(ISERROR(HLOOKUP(Standings!CO$3,Entries!$L91:$L91,1,FALSE))),"S",""))</f>
        <v/>
      </c>
      <c r="CP99" t="str">
        <f>IF(NOT(ISERROR(HLOOKUP(Standings!CP$3,Entries!$C91:$K91,1,FALSE))),"x",IF(NOT(ISERROR(HLOOKUP(Standings!CP$3,Entries!$L91:$L91,1,FALSE))),"S",""))</f>
        <v/>
      </c>
      <c r="CQ99" t="str">
        <f>IF(NOT(ISERROR(HLOOKUP(Standings!CQ$3,Entries!$C91:$K91,1,FALSE))),"x",IF(NOT(ISERROR(HLOOKUP(Standings!CQ$3,Entries!$L91:$L91,1,FALSE))),"S",""))</f>
        <v/>
      </c>
      <c r="CR99" t="str">
        <f>IF(NOT(ISERROR(HLOOKUP(Standings!CR$3,Entries!$C91:$K91,1,FALSE))),"x",IF(NOT(ISERROR(HLOOKUP(Standings!CR$3,Entries!$L91:$L91,1,FALSE))),"S",""))</f>
        <v/>
      </c>
      <c r="CS99" t="str">
        <f>IF(NOT(ISERROR(HLOOKUP(Standings!CS$3,Entries!$C91:$K91,1,FALSE))),"x",IF(NOT(ISERROR(HLOOKUP(Standings!CS$3,Entries!$L91:$L91,1,FALSE))),"S",""))</f>
        <v/>
      </c>
      <c r="CT99" t="str">
        <f>IF(NOT(ISERROR(HLOOKUP(Standings!CT$3,Entries!$C91:$K91,1,FALSE))),"x",IF(NOT(ISERROR(HLOOKUP(Standings!CT$3,Entries!$L91:$L91,1,FALSE))),"S",""))</f>
        <v/>
      </c>
      <c r="CU99" t="str">
        <f>IF(NOT(ISERROR(HLOOKUP(Standings!CU$3,Entries!$C91:$K91,1,FALSE))),"x",IF(NOT(ISERROR(HLOOKUP(Standings!CU$3,Entries!$L91:$L91,1,FALSE))),"S",""))</f>
        <v/>
      </c>
      <c r="CV99" t="str">
        <f>IF(NOT(ISERROR(HLOOKUP(Standings!CV$3,Entries!$C91:$K91,1,FALSE))),"x",IF(NOT(ISERROR(HLOOKUP(Standings!CV$3,Entries!$L91:$L91,1,FALSE))),"S",""))</f>
        <v/>
      </c>
      <c r="CW99" t="str">
        <f>IF(NOT(ISERROR(HLOOKUP(Standings!CW$3,Entries!$C91:$K91,1,FALSE))),"x",IF(NOT(ISERROR(HLOOKUP(Standings!CW$3,Entries!$L91:$L91,1,FALSE))),"S",""))</f>
        <v/>
      </c>
      <c r="CX99" t="str">
        <f>IF(NOT(ISERROR(HLOOKUP(Standings!CX$3,Entries!$C91:$K91,1,FALSE))),"x",IF(NOT(ISERROR(HLOOKUP(Standings!CX$3,Entries!$L91:$L91,1,FALSE))),"S",""))</f>
        <v/>
      </c>
      <c r="CY99" t="str">
        <f>IF(NOT(ISERROR(HLOOKUP(Standings!CY$3,Entries!$C91:$K91,1,FALSE))),"x",IF(NOT(ISERROR(HLOOKUP(Standings!CY$3,Entries!$L91:$L91,1,FALSE))),"S",""))</f>
        <v/>
      </c>
      <c r="CZ99" t="str">
        <f>IF(NOT(ISERROR(HLOOKUP(Standings!CZ$3,Entries!$C91:$K91,1,FALSE))),"x",IF(NOT(ISERROR(HLOOKUP(Standings!CZ$3,Entries!$L91:$L91,1,FALSE))),"S",""))</f>
        <v/>
      </c>
      <c r="DA99" t="str">
        <f>IF(NOT(ISERROR(HLOOKUP(Standings!DA$3,Entries!$C91:$K91,1,FALSE))),"x",IF(NOT(ISERROR(HLOOKUP(Standings!DA$3,Entries!$L91:$L91,1,FALSE))),"S",""))</f>
        <v/>
      </c>
      <c r="DB99" t="str">
        <f>IF(NOT(ISERROR(HLOOKUP(Standings!DB$3,Entries!$C91:$K91,1,FALSE))),"x",IF(NOT(ISERROR(HLOOKUP(Standings!DB$3,Entries!$L91:$L91,1,FALSE))),"S",""))</f>
        <v/>
      </c>
    </row>
    <row r="100" spans="1:106" x14ac:dyDescent="0.25">
      <c r="A100" s="18"/>
      <c r="B100">
        <v>26</v>
      </c>
      <c r="C100" t="str">
        <f>Entries!B92</f>
        <v>Vin - 1</v>
      </c>
      <c r="D100" s="4">
        <f t="shared" si="55"/>
        <v>55</v>
      </c>
      <c r="E100" s="31">
        <f t="shared" si="154"/>
        <v>0</v>
      </c>
      <c r="F100" s="40" t="str">
        <f t="shared" si="155"/>
        <v/>
      </c>
      <c r="G100" s="41" t="str">
        <f t="shared" si="156"/>
        <v/>
      </c>
      <c r="H100" s="41" t="str">
        <f t="shared" si="157"/>
        <v/>
      </c>
      <c r="I100" s="42" t="str">
        <f t="shared" si="158"/>
        <v/>
      </c>
      <c r="J100" s="40" t="str">
        <f t="shared" si="159"/>
        <v/>
      </c>
      <c r="K100" s="41">
        <f t="shared" si="160"/>
        <v>0</v>
      </c>
      <c r="L100" s="41" t="str">
        <f t="shared" si="161"/>
        <v/>
      </c>
      <c r="M100" s="42" t="str">
        <f t="shared" si="162"/>
        <v/>
      </c>
      <c r="N100" s="43" t="str">
        <f t="shared" si="163"/>
        <v/>
      </c>
      <c r="O100" s="41">
        <f t="shared" si="164"/>
        <v>0</v>
      </c>
      <c r="P100" s="41" t="str">
        <f t="shared" si="165"/>
        <v/>
      </c>
      <c r="Q100" s="42" t="str">
        <f t="shared" si="166"/>
        <v/>
      </c>
      <c r="R100" s="40" t="str">
        <f t="shared" si="167"/>
        <v/>
      </c>
      <c r="S100" s="41" t="str">
        <f t="shared" si="168"/>
        <v/>
      </c>
      <c r="T100" s="43" t="str">
        <f t="shared" si="169"/>
        <v/>
      </c>
      <c r="U100" s="42">
        <f t="shared" si="170"/>
        <v>0</v>
      </c>
      <c r="V100" s="40" t="str">
        <f t="shared" si="171"/>
        <v/>
      </c>
      <c r="W100" s="41" t="str">
        <f t="shared" si="172"/>
        <v/>
      </c>
      <c r="X100" s="41" t="str">
        <f t="shared" si="173"/>
        <v/>
      </c>
      <c r="Y100" s="42" t="str">
        <f t="shared" si="174"/>
        <v/>
      </c>
      <c r="Z100" s="40" t="str">
        <f t="shared" si="175"/>
        <v/>
      </c>
      <c r="AA100" s="41">
        <f t="shared" si="176"/>
        <v>0</v>
      </c>
      <c r="AB100" s="41" t="str">
        <f t="shared" si="177"/>
        <v/>
      </c>
      <c r="AC100" s="42" t="str">
        <f t="shared" si="178"/>
        <v/>
      </c>
      <c r="AD100" s="40" t="str">
        <f t="shared" si="179"/>
        <v/>
      </c>
      <c r="AE100" s="41" t="str">
        <f t="shared" si="180"/>
        <v/>
      </c>
      <c r="AF100" s="41" t="str">
        <f t="shared" si="181"/>
        <v/>
      </c>
      <c r="AG100" s="42" t="str">
        <f t="shared" si="182"/>
        <v/>
      </c>
      <c r="AH100" s="40" t="str">
        <f t="shared" si="183"/>
        <v/>
      </c>
      <c r="AI100" s="41" t="str">
        <f t="shared" si="184"/>
        <v/>
      </c>
      <c r="AJ100" s="41" t="str">
        <f t="shared" si="185"/>
        <v/>
      </c>
      <c r="AK100" s="42" t="str">
        <f t="shared" si="186"/>
        <v/>
      </c>
      <c r="AL100" s="40" t="str">
        <f t="shared" si="187"/>
        <v/>
      </c>
      <c r="AM100" s="41">
        <f t="shared" si="188"/>
        <v>-1.0000000000000001E-5</v>
      </c>
      <c r="AN100" s="41" t="str">
        <f t="shared" si="189"/>
        <v/>
      </c>
      <c r="AO100" s="42" t="str">
        <f t="shared" si="190"/>
        <v/>
      </c>
      <c r="AP100" s="40" t="str">
        <f t="shared" si="191"/>
        <v/>
      </c>
      <c r="AQ100" s="41" t="str">
        <f t="shared" si="192"/>
        <v/>
      </c>
      <c r="AR100" s="41" t="str">
        <f t="shared" si="193"/>
        <v/>
      </c>
      <c r="AS100" s="42" t="str">
        <f t="shared" si="194"/>
        <v/>
      </c>
      <c r="AT100" s="40" t="str">
        <f t="shared" si="195"/>
        <v/>
      </c>
      <c r="AU100" s="41" t="str">
        <f t="shared" si="196"/>
        <v/>
      </c>
      <c r="AV100" s="41">
        <f t="shared" si="197"/>
        <v>0</v>
      </c>
      <c r="AW100" s="42" t="str">
        <f t="shared" si="198"/>
        <v/>
      </c>
      <c r="AX100" s="40" t="str">
        <f t="shared" si="199"/>
        <v/>
      </c>
      <c r="AY100" s="41" t="str">
        <f t="shared" si="200"/>
        <v/>
      </c>
      <c r="AZ100" s="41" t="str">
        <f t="shared" si="201"/>
        <v/>
      </c>
      <c r="BA100" s="42" t="str">
        <f t="shared" si="202"/>
        <v/>
      </c>
      <c r="BB100" s="37" t="s">
        <v>106</v>
      </c>
      <c r="BC100" s="21"/>
      <c r="BD100" s="21"/>
      <c r="BG100" t="str">
        <f>IF(NOT(ISERROR(HLOOKUP(Standings!BG$3,Entries!$C92:$K92,1,FALSE))),"x",IF(NOT(ISERROR(HLOOKUP(Standings!BG$3,Entries!$L92:$L92,1,FALSE))),"S",""))</f>
        <v/>
      </c>
      <c r="BH100" t="str">
        <f>IF(NOT(ISERROR(HLOOKUP(Standings!BH$3,Entries!$C92:$K92,1,FALSE))),"x",IF(NOT(ISERROR(HLOOKUP(Standings!BH$3,Entries!$L92:$L92,1,FALSE))),"S",""))</f>
        <v/>
      </c>
      <c r="BI100" t="str">
        <f>IF(NOT(ISERROR(HLOOKUP(Standings!BI$3,Entries!$C92:$K92,1,FALSE))),"x",IF(NOT(ISERROR(HLOOKUP(Standings!BI$3,Entries!$L92:$L92,1,FALSE))),"S",""))</f>
        <v/>
      </c>
      <c r="BJ100" t="str">
        <f>IF(NOT(ISERROR(HLOOKUP(Standings!BJ$3,Entries!$C92:$K92,1,FALSE))),"x",IF(NOT(ISERROR(HLOOKUP(Standings!BJ$3,Entries!$L92:$L92,1,FALSE))),"S",""))</f>
        <v/>
      </c>
      <c r="BK100" t="str">
        <f>IF(NOT(ISERROR(HLOOKUP(Standings!BK$3,Entries!$C92:$K92,1,FALSE))),"x",IF(NOT(ISERROR(HLOOKUP(Standings!BK$3,Entries!$L92:$L92,1,FALSE))),"S",""))</f>
        <v/>
      </c>
      <c r="BL100" t="str">
        <f>IF(NOT(ISERROR(HLOOKUP(Standings!BL$3,Entries!$C92:$K92,1,FALSE))),"x",IF(NOT(ISERROR(HLOOKUP(Standings!BL$3,Entries!$L92:$L92,1,FALSE))),"S",""))</f>
        <v>x</v>
      </c>
      <c r="BM100" t="str">
        <f>IF(NOT(ISERROR(HLOOKUP(Standings!BM$3,Entries!$C92:$K92,1,FALSE))),"x",IF(NOT(ISERROR(HLOOKUP(Standings!BM$3,Entries!$L92:$L92,1,FALSE))),"S",""))</f>
        <v/>
      </c>
      <c r="BN100" t="str">
        <f>IF(NOT(ISERROR(HLOOKUP(Standings!BN$3,Entries!$C92:$K92,1,FALSE))),"x",IF(NOT(ISERROR(HLOOKUP(Standings!BN$3,Entries!$L92:$L92,1,FALSE))),"S",""))</f>
        <v/>
      </c>
      <c r="BO100" t="str">
        <f>IF(NOT(ISERROR(HLOOKUP(Standings!BO$3,Entries!$C92:$K92,1,FALSE))),"x",IF(NOT(ISERROR(HLOOKUP(Standings!BO$3,Entries!$L92:$L92,1,FALSE))),"S",""))</f>
        <v/>
      </c>
      <c r="BP100" t="str">
        <f>IF(NOT(ISERROR(HLOOKUP(Standings!BP$3,Entries!$C92:$K92,1,FALSE))),"x",IF(NOT(ISERROR(HLOOKUP(Standings!BP$3,Entries!$L92:$L92,1,FALSE))),"S",""))</f>
        <v>x</v>
      </c>
      <c r="BQ100" t="str">
        <f>IF(NOT(ISERROR(HLOOKUP(Standings!BQ$3,Entries!$C92:$K92,1,FALSE))),"x",IF(NOT(ISERROR(HLOOKUP(Standings!BQ$3,Entries!$L92:$L92,1,FALSE))),"S",""))</f>
        <v/>
      </c>
      <c r="BR100" t="str">
        <f>IF(NOT(ISERROR(HLOOKUP(Standings!BR$3,Entries!$C92:$K92,1,FALSE))),"x",IF(NOT(ISERROR(HLOOKUP(Standings!BR$3,Entries!$L92:$L92,1,FALSE))),"S",""))</f>
        <v/>
      </c>
      <c r="BS100" t="str">
        <f>IF(NOT(ISERROR(HLOOKUP(Standings!BS$3,Entries!$C92:$K92,1,FALSE))),"x",IF(NOT(ISERROR(HLOOKUP(Standings!BS$3,Entries!$L92:$L92,1,FALSE))),"S",""))</f>
        <v/>
      </c>
      <c r="BT100" t="str">
        <f>IF(NOT(ISERROR(HLOOKUP(Standings!BT$3,Entries!$C92:$K92,1,FALSE))),"x",IF(NOT(ISERROR(HLOOKUP(Standings!BT$3,Entries!$L92:$L92,1,FALSE))),"S",""))</f>
        <v/>
      </c>
      <c r="BU100" t="str">
        <f>IF(NOT(ISERROR(HLOOKUP(Standings!BU$3,Entries!$C92:$K92,1,FALSE))),"x",IF(NOT(ISERROR(HLOOKUP(Standings!BU$3,Entries!$L92:$L92,1,FALSE))),"S",""))</f>
        <v/>
      </c>
      <c r="BV100" t="str">
        <f>IF(NOT(ISERROR(HLOOKUP(Standings!BV$3,Entries!$C92:$K92,1,FALSE))),"x",IF(NOT(ISERROR(HLOOKUP(Standings!BV$3,Entries!$L92:$L92,1,FALSE))),"S",""))</f>
        <v>x</v>
      </c>
      <c r="BW100" t="str">
        <f>IF(NOT(ISERROR(HLOOKUP(Standings!BW$3,Entries!$C92:$K92,1,FALSE))),"x",IF(NOT(ISERROR(HLOOKUP(Standings!BW$3,Entries!$L92:$L92,1,FALSE))),"S",""))</f>
        <v/>
      </c>
      <c r="BX100" t="str">
        <f>IF(NOT(ISERROR(HLOOKUP(Standings!BX$3,Entries!$C92:$K92,1,FALSE))),"x",IF(NOT(ISERROR(HLOOKUP(Standings!BX$3,Entries!$L92:$L92,1,FALSE))),"S",""))</f>
        <v/>
      </c>
      <c r="BY100" t="str">
        <f>IF(NOT(ISERROR(HLOOKUP(Standings!BY$3,Entries!$C92:$K92,1,FALSE))),"x",IF(NOT(ISERROR(HLOOKUP(Standings!BY$3,Entries!$L92:$L92,1,FALSE))),"S",""))</f>
        <v/>
      </c>
      <c r="BZ100" t="str">
        <f>IF(NOT(ISERROR(HLOOKUP(Standings!BZ$3,Entries!$C92:$K92,1,FALSE))),"x",IF(NOT(ISERROR(HLOOKUP(Standings!BZ$3,Entries!$L92:$L92,1,FALSE))),"S",""))</f>
        <v/>
      </c>
      <c r="CA100" t="str">
        <f>IF(NOT(ISERROR(HLOOKUP(Standings!CA$3,Entries!$C92:$K92,1,FALSE))),"x",IF(NOT(ISERROR(HLOOKUP(Standings!CA$3,Entries!$L92:$L92,1,FALSE))),"S",""))</f>
        <v/>
      </c>
      <c r="CB100" t="str">
        <f>IF(NOT(ISERROR(HLOOKUP(Standings!CB$3,Entries!$C92:$K92,1,FALSE))),"x",IF(NOT(ISERROR(HLOOKUP(Standings!CB$3,Entries!$L92:$L92,1,FALSE))),"S",""))</f>
        <v>x</v>
      </c>
      <c r="CC100" t="str">
        <f>IF(NOT(ISERROR(HLOOKUP(Standings!CC$3,Entries!$C92:$K92,1,FALSE))),"x",IF(NOT(ISERROR(HLOOKUP(Standings!CC$3,Entries!$L92:$L92,1,FALSE))),"S",""))</f>
        <v/>
      </c>
      <c r="CD100" t="str">
        <f>IF(NOT(ISERROR(HLOOKUP(Standings!CD$3,Entries!$C92:$K92,1,FALSE))),"x",IF(NOT(ISERROR(HLOOKUP(Standings!CD$3,Entries!$L92:$L92,1,FALSE))),"S",""))</f>
        <v/>
      </c>
      <c r="CE100" t="str">
        <f>IF(NOT(ISERROR(HLOOKUP(Standings!CE$3,Entries!$C92:$K92,1,FALSE))),"x",IF(NOT(ISERROR(HLOOKUP(Standings!CE$3,Entries!$L92:$L92,1,FALSE))),"S",""))</f>
        <v/>
      </c>
      <c r="CF100" t="str">
        <f>IF(NOT(ISERROR(HLOOKUP(Standings!CF$3,Entries!$C92:$K92,1,FALSE))),"x",IF(NOT(ISERROR(HLOOKUP(Standings!CF$3,Entries!$L92:$L92,1,FALSE))),"S",""))</f>
        <v/>
      </c>
      <c r="CG100" t="str">
        <f>IF(NOT(ISERROR(HLOOKUP(Standings!CG$3,Entries!$C92:$K92,1,FALSE))),"x",IF(NOT(ISERROR(HLOOKUP(Standings!CG$3,Entries!$L92:$L92,1,FALSE))),"S",""))</f>
        <v/>
      </c>
      <c r="CH100" t="str">
        <f>IF(NOT(ISERROR(HLOOKUP(Standings!CH$3,Entries!$C92:$K92,1,FALSE))),"x",IF(NOT(ISERROR(HLOOKUP(Standings!CH$3,Entries!$L92:$L92,1,FALSE))),"S",""))</f>
        <v/>
      </c>
      <c r="CI100" t="str">
        <f>IF(NOT(ISERROR(HLOOKUP(Standings!CI$3,Entries!$C92:$K92,1,FALSE))),"x",IF(NOT(ISERROR(HLOOKUP(Standings!CI$3,Entries!$L92:$L92,1,FALSE))),"S",""))</f>
        <v/>
      </c>
      <c r="CJ100" t="str">
        <f>IF(NOT(ISERROR(HLOOKUP(Standings!CJ$3,Entries!$C92:$K92,1,FALSE))),"x",IF(NOT(ISERROR(HLOOKUP(Standings!CJ$3,Entries!$L92:$L92,1,FALSE))),"S",""))</f>
        <v/>
      </c>
      <c r="CK100" t="str">
        <f>IF(NOT(ISERROR(HLOOKUP(Standings!CK$3,Entries!$C92:$K92,1,FALSE))),"x",IF(NOT(ISERROR(HLOOKUP(Standings!CK$3,Entries!$L92:$L92,1,FALSE))),"S",""))</f>
        <v/>
      </c>
      <c r="CL100" t="str">
        <f>IF(NOT(ISERROR(HLOOKUP(Standings!CL$3,Entries!$C92:$K92,1,FALSE))),"x",IF(NOT(ISERROR(HLOOKUP(Standings!CL$3,Entries!$L92:$L92,1,FALSE))),"S",""))</f>
        <v/>
      </c>
      <c r="CM100" t="str">
        <f>IF(NOT(ISERROR(HLOOKUP(Standings!CM$3,Entries!$C92:$K92,1,FALSE))),"x",IF(NOT(ISERROR(HLOOKUP(Standings!CM$3,Entries!$L92:$L92,1,FALSE))),"S",""))</f>
        <v/>
      </c>
      <c r="CN100" t="str">
        <f>IF(NOT(ISERROR(HLOOKUP(Standings!CN$3,Entries!$C92:$K92,1,FALSE))),"x",IF(NOT(ISERROR(HLOOKUP(Standings!CN$3,Entries!$L92:$L92,1,FALSE))),"S",""))</f>
        <v>S</v>
      </c>
      <c r="CO100" t="str">
        <f>IF(NOT(ISERROR(HLOOKUP(Standings!CO$3,Entries!$C92:$K92,1,FALSE))),"x",IF(NOT(ISERROR(HLOOKUP(Standings!CO$3,Entries!$L92:$L92,1,FALSE))),"S",""))</f>
        <v/>
      </c>
      <c r="CP100" t="str">
        <f>IF(NOT(ISERROR(HLOOKUP(Standings!CP$3,Entries!$C92:$K92,1,FALSE))),"x",IF(NOT(ISERROR(HLOOKUP(Standings!CP$3,Entries!$L92:$L92,1,FALSE))),"S",""))</f>
        <v/>
      </c>
      <c r="CQ100" t="str">
        <f>IF(NOT(ISERROR(HLOOKUP(Standings!CQ$3,Entries!$C92:$K92,1,FALSE))),"x",IF(NOT(ISERROR(HLOOKUP(Standings!CQ$3,Entries!$L92:$L92,1,FALSE))),"S",""))</f>
        <v/>
      </c>
      <c r="CR100" t="str">
        <f>IF(NOT(ISERROR(HLOOKUP(Standings!CR$3,Entries!$C92:$K92,1,FALSE))),"x",IF(NOT(ISERROR(HLOOKUP(Standings!CR$3,Entries!$L92:$L92,1,FALSE))),"S",""))</f>
        <v/>
      </c>
      <c r="CS100" t="str">
        <f>IF(NOT(ISERROR(HLOOKUP(Standings!CS$3,Entries!$C92:$K92,1,FALSE))),"x",IF(NOT(ISERROR(HLOOKUP(Standings!CS$3,Entries!$L92:$L92,1,FALSE))),"S",""))</f>
        <v/>
      </c>
      <c r="CT100" t="str">
        <f>IF(NOT(ISERROR(HLOOKUP(Standings!CT$3,Entries!$C92:$K92,1,FALSE))),"x",IF(NOT(ISERROR(HLOOKUP(Standings!CT$3,Entries!$L92:$L92,1,FALSE))),"S",""))</f>
        <v/>
      </c>
      <c r="CU100" t="str">
        <f>IF(NOT(ISERROR(HLOOKUP(Standings!CU$3,Entries!$C92:$K92,1,FALSE))),"x",IF(NOT(ISERROR(HLOOKUP(Standings!CU$3,Entries!$L92:$L92,1,FALSE))),"S",""))</f>
        <v/>
      </c>
      <c r="CV100" t="str">
        <f>IF(NOT(ISERROR(HLOOKUP(Standings!CV$3,Entries!$C92:$K92,1,FALSE))),"x",IF(NOT(ISERROR(HLOOKUP(Standings!CV$3,Entries!$L92:$L92,1,FALSE))),"S",""))</f>
        <v/>
      </c>
      <c r="CW100" t="str">
        <f>IF(NOT(ISERROR(HLOOKUP(Standings!CW$3,Entries!$C92:$K92,1,FALSE))),"x",IF(NOT(ISERROR(HLOOKUP(Standings!CW$3,Entries!$L92:$L92,1,FALSE))),"S",""))</f>
        <v>x</v>
      </c>
      <c r="CX100" t="str">
        <f>IF(NOT(ISERROR(HLOOKUP(Standings!CX$3,Entries!$C92:$K92,1,FALSE))),"x",IF(NOT(ISERROR(HLOOKUP(Standings!CX$3,Entries!$L92:$L92,1,FALSE))),"S",""))</f>
        <v/>
      </c>
      <c r="CY100" t="str">
        <f>IF(NOT(ISERROR(HLOOKUP(Standings!CY$3,Entries!$C92:$K92,1,FALSE))),"x",IF(NOT(ISERROR(HLOOKUP(Standings!CY$3,Entries!$L92:$L92,1,FALSE))),"S",""))</f>
        <v/>
      </c>
      <c r="CZ100" t="str">
        <f>IF(NOT(ISERROR(HLOOKUP(Standings!CZ$3,Entries!$C92:$K92,1,FALSE))),"x",IF(NOT(ISERROR(HLOOKUP(Standings!CZ$3,Entries!$L92:$L92,1,FALSE))),"S",""))</f>
        <v/>
      </c>
      <c r="DA100" t="str">
        <f>IF(NOT(ISERROR(HLOOKUP(Standings!DA$3,Entries!$C92:$K92,1,FALSE))),"x",IF(NOT(ISERROR(HLOOKUP(Standings!DA$3,Entries!$L92:$L92,1,FALSE))),"S",""))</f>
        <v/>
      </c>
      <c r="DB100" t="str">
        <f>IF(NOT(ISERROR(HLOOKUP(Standings!DB$3,Entries!$C92:$K92,1,FALSE))),"x",IF(NOT(ISERROR(HLOOKUP(Standings!DB$3,Entries!$L92:$L92,1,FALSE))),"S",""))</f>
        <v/>
      </c>
    </row>
    <row r="101" spans="1:106" x14ac:dyDescent="0.25">
      <c r="A101" s="18"/>
      <c r="B101">
        <v>26</v>
      </c>
      <c r="C101" t="str">
        <f>Entries!B93</f>
        <v>Vin - 2</v>
      </c>
      <c r="D101" s="4">
        <f t="shared" si="55"/>
        <v>18</v>
      </c>
      <c r="E101" s="31">
        <f t="shared" si="154"/>
        <v>2</v>
      </c>
      <c r="F101" s="40" t="str">
        <f t="shared" si="155"/>
        <v/>
      </c>
      <c r="G101" s="41" t="str">
        <f t="shared" si="156"/>
        <v/>
      </c>
      <c r="H101" s="41" t="str">
        <f t="shared" si="157"/>
        <v/>
      </c>
      <c r="I101" s="42" t="str">
        <f t="shared" si="158"/>
        <v/>
      </c>
      <c r="J101" s="40" t="str">
        <f t="shared" si="159"/>
        <v/>
      </c>
      <c r="K101" s="41" t="str">
        <f t="shared" si="160"/>
        <v/>
      </c>
      <c r="L101" s="41" t="str">
        <f t="shared" si="161"/>
        <v/>
      </c>
      <c r="M101" s="42" t="str">
        <f t="shared" si="162"/>
        <v/>
      </c>
      <c r="N101" s="43" t="str">
        <f t="shared" si="163"/>
        <v/>
      </c>
      <c r="O101" s="41" t="str">
        <f t="shared" si="164"/>
        <v/>
      </c>
      <c r="P101" s="41" t="str">
        <f t="shared" si="165"/>
        <v/>
      </c>
      <c r="Q101" s="42" t="str">
        <f t="shared" si="166"/>
        <v/>
      </c>
      <c r="R101" s="40">
        <f t="shared" si="167"/>
        <v>2</v>
      </c>
      <c r="S101" s="41" t="str">
        <f t="shared" si="168"/>
        <v/>
      </c>
      <c r="T101" s="43" t="str">
        <f t="shared" si="169"/>
        <v/>
      </c>
      <c r="U101" s="42" t="str">
        <f t="shared" si="170"/>
        <v/>
      </c>
      <c r="V101" s="40">
        <f t="shared" si="171"/>
        <v>-1.0000000000000001E-5</v>
      </c>
      <c r="W101" s="41" t="str">
        <f t="shared" si="172"/>
        <v/>
      </c>
      <c r="X101" s="41" t="str">
        <f t="shared" si="173"/>
        <v/>
      </c>
      <c r="Y101" s="42" t="str">
        <f t="shared" si="174"/>
        <v/>
      </c>
      <c r="Z101" s="40" t="str">
        <f t="shared" si="175"/>
        <v/>
      </c>
      <c r="AA101" s="41" t="str">
        <f t="shared" si="176"/>
        <v/>
      </c>
      <c r="AB101" s="41" t="str">
        <f t="shared" si="177"/>
        <v/>
      </c>
      <c r="AC101" s="42">
        <f t="shared" si="178"/>
        <v>0</v>
      </c>
      <c r="AD101" s="40" t="str">
        <f t="shared" si="179"/>
        <v/>
      </c>
      <c r="AE101" s="41" t="str">
        <f t="shared" si="180"/>
        <v/>
      </c>
      <c r="AF101" s="41" t="str">
        <f t="shared" si="181"/>
        <v/>
      </c>
      <c r="AG101" s="42" t="str">
        <f t="shared" si="182"/>
        <v/>
      </c>
      <c r="AH101" s="40" t="str">
        <f t="shared" si="183"/>
        <v/>
      </c>
      <c r="AI101" s="41" t="str">
        <f t="shared" si="184"/>
        <v/>
      </c>
      <c r="AJ101" s="41" t="str">
        <f t="shared" si="185"/>
        <v/>
      </c>
      <c r="AK101" s="42">
        <f t="shared" si="186"/>
        <v>0</v>
      </c>
      <c r="AL101" s="40" t="str">
        <f t="shared" si="187"/>
        <v/>
      </c>
      <c r="AM101" s="41" t="str">
        <f t="shared" si="188"/>
        <v/>
      </c>
      <c r="AN101" s="41">
        <f t="shared" si="189"/>
        <v>0</v>
      </c>
      <c r="AO101" s="42" t="str">
        <f t="shared" si="190"/>
        <v/>
      </c>
      <c r="AP101" s="40" t="str">
        <f t="shared" si="191"/>
        <v/>
      </c>
      <c r="AQ101" s="41" t="str">
        <f t="shared" si="192"/>
        <v/>
      </c>
      <c r="AR101" s="41" t="str">
        <f t="shared" si="193"/>
        <v/>
      </c>
      <c r="AS101" s="42" t="str">
        <f t="shared" si="194"/>
        <v/>
      </c>
      <c r="AT101" s="40" t="str">
        <f t="shared" si="195"/>
        <v/>
      </c>
      <c r="AU101" s="41" t="str">
        <f t="shared" si="196"/>
        <v/>
      </c>
      <c r="AV101" s="41" t="str">
        <f t="shared" si="197"/>
        <v/>
      </c>
      <c r="AW101" s="42" t="str">
        <f t="shared" si="198"/>
        <v/>
      </c>
      <c r="AX101" s="40">
        <f t="shared" si="199"/>
        <v>0</v>
      </c>
      <c r="AY101" s="41" t="str">
        <f t="shared" si="200"/>
        <v/>
      </c>
      <c r="AZ101" s="41" t="str">
        <f t="shared" si="201"/>
        <v/>
      </c>
      <c r="BA101" s="42" t="str">
        <f t="shared" si="202"/>
        <v/>
      </c>
      <c r="BB101" s="37" t="s">
        <v>106</v>
      </c>
      <c r="BC101" s="21"/>
      <c r="BD101" s="21"/>
      <c r="BG101" t="str">
        <f>IF(NOT(ISERROR(HLOOKUP(Standings!BG$3,Entries!$C93:$K93,1,FALSE))),"x",IF(NOT(ISERROR(HLOOKUP(Standings!BG$3,Entries!$L93:$L93,1,FALSE))),"S",""))</f>
        <v/>
      </c>
      <c r="BH101" t="str">
        <f>IF(NOT(ISERROR(HLOOKUP(Standings!BH$3,Entries!$C93:$K93,1,FALSE))),"x",IF(NOT(ISERROR(HLOOKUP(Standings!BH$3,Entries!$L93:$L93,1,FALSE))),"S",""))</f>
        <v/>
      </c>
      <c r="BI101" t="str">
        <f>IF(NOT(ISERROR(HLOOKUP(Standings!BI$3,Entries!$C93:$K93,1,FALSE))),"x",IF(NOT(ISERROR(HLOOKUP(Standings!BI$3,Entries!$L93:$L93,1,FALSE))),"S",""))</f>
        <v/>
      </c>
      <c r="BJ101" t="str">
        <f>IF(NOT(ISERROR(HLOOKUP(Standings!BJ$3,Entries!$C93:$K93,1,FALSE))),"x",IF(NOT(ISERROR(HLOOKUP(Standings!BJ$3,Entries!$L93:$L93,1,FALSE))),"S",""))</f>
        <v/>
      </c>
      <c r="BK101" t="str">
        <f>IF(NOT(ISERROR(HLOOKUP(Standings!BK$3,Entries!$C93:$K93,1,FALSE))),"x",IF(NOT(ISERROR(HLOOKUP(Standings!BK$3,Entries!$L93:$L93,1,FALSE))),"S",""))</f>
        <v/>
      </c>
      <c r="BL101" t="str">
        <f>IF(NOT(ISERROR(HLOOKUP(Standings!BL$3,Entries!$C93:$K93,1,FALSE))),"x",IF(NOT(ISERROR(HLOOKUP(Standings!BL$3,Entries!$L93:$L93,1,FALSE))),"S",""))</f>
        <v/>
      </c>
      <c r="BM101" t="str">
        <f>IF(NOT(ISERROR(HLOOKUP(Standings!BM$3,Entries!$C93:$K93,1,FALSE))),"x",IF(NOT(ISERROR(HLOOKUP(Standings!BM$3,Entries!$L93:$L93,1,FALSE))),"S",""))</f>
        <v/>
      </c>
      <c r="BN101" t="str">
        <f>IF(NOT(ISERROR(HLOOKUP(Standings!BN$3,Entries!$C93:$K93,1,FALSE))),"x",IF(NOT(ISERROR(HLOOKUP(Standings!BN$3,Entries!$L93:$L93,1,FALSE))),"S",""))</f>
        <v/>
      </c>
      <c r="BO101" t="str">
        <f>IF(NOT(ISERROR(HLOOKUP(Standings!BO$3,Entries!$C93:$K93,1,FALSE))),"x",IF(NOT(ISERROR(HLOOKUP(Standings!BO$3,Entries!$L93:$L93,1,FALSE))),"S",""))</f>
        <v/>
      </c>
      <c r="BP101" t="str">
        <f>IF(NOT(ISERROR(HLOOKUP(Standings!BP$3,Entries!$C93:$K93,1,FALSE))),"x",IF(NOT(ISERROR(HLOOKUP(Standings!BP$3,Entries!$L93:$L93,1,FALSE))),"S",""))</f>
        <v/>
      </c>
      <c r="BQ101" t="str">
        <f>IF(NOT(ISERROR(HLOOKUP(Standings!BQ$3,Entries!$C93:$K93,1,FALSE))),"x",IF(NOT(ISERROR(HLOOKUP(Standings!BQ$3,Entries!$L93:$L93,1,FALSE))),"S",""))</f>
        <v/>
      </c>
      <c r="BR101" t="str">
        <f>IF(NOT(ISERROR(HLOOKUP(Standings!BR$3,Entries!$C93:$K93,1,FALSE))),"x",IF(NOT(ISERROR(HLOOKUP(Standings!BR$3,Entries!$L93:$L93,1,FALSE))),"S",""))</f>
        <v/>
      </c>
      <c r="BS101" t="str">
        <f>IF(NOT(ISERROR(HLOOKUP(Standings!BS$3,Entries!$C93:$K93,1,FALSE))),"x",IF(NOT(ISERROR(HLOOKUP(Standings!BS$3,Entries!$L93:$L93,1,FALSE))),"S",""))</f>
        <v>x</v>
      </c>
      <c r="BT101" t="str">
        <f>IF(NOT(ISERROR(HLOOKUP(Standings!BT$3,Entries!$C93:$K93,1,FALSE))),"x",IF(NOT(ISERROR(HLOOKUP(Standings!BT$3,Entries!$L93:$L93,1,FALSE))),"S",""))</f>
        <v/>
      </c>
      <c r="BU101" t="str">
        <f>IF(NOT(ISERROR(HLOOKUP(Standings!BU$3,Entries!$C93:$K93,1,FALSE))),"x",IF(NOT(ISERROR(HLOOKUP(Standings!BU$3,Entries!$L93:$L93,1,FALSE))),"S",""))</f>
        <v/>
      </c>
      <c r="BV101" t="str">
        <f>IF(NOT(ISERROR(HLOOKUP(Standings!BV$3,Entries!$C93:$K93,1,FALSE))),"x",IF(NOT(ISERROR(HLOOKUP(Standings!BV$3,Entries!$L93:$L93,1,FALSE))),"S",""))</f>
        <v/>
      </c>
      <c r="BW101" t="str">
        <f>IF(NOT(ISERROR(HLOOKUP(Standings!BW$3,Entries!$C93:$K93,1,FALSE))),"x",IF(NOT(ISERROR(HLOOKUP(Standings!BW$3,Entries!$L93:$L93,1,FALSE))),"S",""))</f>
        <v>S</v>
      </c>
      <c r="BX101" t="str">
        <f>IF(NOT(ISERROR(HLOOKUP(Standings!BX$3,Entries!$C93:$K93,1,FALSE))),"x",IF(NOT(ISERROR(HLOOKUP(Standings!BX$3,Entries!$L93:$L93,1,FALSE))),"S",""))</f>
        <v/>
      </c>
      <c r="BY101" t="str">
        <f>IF(NOT(ISERROR(HLOOKUP(Standings!BY$3,Entries!$C93:$K93,1,FALSE))),"x",IF(NOT(ISERROR(HLOOKUP(Standings!BY$3,Entries!$L93:$L93,1,FALSE))),"S",""))</f>
        <v/>
      </c>
      <c r="BZ101" t="str">
        <f>IF(NOT(ISERROR(HLOOKUP(Standings!BZ$3,Entries!$C93:$K93,1,FALSE))),"x",IF(NOT(ISERROR(HLOOKUP(Standings!BZ$3,Entries!$L93:$L93,1,FALSE))),"S",""))</f>
        <v/>
      </c>
      <c r="CA101" t="str">
        <f>IF(NOT(ISERROR(HLOOKUP(Standings!CA$3,Entries!$C93:$K93,1,FALSE))),"x",IF(NOT(ISERROR(HLOOKUP(Standings!CA$3,Entries!$L93:$L93,1,FALSE))),"S",""))</f>
        <v/>
      </c>
      <c r="CB101" t="str">
        <f>IF(NOT(ISERROR(HLOOKUP(Standings!CB$3,Entries!$C93:$K93,1,FALSE))),"x",IF(NOT(ISERROR(HLOOKUP(Standings!CB$3,Entries!$L93:$L93,1,FALSE))),"S",""))</f>
        <v/>
      </c>
      <c r="CC101" t="str">
        <f>IF(NOT(ISERROR(HLOOKUP(Standings!CC$3,Entries!$C93:$K93,1,FALSE))),"x",IF(NOT(ISERROR(HLOOKUP(Standings!CC$3,Entries!$L93:$L93,1,FALSE))),"S",""))</f>
        <v/>
      </c>
      <c r="CD101" t="str">
        <f>IF(NOT(ISERROR(HLOOKUP(Standings!CD$3,Entries!$C93:$K93,1,FALSE))),"x",IF(NOT(ISERROR(HLOOKUP(Standings!CD$3,Entries!$L93:$L93,1,FALSE))),"S",""))</f>
        <v>x</v>
      </c>
      <c r="CE101" t="str">
        <f>IF(NOT(ISERROR(HLOOKUP(Standings!CE$3,Entries!$C93:$K93,1,FALSE))),"x",IF(NOT(ISERROR(HLOOKUP(Standings!CE$3,Entries!$L93:$L93,1,FALSE))),"S",""))</f>
        <v/>
      </c>
      <c r="CF101" t="str">
        <f>IF(NOT(ISERROR(HLOOKUP(Standings!CF$3,Entries!$C93:$K93,1,FALSE))),"x",IF(NOT(ISERROR(HLOOKUP(Standings!CF$3,Entries!$L93:$L93,1,FALSE))),"S",""))</f>
        <v/>
      </c>
      <c r="CG101" t="str">
        <f>IF(NOT(ISERROR(HLOOKUP(Standings!CG$3,Entries!$C93:$K93,1,FALSE))),"x",IF(NOT(ISERROR(HLOOKUP(Standings!CG$3,Entries!$L93:$L93,1,FALSE))),"S",""))</f>
        <v/>
      </c>
      <c r="CH101" t="str">
        <f>IF(NOT(ISERROR(HLOOKUP(Standings!CH$3,Entries!$C93:$K93,1,FALSE))),"x",IF(NOT(ISERROR(HLOOKUP(Standings!CH$3,Entries!$L93:$L93,1,FALSE))),"S",""))</f>
        <v/>
      </c>
      <c r="CI101" t="str">
        <f>IF(NOT(ISERROR(HLOOKUP(Standings!CI$3,Entries!$C93:$K93,1,FALSE))),"x",IF(NOT(ISERROR(HLOOKUP(Standings!CI$3,Entries!$L93:$L93,1,FALSE))),"S",""))</f>
        <v/>
      </c>
      <c r="CJ101" t="str">
        <f>IF(NOT(ISERROR(HLOOKUP(Standings!CJ$3,Entries!$C93:$K93,1,FALSE))),"x",IF(NOT(ISERROR(HLOOKUP(Standings!CJ$3,Entries!$L93:$L93,1,FALSE))),"S",""))</f>
        <v/>
      </c>
      <c r="CK101" t="str">
        <f>IF(NOT(ISERROR(HLOOKUP(Standings!CK$3,Entries!$C93:$K93,1,FALSE))),"x",IF(NOT(ISERROR(HLOOKUP(Standings!CK$3,Entries!$L93:$L93,1,FALSE))),"S",""))</f>
        <v/>
      </c>
      <c r="CL101" t="str">
        <f>IF(NOT(ISERROR(HLOOKUP(Standings!CL$3,Entries!$C93:$K93,1,FALSE))),"x",IF(NOT(ISERROR(HLOOKUP(Standings!CL$3,Entries!$L93:$L93,1,FALSE))),"S",""))</f>
        <v>x</v>
      </c>
      <c r="CM101" t="str">
        <f>IF(NOT(ISERROR(HLOOKUP(Standings!CM$3,Entries!$C93:$K93,1,FALSE))),"x",IF(NOT(ISERROR(HLOOKUP(Standings!CM$3,Entries!$L93:$L93,1,FALSE))),"S",""))</f>
        <v/>
      </c>
      <c r="CN101" t="str">
        <f>IF(NOT(ISERROR(HLOOKUP(Standings!CN$3,Entries!$C93:$K93,1,FALSE))),"x",IF(NOT(ISERROR(HLOOKUP(Standings!CN$3,Entries!$L93:$L93,1,FALSE))),"S",""))</f>
        <v/>
      </c>
      <c r="CO101" t="str">
        <f>IF(NOT(ISERROR(HLOOKUP(Standings!CO$3,Entries!$C93:$K93,1,FALSE))),"x",IF(NOT(ISERROR(HLOOKUP(Standings!CO$3,Entries!$L93:$L93,1,FALSE))),"S",""))</f>
        <v>x</v>
      </c>
      <c r="CP101" t="str">
        <f>IF(NOT(ISERROR(HLOOKUP(Standings!CP$3,Entries!$C93:$K93,1,FALSE))),"x",IF(NOT(ISERROR(HLOOKUP(Standings!CP$3,Entries!$L93:$L93,1,FALSE))),"S",""))</f>
        <v/>
      </c>
      <c r="CQ101" t="str">
        <f>IF(NOT(ISERROR(HLOOKUP(Standings!CQ$3,Entries!$C93:$K93,1,FALSE))),"x",IF(NOT(ISERROR(HLOOKUP(Standings!CQ$3,Entries!$L93:$L93,1,FALSE))),"S",""))</f>
        <v/>
      </c>
      <c r="CR101" t="str">
        <f>IF(NOT(ISERROR(HLOOKUP(Standings!CR$3,Entries!$C93:$K93,1,FALSE))),"x",IF(NOT(ISERROR(HLOOKUP(Standings!CR$3,Entries!$L93:$L93,1,FALSE))),"S",""))</f>
        <v/>
      </c>
      <c r="CS101" t="str">
        <f>IF(NOT(ISERROR(HLOOKUP(Standings!CS$3,Entries!$C93:$K93,1,FALSE))),"x",IF(NOT(ISERROR(HLOOKUP(Standings!CS$3,Entries!$L93:$L93,1,FALSE))),"S",""))</f>
        <v/>
      </c>
      <c r="CT101" t="str">
        <f>IF(NOT(ISERROR(HLOOKUP(Standings!CT$3,Entries!$C93:$K93,1,FALSE))),"x",IF(NOT(ISERROR(HLOOKUP(Standings!CT$3,Entries!$L93:$L93,1,FALSE))),"S",""))</f>
        <v/>
      </c>
      <c r="CU101" t="str">
        <f>IF(NOT(ISERROR(HLOOKUP(Standings!CU$3,Entries!$C93:$K93,1,FALSE))),"x",IF(NOT(ISERROR(HLOOKUP(Standings!CU$3,Entries!$L93:$L93,1,FALSE))),"S",""))</f>
        <v/>
      </c>
      <c r="CV101" t="str">
        <f>IF(NOT(ISERROR(HLOOKUP(Standings!CV$3,Entries!$C93:$K93,1,FALSE))),"x",IF(NOT(ISERROR(HLOOKUP(Standings!CV$3,Entries!$L93:$L93,1,FALSE))),"S",""))</f>
        <v/>
      </c>
      <c r="CW101" t="str">
        <f>IF(NOT(ISERROR(HLOOKUP(Standings!CW$3,Entries!$C93:$K93,1,FALSE))),"x",IF(NOT(ISERROR(HLOOKUP(Standings!CW$3,Entries!$L93:$L93,1,FALSE))),"S",""))</f>
        <v/>
      </c>
      <c r="CX101" t="str">
        <f>IF(NOT(ISERROR(HLOOKUP(Standings!CX$3,Entries!$C93:$K93,1,FALSE))),"x",IF(NOT(ISERROR(HLOOKUP(Standings!CX$3,Entries!$L93:$L93,1,FALSE))),"S",""))</f>
        <v/>
      </c>
      <c r="CY101" t="str">
        <f>IF(NOT(ISERROR(HLOOKUP(Standings!CY$3,Entries!$C93:$K93,1,FALSE))),"x",IF(NOT(ISERROR(HLOOKUP(Standings!CY$3,Entries!$L93:$L93,1,FALSE))),"S",""))</f>
        <v>x</v>
      </c>
      <c r="CZ101" t="str">
        <f>IF(NOT(ISERROR(HLOOKUP(Standings!CZ$3,Entries!$C93:$K93,1,FALSE))),"x",IF(NOT(ISERROR(HLOOKUP(Standings!CZ$3,Entries!$L93:$L93,1,FALSE))),"S",""))</f>
        <v/>
      </c>
      <c r="DA101" t="str">
        <f>IF(NOT(ISERROR(HLOOKUP(Standings!DA$3,Entries!$C93:$K93,1,FALSE))),"x",IF(NOT(ISERROR(HLOOKUP(Standings!DA$3,Entries!$L93:$L93,1,FALSE))),"S",""))</f>
        <v/>
      </c>
      <c r="DB101" t="str">
        <f>IF(NOT(ISERROR(HLOOKUP(Standings!DB$3,Entries!$C93:$K93,1,FALSE))),"x",IF(NOT(ISERROR(HLOOKUP(Standings!DB$3,Entries!$L93:$L93,1,FALSE))),"S",""))</f>
        <v/>
      </c>
    </row>
    <row r="102" spans="1:106" x14ac:dyDescent="0.25">
      <c r="A102" s="18"/>
      <c r="B102">
        <v>26</v>
      </c>
      <c r="C102" t="str">
        <f>Entries!B94</f>
        <v>BrianCleaveland1</v>
      </c>
      <c r="D102" s="4">
        <f t="shared" si="55"/>
        <v>5</v>
      </c>
      <c r="E102" s="31">
        <f t="shared" ref="E102:E104" si="203">IF(C102="","",ROUND(SUM(F102:AK102),0))</f>
        <v>4</v>
      </c>
      <c r="F102" s="40">
        <f t="shared" ref="F102:F104" si="204">IF(BG102="","",IF(BG102="x",F$6,0)+IF(BG102="S",-F$6-0.00001,0))</f>
        <v>2</v>
      </c>
      <c r="G102" s="41" t="str">
        <f t="shared" ref="G102:G104" si="205">IF(BH102="","",IF(BH102="x",G$6,0)+IF(BH102="S",-G$6-0.00001,0))</f>
        <v/>
      </c>
      <c r="H102" s="41" t="str">
        <f t="shared" ref="H102:H104" si="206">IF(BI102="","",IF(BI102="x",H$6,0)+IF(BI102="S",-H$6-0.00001,0))</f>
        <v/>
      </c>
      <c r="I102" s="42" t="str">
        <f t="shared" ref="I102:I104" si="207">IF(BJ102="","",IF(BJ102="x",I$6,0)+IF(BJ102="S",-I$6-0.00001,0))</f>
        <v/>
      </c>
      <c r="J102" s="40" t="str">
        <f t="shared" ref="J102:J104" si="208">IF(BK102="","",IF(BK102="x",J$6,0)+IF(BK102="S",-J$6-0.00001,0))</f>
        <v/>
      </c>
      <c r="K102" s="41" t="str">
        <f t="shared" ref="K102:K104" si="209">IF(BL102="","",IF(BL102="x",K$6,0)+IF(BL102="S",-K$6-0.00001,0))</f>
        <v/>
      </c>
      <c r="L102" s="41" t="str">
        <f t="shared" ref="L102:L104" si="210">IF(BM102="","",IF(BM102="x",L$6,0)+IF(BM102="S",-L$6-0.00001,0))</f>
        <v/>
      </c>
      <c r="M102" s="42" t="str">
        <f t="shared" ref="M102:M104" si="211">IF(BN102="","",IF(BN102="x",M$6,0)+IF(BN102="S",-M$6-0.00001,0))</f>
        <v/>
      </c>
      <c r="N102" s="43" t="str">
        <f t="shared" ref="N102:N104" si="212">IF(BO102="","",IF(BO102="x",N$6,0)+IF(BO102="S",-N$6-0.00001,0))</f>
        <v/>
      </c>
      <c r="O102" s="41" t="str">
        <f t="shared" ref="O102:O104" si="213">IF(BP102="","",IF(BP102="x",O$6,0)+IF(BP102="S",-O$6-0.00001,0))</f>
        <v/>
      </c>
      <c r="P102" s="41" t="str">
        <f t="shared" ref="P102:P104" si="214">IF(BQ102="","",IF(BQ102="x",P$6,0)+IF(BQ102="S",-P$6-0.00001,0))</f>
        <v/>
      </c>
      <c r="Q102" s="42" t="str">
        <f t="shared" ref="Q102:Q104" si="215">IF(BR102="","",IF(BR102="x",Q$6,0)+IF(BR102="S",-Q$6-0.00001,0))</f>
        <v/>
      </c>
      <c r="R102" s="40">
        <f t="shared" ref="R102:R104" si="216">IF(BS102="","",IF(BS102="x",R$6,0)+IF(BS102="S",-R$6-0.00001,0))</f>
        <v>2</v>
      </c>
      <c r="S102" s="41" t="str">
        <f t="shared" ref="S102:S104" si="217">IF(BT102="","",IF(BT102="x",S$6,0)+IF(BT102="S",-S$6-0.00001,0))</f>
        <v/>
      </c>
      <c r="T102" s="43" t="str">
        <f t="shared" ref="T102:T104" si="218">IF(BU102="","",IF(BU102="x",T$6,0)+IF(BU102="S",-T$6-0.00001,0))</f>
        <v/>
      </c>
      <c r="U102" s="42" t="str">
        <f t="shared" ref="U102:U104" si="219">IF(BV102="","",IF(BV102="x",U$6,0)+IF(BV102="S",-U$6-0.00001,0))</f>
        <v/>
      </c>
      <c r="V102" s="40" t="str">
        <f t="shared" ref="V102:V104" si="220">IF(BW102="","",IF(BW102="x",V$6,0)+IF(BW102="S",-V$6-0.00001,0))</f>
        <v/>
      </c>
      <c r="W102" s="41" t="str">
        <f t="shared" ref="W102:W104" si="221">IF(BX102="","",IF(BX102="x",W$6,0)+IF(BX102="S",-W$6-0.00001,0))</f>
        <v/>
      </c>
      <c r="X102" s="41" t="str">
        <f t="shared" ref="X102:X104" si="222">IF(BY102="","",IF(BY102="x",X$6,0)+IF(BY102="S",-X$6-0.00001,0))</f>
        <v/>
      </c>
      <c r="Y102" s="42" t="str">
        <f t="shared" ref="Y102:Y104" si="223">IF(BZ102="","",IF(BZ102="x",Y$6,0)+IF(BZ102="S",-Y$6-0.00001,0))</f>
        <v/>
      </c>
      <c r="Z102" s="40" t="str">
        <f t="shared" ref="Z102:Z104" si="224">IF(CA102="","",IF(CA102="x",Z$6,0)+IF(CA102="S",-Z$6-0.00001,0))</f>
        <v/>
      </c>
      <c r="AA102" s="41">
        <f t="shared" ref="AA102:AA104" si="225">IF(CB102="","",IF(CB102="x",AA$6,0)+IF(CB102="S",-AA$6-0.00001,0))</f>
        <v>0</v>
      </c>
      <c r="AB102" s="41" t="str">
        <f t="shared" ref="AB102:AB104" si="226">IF(CC102="","",IF(CC102="x",AB$6,0)+IF(CC102="S",-AB$6-0.00001,0))</f>
        <v/>
      </c>
      <c r="AC102" s="42" t="str">
        <f t="shared" ref="AC102:AC104" si="227">IF(CD102="","",IF(CD102="x",AC$6,0)+IF(CD102="S",-AC$6-0.00001,0))</f>
        <v/>
      </c>
      <c r="AD102" s="40">
        <f t="shared" ref="AD102:AD104" si="228">IF(CE102="","",IF(CE102="x",AD$6,0)+IF(CE102="S",-AD$6-0.00001,0))</f>
        <v>0</v>
      </c>
      <c r="AE102" s="41" t="str">
        <f t="shared" ref="AE102:AE104" si="229">IF(CF102="","",IF(CF102="x",AE$6,0)+IF(CF102="S",-AE$6-0.00001,0))</f>
        <v/>
      </c>
      <c r="AF102" s="41">
        <f t="shared" ref="AF102:AF104" si="230">IF(CG102="","",IF(CG102="x",AF$6,0)+IF(CG102="S",-AF$6-0.00001,0))</f>
        <v>-1.0000000000000001E-5</v>
      </c>
      <c r="AG102" s="42" t="str">
        <f t="shared" ref="AG102:AG104" si="231">IF(CH102="","",IF(CH102="x",AG$6,0)+IF(CH102="S",-AG$6-0.00001,0))</f>
        <v/>
      </c>
      <c r="AH102" s="40" t="str">
        <f t="shared" ref="AH102:AH104" si="232">IF(CI102="","",IF(CI102="x",AH$6,0)+IF(CI102="S",-AH$6-0.00001,0))</f>
        <v/>
      </c>
      <c r="AI102" s="41" t="str">
        <f t="shared" ref="AI102:AI104" si="233">IF(CJ102="","",IF(CJ102="x",AI$6,0)+IF(CJ102="S",-AI$6-0.00001,0))</f>
        <v/>
      </c>
      <c r="AJ102" s="41" t="str">
        <f t="shared" ref="AJ102:AJ104" si="234">IF(CK102="","",IF(CK102="x",AJ$6,0)+IF(CK102="S",-AJ$6-0.00001,0))</f>
        <v/>
      </c>
      <c r="AK102" s="42" t="str">
        <f t="shared" ref="AK102:AK104" si="235">IF(CL102="","",IF(CL102="x",AK$6,0)+IF(CL102="S",-AK$6-0.00001,0))</f>
        <v/>
      </c>
      <c r="AL102" s="40" t="str">
        <f t="shared" ref="AL102:AL104" si="236">IF(CM102="","",IF(CM102="x",AL$6,0)+IF(CM102="S",-AL$6-0.00001,0))</f>
        <v/>
      </c>
      <c r="AM102" s="41" t="str">
        <f t="shared" ref="AM102:AM104" si="237">IF(CN102="","",IF(CN102="x",AM$6,0)+IF(CN102="S",-AM$6-0.00001,0))</f>
        <v/>
      </c>
      <c r="AN102" s="41" t="str">
        <f t="shared" ref="AN102:AN104" si="238">IF(CO102="","",IF(CO102="x",AN$6,0)+IF(CO102="S",-AN$6-0.00001,0))</f>
        <v/>
      </c>
      <c r="AO102" s="42" t="str">
        <f t="shared" ref="AO102:AO104" si="239">IF(CP102="","",IF(CP102="x",AO$6,0)+IF(CP102="S",-AO$6-0.00001,0))</f>
        <v/>
      </c>
      <c r="AP102" s="40" t="str">
        <f t="shared" ref="AP102:AP104" si="240">IF(CQ102="","",IF(CQ102="x",AP$6,0)+IF(CQ102="S",-AP$6-0.00001,0))</f>
        <v/>
      </c>
      <c r="AQ102" s="41" t="str">
        <f t="shared" ref="AQ102:AQ104" si="241">IF(CR102="","",IF(CR102="x",AQ$6,0)+IF(CR102="S",-AQ$6-0.00001,0))</f>
        <v/>
      </c>
      <c r="AR102" s="41" t="str">
        <f t="shared" ref="AR102:AR104" si="242">IF(CS102="","",IF(CS102="x",AR$6,0)+IF(CS102="S",-AR$6-0.00001,0))</f>
        <v/>
      </c>
      <c r="AS102" s="42" t="str">
        <f t="shared" ref="AS102:AS104" si="243">IF(CT102="","",IF(CT102="x",AS$6,0)+IF(CT102="S",-AS$6-0.00001,0))</f>
        <v/>
      </c>
      <c r="AT102" s="40" t="str">
        <f t="shared" ref="AT102:AT104" si="244">IF(CU102="","",IF(CU102="x",AT$6,0)+IF(CU102="S",-AT$6-0.00001,0))</f>
        <v/>
      </c>
      <c r="AU102" s="41" t="str">
        <f t="shared" ref="AU102:AU104" si="245">IF(CV102="","",IF(CV102="x",AU$6,0)+IF(CV102="S",-AU$6-0.00001,0))</f>
        <v/>
      </c>
      <c r="AV102" s="41" t="str">
        <f t="shared" ref="AV102:AV104" si="246">IF(CW102="","",IF(CW102="x",AV$6,0)+IF(CW102="S",-AV$6-0.00001,0))</f>
        <v/>
      </c>
      <c r="AW102" s="42" t="str">
        <f t="shared" ref="AW102:AW104" si="247">IF(CX102="","",IF(CX102="x",AW$6,0)+IF(CX102="S",-AW$6-0.00001,0))</f>
        <v/>
      </c>
      <c r="AX102" s="40" t="str">
        <f t="shared" ref="AX102:AX104" si="248">IF(CY102="","",IF(CY102="x",AX$6,0)+IF(CY102="S",-AX$6-0.00001,0))</f>
        <v/>
      </c>
      <c r="AY102" s="41" t="str">
        <f t="shared" ref="AY102:AY104" si="249">IF(CZ102="","",IF(CZ102="x",AY$6,0)+IF(CZ102="S",-AY$6-0.00001,0))</f>
        <v/>
      </c>
      <c r="AZ102" s="41" t="str">
        <f t="shared" ref="AZ102:AZ104" si="250">IF(DA102="","",IF(DA102="x",AZ$6,0)+IF(DA102="S",-AZ$6-0.00001,0))</f>
        <v/>
      </c>
      <c r="BA102" s="42" t="str">
        <f t="shared" ref="BA102:BA104" si="251">IF(DB102="","",IF(DB102="x",BA$6,0)+IF(DB102="S",-BA$6-0.00001,0))</f>
        <v/>
      </c>
      <c r="BB102" s="37" t="s">
        <v>106</v>
      </c>
      <c r="BC102" s="21"/>
      <c r="BD102" s="21"/>
      <c r="BG102" t="str">
        <f>IF(NOT(ISERROR(HLOOKUP(Standings!BG$3,Entries!$C94:$K94,1,FALSE))),"x",IF(NOT(ISERROR(HLOOKUP(Standings!BG$3,Entries!$L94:$L94,1,FALSE))),"S",""))</f>
        <v>x</v>
      </c>
      <c r="BH102" t="str">
        <f>IF(NOT(ISERROR(HLOOKUP(Standings!BH$3,Entries!$C94:$K94,1,FALSE))),"x",IF(NOT(ISERROR(HLOOKUP(Standings!BH$3,Entries!$L94:$L94,1,FALSE))),"S",""))</f>
        <v/>
      </c>
      <c r="BI102" t="str">
        <f>IF(NOT(ISERROR(HLOOKUP(Standings!BI$3,Entries!$C94:$K94,1,FALSE))),"x",IF(NOT(ISERROR(HLOOKUP(Standings!BI$3,Entries!$L94:$L94,1,FALSE))),"S",""))</f>
        <v/>
      </c>
      <c r="BJ102" t="str">
        <f>IF(NOT(ISERROR(HLOOKUP(Standings!BJ$3,Entries!$C94:$K94,1,FALSE))),"x",IF(NOT(ISERROR(HLOOKUP(Standings!BJ$3,Entries!$L94:$L94,1,FALSE))),"S",""))</f>
        <v/>
      </c>
      <c r="BK102" t="str">
        <f>IF(NOT(ISERROR(HLOOKUP(Standings!BK$3,Entries!$C94:$K94,1,FALSE))),"x",IF(NOT(ISERROR(HLOOKUP(Standings!BK$3,Entries!$L94:$L94,1,FALSE))),"S",""))</f>
        <v/>
      </c>
      <c r="BL102" t="str">
        <f>IF(NOT(ISERROR(HLOOKUP(Standings!BL$3,Entries!$C94:$K94,1,FALSE))),"x",IF(NOT(ISERROR(HLOOKUP(Standings!BL$3,Entries!$L94:$L94,1,FALSE))),"S",""))</f>
        <v/>
      </c>
      <c r="BM102" t="str">
        <f>IF(NOT(ISERROR(HLOOKUP(Standings!BM$3,Entries!$C94:$K94,1,FALSE))),"x",IF(NOT(ISERROR(HLOOKUP(Standings!BM$3,Entries!$L94:$L94,1,FALSE))),"S",""))</f>
        <v/>
      </c>
      <c r="BN102" t="str">
        <f>IF(NOT(ISERROR(HLOOKUP(Standings!BN$3,Entries!$C94:$K94,1,FALSE))),"x",IF(NOT(ISERROR(HLOOKUP(Standings!BN$3,Entries!$L94:$L94,1,FALSE))),"S",""))</f>
        <v/>
      </c>
      <c r="BO102" t="str">
        <f>IF(NOT(ISERROR(HLOOKUP(Standings!BO$3,Entries!$C94:$K94,1,FALSE))),"x",IF(NOT(ISERROR(HLOOKUP(Standings!BO$3,Entries!$L94:$L94,1,FALSE))),"S",""))</f>
        <v/>
      </c>
      <c r="BP102" t="str">
        <f>IF(NOT(ISERROR(HLOOKUP(Standings!BP$3,Entries!$C94:$K94,1,FALSE))),"x",IF(NOT(ISERROR(HLOOKUP(Standings!BP$3,Entries!$L94:$L94,1,FALSE))),"S",""))</f>
        <v/>
      </c>
      <c r="BQ102" t="str">
        <f>IF(NOT(ISERROR(HLOOKUP(Standings!BQ$3,Entries!$C94:$K94,1,FALSE))),"x",IF(NOT(ISERROR(HLOOKUP(Standings!BQ$3,Entries!$L94:$L94,1,FALSE))),"S",""))</f>
        <v/>
      </c>
      <c r="BR102" t="str">
        <f>IF(NOT(ISERROR(HLOOKUP(Standings!BR$3,Entries!$C94:$K94,1,FALSE))),"x",IF(NOT(ISERROR(HLOOKUP(Standings!BR$3,Entries!$L94:$L94,1,FALSE))),"S",""))</f>
        <v/>
      </c>
      <c r="BS102" t="str">
        <f>IF(NOT(ISERROR(HLOOKUP(Standings!BS$3,Entries!$C94:$K94,1,FALSE))),"x",IF(NOT(ISERROR(HLOOKUP(Standings!BS$3,Entries!$L94:$L94,1,FALSE))),"S",""))</f>
        <v>x</v>
      </c>
      <c r="BT102" t="str">
        <f>IF(NOT(ISERROR(HLOOKUP(Standings!BT$3,Entries!$C94:$K94,1,FALSE))),"x",IF(NOT(ISERROR(HLOOKUP(Standings!BT$3,Entries!$L94:$L94,1,FALSE))),"S",""))</f>
        <v/>
      </c>
      <c r="BU102" t="str">
        <f>IF(NOT(ISERROR(HLOOKUP(Standings!BU$3,Entries!$C94:$K94,1,FALSE))),"x",IF(NOT(ISERROR(HLOOKUP(Standings!BU$3,Entries!$L94:$L94,1,FALSE))),"S",""))</f>
        <v/>
      </c>
      <c r="BV102" t="str">
        <f>IF(NOT(ISERROR(HLOOKUP(Standings!BV$3,Entries!$C94:$K94,1,FALSE))),"x",IF(NOT(ISERROR(HLOOKUP(Standings!BV$3,Entries!$L94:$L94,1,FALSE))),"S",""))</f>
        <v/>
      </c>
      <c r="BW102" t="str">
        <f>IF(NOT(ISERROR(HLOOKUP(Standings!BW$3,Entries!$C94:$K94,1,FALSE))),"x",IF(NOT(ISERROR(HLOOKUP(Standings!BW$3,Entries!$L94:$L94,1,FALSE))),"S",""))</f>
        <v/>
      </c>
      <c r="BX102" t="str">
        <f>IF(NOT(ISERROR(HLOOKUP(Standings!BX$3,Entries!$C94:$K94,1,FALSE))),"x",IF(NOT(ISERROR(HLOOKUP(Standings!BX$3,Entries!$L94:$L94,1,FALSE))),"S",""))</f>
        <v/>
      </c>
      <c r="BY102" t="str">
        <f>IF(NOT(ISERROR(HLOOKUP(Standings!BY$3,Entries!$C94:$K94,1,FALSE))),"x",IF(NOT(ISERROR(HLOOKUP(Standings!BY$3,Entries!$L94:$L94,1,FALSE))),"S",""))</f>
        <v/>
      </c>
      <c r="BZ102" t="str">
        <f>IF(NOT(ISERROR(HLOOKUP(Standings!BZ$3,Entries!$C94:$K94,1,FALSE))),"x",IF(NOT(ISERROR(HLOOKUP(Standings!BZ$3,Entries!$L94:$L94,1,FALSE))),"S",""))</f>
        <v/>
      </c>
      <c r="CA102" t="str">
        <f>IF(NOT(ISERROR(HLOOKUP(Standings!CA$3,Entries!$C94:$K94,1,FALSE))),"x",IF(NOT(ISERROR(HLOOKUP(Standings!CA$3,Entries!$L94:$L94,1,FALSE))),"S",""))</f>
        <v/>
      </c>
      <c r="CB102" t="str">
        <f>IF(NOT(ISERROR(HLOOKUP(Standings!CB$3,Entries!$C94:$K94,1,FALSE))),"x",IF(NOT(ISERROR(HLOOKUP(Standings!CB$3,Entries!$L94:$L94,1,FALSE))),"S",""))</f>
        <v>x</v>
      </c>
      <c r="CC102" t="str">
        <f>IF(NOT(ISERROR(HLOOKUP(Standings!CC$3,Entries!$C94:$K94,1,FALSE))),"x",IF(NOT(ISERROR(HLOOKUP(Standings!CC$3,Entries!$L94:$L94,1,FALSE))),"S",""))</f>
        <v/>
      </c>
      <c r="CD102" t="str">
        <f>IF(NOT(ISERROR(HLOOKUP(Standings!CD$3,Entries!$C94:$K94,1,FALSE))),"x",IF(NOT(ISERROR(HLOOKUP(Standings!CD$3,Entries!$L94:$L94,1,FALSE))),"S",""))</f>
        <v/>
      </c>
      <c r="CE102" t="str">
        <f>IF(NOT(ISERROR(HLOOKUP(Standings!CE$3,Entries!$C94:$K94,1,FALSE))),"x",IF(NOT(ISERROR(HLOOKUP(Standings!CE$3,Entries!$L94:$L94,1,FALSE))),"S",""))</f>
        <v>x</v>
      </c>
      <c r="CF102" t="str">
        <f>IF(NOT(ISERROR(HLOOKUP(Standings!CF$3,Entries!$C94:$K94,1,FALSE))),"x",IF(NOT(ISERROR(HLOOKUP(Standings!CF$3,Entries!$L94:$L94,1,FALSE))),"S",""))</f>
        <v/>
      </c>
      <c r="CG102" t="str">
        <f>IF(NOT(ISERROR(HLOOKUP(Standings!CG$3,Entries!$C94:$K94,1,FALSE))),"x",IF(NOT(ISERROR(HLOOKUP(Standings!CG$3,Entries!$L94:$L94,1,FALSE))),"S",""))</f>
        <v>S</v>
      </c>
      <c r="CH102" t="str">
        <f>IF(NOT(ISERROR(HLOOKUP(Standings!CH$3,Entries!$C94:$K94,1,FALSE))),"x",IF(NOT(ISERROR(HLOOKUP(Standings!CH$3,Entries!$L94:$L94,1,FALSE))),"S",""))</f>
        <v/>
      </c>
      <c r="CI102" t="str">
        <f>IF(NOT(ISERROR(HLOOKUP(Standings!CI$3,Entries!$C94:$K94,1,FALSE))),"x",IF(NOT(ISERROR(HLOOKUP(Standings!CI$3,Entries!$L94:$L94,1,FALSE))),"S",""))</f>
        <v/>
      </c>
      <c r="CJ102" t="str">
        <f>IF(NOT(ISERROR(HLOOKUP(Standings!CJ$3,Entries!$C94:$K94,1,FALSE))),"x",IF(NOT(ISERROR(HLOOKUP(Standings!CJ$3,Entries!$L94:$L94,1,FALSE))),"S",""))</f>
        <v/>
      </c>
      <c r="CK102" t="str">
        <f>IF(NOT(ISERROR(HLOOKUP(Standings!CK$3,Entries!$C94:$K94,1,FALSE))),"x",IF(NOT(ISERROR(HLOOKUP(Standings!CK$3,Entries!$L94:$L94,1,FALSE))),"S",""))</f>
        <v/>
      </c>
      <c r="CL102" t="str">
        <f>IF(NOT(ISERROR(HLOOKUP(Standings!CL$3,Entries!$C94:$K94,1,FALSE))),"x",IF(NOT(ISERROR(HLOOKUP(Standings!CL$3,Entries!$L94:$L94,1,FALSE))),"S",""))</f>
        <v/>
      </c>
      <c r="CM102" t="str">
        <f>IF(NOT(ISERROR(HLOOKUP(Standings!CM$3,Entries!$C94:$K94,1,FALSE))),"x",IF(NOT(ISERROR(HLOOKUP(Standings!CM$3,Entries!$L94:$L94,1,FALSE))),"S",""))</f>
        <v/>
      </c>
      <c r="CN102" t="str">
        <f>IF(NOT(ISERROR(HLOOKUP(Standings!CN$3,Entries!$C94:$K94,1,FALSE))),"x",IF(NOT(ISERROR(HLOOKUP(Standings!CN$3,Entries!$L94:$L94,1,FALSE))),"S",""))</f>
        <v/>
      </c>
      <c r="CO102" t="str">
        <f>IF(NOT(ISERROR(HLOOKUP(Standings!CO$3,Entries!$C94:$K94,1,FALSE))),"x",IF(NOT(ISERROR(HLOOKUP(Standings!CO$3,Entries!$L94:$L94,1,FALSE))),"S",""))</f>
        <v/>
      </c>
      <c r="CP102" t="str">
        <f>IF(NOT(ISERROR(HLOOKUP(Standings!CP$3,Entries!$C94:$K94,1,FALSE))),"x",IF(NOT(ISERROR(HLOOKUP(Standings!CP$3,Entries!$L94:$L94,1,FALSE))),"S",""))</f>
        <v/>
      </c>
      <c r="CQ102" t="str">
        <f>IF(NOT(ISERROR(HLOOKUP(Standings!CQ$3,Entries!$C94:$K94,1,FALSE))),"x",IF(NOT(ISERROR(HLOOKUP(Standings!CQ$3,Entries!$L94:$L94,1,FALSE))),"S",""))</f>
        <v/>
      </c>
      <c r="CR102" t="str">
        <f>IF(NOT(ISERROR(HLOOKUP(Standings!CR$3,Entries!$C94:$K94,1,FALSE))),"x",IF(NOT(ISERROR(HLOOKUP(Standings!CR$3,Entries!$L94:$L94,1,FALSE))),"S",""))</f>
        <v/>
      </c>
      <c r="CS102" t="str">
        <f>IF(NOT(ISERROR(HLOOKUP(Standings!CS$3,Entries!$C94:$K94,1,FALSE))),"x",IF(NOT(ISERROR(HLOOKUP(Standings!CS$3,Entries!$L94:$L94,1,FALSE))),"S",""))</f>
        <v/>
      </c>
      <c r="CT102" t="str">
        <f>IF(NOT(ISERROR(HLOOKUP(Standings!CT$3,Entries!$C94:$K94,1,FALSE))),"x",IF(NOT(ISERROR(HLOOKUP(Standings!CT$3,Entries!$L94:$L94,1,FALSE))),"S",""))</f>
        <v/>
      </c>
      <c r="CU102" t="str">
        <f>IF(NOT(ISERROR(HLOOKUP(Standings!CU$3,Entries!$C94:$K94,1,FALSE))),"x",IF(NOT(ISERROR(HLOOKUP(Standings!CU$3,Entries!$L94:$L94,1,FALSE))),"S",""))</f>
        <v/>
      </c>
      <c r="CV102" t="str">
        <f>IF(NOT(ISERROR(HLOOKUP(Standings!CV$3,Entries!$C94:$K94,1,FALSE))),"x",IF(NOT(ISERROR(HLOOKUP(Standings!CV$3,Entries!$L94:$L94,1,FALSE))),"S",""))</f>
        <v/>
      </c>
      <c r="CW102" t="str">
        <f>IF(NOT(ISERROR(HLOOKUP(Standings!CW$3,Entries!$C94:$K94,1,FALSE))),"x",IF(NOT(ISERROR(HLOOKUP(Standings!CW$3,Entries!$L94:$L94,1,FALSE))),"S",""))</f>
        <v/>
      </c>
      <c r="CX102" t="str">
        <f>IF(NOT(ISERROR(HLOOKUP(Standings!CX$3,Entries!$C94:$K94,1,FALSE))),"x",IF(NOT(ISERROR(HLOOKUP(Standings!CX$3,Entries!$L94:$L94,1,FALSE))),"S",""))</f>
        <v/>
      </c>
      <c r="CY102" t="str">
        <f>IF(NOT(ISERROR(HLOOKUP(Standings!CY$3,Entries!$C94:$K94,1,FALSE))),"x",IF(NOT(ISERROR(HLOOKUP(Standings!CY$3,Entries!$L94:$L94,1,FALSE))),"S",""))</f>
        <v/>
      </c>
      <c r="CZ102" t="str">
        <f>IF(NOT(ISERROR(HLOOKUP(Standings!CZ$3,Entries!$C94:$K94,1,FALSE))),"x",IF(NOT(ISERROR(HLOOKUP(Standings!CZ$3,Entries!$L94:$L94,1,FALSE))),"S",""))</f>
        <v/>
      </c>
      <c r="DA102" t="str">
        <f>IF(NOT(ISERROR(HLOOKUP(Standings!DA$3,Entries!$C94:$K94,1,FALSE))),"x",IF(NOT(ISERROR(HLOOKUP(Standings!DA$3,Entries!$L94:$L94,1,FALSE))),"S",""))</f>
        <v/>
      </c>
      <c r="DB102" t="str">
        <f>IF(NOT(ISERROR(HLOOKUP(Standings!DB$3,Entries!$C94:$K94,1,FALSE))),"x",IF(NOT(ISERROR(HLOOKUP(Standings!DB$3,Entries!$L94:$L94,1,FALSE))),"S",""))</f>
        <v/>
      </c>
    </row>
    <row r="103" spans="1:106" x14ac:dyDescent="0.25">
      <c r="A103" s="18"/>
      <c r="B103">
        <v>26</v>
      </c>
      <c r="C103" t="str">
        <f>Entries!B95</f>
        <v>jongerdin1</v>
      </c>
      <c r="D103" s="4">
        <f t="shared" si="55"/>
        <v>55</v>
      </c>
      <c r="E103" s="31">
        <f t="shared" si="203"/>
        <v>0</v>
      </c>
      <c r="F103" s="40" t="str">
        <f t="shared" si="204"/>
        <v/>
      </c>
      <c r="G103" s="41" t="str">
        <f t="shared" si="205"/>
        <v/>
      </c>
      <c r="H103" s="41" t="str">
        <f t="shared" si="206"/>
        <v/>
      </c>
      <c r="I103" s="42" t="str">
        <f t="shared" si="207"/>
        <v/>
      </c>
      <c r="J103" s="40" t="str">
        <f t="shared" si="208"/>
        <v/>
      </c>
      <c r="K103" s="41">
        <f t="shared" si="209"/>
        <v>0</v>
      </c>
      <c r="L103" s="41" t="str">
        <f t="shared" si="210"/>
        <v/>
      </c>
      <c r="M103" s="42" t="str">
        <f t="shared" si="211"/>
        <v/>
      </c>
      <c r="N103" s="43" t="str">
        <f t="shared" si="212"/>
        <v/>
      </c>
      <c r="O103" s="41">
        <f t="shared" si="213"/>
        <v>0</v>
      </c>
      <c r="P103" s="41" t="str">
        <f t="shared" si="214"/>
        <v/>
      </c>
      <c r="Q103" s="42" t="str">
        <f t="shared" si="215"/>
        <v/>
      </c>
      <c r="R103" s="40" t="str">
        <f t="shared" si="216"/>
        <v/>
      </c>
      <c r="S103" s="41" t="str">
        <f t="shared" si="217"/>
        <v/>
      </c>
      <c r="T103" s="43" t="str">
        <f t="shared" si="218"/>
        <v/>
      </c>
      <c r="U103" s="42" t="str">
        <f t="shared" si="219"/>
        <v/>
      </c>
      <c r="V103" s="40" t="str">
        <f t="shared" si="220"/>
        <v/>
      </c>
      <c r="W103" s="41" t="str">
        <f t="shared" si="221"/>
        <v/>
      </c>
      <c r="X103" s="41" t="str">
        <f t="shared" si="222"/>
        <v/>
      </c>
      <c r="Y103" s="42">
        <f t="shared" si="223"/>
        <v>0</v>
      </c>
      <c r="Z103" s="40" t="str">
        <f t="shared" si="224"/>
        <v/>
      </c>
      <c r="AA103" s="41">
        <f t="shared" si="225"/>
        <v>0</v>
      </c>
      <c r="AB103" s="41" t="str">
        <f t="shared" si="226"/>
        <v/>
      </c>
      <c r="AC103" s="42" t="str">
        <f t="shared" si="227"/>
        <v/>
      </c>
      <c r="AD103" s="40" t="str">
        <f t="shared" si="228"/>
        <v/>
      </c>
      <c r="AE103" s="41" t="str">
        <f t="shared" si="229"/>
        <v/>
      </c>
      <c r="AF103" s="41" t="str">
        <f t="shared" si="230"/>
        <v/>
      </c>
      <c r="AG103" s="42" t="str">
        <f t="shared" si="231"/>
        <v/>
      </c>
      <c r="AH103" s="40" t="str">
        <f t="shared" si="232"/>
        <v/>
      </c>
      <c r="AI103" s="41" t="str">
        <f t="shared" si="233"/>
        <v/>
      </c>
      <c r="AJ103" s="41" t="str">
        <f t="shared" si="234"/>
        <v/>
      </c>
      <c r="AK103" s="42" t="str">
        <f t="shared" si="235"/>
        <v/>
      </c>
      <c r="AL103" s="40" t="str">
        <f t="shared" si="236"/>
        <v/>
      </c>
      <c r="AM103" s="41" t="str">
        <f t="shared" si="237"/>
        <v/>
      </c>
      <c r="AN103" s="41" t="str">
        <f t="shared" si="238"/>
        <v/>
      </c>
      <c r="AO103" s="42" t="str">
        <f t="shared" si="239"/>
        <v/>
      </c>
      <c r="AP103" s="40" t="str">
        <f t="shared" si="240"/>
        <v/>
      </c>
      <c r="AQ103" s="41" t="str">
        <f t="shared" si="241"/>
        <v/>
      </c>
      <c r="AR103" s="41" t="str">
        <f t="shared" si="242"/>
        <v/>
      </c>
      <c r="AS103" s="42" t="str">
        <f t="shared" si="243"/>
        <v/>
      </c>
      <c r="AT103" s="40">
        <f t="shared" si="244"/>
        <v>0</v>
      </c>
      <c r="AU103" s="41" t="str">
        <f t="shared" si="245"/>
        <v/>
      </c>
      <c r="AV103" s="41">
        <f t="shared" si="246"/>
        <v>0</v>
      </c>
      <c r="AW103" s="42" t="str">
        <f t="shared" si="247"/>
        <v/>
      </c>
      <c r="AX103" s="40">
        <f t="shared" si="248"/>
        <v>-1.0000000000000001E-5</v>
      </c>
      <c r="AY103" s="41" t="str">
        <f t="shared" si="249"/>
        <v/>
      </c>
      <c r="AZ103" s="41" t="str">
        <f t="shared" si="250"/>
        <v/>
      </c>
      <c r="BA103" s="42" t="str">
        <f t="shared" si="251"/>
        <v/>
      </c>
      <c r="BB103" s="37" t="s">
        <v>106</v>
      </c>
      <c r="BC103" s="21"/>
      <c r="BD103" s="21"/>
      <c r="BG103" t="str">
        <f>IF(NOT(ISERROR(HLOOKUP(Standings!BG$3,Entries!$C95:$K95,1,FALSE))),"x",IF(NOT(ISERROR(HLOOKUP(Standings!BG$3,Entries!$L95:$L95,1,FALSE))),"S",""))</f>
        <v/>
      </c>
      <c r="BH103" t="str">
        <f>IF(NOT(ISERROR(HLOOKUP(Standings!BH$3,Entries!$C95:$K95,1,FALSE))),"x",IF(NOT(ISERROR(HLOOKUP(Standings!BH$3,Entries!$L95:$L95,1,FALSE))),"S",""))</f>
        <v/>
      </c>
      <c r="BI103" t="str">
        <f>IF(NOT(ISERROR(HLOOKUP(Standings!BI$3,Entries!$C95:$K95,1,FALSE))),"x",IF(NOT(ISERROR(HLOOKUP(Standings!BI$3,Entries!$L95:$L95,1,FALSE))),"S",""))</f>
        <v/>
      </c>
      <c r="BJ103" t="str">
        <f>IF(NOT(ISERROR(HLOOKUP(Standings!BJ$3,Entries!$C95:$K95,1,FALSE))),"x",IF(NOT(ISERROR(HLOOKUP(Standings!BJ$3,Entries!$L95:$L95,1,FALSE))),"S",""))</f>
        <v/>
      </c>
      <c r="BK103" t="str">
        <f>IF(NOT(ISERROR(HLOOKUP(Standings!BK$3,Entries!$C95:$K95,1,FALSE))),"x",IF(NOT(ISERROR(HLOOKUP(Standings!BK$3,Entries!$L95:$L95,1,FALSE))),"S",""))</f>
        <v/>
      </c>
      <c r="BL103" t="str">
        <f>IF(NOT(ISERROR(HLOOKUP(Standings!BL$3,Entries!$C95:$K95,1,FALSE))),"x",IF(NOT(ISERROR(HLOOKUP(Standings!BL$3,Entries!$L95:$L95,1,FALSE))),"S",""))</f>
        <v>x</v>
      </c>
      <c r="BM103" t="str">
        <f>IF(NOT(ISERROR(HLOOKUP(Standings!BM$3,Entries!$C95:$K95,1,FALSE))),"x",IF(NOT(ISERROR(HLOOKUP(Standings!BM$3,Entries!$L95:$L95,1,FALSE))),"S",""))</f>
        <v/>
      </c>
      <c r="BN103" t="str">
        <f>IF(NOT(ISERROR(HLOOKUP(Standings!BN$3,Entries!$C95:$K95,1,FALSE))),"x",IF(NOT(ISERROR(HLOOKUP(Standings!BN$3,Entries!$L95:$L95,1,FALSE))),"S",""))</f>
        <v/>
      </c>
      <c r="BO103" t="str">
        <f>IF(NOT(ISERROR(HLOOKUP(Standings!BO$3,Entries!$C95:$K95,1,FALSE))),"x",IF(NOT(ISERROR(HLOOKUP(Standings!BO$3,Entries!$L95:$L95,1,FALSE))),"S",""))</f>
        <v/>
      </c>
      <c r="BP103" t="str">
        <f>IF(NOT(ISERROR(HLOOKUP(Standings!BP$3,Entries!$C95:$K95,1,FALSE))),"x",IF(NOT(ISERROR(HLOOKUP(Standings!BP$3,Entries!$L95:$L95,1,FALSE))),"S",""))</f>
        <v>x</v>
      </c>
      <c r="BQ103" t="str">
        <f>IF(NOT(ISERROR(HLOOKUP(Standings!BQ$3,Entries!$C95:$K95,1,FALSE))),"x",IF(NOT(ISERROR(HLOOKUP(Standings!BQ$3,Entries!$L95:$L95,1,FALSE))),"S",""))</f>
        <v/>
      </c>
      <c r="BR103" t="str">
        <f>IF(NOT(ISERROR(HLOOKUP(Standings!BR$3,Entries!$C95:$K95,1,FALSE))),"x",IF(NOT(ISERROR(HLOOKUP(Standings!BR$3,Entries!$L95:$L95,1,FALSE))),"S",""))</f>
        <v/>
      </c>
      <c r="BS103" t="str">
        <f>IF(NOT(ISERROR(HLOOKUP(Standings!BS$3,Entries!$C95:$K95,1,FALSE))),"x",IF(NOT(ISERROR(HLOOKUP(Standings!BS$3,Entries!$L95:$L95,1,FALSE))),"S",""))</f>
        <v/>
      </c>
      <c r="BT103" t="str">
        <f>IF(NOT(ISERROR(HLOOKUP(Standings!BT$3,Entries!$C95:$K95,1,FALSE))),"x",IF(NOT(ISERROR(HLOOKUP(Standings!BT$3,Entries!$L95:$L95,1,FALSE))),"S",""))</f>
        <v/>
      </c>
      <c r="BU103" t="str">
        <f>IF(NOT(ISERROR(HLOOKUP(Standings!BU$3,Entries!$C95:$K95,1,FALSE))),"x",IF(NOT(ISERROR(HLOOKUP(Standings!BU$3,Entries!$L95:$L95,1,FALSE))),"S",""))</f>
        <v/>
      </c>
      <c r="BV103" t="str">
        <f>IF(NOT(ISERROR(HLOOKUP(Standings!BV$3,Entries!$C95:$K95,1,FALSE))),"x",IF(NOT(ISERROR(HLOOKUP(Standings!BV$3,Entries!$L95:$L95,1,FALSE))),"S",""))</f>
        <v/>
      </c>
      <c r="BW103" t="str">
        <f>IF(NOT(ISERROR(HLOOKUP(Standings!BW$3,Entries!$C95:$K95,1,FALSE))),"x",IF(NOT(ISERROR(HLOOKUP(Standings!BW$3,Entries!$L95:$L95,1,FALSE))),"S",""))</f>
        <v/>
      </c>
      <c r="BX103" t="str">
        <f>IF(NOT(ISERROR(HLOOKUP(Standings!BX$3,Entries!$C95:$K95,1,FALSE))),"x",IF(NOT(ISERROR(HLOOKUP(Standings!BX$3,Entries!$L95:$L95,1,FALSE))),"S",""))</f>
        <v/>
      </c>
      <c r="BY103" t="str">
        <f>IF(NOT(ISERROR(HLOOKUP(Standings!BY$3,Entries!$C95:$K95,1,FALSE))),"x",IF(NOT(ISERROR(HLOOKUP(Standings!BY$3,Entries!$L95:$L95,1,FALSE))),"S",""))</f>
        <v/>
      </c>
      <c r="BZ103" t="str">
        <f>IF(NOT(ISERROR(HLOOKUP(Standings!BZ$3,Entries!$C95:$K95,1,FALSE))),"x",IF(NOT(ISERROR(HLOOKUP(Standings!BZ$3,Entries!$L95:$L95,1,FALSE))),"S",""))</f>
        <v>x</v>
      </c>
      <c r="CA103" t="str">
        <f>IF(NOT(ISERROR(HLOOKUP(Standings!CA$3,Entries!$C95:$K95,1,FALSE))),"x",IF(NOT(ISERROR(HLOOKUP(Standings!CA$3,Entries!$L95:$L95,1,FALSE))),"S",""))</f>
        <v/>
      </c>
      <c r="CB103" t="str">
        <f>IF(NOT(ISERROR(HLOOKUP(Standings!CB$3,Entries!$C95:$K95,1,FALSE))),"x",IF(NOT(ISERROR(HLOOKUP(Standings!CB$3,Entries!$L95:$L95,1,FALSE))),"S",""))</f>
        <v>x</v>
      </c>
      <c r="CC103" t="str">
        <f>IF(NOT(ISERROR(HLOOKUP(Standings!CC$3,Entries!$C95:$K95,1,FALSE))),"x",IF(NOT(ISERROR(HLOOKUP(Standings!CC$3,Entries!$L95:$L95,1,FALSE))),"S",""))</f>
        <v/>
      </c>
      <c r="CD103" t="str">
        <f>IF(NOT(ISERROR(HLOOKUP(Standings!CD$3,Entries!$C95:$K95,1,FALSE))),"x",IF(NOT(ISERROR(HLOOKUP(Standings!CD$3,Entries!$L95:$L95,1,FALSE))),"S",""))</f>
        <v/>
      </c>
      <c r="CE103" t="str">
        <f>IF(NOT(ISERROR(HLOOKUP(Standings!CE$3,Entries!$C95:$K95,1,FALSE))),"x",IF(NOT(ISERROR(HLOOKUP(Standings!CE$3,Entries!$L95:$L95,1,FALSE))),"S",""))</f>
        <v/>
      </c>
      <c r="CF103" t="str">
        <f>IF(NOT(ISERROR(HLOOKUP(Standings!CF$3,Entries!$C95:$K95,1,FALSE))),"x",IF(NOT(ISERROR(HLOOKUP(Standings!CF$3,Entries!$L95:$L95,1,FALSE))),"S",""))</f>
        <v/>
      </c>
      <c r="CG103" t="str">
        <f>IF(NOT(ISERROR(HLOOKUP(Standings!CG$3,Entries!$C95:$K95,1,FALSE))),"x",IF(NOT(ISERROR(HLOOKUP(Standings!CG$3,Entries!$L95:$L95,1,FALSE))),"S",""))</f>
        <v/>
      </c>
      <c r="CH103" t="str">
        <f>IF(NOT(ISERROR(HLOOKUP(Standings!CH$3,Entries!$C95:$K95,1,FALSE))),"x",IF(NOT(ISERROR(HLOOKUP(Standings!CH$3,Entries!$L95:$L95,1,FALSE))),"S",""))</f>
        <v/>
      </c>
      <c r="CI103" t="str">
        <f>IF(NOT(ISERROR(HLOOKUP(Standings!CI$3,Entries!$C95:$K95,1,FALSE))),"x",IF(NOT(ISERROR(HLOOKUP(Standings!CI$3,Entries!$L95:$L95,1,FALSE))),"S",""))</f>
        <v/>
      </c>
      <c r="CJ103" t="str">
        <f>IF(NOT(ISERROR(HLOOKUP(Standings!CJ$3,Entries!$C95:$K95,1,FALSE))),"x",IF(NOT(ISERROR(HLOOKUP(Standings!CJ$3,Entries!$L95:$L95,1,FALSE))),"S",""))</f>
        <v/>
      </c>
      <c r="CK103" t="str">
        <f>IF(NOT(ISERROR(HLOOKUP(Standings!CK$3,Entries!$C95:$K95,1,FALSE))),"x",IF(NOT(ISERROR(HLOOKUP(Standings!CK$3,Entries!$L95:$L95,1,FALSE))),"S",""))</f>
        <v/>
      </c>
      <c r="CL103" t="str">
        <f>IF(NOT(ISERROR(HLOOKUP(Standings!CL$3,Entries!$C95:$K95,1,FALSE))),"x",IF(NOT(ISERROR(HLOOKUP(Standings!CL$3,Entries!$L95:$L95,1,FALSE))),"S",""))</f>
        <v/>
      </c>
      <c r="CM103" t="str">
        <f>IF(NOT(ISERROR(HLOOKUP(Standings!CM$3,Entries!$C95:$K95,1,FALSE))),"x",IF(NOT(ISERROR(HLOOKUP(Standings!CM$3,Entries!$L95:$L95,1,FALSE))),"S",""))</f>
        <v/>
      </c>
      <c r="CN103" t="str">
        <f>IF(NOT(ISERROR(HLOOKUP(Standings!CN$3,Entries!$C95:$K95,1,FALSE))),"x",IF(NOT(ISERROR(HLOOKUP(Standings!CN$3,Entries!$L95:$L95,1,FALSE))),"S",""))</f>
        <v/>
      </c>
      <c r="CO103" t="str">
        <f>IF(NOT(ISERROR(HLOOKUP(Standings!CO$3,Entries!$C95:$K95,1,FALSE))),"x",IF(NOT(ISERROR(HLOOKUP(Standings!CO$3,Entries!$L95:$L95,1,FALSE))),"S",""))</f>
        <v/>
      </c>
      <c r="CP103" t="str">
        <f>IF(NOT(ISERROR(HLOOKUP(Standings!CP$3,Entries!$C95:$K95,1,FALSE))),"x",IF(NOT(ISERROR(HLOOKUP(Standings!CP$3,Entries!$L95:$L95,1,FALSE))),"S",""))</f>
        <v/>
      </c>
      <c r="CQ103" t="str">
        <f>IF(NOT(ISERROR(HLOOKUP(Standings!CQ$3,Entries!$C95:$K95,1,FALSE))),"x",IF(NOT(ISERROR(HLOOKUP(Standings!CQ$3,Entries!$L95:$L95,1,FALSE))),"S",""))</f>
        <v/>
      </c>
      <c r="CR103" t="str">
        <f>IF(NOT(ISERROR(HLOOKUP(Standings!CR$3,Entries!$C95:$K95,1,FALSE))),"x",IF(NOT(ISERROR(HLOOKUP(Standings!CR$3,Entries!$L95:$L95,1,FALSE))),"S",""))</f>
        <v/>
      </c>
      <c r="CS103" t="str">
        <f>IF(NOT(ISERROR(HLOOKUP(Standings!CS$3,Entries!$C95:$K95,1,FALSE))),"x",IF(NOT(ISERROR(HLOOKUP(Standings!CS$3,Entries!$L95:$L95,1,FALSE))),"S",""))</f>
        <v/>
      </c>
      <c r="CT103" t="str">
        <f>IF(NOT(ISERROR(HLOOKUP(Standings!CT$3,Entries!$C95:$K95,1,FALSE))),"x",IF(NOT(ISERROR(HLOOKUP(Standings!CT$3,Entries!$L95:$L95,1,FALSE))),"S",""))</f>
        <v/>
      </c>
      <c r="CU103" t="str">
        <f>IF(NOT(ISERROR(HLOOKUP(Standings!CU$3,Entries!$C95:$K95,1,FALSE))),"x",IF(NOT(ISERROR(HLOOKUP(Standings!CU$3,Entries!$L95:$L95,1,FALSE))),"S",""))</f>
        <v>x</v>
      </c>
      <c r="CV103" t="str">
        <f>IF(NOT(ISERROR(HLOOKUP(Standings!CV$3,Entries!$C95:$K95,1,FALSE))),"x",IF(NOT(ISERROR(HLOOKUP(Standings!CV$3,Entries!$L95:$L95,1,FALSE))),"S",""))</f>
        <v/>
      </c>
      <c r="CW103" t="str">
        <f>IF(NOT(ISERROR(HLOOKUP(Standings!CW$3,Entries!$C95:$K95,1,FALSE))),"x",IF(NOT(ISERROR(HLOOKUP(Standings!CW$3,Entries!$L95:$L95,1,FALSE))),"S",""))</f>
        <v>x</v>
      </c>
      <c r="CX103" t="str">
        <f>IF(NOT(ISERROR(HLOOKUP(Standings!CX$3,Entries!$C95:$K95,1,FALSE))),"x",IF(NOT(ISERROR(HLOOKUP(Standings!CX$3,Entries!$L95:$L95,1,FALSE))),"S",""))</f>
        <v/>
      </c>
      <c r="CY103" t="str">
        <f>IF(NOT(ISERROR(HLOOKUP(Standings!CY$3,Entries!$C95:$K95,1,FALSE))),"x",IF(NOT(ISERROR(HLOOKUP(Standings!CY$3,Entries!$L95:$L95,1,FALSE))),"S",""))</f>
        <v>S</v>
      </c>
      <c r="CZ103" t="str">
        <f>IF(NOT(ISERROR(HLOOKUP(Standings!CZ$3,Entries!$C95:$K95,1,FALSE))),"x",IF(NOT(ISERROR(HLOOKUP(Standings!CZ$3,Entries!$L95:$L95,1,FALSE))),"S",""))</f>
        <v/>
      </c>
      <c r="DA103" t="str">
        <f>IF(NOT(ISERROR(HLOOKUP(Standings!DA$3,Entries!$C95:$K95,1,FALSE))),"x",IF(NOT(ISERROR(HLOOKUP(Standings!DA$3,Entries!$L95:$L95,1,FALSE))),"S",""))</f>
        <v/>
      </c>
      <c r="DB103" t="str">
        <f>IF(NOT(ISERROR(HLOOKUP(Standings!DB$3,Entries!$C95:$K95,1,FALSE))),"x",IF(NOT(ISERROR(HLOOKUP(Standings!DB$3,Entries!$L95:$L95,1,FALSE))),"S",""))</f>
        <v/>
      </c>
    </row>
    <row r="104" spans="1:106" x14ac:dyDescent="0.25">
      <c r="A104" s="18"/>
      <c r="B104">
        <v>26</v>
      </c>
      <c r="C104" t="str">
        <f>Entries!B96</f>
        <v>jongerdin2</v>
      </c>
      <c r="D104" s="4">
        <f t="shared" si="55"/>
        <v>8</v>
      </c>
      <c r="E104" s="31">
        <f t="shared" si="203"/>
        <v>3</v>
      </c>
      <c r="F104" s="40">
        <f t="shared" si="204"/>
        <v>2</v>
      </c>
      <c r="G104" s="41" t="str">
        <f t="shared" si="205"/>
        <v/>
      </c>
      <c r="H104" s="41" t="str">
        <f t="shared" si="206"/>
        <v/>
      </c>
      <c r="I104" s="42" t="str">
        <f t="shared" si="207"/>
        <v/>
      </c>
      <c r="J104" s="40">
        <f t="shared" si="208"/>
        <v>1</v>
      </c>
      <c r="K104" s="41">
        <f t="shared" si="209"/>
        <v>0</v>
      </c>
      <c r="L104" s="41" t="str">
        <f t="shared" si="210"/>
        <v/>
      </c>
      <c r="M104" s="42" t="str">
        <f t="shared" si="211"/>
        <v/>
      </c>
      <c r="N104" s="43" t="str">
        <f t="shared" si="212"/>
        <v/>
      </c>
      <c r="O104" s="41" t="str">
        <f t="shared" si="213"/>
        <v/>
      </c>
      <c r="P104" s="41" t="str">
        <f t="shared" si="214"/>
        <v/>
      </c>
      <c r="Q104" s="42" t="str">
        <f t="shared" si="215"/>
        <v/>
      </c>
      <c r="R104" s="40" t="str">
        <f t="shared" si="216"/>
        <v/>
      </c>
      <c r="S104" s="41" t="str">
        <f t="shared" si="217"/>
        <v/>
      </c>
      <c r="T104" s="43" t="str">
        <f t="shared" si="218"/>
        <v/>
      </c>
      <c r="U104" s="42" t="str">
        <f t="shared" si="219"/>
        <v/>
      </c>
      <c r="V104" s="40" t="str">
        <f t="shared" si="220"/>
        <v/>
      </c>
      <c r="W104" s="41" t="str">
        <f t="shared" si="221"/>
        <v/>
      </c>
      <c r="X104" s="41" t="str">
        <f t="shared" si="222"/>
        <v/>
      </c>
      <c r="Y104" s="42" t="str">
        <f t="shared" si="223"/>
        <v/>
      </c>
      <c r="Z104" s="40" t="str">
        <f t="shared" si="224"/>
        <v/>
      </c>
      <c r="AA104" s="41">
        <f t="shared" si="225"/>
        <v>0</v>
      </c>
      <c r="AB104" s="41" t="str">
        <f t="shared" si="226"/>
        <v/>
      </c>
      <c r="AC104" s="42" t="str">
        <f t="shared" si="227"/>
        <v/>
      </c>
      <c r="AD104" s="40" t="str">
        <f t="shared" si="228"/>
        <v/>
      </c>
      <c r="AE104" s="41">
        <f t="shared" si="229"/>
        <v>0</v>
      </c>
      <c r="AF104" s="41" t="str">
        <f t="shared" si="230"/>
        <v/>
      </c>
      <c r="AG104" s="42" t="str">
        <f t="shared" si="231"/>
        <v/>
      </c>
      <c r="AH104" s="40" t="str">
        <f t="shared" si="232"/>
        <v/>
      </c>
      <c r="AI104" s="41" t="str">
        <f t="shared" si="233"/>
        <v/>
      </c>
      <c r="AJ104" s="41" t="str">
        <f t="shared" si="234"/>
        <v/>
      </c>
      <c r="AK104" s="42" t="str">
        <f t="shared" si="235"/>
        <v/>
      </c>
      <c r="AL104" s="40" t="str">
        <f t="shared" si="236"/>
        <v/>
      </c>
      <c r="AM104" s="41" t="str">
        <f t="shared" si="237"/>
        <v/>
      </c>
      <c r="AN104" s="41">
        <f t="shared" si="238"/>
        <v>-1.0000000000000001E-5</v>
      </c>
      <c r="AO104" s="42" t="str">
        <f t="shared" si="239"/>
        <v/>
      </c>
      <c r="AP104" s="40" t="str">
        <f t="shared" si="240"/>
        <v/>
      </c>
      <c r="AQ104" s="41" t="str">
        <f t="shared" si="241"/>
        <v/>
      </c>
      <c r="AR104" s="41">
        <f t="shared" si="242"/>
        <v>0</v>
      </c>
      <c r="AS104" s="42" t="str">
        <f t="shared" si="243"/>
        <v/>
      </c>
      <c r="AT104" s="40" t="str">
        <f t="shared" si="244"/>
        <v/>
      </c>
      <c r="AU104" s="41" t="str">
        <f t="shared" si="245"/>
        <v/>
      </c>
      <c r="AV104" s="41" t="str">
        <f t="shared" si="246"/>
        <v/>
      </c>
      <c r="AW104" s="42" t="str">
        <f t="shared" si="247"/>
        <v/>
      </c>
      <c r="AX104" s="40" t="str">
        <f t="shared" si="248"/>
        <v/>
      </c>
      <c r="AY104" s="41">
        <f t="shared" si="249"/>
        <v>0</v>
      </c>
      <c r="AZ104" s="41" t="str">
        <f t="shared" si="250"/>
        <v/>
      </c>
      <c r="BA104" s="42" t="str">
        <f t="shared" si="251"/>
        <v/>
      </c>
      <c r="BB104" s="37" t="s">
        <v>106</v>
      </c>
      <c r="BC104" s="21"/>
      <c r="BD104" s="21"/>
      <c r="BG104" t="str">
        <f>IF(NOT(ISERROR(HLOOKUP(Standings!BG$3,Entries!$C96:$K96,1,FALSE))),"x",IF(NOT(ISERROR(HLOOKUP(Standings!BG$3,Entries!$L96:$L96,1,FALSE))),"S",""))</f>
        <v>x</v>
      </c>
      <c r="BH104" t="str">
        <f>IF(NOT(ISERROR(HLOOKUP(Standings!BH$3,Entries!$C96:$K96,1,FALSE))),"x",IF(NOT(ISERROR(HLOOKUP(Standings!BH$3,Entries!$L96:$L96,1,FALSE))),"S",""))</f>
        <v/>
      </c>
      <c r="BI104" t="str">
        <f>IF(NOT(ISERROR(HLOOKUP(Standings!BI$3,Entries!$C96:$K96,1,FALSE))),"x",IF(NOT(ISERROR(HLOOKUP(Standings!BI$3,Entries!$L96:$L96,1,FALSE))),"S",""))</f>
        <v/>
      </c>
      <c r="BJ104" t="str">
        <f>IF(NOT(ISERROR(HLOOKUP(Standings!BJ$3,Entries!$C96:$K96,1,FALSE))),"x",IF(NOT(ISERROR(HLOOKUP(Standings!BJ$3,Entries!$L96:$L96,1,FALSE))),"S",""))</f>
        <v/>
      </c>
      <c r="BK104" t="str">
        <f>IF(NOT(ISERROR(HLOOKUP(Standings!BK$3,Entries!$C96:$K96,1,FALSE))),"x",IF(NOT(ISERROR(HLOOKUP(Standings!BK$3,Entries!$L96:$L96,1,FALSE))),"S",""))</f>
        <v>x</v>
      </c>
      <c r="BL104" t="str">
        <f>IF(NOT(ISERROR(HLOOKUP(Standings!BL$3,Entries!$C96:$K96,1,FALSE))),"x",IF(NOT(ISERROR(HLOOKUP(Standings!BL$3,Entries!$L96:$L96,1,FALSE))),"S",""))</f>
        <v>x</v>
      </c>
      <c r="BM104" t="str">
        <f>IF(NOT(ISERROR(HLOOKUP(Standings!BM$3,Entries!$C96:$K96,1,FALSE))),"x",IF(NOT(ISERROR(HLOOKUP(Standings!BM$3,Entries!$L96:$L96,1,FALSE))),"S",""))</f>
        <v/>
      </c>
      <c r="BN104" t="str">
        <f>IF(NOT(ISERROR(HLOOKUP(Standings!BN$3,Entries!$C96:$K96,1,FALSE))),"x",IF(NOT(ISERROR(HLOOKUP(Standings!BN$3,Entries!$L96:$L96,1,FALSE))),"S",""))</f>
        <v/>
      </c>
      <c r="BO104" t="str">
        <f>IF(NOT(ISERROR(HLOOKUP(Standings!BO$3,Entries!$C96:$K96,1,FALSE))),"x",IF(NOT(ISERROR(HLOOKUP(Standings!BO$3,Entries!$L96:$L96,1,FALSE))),"S",""))</f>
        <v/>
      </c>
      <c r="BP104" t="str">
        <f>IF(NOT(ISERROR(HLOOKUP(Standings!BP$3,Entries!$C96:$K96,1,FALSE))),"x",IF(NOT(ISERROR(HLOOKUP(Standings!BP$3,Entries!$L96:$L96,1,FALSE))),"S",""))</f>
        <v/>
      </c>
      <c r="BQ104" t="str">
        <f>IF(NOT(ISERROR(HLOOKUP(Standings!BQ$3,Entries!$C96:$K96,1,FALSE))),"x",IF(NOT(ISERROR(HLOOKUP(Standings!BQ$3,Entries!$L96:$L96,1,FALSE))),"S",""))</f>
        <v/>
      </c>
      <c r="BR104" t="str">
        <f>IF(NOT(ISERROR(HLOOKUP(Standings!BR$3,Entries!$C96:$K96,1,FALSE))),"x",IF(NOT(ISERROR(HLOOKUP(Standings!BR$3,Entries!$L96:$L96,1,FALSE))),"S",""))</f>
        <v/>
      </c>
      <c r="BS104" t="str">
        <f>IF(NOT(ISERROR(HLOOKUP(Standings!BS$3,Entries!$C96:$K96,1,FALSE))),"x",IF(NOT(ISERROR(HLOOKUP(Standings!BS$3,Entries!$L96:$L96,1,FALSE))),"S",""))</f>
        <v/>
      </c>
      <c r="BT104" t="str">
        <f>IF(NOT(ISERROR(HLOOKUP(Standings!BT$3,Entries!$C96:$K96,1,FALSE))),"x",IF(NOT(ISERROR(HLOOKUP(Standings!BT$3,Entries!$L96:$L96,1,FALSE))),"S",""))</f>
        <v/>
      </c>
      <c r="BU104" t="str">
        <f>IF(NOT(ISERROR(HLOOKUP(Standings!BU$3,Entries!$C96:$K96,1,FALSE))),"x",IF(NOT(ISERROR(HLOOKUP(Standings!BU$3,Entries!$L96:$L96,1,FALSE))),"S",""))</f>
        <v/>
      </c>
      <c r="BV104" t="str">
        <f>IF(NOT(ISERROR(HLOOKUP(Standings!BV$3,Entries!$C96:$K96,1,FALSE))),"x",IF(NOT(ISERROR(HLOOKUP(Standings!BV$3,Entries!$L96:$L96,1,FALSE))),"S",""))</f>
        <v/>
      </c>
      <c r="BW104" t="str">
        <f>IF(NOT(ISERROR(HLOOKUP(Standings!BW$3,Entries!$C96:$K96,1,FALSE))),"x",IF(NOT(ISERROR(HLOOKUP(Standings!BW$3,Entries!$L96:$L96,1,FALSE))),"S",""))</f>
        <v/>
      </c>
      <c r="BX104" t="str">
        <f>IF(NOT(ISERROR(HLOOKUP(Standings!BX$3,Entries!$C96:$K96,1,FALSE))),"x",IF(NOT(ISERROR(HLOOKUP(Standings!BX$3,Entries!$L96:$L96,1,FALSE))),"S",""))</f>
        <v/>
      </c>
      <c r="BY104" t="str">
        <f>IF(NOT(ISERROR(HLOOKUP(Standings!BY$3,Entries!$C96:$K96,1,FALSE))),"x",IF(NOT(ISERROR(HLOOKUP(Standings!BY$3,Entries!$L96:$L96,1,FALSE))),"S",""))</f>
        <v/>
      </c>
      <c r="BZ104" t="str">
        <f>IF(NOT(ISERROR(HLOOKUP(Standings!BZ$3,Entries!$C96:$K96,1,FALSE))),"x",IF(NOT(ISERROR(HLOOKUP(Standings!BZ$3,Entries!$L96:$L96,1,FALSE))),"S",""))</f>
        <v/>
      </c>
      <c r="CA104" t="str">
        <f>IF(NOT(ISERROR(HLOOKUP(Standings!CA$3,Entries!$C96:$K96,1,FALSE))),"x",IF(NOT(ISERROR(HLOOKUP(Standings!CA$3,Entries!$L96:$L96,1,FALSE))),"S",""))</f>
        <v/>
      </c>
      <c r="CB104" t="str">
        <f>IF(NOT(ISERROR(HLOOKUP(Standings!CB$3,Entries!$C96:$K96,1,FALSE))),"x",IF(NOT(ISERROR(HLOOKUP(Standings!CB$3,Entries!$L96:$L96,1,FALSE))),"S",""))</f>
        <v>x</v>
      </c>
      <c r="CC104" t="str">
        <f>IF(NOT(ISERROR(HLOOKUP(Standings!CC$3,Entries!$C96:$K96,1,FALSE))),"x",IF(NOT(ISERROR(HLOOKUP(Standings!CC$3,Entries!$L96:$L96,1,FALSE))),"S",""))</f>
        <v/>
      </c>
      <c r="CD104" t="str">
        <f>IF(NOT(ISERROR(HLOOKUP(Standings!CD$3,Entries!$C96:$K96,1,FALSE))),"x",IF(NOT(ISERROR(HLOOKUP(Standings!CD$3,Entries!$L96:$L96,1,FALSE))),"S",""))</f>
        <v/>
      </c>
      <c r="CE104" t="str">
        <f>IF(NOT(ISERROR(HLOOKUP(Standings!CE$3,Entries!$C96:$K96,1,FALSE))),"x",IF(NOT(ISERROR(HLOOKUP(Standings!CE$3,Entries!$L96:$L96,1,FALSE))),"S",""))</f>
        <v/>
      </c>
      <c r="CF104" t="str">
        <f>IF(NOT(ISERROR(HLOOKUP(Standings!CF$3,Entries!$C96:$K96,1,FALSE))),"x",IF(NOT(ISERROR(HLOOKUP(Standings!CF$3,Entries!$L96:$L96,1,FALSE))),"S",""))</f>
        <v>x</v>
      </c>
      <c r="CG104" t="str">
        <f>IF(NOT(ISERROR(HLOOKUP(Standings!CG$3,Entries!$C96:$K96,1,FALSE))),"x",IF(NOT(ISERROR(HLOOKUP(Standings!CG$3,Entries!$L96:$L96,1,FALSE))),"S",""))</f>
        <v/>
      </c>
      <c r="CH104" t="str">
        <f>IF(NOT(ISERROR(HLOOKUP(Standings!CH$3,Entries!$C96:$K96,1,FALSE))),"x",IF(NOT(ISERROR(HLOOKUP(Standings!CH$3,Entries!$L96:$L96,1,FALSE))),"S",""))</f>
        <v/>
      </c>
      <c r="CI104" t="str">
        <f>IF(NOT(ISERROR(HLOOKUP(Standings!CI$3,Entries!$C96:$K96,1,FALSE))),"x",IF(NOT(ISERROR(HLOOKUP(Standings!CI$3,Entries!$L96:$L96,1,FALSE))),"S",""))</f>
        <v/>
      </c>
      <c r="CJ104" t="str">
        <f>IF(NOT(ISERROR(HLOOKUP(Standings!CJ$3,Entries!$C96:$K96,1,FALSE))),"x",IF(NOT(ISERROR(HLOOKUP(Standings!CJ$3,Entries!$L96:$L96,1,FALSE))),"S",""))</f>
        <v/>
      </c>
      <c r="CK104" t="str">
        <f>IF(NOT(ISERROR(HLOOKUP(Standings!CK$3,Entries!$C96:$K96,1,FALSE))),"x",IF(NOT(ISERROR(HLOOKUP(Standings!CK$3,Entries!$L96:$L96,1,FALSE))),"S",""))</f>
        <v/>
      </c>
      <c r="CL104" t="str">
        <f>IF(NOT(ISERROR(HLOOKUP(Standings!CL$3,Entries!$C96:$K96,1,FALSE))),"x",IF(NOT(ISERROR(HLOOKUP(Standings!CL$3,Entries!$L96:$L96,1,FALSE))),"S",""))</f>
        <v/>
      </c>
      <c r="CM104" t="str">
        <f>IF(NOT(ISERROR(HLOOKUP(Standings!CM$3,Entries!$C96:$K96,1,FALSE))),"x",IF(NOT(ISERROR(HLOOKUP(Standings!CM$3,Entries!$L96:$L96,1,FALSE))),"S",""))</f>
        <v/>
      </c>
      <c r="CN104" t="str">
        <f>IF(NOT(ISERROR(HLOOKUP(Standings!CN$3,Entries!$C96:$K96,1,FALSE))),"x",IF(NOT(ISERROR(HLOOKUP(Standings!CN$3,Entries!$L96:$L96,1,FALSE))),"S",""))</f>
        <v/>
      </c>
      <c r="CO104" t="str">
        <f>IF(NOT(ISERROR(HLOOKUP(Standings!CO$3,Entries!$C96:$K96,1,FALSE))),"x",IF(NOT(ISERROR(HLOOKUP(Standings!CO$3,Entries!$L96:$L96,1,FALSE))),"S",""))</f>
        <v>S</v>
      </c>
      <c r="CP104" t="str">
        <f>IF(NOT(ISERROR(HLOOKUP(Standings!CP$3,Entries!$C96:$K96,1,FALSE))),"x",IF(NOT(ISERROR(HLOOKUP(Standings!CP$3,Entries!$L96:$L96,1,FALSE))),"S",""))</f>
        <v/>
      </c>
      <c r="CQ104" t="str">
        <f>IF(NOT(ISERROR(HLOOKUP(Standings!CQ$3,Entries!$C96:$K96,1,FALSE))),"x",IF(NOT(ISERROR(HLOOKUP(Standings!CQ$3,Entries!$L96:$L96,1,FALSE))),"S",""))</f>
        <v/>
      </c>
      <c r="CR104" t="str">
        <f>IF(NOT(ISERROR(HLOOKUP(Standings!CR$3,Entries!$C96:$K96,1,FALSE))),"x",IF(NOT(ISERROR(HLOOKUP(Standings!CR$3,Entries!$L96:$L96,1,FALSE))),"S",""))</f>
        <v/>
      </c>
      <c r="CS104" t="str">
        <f>IF(NOT(ISERROR(HLOOKUP(Standings!CS$3,Entries!$C96:$K96,1,FALSE))),"x",IF(NOT(ISERROR(HLOOKUP(Standings!CS$3,Entries!$L96:$L96,1,FALSE))),"S",""))</f>
        <v>x</v>
      </c>
      <c r="CT104" t="str">
        <f>IF(NOT(ISERROR(HLOOKUP(Standings!CT$3,Entries!$C96:$K96,1,FALSE))),"x",IF(NOT(ISERROR(HLOOKUP(Standings!CT$3,Entries!$L96:$L96,1,FALSE))),"S",""))</f>
        <v/>
      </c>
      <c r="CU104" t="str">
        <f>IF(NOT(ISERROR(HLOOKUP(Standings!CU$3,Entries!$C96:$K96,1,FALSE))),"x",IF(NOT(ISERROR(HLOOKUP(Standings!CU$3,Entries!$L96:$L96,1,FALSE))),"S",""))</f>
        <v/>
      </c>
      <c r="CV104" t="str">
        <f>IF(NOT(ISERROR(HLOOKUP(Standings!CV$3,Entries!$C96:$K96,1,FALSE))),"x",IF(NOT(ISERROR(HLOOKUP(Standings!CV$3,Entries!$L96:$L96,1,FALSE))),"S",""))</f>
        <v/>
      </c>
      <c r="CW104" t="str">
        <f>IF(NOT(ISERROR(HLOOKUP(Standings!CW$3,Entries!$C96:$K96,1,FALSE))),"x",IF(NOT(ISERROR(HLOOKUP(Standings!CW$3,Entries!$L96:$L96,1,FALSE))),"S",""))</f>
        <v/>
      </c>
      <c r="CX104" t="str">
        <f>IF(NOT(ISERROR(HLOOKUP(Standings!CX$3,Entries!$C96:$K96,1,FALSE))),"x",IF(NOT(ISERROR(HLOOKUP(Standings!CX$3,Entries!$L96:$L96,1,FALSE))),"S",""))</f>
        <v/>
      </c>
      <c r="CY104" t="str">
        <f>IF(NOT(ISERROR(HLOOKUP(Standings!CY$3,Entries!$C96:$K96,1,FALSE))),"x",IF(NOT(ISERROR(HLOOKUP(Standings!CY$3,Entries!$L96:$L96,1,FALSE))),"S",""))</f>
        <v/>
      </c>
      <c r="CZ104" t="str">
        <f>IF(NOT(ISERROR(HLOOKUP(Standings!CZ$3,Entries!$C96:$K96,1,FALSE))),"x",IF(NOT(ISERROR(HLOOKUP(Standings!CZ$3,Entries!$L96:$L96,1,FALSE))),"S",""))</f>
        <v>x</v>
      </c>
      <c r="DA104" t="str">
        <f>IF(NOT(ISERROR(HLOOKUP(Standings!DA$3,Entries!$C96:$K96,1,FALSE))),"x",IF(NOT(ISERROR(HLOOKUP(Standings!DA$3,Entries!$L96:$L96,1,FALSE))),"S",""))</f>
        <v/>
      </c>
      <c r="DB104" t="str">
        <f>IF(NOT(ISERROR(HLOOKUP(Standings!DB$3,Entries!$C96:$K96,1,FALSE))),"x",IF(NOT(ISERROR(HLOOKUP(Standings!DB$3,Entries!$L96:$L96,1,FALSE))),"S",""))</f>
        <v/>
      </c>
    </row>
    <row r="105" spans="1:106" x14ac:dyDescent="0.25">
      <c r="A105" s="18"/>
      <c r="B105">
        <v>26</v>
      </c>
      <c r="C105" t="str">
        <f>Entries!B97</f>
        <v>jongerdin3</v>
      </c>
      <c r="D105" s="4">
        <f t="shared" ref="D105:D109" si="252">IF(C105="","",RANK(E105,$E$10:$E$111))</f>
        <v>55</v>
      </c>
      <c r="E105" s="31">
        <f t="shared" ref="E105:E109" si="253">IF(C105="","",ROUND(SUM(F105:AK105),0))</f>
        <v>0</v>
      </c>
      <c r="F105" s="40" t="str">
        <f t="shared" ref="F105:F109" si="254">IF(BG105="","",IF(BG105="x",F$6,0)+IF(BG105="S",-F$6-0.00001,0))</f>
        <v/>
      </c>
      <c r="G105" s="41" t="str">
        <f t="shared" ref="G105:G109" si="255">IF(BH105="","",IF(BH105="x",G$6,0)+IF(BH105="S",-G$6-0.00001,0))</f>
        <v/>
      </c>
      <c r="H105" s="41" t="str">
        <f t="shared" ref="H105:H109" si="256">IF(BI105="","",IF(BI105="x",H$6,0)+IF(BI105="S",-H$6-0.00001,0))</f>
        <v/>
      </c>
      <c r="I105" s="42" t="str">
        <f t="shared" ref="I105:I109" si="257">IF(BJ105="","",IF(BJ105="x",I$6,0)+IF(BJ105="S",-I$6-0.00001,0))</f>
        <v/>
      </c>
      <c r="J105" s="40" t="str">
        <f t="shared" ref="J105:J109" si="258">IF(BK105="","",IF(BK105="x",J$6,0)+IF(BK105="S",-J$6-0.00001,0))</f>
        <v/>
      </c>
      <c r="K105" s="41" t="str">
        <f t="shared" ref="K105:K109" si="259">IF(BL105="","",IF(BL105="x",K$6,0)+IF(BL105="S",-K$6-0.00001,0))</f>
        <v/>
      </c>
      <c r="L105" s="41" t="str">
        <f t="shared" ref="L105:L109" si="260">IF(BM105="","",IF(BM105="x",L$6,0)+IF(BM105="S",-L$6-0.00001,0))</f>
        <v/>
      </c>
      <c r="M105" s="42" t="str">
        <f t="shared" ref="M105:M109" si="261">IF(BN105="","",IF(BN105="x",M$6,0)+IF(BN105="S",-M$6-0.00001,0))</f>
        <v/>
      </c>
      <c r="N105" s="43" t="str">
        <f t="shared" ref="N105:N109" si="262">IF(BO105="","",IF(BO105="x",N$6,0)+IF(BO105="S",-N$6-0.00001,0))</f>
        <v/>
      </c>
      <c r="O105" s="41" t="str">
        <f t="shared" ref="O105:O109" si="263">IF(BP105="","",IF(BP105="x",O$6,0)+IF(BP105="S",-O$6-0.00001,0))</f>
        <v/>
      </c>
      <c r="P105" s="41" t="str">
        <f t="shared" ref="P105:P109" si="264">IF(BQ105="","",IF(BQ105="x",P$6,0)+IF(BQ105="S",-P$6-0.00001,0))</f>
        <v/>
      </c>
      <c r="Q105" s="42" t="str">
        <f t="shared" ref="Q105:Q109" si="265">IF(BR105="","",IF(BR105="x",Q$6,0)+IF(BR105="S",-Q$6-0.00001,0))</f>
        <v/>
      </c>
      <c r="R105" s="40" t="str">
        <f t="shared" ref="R105:R109" si="266">IF(BS105="","",IF(BS105="x",R$6,0)+IF(BS105="S",-R$6-0.00001,0))</f>
        <v/>
      </c>
      <c r="S105" s="41">
        <f t="shared" ref="S105:S109" si="267">IF(BT105="","",IF(BT105="x",S$6,0)+IF(BT105="S",-S$6-0.00001,0))</f>
        <v>-1.0000000000000001E-5</v>
      </c>
      <c r="T105" s="43" t="str">
        <f t="shared" ref="T105:T109" si="268">IF(BU105="","",IF(BU105="x",T$6,0)+IF(BU105="S",-T$6-0.00001,0))</f>
        <v/>
      </c>
      <c r="U105" s="42">
        <f t="shared" ref="U105:U109" si="269">IF(BV105="","",IF(BV105="x",U$6,0)+IF(BV105="S",-U$6-0.00001,0))</f>
        <v>0</v>
      </c>
      <c r="V105" s="40" t="str">
        <f t="shared" ref="V105:V109" si="270">IF(BW105="","",IF(BW105="x",V$6,0)+IF(BW105="S",-V$6-0.00001,0))</f>
        <v/>
      </c>
      <c r="W105" s="41" t="str">
        <f t="shared" ref="W105:W109" si="271">IF(BX105="","",IF(BX105="x",W$6,0)+IF(BX105="S",-W$6-0.00001,0))</f>
        <v/>
      </c>
      <c r="X105" s="41" t="str">
        <f t="shared" ref="X105:X109" si="272">IF(BY105="","",IF(BY105="x",X$6,0)+IF(BY105="S",-X$6-0.00001,0))</f>
        <v/>
      </c>
      <c r="Y105" s="42">
        <f t="shared" ref="Y105:Y109" si="273">IF(BZ105="","",IF(BZ105="x",Y$6,0)+IF(BZ105="S",-Y$6-0.00001,0))</f>
        <v>0</v>
      </c>
      <c r="Z105" s="40" t="str">
        <f t="shared" ref="Z105:Z109" si="274">IF(CA105="","",IF(CA105="x",Z$6,0)+IF(CA105="S",-Z$6-0.00001,0))</f>
        <v/>
      </c>
      <c r="AA105" s="41">
        <f t="shared" ref="AA105:AA109" si="275">IF(CB105="","",IF(CB105="x",AA$6,0)+IF(CB105="S",-AA$6-0.00001,0))</f>
        <v>0</v>
      </c>
      <c r="AB105" s="41" t="str">
        <f t="shared" ref="AB105:AB109" si="276">IF(CC105="","",IF(CC105="x",AB$6,0)+IF(CC105="S",-AB$6-0.00001,0))</f>
        <v/>
      </c>
      <c r="AC105" s="42" t="str">
        <f t="shared" ref="AC105:AC109" si="277">IF(CD105="","",IF(CD105="x",AC$6,0)+IF(CD105="S",-AC$6-0.00001,0))</f>
        <v/>
      </c>
      <c r="AD105" s="40" t="str">
        <f t="shared" ref="AD105:AD109" si="278">IF(CE105="","",IF(CE105="x",AD$6,0)+IF(CE105="S",-AD$6-0.00001,0))</f>
        <v/>
      </c>
      <c r="AE105" s="41">
        <f t="shared" ref="AE105:AE109" si="279">IF(CF105="","",IF(CF105="x",AE$6,0)+IF(CF105="S",-AE$6-0.00001,0))</f>
        <v>0</v>
      </c>
      <c r="AF105" s="41" t="str">
        <f t="shared" ref="AF105:AF109" si="280">IF(CG105="","",IF(CG105="x",AF$6,0)+IF(CG105="S",-AF$6-0.00001,0))</f>
        <v/>
      </c>
      <c r="AG105" s="42" t="str">
        <f t="shared" ref="AG105:AG109" si="281">IF(CH105="","",IF(CH105="x",AG$6,0)+IF(CH105="S",-AG$6-0.00001,0))</f>
        <v/>
      </c>
      <c r="AH105" s="40" t="str">
        <f t="shared" ref="AH105:AH109" si="282">IF(CI105="","",IF(CI105="x",AH$6,0)+IF(CI105="S",-AH$6-0.00001,0))</f>
        <v/>
      </c>
      <c r="AI105" s="41" t="str">
        <f t="shared" ref="AI105:AI109" si="283">IF(CJ105="","",IF(CJ105="x",AI$6,0)+IF(CJ105="S",-AI$6-0.00001,0))</f>
        <v/>
      </c>
      <c r="AJ105" s="41" t="str">
        <f t="shared" ref="AJ105:AJ109" si="284">IF(CK105="","",IF(CK105="x",AJ$6,0)+IF(CK105="S",-AJ$6-0.00001,0))</f>
        <v/>
      </c>
      <c r="AK105" s="42" t="str">
        <f t="shared" ref="AK105:AK109" si="285">IF(CL105="","",IF(CL105="x",AK$6,0)+IF(CL105="S",-AK$6-0.00001,0))</f>
        <v/>
      </c>
      <c r="AL105" s="40" t="str">
        <f t="shared" ref="AL105:AL109" si="286">IF(CM105="","",IF(CM105="x",AL$6,0)+IF(CM105="S",-AL$6-0.00001,0))</f>
        <v/>
      </c>
      <c r="AM105" s="41">
        <f t="shared" ref="AM105:AM109" si="287">IF(CN105="","",IF(CN105="x",AM$6,0)+IF(CN105="S",-AM$6-0.00001,0))</f>
        <v>0</v>
      </c>
      <c r="AN105" s="41" t="str">
        <f t="shared" ref="AN105:AN109" si="288">IF(CO105="","",IF(CO105="x",AN$6,0)+IF(CO105="S",-AN$6-0.00001,0))</f>
        <v/>
      </c>
      <c r="AO105" s="42" t="str">
        <f t="shared" ref="AO105:AO109" si="289">IF(CP105="","",IF(CP105="x",AO$6,0)+IF(CP105="S",-AO$6-0.00001,0))</f>
        <v/>
      </c>
      <c r="AP105" s="40" t="str">
        <f t="shared" ref="AP105:AP109" si="290">IF(CQ105="","",IF(CQ105="x",AP$6,0)+IF(CQ105="S",-AP$6-0.00001,0))</f>
        <v/>
      </c>
      <c r="AQ105" s="41" t="str">
        <f t="shared" ref="AQ105:AQ109" si="291">IF(CR105="","",IF(CR105="x",AQ$6,0)+IF(CR105="S",-AQ$6-0.00001,0))</f>
        <v/>
      </c>
      <c r="AR105" s="41">
        <f t="shared" ref="AR105:AR109" si="292">IF(CS105="","",IF(CS105="x",AR$6,0)+IF(CS105="S",-AR$6-0.00001,0))</f>
        <v>0</v>
      </c>
      <c r="AS105" s="42" t="str">
        <f t="shared" ref="AS105:AS109" si="293">IF(CT105="","",IF(CT105="x",AS$6,0)+IF(CT105="S",-AS$6-0.00001,0))</f>
        <v/>
      </c>
      <c r="AT105" s="40" t="str">
        <f t="shared" ref="AT105:AT109" si="294">IF(CU105="","",IF(CU105="x",AT$6,0)+IF(CU105="S",-AT$6-0.00001,0))</f>
        <v/>
      </c>
      <c r="AU105" s="41" t="str">
        <f t="shared" ref="AU105:AU109" si="295">IF(CV105="","",IF(CV105="x",AU$6,0)+IF(CV105="S",-AU$6-0.00001,0))</f>
        <v/>
      </c>
      <c r="AV105" s="41" t="str">
        <f t="shared" ref="AV105:AV109" si="296">IF(CW105="","",IF(CW105="x",AV$6,0)+IF(CW105="S",-AV$6-0.00001,0))</f>
        <v/>
      </c>
      <c r="AW105" s="42" t="str">
        <f t="shared" ref="AW105:AW109" si="297">IF(CX105="","",IF(CX105="x",AW$6,0)+IF(CX105="S",-AW$6-0.00001,0))</f>
        <v/>
      </c>
      <c r="AX105" s="40" t="str">
        <f t="shared" ref="AX105:AX109" si="298">IF(CY105="","",IF(CY105="x",AX$6,0)+IF(CY105="S",-AX$6-0.00001,0))</f>
        <v/>
      </c>
      <c r="AY105" s="41">
        <f t="shared" ref="AY105:AY109" si="299">IF(CZ105="","",IF(CZ105="x",AY$6,0)+IF(CZ105="S",-AY$6-0.00001,0))</f>
        <v>0</v>
      </c>
      <c r="AZ105" s="41" t="str">
        <f t="shared" ref="AZ105:AZ109" si="300">IF(DA105="","",IF(DA105="x",AZ$6,0)+IF(DA105="S",-AZ$6-0.00001,0))</f>
        <v/>
      </c>
      <c r="BA105" s="42">
        <f t="shared" ref="BA105:BA109" si="301">IF(DB105="","",IF(DB105="x",BA$6,0)+IF(DB105="S",-BA$6-0.00001,0))</f>
        <v>0</v>
      </c>
      <c r="BB105" s="37" t="s">
        <v>106</v>
      </c>
      <c r="BC105" s="21"/>
      <c r="BD105" s="21"/>
      <c r="BG105" t="str">
        <f>IF(NOT(ISERROR(HLOOKUP(Standings!BG$3,Entries!$C97:$K97,1,FALSE))),"x",IF(NOT(ISERROR(HLOOKUP(Standings!BG$3,Entries!$L97:$L97,1,FALSE))),"S",""))</f>
        <v/>
      </c>
      <c r="BH105" t="str">
        <f>IF(NOT(ISERROR(HLOOKUP(Standings!BH$3,Entries!$C97:$K97,1,FALSE))),"x",IF(NOT(ISERROR(HLOOKUP(Standings!BH$3,Entries!$L97:$L97,1,FALSE))),"S",""))</f>
        <v/>
      </c>
      <c r="BI105" t="str">
        <f>IF(NOT(ISERROR(HLOOKUP(Standings!BI$3,Entries!$C97:$K97,1,FALSE))),"x",IF(NOT(ISERROR(HLOOKUP(Standings!BI$3,Entries!$L97:$L97,1,FALSE))),"S",""))</f>
        <v/>
      </c>
      <c r="BJ105" t="str">
        <f>IF(NOT(ISERROR(HLOOKUP(Standings!BJ$3,Entries!$C97:$K97,1,FALSE))),"x",IF(NOT(ISERROR(HLOOKUP(Standings!BJ$3,Entries!$L97:$L97,1,FALSE))),"S",""))</f>
        <v/>
      </c>
      <c r="BK105" t="str">
        <f>IF(NOT(ISERROR(HLOOKUP(Standings!BK$3,Entries!$C97:$K97,1,FALSE))),"x",IF(NOT(ISERROR(HLOOKUP(Standings!BK$3,Entries!$L97:$L97,1,FALSE))),"S",""))</f>
        <v/>
      </c>
      <c r="BL105" t="str">
        <f>IF(NOT(ISERROR(HLOOKUP(Standings!BL$3,Entries!$C97:$K97,1,FALSE))),"x",IF(NOT(ISERROR(HLOOKUP(Standings!BL$3,Entries!$L97:$L97,1,FALSE))),"S",""))</f>
        <v/>
      </c>
      <c r="BM105" t="str">
        <f>IF(NOT(ISERROR(HLOOKUP(Standings!BM$3,Entries!$C97:$K97,1,FALSE))),"x",IF(NOT(ISERROR(HLOOKUP(Standings!BM$3,Entries!$L97:$L97,1,FALSE))),"S",""))</f>
        <v/>
      </c>
      <c r="BN105" t="str">
        <f>IF(NOT(ISERROR(HLOOKUP(Standings!BN$3,Entries!$C97:$K97,1,FALSE))),"x",IF(NOT(ISERROR(HLOOKUP(Standings!BN$3,Entries!$L97:$L97,1,FALSE))),"S",""))</f>
        <v/>
      </c>
      <c r="BO105" t="str">
        <f>IF(NOT(ISERROR(HLOOKUP(Standings!BO$3,Entries!$C97:$K97,1,FALSE))),"x",IF(NOT(ISERROR(HLOOKUP(Standings!BO$3,Entries!$L97:$L97,1,FALSE))),"S",""))</f>
        <v/>
      </c>
      <c r="BP105" t="str">
        <f>IF(NOT(ISERROR(HLOOKUP(Standings!BP$3,Entries!$C97:$K97,1,FALSE))),"x",IF(NOT(ISERROR(HLOOKUP(Standings!BP$3,Entries!$L97:$L97,1,FALSE))),"S",""))</f>
        <v/>
      </c>
      <c r="BQ105" t="str">
        <f>IF(NOT(ISERROR(HLOOKUP(Standings!BQ$3,Entries!$C97:$K97,1,FALSE))),"x",IF(NOT(ISERROR(HLOOKUP(Standings!BQ$3,Entries!$L97:$L97,1,FALSE))),"S",""))</f>
        <v/>
      </c>
      <c r="BR105" t="str">
        <f>IF(NOT(ISERROR(HLOOKUP(Standings!BR$3,Entries!$C97:$K97,1,FALSE))),"x",IF(NOT(ISERROR(HLOOKUP(Standings!BR$3,Entries!$L97:$L97,1,FALSE))),"S",""))</f>
        <v/>
      </c>
      <c r="BS105" t="str">
        <f>IF(NOT(ISERROR(HLOOKUP(Standings!BS$3,Entries!$C97:$K97,1,FALSE))),"x",IF(NOT(ISERROR(HLOOKUP(Standings!BS$3,Entries!$L97:$L97,1,FALSE))),"S",""))</f>
        <v/>
      </c>
      <c r="BT105" t="str">
        <f>IF(NOT(ISERROR(HLOOKUP(Standings!BT$3,Entries!$C97:$K97,1,FALSE))),"x",IF(NOT(ISERROR(HLOOKUP(Standings!BT$3,Entries!$L97:$L97,1,FALSE))),"S",""))</f>
        <v>S</v>
      </c>
      <c r="BU105" t="str">
        <f>IF(NOT(ISERROR(HLOOKUP(Standings!BU$3,Entries!$C97:$K97,1,FALSE))),"x",IF(NOT(ISERROR(HLOOKUP(Standings!BU$3,Entries!$L97:$L97,1,FALSE))),"S",""))</f>
        <v/>
      </c>
      <c r="BV105" t="str">
        <f>IF(NOT(ISERROR(HLOOKUP(Standings!BV$3,Entries!$C97:$K97,1,FALSE))),"x",IF(NOT(ISERROR(HLOOKUP(Standings!BV$3,Entries!$L97:$L97,1,FALSE))),"S",""))</f>
        <v>x</v>
      </c>
      <c r="BW105" t="str">
        <f>IF(NOT(ISERROR(HLOOKUP(Standings!BW$3,Entries!$C97:$K97,1,FALSE))),"x",IF(NOT(ISERROR(HLOOKUP(Standings!BW$3,Entries!$L97:$L97,1,FALSE))),"S",""))</f>
        <v/>
      </c>
      <c r="BX105" t="str">
        <f>IF(NOT(ISERROR(HLOOKUP(Standings!BX$3,Entries!$C97:$K97,1,FALSE))),"x",IF(NOT(ISERROR(HLOOKUP(Standings!BX$3,Entries!$L97:$L97,1,FALSE))),"S",""))</f>
        <v/>
      </c>
      <c r="BY105" t="str">
        <f>IF(NOT(ISERROR(HLOOKUP(Standings!BY$3,Entries!$C97:$K97,1,FALSE))),"x",IF(NOT(ISERROR(HLOOKUP(Standings!BY$3,Entries!$L97:$L97,1,FALSE))),"S",""))</f>
        <v/>
      </c>
      <c r="BZ105" t="str">
        <f>IF(NOT(ISERROR(HLOOKUP(Standings!BZ$3,Entries!$C97:$K97,1,FALSE))),"x",IF(NOT(ISERROR(HLOOKUP(Standings!BZ$3,Entries!$L97:$L97,1,FALSE))),"S",""))</f>
        <v>x</v>
      </c>
      <c r="CA105" t="str">
        <f>IF(NOT(ISERROR(HLOOKUP(Standings!CA$3,Entries!$C97:$K97,1,FALSE))),"x",IF(NOT(ISERROR(HLOOKUP(Standings!CA$3,Entries!$L97:$L97,1,FALSE))),"S",""))</f>
        <v/>
      </c>
      <c r="CB105" t="str">
        <f>IF(NOT(ISERROR(HLOOKUP(Standings!CB$3,Entries!$C97:$K97,1,FALSE))),"x",IF(NOT(ISERROR(HLOOKUP(Standings!CB$3,Entries!$L97:$L97,1,FALSE))),"S",""))</f>
        <v>x</v>
      </c>
      <c r="CC105" t="str">
        <f>IF(NOT(ISERROR(HLOOKUP(Standings!CC$3,Entries!$C97:$K97,1,FALSE))),"x",IF(NOT(ISERROR(HLOOKUP(Standings!CC$3,Entries!$L97:$L97,1,FALSE))),"S",""))</f>
        <v/>
      </c>
      <c r="CD105" t="str">
        <f>IF(NOT(ISERROR(HLOOKUP(Standings!CD$3,Entries!$C97:$K97,1,FALSE))),"x",IF(NOT(ISERROR(HLOOKUP(Standings!CD$3,Entries!$L97:$L97,1,FALSE))),"S",""))</f>
        <v/>
      </c>
      <c r="CE105" t="str">
        <f>IF(NOT(ISERROR(HLOOKUP(Standings!CE$3,Entries!$C97:$K97,1,FALSE))),"x",IF(NOT(ISERROR(HLOOKUP(Standings!CE$3,Entries!$L97:$L97,1,FALSE))),"S",""))</f>
        <v/>
      </c>
      <c r="CF105" t="str">
        <f>IF(NOT(ISERROR(HLOOKUP(Standings!CF$3,Entries!$C97:$K97,1,FALSE))),"x",IF(NOT(ISERROR(HLOOKUP(Standings!CF$3,Entries!$L97:$L97,1,FALSE))),"S",""))</f>
        <v>x</v>
      </c>
      <c r="CG105" t="str">
        <f>IF(NOT(ISERROR(HLOOKUP(Standings!CG$3,Entries!$C97:$K97,1,FALSE))),"x",IF(NOT(ISERROR(HLOOKUP(Standings!CG$3,Entries!$L97:$L97,1,FALSE))),"S",""))</f>
        <v/>
      </c>
      <c r="CH105" t="str">
        <f>IF(NOT(ISERROR(HLOOKUP(Standings!CH$3,Entries!$C97:$K97,1,FALSE))),"x",IF(NOT(ISERROR(HLOOKUP(Standings!CH$3,Entries!$L97:$L97,1,FALSE))),"S",""))</f>
        <v/>
      </c>
      <c r="CI105" t="str">
        <f>IF(NOT(ISERROR(HLOOKUP(Standings!CI$3,Entries!$C97:$K97,1,FALSE))),"x",IF(NOT(ISERROR(HLOOKUP(Standings!CI$3,Entries!$L97:$L97,1,FALSE))),"S",""))</f>
        <v/>
      </c>
      <c r="CJ105" t="str">
        <f>IF(NOT(ISERROR(HLOOKUP(Standings!CJ$3,Entries!$C97:$K97,1,FALSE))),"x",IF(NOT(ISERROR(HLOOKUP(Standings!CJ$3,Entries!$L97:$L97,1,FALSE))),"S",""))</f>
        <v/>
      </c>
      <c r="CK105" t="str">
        <f>IF(NOT(ISERROR(HLOOKUP(Standings!CK$3,Entries!$C97:$K97,1,FALSE))),"x",IF(NOT(ISERROR(HLOOKUP(Standings!CK$3,Entries!$L97:$L97,1,FALSE))),"S",""))</f>
        <v/>
      </c>
      <c r="CL105" t="str">
        <f>IF(NOT(ISERROR(HLOOKUP(Standings!CL$3,Entries!$C97:$K97,1,FALSE))),"x",IF(NOT(ISERROR(HLOOKUP(Standings!CL$3,Entries!$L97:$L97,1,FALSE))),"S",""))</f>
        <v/>
      </c>
      <c r="CM105" t="str">
        <f>IF(NOT(ISERROR(HLOOKUP(Standings!CM$3,Entries!$C97:$K97,1,FALSE))),"x",IF(NOT(ISERROR(HLOOKUP(Standings!CM$3,Entries!$L97:$L97,1,FALSE))),"S",""))</f>
        <v/>
      </c>
      <c r="CN105" t="str">
        <f>IF(NOT(ISERROR(HLOOKUP(Standings!CN$3,Entries!$C97:$K97,1,FALSE))),"x",IF(NOT(ISERROR(HLOOKUP(Standings!CN$3,Entries!$L97:$L97,1,FALSE))),"S",""))</f>
        <v>x</v>
      </c>
      <c r="CO105" t="str">
        <f>IF(NOT(ISERROR(HLOOKUP(Standings!CO$3,Entries!$C97:$K97,1,FALSE))),"x",IF(NOT(ISERROR(HLOOKUP(Standings!CO$3,Entries!$L97:$L97,1,FALSE))),"S",""))</f>
        <v/>
      </c>
      <c r="CP105" t="str">
        <f>IF(NOT(ISERROR(HLOOKUP(Standings!CP$3,Entries!$C97:$K97,1,FALSE))),"x",IF(NOT(ISERROR(HLOOKUP(Standings!CP$3,Entries!$L97:$L97,1,FALSE))),"S",""))</f>
        <v/>
      </c>
      <c r="CQ105" t="str">
        <f>IF(NOT(ISERROR(HLOOKUP(Standings!CQ$3,Entries!$C97:$K97,1,FALSE))),"x",IF(NOT(ISERROR(HLOOKUP(Standings!CQ$3,Entries!$L97:$L97,1,FALSE))),"S",""))</f>
        <v/>
      </c>
      <c r="CR105" t="str">
        <f>IF(NOT(ISERROR(HLOOKUP(Standings!CR$3,Entries!$C97:$K97,1,FALSE))),"x",IF(NOT(ISERROR(HLOOKUP(Standings!CR$3,Entries!$L97:$L97,1,FALSE))),"S",""))</f>
        <v/>
      </c>
      <c r="CS105" t="str">
        <f>IF(NOT(ISERROR(HLOOKUP(Standings!CS$3,Entries!$C97:$K97,1,FALSE))),"x",IF(NOT(ISERROR(HLOOKUP(Standings!CS$3,Entries!$L97:$L97,1,FALSE))),"S",""))</f>
        <v>x</v>
      </c>
      <c r="CT105" t="str">
        <f>IF(NOT(ISERROR(HLOOKUP(Standings!CT$3,Entries!$C97:$K97,1,FALSE))),"x",IF(NOT(ISERROR(HLOOKUP(Standings!CT$3,Entries!$L97:$L97,1,FALSE))),"S",""))</f>
        <v/>
      </c>
      <c r="CU105" t="str">
        <f>IF(NOT(ISERROR(HLOOKUP(Standings!CU$3,Entries!$C97:$K97,1,FALSE))),"x",IF(NOT(ISERROR(HLOOKUP(Standings!CU$3,Entries!$L97:$L97,1,FALSE))),"S",""))</f>
        <v/>
      </c>
      <c r="CV105" t="str">
        <f>IF(NOT(ISERROR(HLOOKUP(Standings!CV$3,Entries!$C97:$K97,1,FALSE))),"x",IF(NOT(ISERROR(HLOOKUP(Standings!CV$3,Entries!$L97:$L97,1,FALSE))),"S",""))</f>
        <v/>
      </c>
      <c r="CW105" t="str">
        <f>IF(NOT(ISERROR(HLOOKUP(Standings!CW$3,Entries!$C97:$K97,1,FALSE))),"x",IF(NOT(ISERROR(HLOOKUP(Standings!CW$3,Entries!$L97:$L97,1,FALSE))),"S",""))</f>
        <v/>
      </c>
      <c r="CX105" t="str">
        <f>IF(NOT(ISERROR(HLOOKUP(Standings!CX$3,Entries!$C97:$K97,1,FALSE))),"x",IF(NOT(ISERROR(HLOOKUP(Standings!CX$3,Entries!$L97:$L97,1,FALSE))),"S",""))</f>
        <v/>
      </c>
      <c r="CY105" t="str">
        <f>IF(NOT(ISERROR(HLOOKUP(Standings!CY$3,Entries!$C97:$K97,1,FALSE))),"x",IF(NOT(ISERROR(HLOOKUP(Standings!CY$3,Entries!$L97:$L97,1,FALSE))),"S",""))</f>
        <v/>
      </c>
      <c r="CZ105" t="str">
        <f>IF(NOT(ISERROR(HLOOKUP(Standings!CZ$3,Entries!$C97:$K97,1,FALSE))),"x",IF(NOT(ISERROR(HLOOKUP(Standings!CZ$3,Entries!$L97:$L97,1,FALSE))),"S",""))</f>
        <v>x</v>
      </c>
      <c r="DA105" t="str">
        <f>IF(NOT(ISERROR(HLOOKUP(Standings!DA$3,Entries!$C97:$K97,1,FALSE))),"x",IF(NOT(ISERROR(HLOOKUP(Standings!DA$3,Entries!$L97:$L97,1,FALSE))),"S",""))</f>
        <v/>
      </c>
      <c r="DB105" t="str">
        <f>IF(NOT(ISERROR(HLOOKUP(Standings!DB$3,Entries!$C97:$K97,1,FALSE))),"x",IF(NOT(ISERROR(HLOOKUP(Standings!DB$3,Entries!$L97:$L97,1,FALSE))),"S",""))</f>
        <v>x</v>
      </c>
    </row>
    <row r="106" spans="1:106" x14ac:dyDescent="0.25">
      <c r="A106" s="18"/>
      <c r="B106">
        <v>26</v>
      </c>
      <c r="C106" t="str">
        <f>Entries!B98</f>
        <v>Tim F1</v>
      </c>
      <c r="D106" s="4">
        <f t="shared" si="252"/>
        <v>55</v>
      </c>
      <c r="E106" s="31">
        <f t="shared" si="253"/>
        <v>0</v>
      </c>
      <c r="F106" s="40" t="str">
        <f t="shared" si="254"/>
        <v/>
      </c>
      <c r="G106" s="41" t="str">
        <f t="shared" si="255"/>
        <v/>
      </c>
      <c r="H106" s="41" t="str">
        <f t="shared" si="256"/>
        <v/>
      </c>
      <c r="I106" s="42" t="str">
        <f t="shared" si="257"/>
        <v/>
      </c>
      <c r="J106" s="40" t="str">
        <f t="shared" si="258"/>
        <v/>
      </c>
      <c r="K106" s="41" t="str">
        <f t="shared" si="259"/>
        <v/>
      </c>
      <c r="L106" s="41" t="str">
        <f t="shared" si="260"/>
        <v/>
      </c>
      <c r="M106" s="42" t="str">
        <f t="shared" si="261"/>
        <v/>
      </c>
      <c r="N106" s="43" t="str">
        <f t="shared" si="262"/>
        <v/>
      </c>
      <c r="O106" s="41" t="str">
        <f t="shared" si="263"/>
        <v/>
      </c>
      <c r="P106" s="41" t="str">
        <f t="shared" si="264"/>
        <v/>
      </c>
      <c r="Q106" s="42" t="str">
        <f t="shared" si="265"/>
        <v/>
      </c>
      <c r="R106" s="40" t="str">
        <f t="shared" si="266"/>
        <v/>
      </c>
      <c r="S106" s="41" t="str">
        <f t="shared" si="267"/>
        <v/>
      </c>
      <c r="T106" s="43" t="str">
        <f t="shared" si="268"/>
        <v/>
      </c>
      <c r="U106" s="42" t="str">
        <f t="shared" si="269"/>
        <v/>
      </c>
      <c r="V106" s="40" t="str">
        <f t="shared" si="270"/>
        <v/>
      </c>
      <c r="W106" s="41" t="str">
        <f t="shared" si="271"/>
        <v/>
      </c>
      <c r="X106" s="41" t="str">
        <f t="shared" si="272"/>
        <v/>
      </c>
      <c r="Y106" s="42" t="str">
        <f t="shared" si="273"/>
        <v/>
      </c>
      <c r="Z106" s="40" t="str">
        <f t="shared" si="274"/>
        <v/>
      </c>
      <c r="AA106" s="41">
        <f t="shared" si="275"/>
        <v>0</v>
      </c>
      <c r="AB106" s="41" t="str">
        <f t="shared" si="276"/>
        <v/>
      </c>
      <c r="AC106" s="42" t="str">
        <f t="shared" si="277"/>
        <v/>
      </c>
      <c r="AD106" s="40" t="str">
        <f t="shared" si="278"/>
        <v/>
      </c>
      <c r="AE106" s="41" t="str">
        <f t="shared" si="279"/>
        <v/>
      </c>
      <c r="AF106" s="41" t="str">
        <f t="shared" si="280"/>
        <v/>
      </c>
      <c r="AG106" s="42" t="str">
        <f t="shared" si="281"/>
        <v/>
      </c>
      <c r="AH106" s="40">
        <f t="shared" si="282"/>
        <v>0</v>
      </c>
      <c r="AI106" s="41" t="str">
        <f t="shared" si="283"/>
        <v/>
      </c>
      <c r="AJ106" s="41" t="str">
        <f t="shared" si="284"/>
        <v/>
      </c>
      <c r="AK106" s="42" t="str">
        <f t="shared" si="285"/>
        <v/>
      </c>
      <c r="AL106" s="40" t="str">
        <f t="shared" si="286"/>
        <v/>
      </c>
      <c r="AM106" s="41" t="str">
        <f t="shared" si="287"/>
        <v/>
      </c>
      <c r="AN106" s="41" t="str">
        <f t="shared" si="288"/>
        <v/>
      </c>
      <c r="AO106" s="42" t="str">
        <f t="shared" si="289"/>
        <v/>
      </c>
      <c r="AP106" s="40" t="str">
        <f t="shared" si="290"/>
        <v/>
      </c>
      <c r="AQ106" s="41" t="str">
        <f t="shared" si="291"/>
        <v/>
      </c>
      <c r="AR106" s="41" t="str">
        <f t="shared" si="292"/>
        <v/>
      </c>
      <c r="AS106" s="42" t="str">
        <f t="shared" si="293"/>
        <v/>
      </c>
      <c r="AT106" s="40">
        <f t="shared" si="294"/>
        <v>-1.0000000000000001E-5</v>
      </c>
      <c r="AU106" s="41" t="str">
        <f t="shared" si="295"/>
        <v/>
      </c>
      <c r="AV106" s="41" t="str">
        <f t="shared" si="296"/>
        <v/>
      </c>
      <c r="AW106" s="42" t="str">
        <f t="shared" si="297"/>
        <v/>
      </c>
      <c r="AX106" s="40">
        <f t="shared" si="298"/>
        <v>0</v>
      </c>
      <c r="AY106" s="41" t="str">
        <f t="shared" si="299"/>
        <v/>
      </c>
      <c r="AZ106" s="41" t="str">
        <f t="shared" si="300"/>
        <v/>
      </c>
      <c r="BA106" s="42" t="str">
        <f t="shared" si="301"/>
        <v/>
      </c>
      <c r="BB106" s="37" t="s">
        <v>106</v>
      </c>
      <c r="BC106" s="21"/>
      <c r="BD106" s="21"/>
      <c r="BG106" t="str">
        <f>IF(NOT(ISERROR(HLOOKUP(Standings!BG$3,Entries!$C98:$K98,1,FALSE))),"x",IF(NOT(ISERROR(HLOOKUP(Standings!BG$3,Entries!$L98:$L98,1,FALSE))),"S",""))</f>
        <v/>
      </c>
      <c r="BH106" t="str">
        <f>IF(NOT(ISERROR(HLOOKUP(Standings!BH$3,Entries!$C98:$K98,1,FALSE))),"x",IF(NOT(ISERROR(HLOOKUP(Standings!BH$3,Entries!$L98:$L98,1,FALSE))),"S",""))</f>
        <v/>
      </c>
      <c r="BI106" t="str">
        <f>IF(NOT(ISERROR(HLOOKUP(Standings!BI$3,Entries!$C98:$K98,1,FALSE))),"x",IF(NOT(ISERROR(HLOOKUP(Standings!BI$3,Entries!$L98:$L98,1,FALSE))),"S",""))</f>
        <v/>
      </c>
      <c r="BJ106" t="str">
        <f>IF(NOT(ISERROR(HLOOKUP(Standings!BJ$3,Entries!$C98:$K98,1,FALSE))),"x",IF(NOT(ISERROR(HLOOKUP(Standings!BJ$3,Entries!$L98:$L98,1,FALSE))),"S",""))</f>
        <v/>
      </c>
      <c r="BK106" t="str">
        <f>IF(NOT(ISERROR(HLOOKUP(Standings!BK$3,Entries!$C98:$K98,1,FALSE))),"x",IF(NOT(ISERROR(HLOOKUP(Standings!BK$3,Entries!$L98:$L98,1,FALSE))),"S",""))</f>
        <v/>
      </c>
      <c r="BL106" t="str">
        <f>IF(NOT(ISERROR(HLOOKUP(Standings!BL$3,Entries!$C98:$K98,1,FALSE))),"x",IF(NOT(ISERROR(HLOOKUP(Standings!BL$3,Entries!$L98:$L98,1,FALSE))),"S",""))</f>
        <v/>
      </c>
      <c r="BM106" t="str">
        <f>IF(NOT(ISERROR(HLOOKUP(Standings!BM$3,Entries!$C98:$K98,1,FALSE))),"x",IF(NOT(ISERROR(HLOOKUP(Standings!BM$3,Entries!$L98:$L98,1,FALSE))),"S",""))</f>
        <v/>
      </c>
      <c r="BN106" t="str">
        <f>IF(NOT(ISERROR(HLOOKUP(Standings!BN$3,Entries!$C98:$K98,1,FALSE))),"x",IF(NOT(ISERROR(HLOOKUP(Standings!BN$3,Entries!$L98:$L98,1,FALSE))),"S",""))</f>
        <v/>
      </c>
      <c r="BO106" t="str">
        <f>IF(NOT(ISERROR(HLOOKUP(Standings!BO$3,Entries!$C98:$K98,1,FALSE))),"x",IF(NOT(ISERROR(HLOOKUP(Standings!BO$3,Entries!$L98:$L98,1,FALSE))),"S",""))</f>
        <v/>
      </c>
      <c r="BP106" t="str">
        <f>IF(NOT(ISERROR(HLOOKUP(Standings!BP$3,Entries!$C98:$K98,1,FALSE))),"x",IF(NOT(ISERROR(HLOOKUP(Standings!BP$3,Entries!$L98:$L98,1,FALSE))),"S",""))</f>
        <v/>
      </c>
      <c r="BQ106" t="str">
        <f>IF(NOT(ISERROR(HLOOKUP(Standings!BQ$3,Entries!$C98:$K98,1,FALSE))),"x",IF(NOT(ISERROR(HLOOKUP(Standings!BQ$3,Entries!$L98:$L98,1,FALSE))),"S",""))</f>
        <v/>
      </c>
      <c r="BR106" t="str">
        <f>IF(NOT(ISERROR(HLOOKUP(Standings!BR$3,Entries!$C98:$K98,1,FALSE))),"x",IF(NOT(ISERROR(HLOOKUP(Standings!BR$3,Entries!$L98:$L98,1,FALSE))),"S",""))</f>
        <v/>
      </c>
      <c r="BS106" t="str">
        <f>IF(NOT(ISERROR(HLOOKUP(Standings!BS$3,Entries!$C98:$K98,1,FALSE))),"x",IF(NOT(ISERROR(HLOOKUP(Standings!BS$3,Entries!$L98:$L98,1,FALSE))),"S",""))</f>
        <v/>
      </c>
      <c r="BT106" t="str">
        <f>IF(NOT(ISERROR(HLOOKUP(Standings!BT$3,Entries!$C98:$K98,1,FALSE))),"x",IF(NOT(ISERROR(HLOOKUP(Standings!BT$3,Entries!$L98:$L98,1,FALSE))),"S",""))</f>
        <v/>
      </c>
      <c r="BU106" t="str">
        <f>IF(NOT(ISERROR(HLOOKUP(Standings!BU$3,Entries!$C98:$K98,1,FALSE))),"x",IF(NOT(ISERROR(HLOOKUP(Standings!BU$3,Entries!$L98:$L98,1,FALSE))),"S",""))</f>
        <v/>
      </c>
      <c r="BV106" t="str">
        <f>IF(NOT(ISERROR(HLOOKUP(Standings!BV$3,Entries!$C98:$K98,1,FALSE))),"x",IF(NOT(ISERROR(HLOOKUP(Standings!BV$3,Entries!$L98:$L98,1,FALSE))),"S",""))</f>
        <v/>
      </c>
      <c r="BW106" t="str">
        <f>IF(NOT(ISERROR(HLOOKUP(Standings!BW$3,Entries!$C98:$K98,1,FALSE))),"x",IF(NOT(ISERROR(HLOOKUP(Standings!BW$3,Entries!$L98:$L98,1,FALSE))),"S",""))</f>
        <v/>
      </c>
      <c r="BX106" t="str">
        <f>IF(NOT(ISERROR(HLOOKUP(Standings!BX$3,Entries!$C98:$K98,1,FALSE))),"x",IF(NOT(ISERROR(HLOOKUP(Standings!BX$3,Entries!$L98:$L98,1,FALSE))),"S",""))</f>
        <v/>
      </c>
      <c r="BY106" t="str">
        <f>IF(NOT(ISERROR(HLOOKUP(Standings!BY$3,Entries!$C98:$K98,1,FALSE))),"x",IF(NOT(ISERROR(HLOOKUP(Standings!BY$3,Entries!$L98:$L98,1,FALSE))),"S",""))</f>
        <v/>
      </c>
      <c r="BZ106" t="str">
        <f>IF(NOT(ISERROR(HLOOKUP(Standings!BZ$3,Entries!$C98:$K98,1,FALSE))),"x",IF(NOT(ISERROR(HLOOKUP(Standings!BZ$3,Entries!$L98:$L98,1,FALSE))),"S",""))</f>
        <v/>
      </c>
      <c r="CA106" t="str">
        <f>IF(NOT(ISERROR(HLOOKUP(Standings!CA$3,Entries!$C98:$K98,1,FALSE))),"x",IF(NOT(ISERROR(HLOOKUP(Standings!CA$3,Entries!$L98:$L98,1,FALSE))),"S",""))</f>
        <v/>
      </c>
      <c r="CB106" t="str">
        <f>IF(NOT(ISERROR(HLOOKUP(Standings!CB$3,Entries!$C98:$K98,1,FALSE))),"x",IF(NOT(ISERROR(HLOOKUP(Standings!CB$3,Entries!$L98:$L98,1,FALSE))),"S",""))</f>
        <v>x</v>
      </c>
      <c r="CC106" t="str">
        <f>IF(NOT(ISERROR(HLOOKUP(Standings!CC$3,Entries!$C98:$K98,1,FALSE))),"x",IF(NOT(ISERROR(HLOOKUP(Standings!CC$3,Entries!$L98:$L98,1,FALSE))),"S",""))</f>
        <v/>
      </c>
      <c r="CD106" t="str">
        <f>IF(NOT(ISERROR(HLOOKUP(Standings!CD$3,Entries!$C98:$K98,1,FALSE))),"x",IF(NOT(ISERROR(HLOOKUP(Standings!CD$3,Entries!$L98:$L98,1,FALSE))),"S",""))</f>
        <v/>
      </c>
      <c r="CE106" t="str">
        <f>IF(NOT(ISERROR(HLOOKUP(Standings!CE$3,Entries!$C98:$K98,1,FALSE))),"x",IF(NOT(ISERROR(HLOOKUP(Standings!CE$3,Entries!$L98:$L98,1,FALSE))),"S",""))</f>
        <v/>
      </c>
      <c r="CF106" t="str">
        <f>IF(NOT(ISERROR(HLOOKUP(Standings!CF$3,Entries!$C98:$K98,1,FALSE))),"x",IF(NOT(ISERROR(HLOOKUP(Standings!CF$3,Entries!$L98:$L98,1,FALSE))),"S",""))</f>
        <v/>
      </c>
      <c r="CG106" t="str">
        <f>IF(NOT(ISERROR(HLOOKUP(Standings!CG$3,Entries!$C98:$K98,1,FALSE))),"x",IF(NOT(ISERROR(HLOOKUP(Standings!CG$3,Entries!$L98:$L98,1,FALSE))),"S",""))</f>
        <v/>
      </c>
      <c r="CH106" t="str">
        <f>IF(NOT(ISERROR(HLOOKUP(Standings!CH$3,Entries!$C98:$K98,1,FALSE))),"x",IF(NOT(ISERROR(HLOOKUP(Standings!CH$3,Entries!$L98:$L98,1,FALSE))),"S",""))</f>
        <v/>
      </c>
      <c r="CI106" t="str">
        <f>IF(NOT(ISERROR(HLOOKUP(Standings!CI$3,Entries!$C98:$K98,1,FALSE))),"x",IF(NOT(ISERROR(HLOOKUP(Standings!CI$3,Entries!$L98:$L98,1,FALSE))),"S",""))</f>
        <v>x</v>
      </c>
      <c r="CJ106" t="str">
        <f>IF(NOT(ISERROR(HLOOKUP(Standings!CJ$3,Entries!$C98:$K98,1,FALSE))),"x",IF(NOT(ISERROR(HLOOKUP(Standings!CJ$3,Entries!$L98:$L98,1,FALSE))),"S",""))</f>
        <v/>
      </c>
      <c r="CK106" t="str">
        <f>IF(NOT(ISERROR(HLOOKUP(Standings!CK$3,Entries!$C98:$K98,1,FALSE))),"x",IF(NOT(ISERROR(HLOOKUP(Standings!CK$3,Entries!$L98:$L98,1,FALSE))),"S",""))</f>
        <v/>
      </c>
      <c r="CL106" t="str">
        <f>IF(NOT(ISERROR(HLOOKUP(Standings!CL$3,Entries!$C98:$K98,1,FALSE))),"x",IF(NOT(ISERROR(HLOOKUP(Standings!CL$3,Entries!$L98:$L98,1,FALSE))),"S",""))</f>
        <v/>
      </c>
      <c r="CM106" t="str">
        <f>IF(NOT(ISERROR(HLOOKUP(Standings!CM$3,Entries!$C98:$K98,1,FALSE))),"x",IF(NOT(ISERROR(HLOOKUP(Standings!CM$3,Entries!$L98:$L98,1,FALSE))),"S",""))</f>
        <v/>
      </c>
      <c r="CN106" t="str">
        <f>IF(NOT(ISERROR(HLOOKUP(Standings!CN$3,Entries!$C98:$K98,1,FALSE))),"x",IF(NOT(ISERROR(HLOOKUP(Standings!CN$3,Entries!$L98:$L98,1,FALSE))),"S",""))</f>
        <v/>
      </c>
      <c r="CO106" t="str">
        <f>IF(NOT(ISERROR(HLOOKUP(Standings!CO$3,Entries!$C98:$K98,1,FALSE))),"x",IF(NOT(ISERROR(HLOOKUP(Standings!CO$3,Entries!$L98:$L98,1,FALSE))),"S",""))</f>
        <v/>
      </c>
      <c r="CP106" t="str">
        <f>IF(NOT(ISERROR(HLOOKUP(Standings!CP$3,Entries!$C98:$K98,1,FALSE))),"x",IF(NOT(ISERROR(HLOOKUP(Standings!CP$3,Entries!$L98:$L98,1,FALSE))),"S",""))</f>
        <v/>
      </c>
      <c r="CQ106" t="str">
        <f>IF(NOT(ISERROR(HLOOKUP(Standings!CQ$3,Entries!$C98:$K98,1,FALSE))),"x",IF(NOT(ISERROR(HLOOKUP(Standings!CQ$3,Entries!$L98:$L98,1,FALSE))),"S",""))</f>
        <v/>
      </c>
      <c r="CR106" t="str">
        <f>IF(NOT(ISERROR(HLOOKUP(Standings!CR$3,Entries!$C98:$K98,1,FALSE))),"x",IF(NOT(ISERROR(HLOOKUP(Standings!CR$3,Entries!$L98:$L98,1,FALSE))),"S",""))</f>
        <v/>
      </c>
      <c r="CS106" t="str">
        <f>IF(NOT(ISERROR(HLOOKUP(Standings!CS$3,Entries!$C98:$K98,1,FALSE))),"x",IF(NOT(ISERROR(HLOOKUP(Standings!CS$3,Entries!$L98:$L98,1,FALSE))),"S",""))</f>
        <v/>
      </c>
      <c r="CT106" t="str">
        <f>IF(NOT(ISERROR(HLOOKUP(Standings!CT$3,Entries!$C98:$K98,1,FALSE))),"x",IF(NOT(ISERROR(HLOOKUP(Standings!CT$3,Entries!$L98:$L98,1,FALSE))),"S",""))</f>
        <v/>
      </c>
      <c r="CU106" t="str">
        <f>IF(NOT(ISERROR(HLOOKUP(Standings!CU$3,Entries!$C98:$K98,1,FALSE))),"x",IF(NOT(ISERROR(HLOOKUP(Standings!CU$3,Entries!$L98:$L98,1,FALSE))),"S",""))</f>
        <v>S</v>
      </c>
      <c r="CV106" t="str">
        <f>IF(NOT(ISERROR(HLOOKUP(Standings!CV$3,Entries!$C98:$K98,1,FALSE))),"x",IF(NOT(ISERROR(HLOOKUP(Standings!CV$3,Entries!$L98:$L98,1,FALSE))),"S",""))</f>
        <v/>
      </c>
      <c r="CW106" t="str">
        <f>IF(NOT(ISERROR(HLOOKUP(Standings!CW$3,Entries!$C98:$K98,1,FALSE))),"x",IF(NOT(ISERROR(HLOOKUP(Standings!CW$3,Entries!$L98:$L98,1,FALSE))),"S",""))</f>
        <v/>
      </c>
      <c r="CX106" t="str">
        <f>IF(NOT(ISERROR(HLOOKUP(Standings!CX$3,Entries!$C98:$K98,1,FALSE))),"x",IF(NOT(ISERROR(HLOOKUP(Standings!CX$3,Entries!$L98:$L98,1,FALSE))),"S",""))</f>
        <v/>
      </c>
      <c r="CY106" t="str">
        <f>IF(NOT(ISERROR(HLOOKUP(Standings!CY$3,Entries!$C98:$K98,1,FALSE))),"x",IF(NOT(ISERROR(HLOOKUP(Standings!CY$3,Entries!$L98:$L98,1,FALSE))),"S",""))</f>
        <v>x</v>
      </c>
      <c r="CZ106" t="str">
        <f>IF(NOT(ISERROR(HLOOKUP(Standings!CZ$3,Entries!$C98:$K98,1,FALSE))),"x",IF(NOT(ISERROR(HLOOKUP(Standings!CZ$3,Entries!$L98:$L98,1,FALSE))),"S",""))</f>
        <v/>
      </c>
      <c r="DA106" t="str">
        <f>IF(NOT(ISERROR(HLOOKUP(Standings!DA$3,Entries!$C98:$K98,1,FALSE))),"x",IF(NOT(ISERROR(HLOOKUP(Standings!DA$3,Entries!$L98:$L98,1,FALSE))),"S",""))</f>
        <v/>
      </c>
      <c r="DB106" t="str">
        <f>IF(NOT(ISERROR(HLOOKUP(Standings!DB$3,Entries!$C98:$K98,1,FALSE))),"x",IF(NOT(ISERROR(HLOOKUP(Standings!DB$3,Entries!$L98:$L98,1,FALSE))),"S",""))</f>
        <v/>
      </c>
    </row>
    <row r="107" spans="1:106" x14ac:dyDescent="0.25">
      <c r="A107" s="18"/>
      <c r="B107">
        <v>26</v>
      </c>
      <c r="C107" t="str">
        <f>Entries!B99</f>
        <v>Tim F2</v>
      </c>
      <c r="D107" s="4">
        <f t="shared" si="252"/>
        <v>18</v>
      </c>
      <c r="E107" s="31">
        <f t="shared" si="253"/>
        <v>2</v>
      </c>
      <c r="F107" s="40" t="str">
        <f t="shared" si="254"/>
        <v/>
      </c>
      <c r="G107" s="41" t="str">
        <f t="shared" si="255"/>
        <v/>
      </c>
      <c r="H107" s="41" t="str">
        <f t="shared" si="256"/>
        <v/>
      </c>
      <c r="I107" s="42" t="str">
        <f t="shared" si="257"/>
        <v/>
      </c>
      <c r="J107" s="40" t="str">
        <f t="shared" si="258"/>
        <v/>
      </c>
      <c r="K107" s="41" t="str">
        <f t="shared" si="259"/>
        <v/>
      </c>
      <c r="L107" s="41" t="str">
        <f t="shared" si="260"/>
        <v/>
      </c>
      <c r="M107" s="42" t="str">
        <f t="shared" si="261"/>
        <v/>
      </c>
      <c r="N107" s="43" t="str">
        <f t="shared" si="262"/>
        <v/>
      </c>
      <c r="O107" s="41" t="str">
        <f t="shared" si="263"/>
        <v/>
      </c>
      <c r="P107" s="41" t="str">
        <f t="shared" si="264"/>
        <v/>
      </c>
      <c r="Q107" s="42" t="str">
        <f t="shared" si="265"/>
        <v/>
      </c>
      <c r="R107" s="40">
        <f t="shared" si="266"/>
        <v>2</v>
      </c>
      <c r="S107" s="41" t="str">
        <f t="shared" si="267"/>
        <v/>
      </c>
      <c r="T107" s="43" t="str">
        <f t="shared" si="268"/>
        <v/>
      </c>
      <c r="U107" s="42" t="str">
        <f t="shared" si="269"/>
        <v/>
      </c>
      <c r="V107" s="40" t="str">
        <f t="shared" si="270"/>
        <v/>
      </c>
      <c r="W107" s="41" t="str">
        <f t="shared" si="271"/>
        <v/>
      </c>
      <c r="X107" s="41" t="str">
        <f t="shared" si="272"/>
        <v/>
      </c>
      <c r="Y107" s="42" t="str">
        <f t="shared" si="273"/>
        <v/>
      </c>
      <c r="Z107" s="40" t="str">
        <f t="shared" si="274"/>
        <v/>
      </c>
      <c r="AA107" s="41" t="str">
        <f t="shared" si="275"/>
        <v/>
      </c>
      <c r="AB107" s="41" t="str">
        <f t="shared" si="276"/>
        <v/>
      </c>
      <c r="AC107" s="42" t="str">
        <f t="shared" si="277"/>
        <v/>
      </c>
      <c r="AD107" s="40" t="str">
        <f t="shared" si="278"/>
        <v/>
      </c>
      <c r="AE107" s="41" t="str">
        <f t="shared" si="279"/>
        <v/>
      </c>
      <c r="AF107" s="41" t="str">
        <f t="shared" si="280"/>
        <v/>
      </c>
      <c r="AG107" s="42" t="str">
        <f t="shared" si="281"/>
        <v/>
      </c>
      <c r="AH107" s="40" t="str">
        <f t="shared" si="282"/>
        <v/>
      </c>
      <c r="AI107" s="41" t="str">
        <f t="shared" si="283"/>
        <v/>
      </c>
      <c r="AJ107" s="41" t="str">
        <f t="shared" si="284"/>
        <v/>
      </c>
      <c r="AK107" s="42" t="str">
        <f t="shared" si="285"/>
        <v/>
      </c>
      <c r="AL107" s="40">
        <f t="shared" si="286"/>
        <v>0</v>
      </c>
      <c r="AM107" s="41" t="str">
        <f t="shared" si="287"/>
        <v/>
      </c>
      <c r="AN107" s="41" t="str">
        <f t="shared" si="288"/>
        <v/>
      </c>
      <c r="AO107" s="42" t="str">
        <f t="shared" si="289"/>
        <v/>
      </c>
      <c r="AP107" s="40">
        <f t="shared" si="290"/>
        <v>0</v>
      </c>
      <c r="AQ107" s="41" t="str">
        <f t="shared" si="291"/>
        <v/>
      </c>
      <c r="AR107" s="41" t="str">
        <f t="shared" si="292"/>
        <v/>
      </c>
      <c r="AS107" s="42" t="str">
        <f t="shared" si="293"/>
        <v/>
      </c>
      <c r="AT107" s="40">
        <f t="shared" si="294"/>
        <v>-1.0000000000000001E-5</v>
      </c>
      <c r="AU107" s="41" t="str">
        <f t="shared" si="295"/>
        <v/>
      </c>
      <c r="AV107" s="41" t="str">
        <f t="shared" si="296"/>
        <v/>
      </c>
      <c r="AW107" s="42" t="str">
        <f t="shared" si="297"/>
        <v/>
      </c>
      <c r="AX107" s="40" t="str">
        <f t="shared" si="298"/>
        <v/>
      </c>
      <c r="AY107" s="41" t="str">
        <f t="shared" si="299"/>
        <v/>
      </c>
      <c r="AZ107" s="41" t="str">
        <f t="shared" si="300"/>
        <v/>
      </c>
      <c r="BA107" s="42">
        <f t="shared" si="301"/>
        <v>0</v>
      </c>
      <c r="BB107" s="37" t="s">
        <v>106</v>
      </c>
      <c r="BC107" s="21"/>
      <c r="BD107" s="21"/>
      <c r="BG107" t="str">
        <f>IF(NOT(ISERROR(HLOOKUP(Standings!BG$3,Entries!$C99:$K99,1,FALSE))),"x",IF(NOT(ISERROR(HLOOKUP(Standings!BG$3,Entries!$L99:$L99,1,FALSE))),"S",""))</f>
        <v/>
      </c>
      <c r="BH107" t="str">
        <f>IF(NOT(ISERROR(HLOOKUP(Standings!BH$3,Entries!$C99:$K99,1,FALSE))),"x",IF(NOT(ISERROR(HLOOKUP(Standings!BH$3,Entries!$L99:$L99,1,FALSE))),"S",""))</f>
        <v/>
      </c>
      <c r="BI107" t="str">
        <f>IF(NOT(ISERROR(HLOOKUP(Standings!BI$3,Entries!$C99:$K99,1,FALSE))),"x",IF(NOT(ISERROR(HLOOKUP(Standings!BI$3,Entries!$L99:$L99,1,FALSE))),"S",""))</f>
        <v/>
      </c>
      <c r="BJ107" t="str">
        <f>IF(NOT(ISERROR(HLOOKUP(Standings!BJ$3,Entries!$C99:$K99,1,FALSE))),"x",IF(NOT(ISERROR(HLOOKUP(Standings!BJ$3,Entries!$L99:$L99,1,FALSE))),"S",""))</f>
        <v/>
      </c>
      <c r="BK107" t="str">
        <f>IF(NOT(ISERROR(HLOOKUP(Standings!BK$3,Entries!$C99:$K99,1,FALSE))),"x",IF(NOT(ISERROR(HLOOKUP(Standings!BK$3,Entries!$L99:$L99,1,FALSE))),"S",""))</f>
        <v/>
      </c>
      <c r="BL107" t="str">
        <f>IF(NOT(ISERROR(HLOOKUP(Standings!BL$3,Entries!$C99:$K99,1,FALSE))),"x",IF(NOT(ISERROR(HLOOKUP(Standings!BL$3,Entries!$L99:$L99,1,FALSE))),"S",""))</f>
        <v/>
      </c>
      <c r="BM107" t="str">
        <f>IF(NOT(ISERROR(HLOOKUP(Standings!BM$3,Entries!$C99:$K99,1,FALSE))),"x",IF(NOT(ISERROR(HLOOKUP(Standings!BM$3,Entries!$L99:$L99,1,FALSE))),"S",""))</f>
        <v/>
      </c>
      <c r="BN107" t="str">
        <f>IF(NOT(ISERROR(HLOOKUP(Standings!BN$3,Entries!$C99:$K99,1,FALSE))),"x",IF(NOT(ISERROR(HLOOKUP(Standings!BN$3,Entries!$L99:$L99,1,FALSE))),"S",""))</f>
        <v/>
      </c>
      <c r="BO107" t="str">
        <f>IF(NOT(ISERROR(HLOOKUP(Standings!BO$3,Entries!$C99:$K99,1,FALSE))),"x",IF(NOT(ISERROR(HLOOKUP(Standings!BO$3,Entries!$L99:$L99,1,FALSE))),"S",""))</f>
        <v/>
      </c>
      <c r="BP107" t="str">
        <f>IF(NOT(ISERROR(HLOOKUP(Standings!BP$3,Entries!$C99:$K99,1,FALSE))),"x",IF(NOT(ISERROR(HLOOKUP(Standings!BP$3,Entries!$L99:$L99,1,FALSE))),"S",""))</f>
        <v/>
      </c>
      <c r="BQ107" t="str">
        <f>IF(NOT(ISERROR(HLOOKUP(Standings!BQ$3,Entries!$C99:$K99,1,FALSE))),"x",IF(NOT(ISERROR(HLOOKUP(Standings!BQ$3,Entries!$L99:$L99,1,FALSE))),"S",""))</f>
        <v/>
      </c>
      <c r="BR107" t="str">
        <f>IF(NOT(ISERROR(HLOOKUP(Standings!BR$3,Entries!$C99:$K99,1,FALSE))),"x",IF(NOT(ISERROR(HLOOKUP(Standings!BR$3,Entries!$L99:$L99,1,FALSE))),"S",""))</f>
        <v/>
      </c>
      <c r="BS107" t="str">
        <f>IF(NOT(ISERROR(HLOOKUP(Standings!BS$3,Entries!$C99:$K99,1,FALSE))),"x",IF(NOT(ISERROR(HLOOKUP(Standings!BS$3,Entries!$L99:$L99,1,FALSE))),"S",""))</f>
        <v>x</v>
      </c>
      <c r="BT107" t="str">
        <f>IF(NOT(ISERROR(HLOOKUP(Standings!BT$3,Entries!$C99:$K99,1,FALSE))),"x",IF(NOT(ISERROR(HLOOKUP(Standings!BT$3,Entries!$L99:$L99,1,FALSE))),"S",""))</f>
        <v/>
      </c>
      <c r="BU107" t="str">
        <f>IF(NOT(ISERROR(HLOOKUP(Standings!BU$3,Entries!$C99:$K99,1,FALSE))),"x",IF(NOT(ISERROR(HLOOKUP(Standings!BU$3,Entries!$L99:$L99,1,FALSE))),"S",""))</f>
        <v/>
      </c>
      <c r="BV107" t="str">
        <f>IF(NOT(ISERROR(HLOOKUP(Standings!BV$3,Entries!$C99:$K99,1,FALSE))),"x",IF(NOT(ISERROR(HLOOKUP(Standings!BV$3,Entries!$L99:$L99,1,FALSE))),"S",""))</f>
        <v/>
      </c>
      <c r="BW107" t="str">
        <f>IF(NOT(ISERROR(HLOOKUP(Standings!BW$3,Entries!$C99:$K99,1,FALSE))),"x",IF(NOT(ISERROR(HLOOKUP(Standings!BW$3,Entries!$L99:$L99,1,FALSE))),"S",""))</f>
        <v/>
      </c>
      <c r="BX107" t="str">
        <f>IF(NOT(ISERROR(HLOOKUP(Standings!BX$3,Entries!$C99:$K99,1,FALSE))),"x",IF(NOT(ISERROR(HLOOKUP(Standings!BX$3,Entries!$L99:$L99,1,FALSE))),"S",""))</f>
        <v/>
      </c>
      <c r="BY107" t="str">
        <f>IF(NOT(ISERROR(HLOOKUP(Standings!BY$3,Entries!$C99:$K99,1,FALSE))),"x",IF(NOT(ISERROR(HLOOKUP(Standings!BY$3,Entries!$L99:$L99,1,FALSE))),"S",""))</f>
        <v/>
      </c>
      <c r="BZ107" t="str">
        <f>IF(NOT(ISERROR(HLOOKUP(Standings!BZ$3,Entries!$C99:$K99,1,FALSE))),"x",IF(NOT(ISERROR(HLOOKUP(Standings!BZ$3,Entries!$L99:$L99,1,FALSE))),"S",""))</f>
        <v/>
      </c>
      <c r="CA107" t="str">
        <f>IF(NOT(ISERROR(HLOOKUP(Standings!CA$3,Entries!$C99:$K99,1,FALSE))),"x",IF(NOT(ISERROR(HLOOKUP(Standings!CA$3,Entries!$L99:$L99,1,FALSE))),"S",""))</f>
        <v/>
      </c>
      <c r="CB107" t="str">
        <f>IF(NOT(ISERROR(HLOOKUP(Standings!CB$3,Entries!$C99:$K99,1,FALSE))),"x",IF(NOT(ISERROR(HLOOKUP(Standings!CB$3,Entries!$L99:$L99,1,FALSE))),"S",""))</f>
        <v/>
      </c>
      <c r="CC107" t="str">
        <f>IF(NOT(ISERROR(HLOOKUP(Standings!CC$3,Entries!$C99:$K99,1,FALSE))),"x",IF(NOT(ISERROR(HLOOKUP(Standings!CC$3,Entries!$L99:$L99,1,FALSE))),"S",""))</f>
        <v/>
      </c>
      <c r="CD107" t="str">
        <f>IF(NOT(ISERROR(HLOOKUP(Standings!CD$3,Entries!$C99:$K99,1,FALSE))),"x",IF(NOT(ISERROR(HLOOKUP(Standings!CD$3,Entries!$L99:$L99,1,FALSE))),"S",""))</f>
        <v/>
      </c>
      <c r="CE107" t="str">
        <f>IF(NOT(ISERROR(HLOOKUP(Standings!CE$3,Entries!$C99:$K99,1,FALSE))),"x",IF(NOT(ISERROR(HLOOKUP(Standings!CE$3,Entries!$L99:$L99,1,FALSE))),"S",""))</f>
        <v/>
      </c>
      <c r="CF107" t="str">
        <f>IF(NOT(ISERROR(HLOOKUP(Standings!CF$3,Entries!$C99:$K99,1,FALSE))),"x",IF(NOT(ISERROR(HLOOKUP(Standings!CF$3,Entries!$L99:$L99,1,FALSE))),"S",""))</f>
        <v/>
      </c>
      <c r="CG107" t="str">
        <f>IF(NOT(ISERROR(HLOOKUP(Standings!CG$3,Entries!$C99:$K99,1,FALSE))),"x",IF(NOT(ISERROR(HLOOKUP(Standings!CG$3,Entries!$L99:$L99,1,FALSE))),"S",""))</f>
        <v/>
      </c>
      <c r="CH107" t="str">
        <f>IF(NOT(ISERROR(HLOOKUP(Standings!CH$3,Entries!$C99:$K99,1,FALSE))),"x",IF(NOT(ISERROR(HLOOKUP(Standings!CH$3,Entries!$L99:$L99,1,FALSE))),"S",""))</f>
        <v/>
      </c>
      <c r="CI107" t="str">
        <f>IF(NOT(ISERROR(HLOOKUP(Standings!CI$3,Entries!$C99:$K99,1,FALSE))),"x",IF(NOT(ISERROR(HLOOKUP(Standings!CI$3,Entries!$L99:$L99,1,FALSE))),"S",""))</f>
        <v/>
      </c>
      <c r="CJ107" t="str">
        <f>IF(NOT(ISERROR(HLOOKUP(Standings!CJ$3,Entries!$C99:$K99,1,FALSE))),"x",IF(NOT(ISERROR(HLOOKUP(Standings!CJ$3,Entries!$L99:$L99,1,FALSE))),"S",""))</f>
        <v/>
      </c>
      <c r="CK107" t="str">
        <f>IF(NOT(ISERROR(HLOOKUP(Standings!CK$3,Entries!$C99:$K99,1,FALSE))),"x",IF(NOT(ISERROR(HLOOKUP(Standings!CK$3,Entries!$L99:$L99,1,FALSE))),"S",""))</f>
        <v/>
      </c>
      <c r="CL107" t="str">
        <f>IF(NOT(ISERROR(HLOOKUP(Standings!CL$3,Entries!$C99:$K99,1,FALSE))),"x",IF(NOT(ISERROR(HLOOKUP(Standings!CL$3,Entries!$L99:$L99,1,FALSE))),"S",""))</f>
        <v/>
      </c>
      <c r="CM107" t="str">
        <f>IF(NOT(ISERROR(HLOOKUP(Standings!CM$3,Entries!$C99:$K99,1,FALSE))),"x",IF(NOT(ISERROR(HLOOKUP(Standings!CM$3,Entries!$L99:$L99,1,FALSE))),"S",""))</f>
        <v>x</v>
      </c>
      <c r="CN107" t="str">
        <f>IF(NOT(ISERROR(HLOOKUP(Standings!CN$3,Entries!$C99:$K99,1,FALSE))),"x",IF(NOT(ISERROR(HLOOKUP(Standings!CN$3,Entries!$L99:$L99,1,FALSE))),"S",""))</f>
        <v/>
      </c>
      <c r="CO107" t="str">
        <f>IF(NOT(ISERROR(HLOOKUP(Standings!CO$3,Entries!$C99:$K99,1,FALSE))),"x",IF(NOT(ISERROR(HLOOKUP(Standings!CO$3,Entries!$L99:$L99,1,FALSE))),"S",""))</f>
        <v/>
      </c>
      <c r="CP107" t="str">
        <f>IF(NOT(ISERROR(HLOOKUP(Standings!CP$3,Entries!$C99:$K99,1,FALSE))),"x",IF(NOT(ISERROR(HLOOKUP(Standings!CP$3,Entries!$L99:$L99,1,FALSE))),"S",""))</f>
        <v/>
      </c>
      <c r="CQ107" t="str">
        <f>IF(NOT(ISERROR(HLOOKUP(Standings!CQ$3,Entries!$C99:$K99,1,FALSE))),"x",IF(NOT(ISERROR(HLOOKUP(Standings!CQ$3,Entries!$L99:$L99,1,FALSE))),"S",""))</f>
        <v>x</v>
      </c>
      <c r="CR107" t="str">
        <f>IF(NOT(ISERROR(HLOOKUP(Standings!CR$3,Entries!$C99:$K99,1,FALSE))),"x",IF(NOT(ISERROR(HLOOKUP(Standings!CR$3,Entries!$L99:$L99,1,FALSE))),"S",""))</f>
        <v/>
      </c>
      <c r="CS107" t="str">
        <f>IF(NOT(ISERROR(HLOOKUP(Standings!CS$3,Entries!$C99:$K99,1,FALSE))),"x",IF(NOT(ISERROR(HLOOKUP(Standings!CS$3,Entries!$L99:$L99,1,FALSE))),"S",""))</f>
        <v/>
      </c>
      <c r="CT107" t="str">
        <f>IF(NOT(ISERROR(HLOOKUP(Standings!CT$3,Entries!$C99:$K99,1,FALSE))),"x",IF(NOT(ISERROR(HLOOKUP(Standings!CT$3,Entries!$L99:$L99,1,FALSE))),"S",""))</f>
        <v/>
      </c>
      <c r="CU107" t="str">
        <f>IF(NOT(ISERROR(HLOOKUP(Standings!CU$3,Entries!$C99:$K99,1,FALSE))),"x",IF(NOT(ISERROR(HLOOKUP(Standings!CU$3,Entries!$L99:$L99,1,FALSE))),"S",""))</f>
        <v>S</v>
      </c>
      <c r="CV107" t="str">
        <f>IF(NOT(ISERROR(HLOOKUP(Standings!CV$3,Entries!$C99:$K99,1,FALSE))),"x",IF(NOT(ISERROR(HLOOKUP(Standings!CV$3,Entries!$L99:$L99,1,FALSE))),"S",""))</f>
        <v/>
      </c>
      <c r="CW107" t="str">
        <f>IF(NOT(ISERROR(HLOOKUP(Standings!CW$3,Entries!$C99:$K99,1,FALSE))),"x",IF(NOT(ISERROR(HLOOKUP(Standings!CW$3,Entries!$L99:$L99,1,FALSE))),"S",""))</f>
        <v/>
      </c>
      <c r="CX107" t="str">
        <f>IF(NOT(ISERROR(HLOOKUP(Standings!CX$3,Entries!$C99:$K99,1,FALSE))),"x",IF(NOT(ISERROR(HLOOKUP(Standings!CX$3,Entries!$L99:$L99,1,FALSE))),"S",""))</f>
        <v/>
      </c>
      <c r="CY107" t="str">
        <f>IF(NOT(ISERROR(HLOOKUP(Standings!CY$3,Entries!$C99:$K99,1,FALSE))),"x",IF(NOT(ISERROR(HLOOKUP(Standings!CY$3,Entries!$L99:$L99,1,FALSE))),"S",""))</f>
        <v/>
      </c>
      <c r="CZ107" t="str">
        <f>IF(NOT(ISERROR(HLOOKUP(Standings!CZ$3,Entries!$C99:$K99,1,FALSE))),"x",IF(NOT(ISERROR(HLOOKUP(Standings!CZ$3,Entries!$L99:$L99,1,FALSE))),"S",""))</f>
        <v/>
      </c>
      <c r="DA107" t="str">
        <f>IF(NOT(ISERROR(HLOOKUP(Standings!DA$3,Entries!$C99:$K99,1,FALSE))),"x",IF(NOT(ISERROR(HLOOKUP(Standings!DA$3,Entries!$L99:$L99,1,FALSE))),"S",""))</f>
        <v/>
      </c>
      <c r="DB107" t="str">
        <f>IF(NOT(ISERROR(HLOOKUP(Standings!DB$3,Entries!$C99:$K99,1,FALSE))),"x",IF(NOT(ISERROR(HLOOKUP(Standings!DB$3,Entries!$L99:$L99,1,FALSE))),"S",""))</f>
        <v>x</v>
      </c>
    </row>
    <row r="108" spans="1:106" x14ac:dyDescent="0.25">
      <c r="A108" s="18"/>
      <c r="B108">
        <v>26</v>
      </c>
      <c r="C108" t="str">
        <f>Entries!B100</f>
        <v>Andy F1</v>
      </c>
      <c r="D108" s="4">
        <f t="shared" si="252"/>
        <v>55</v>
      </c>
      <c r="E108" s="31">
        <f t="shared" si="253"/>
        <v>0</v>
      </c>
      <c r="F108" s="40" t="str">
        <f t="shared" si="254"/>
        <v/>
      </c>
      <c r="G108" s="41" t="str">
        <f t="shared" si="255"/>
        <v/>
      </c>
      <c r="H108" s="41" t="str">
        <f t="shared" si="256"/>
        <v/>
      </c>
      <c r="I108" s="42" t="str">
        <f t="shared" si="257"/>
        <v/>
      </c>
      <c r="J108" s="40" t="str">
        <f t="shared" si="258"/>
        <v/>
      </c>
      <c r="K108" s="41" t="str">
        <f t="shared" si="259"/>
        <v/>
      </c>
      <c r="L108" s="41" t="str">
        <f t="shared" si="260"/>
        <v/>
      </c>
      <c r="M108" s="42" t="str">
        <f t="shared" si="261"/>
        <v/>
      </c>
      <c r="N108" s="43" t="str">
        <f t="shared" si="262"/>
        <v/>
      </c>
      <c r="O108" s="41">
        <f t="shared" si="263"/>
        <v>0</v>
      </c>
      <c r="P108" s="41" t="str">
        <f t="shared" si="264"/>
        <v/>
      </c>
      <c r="Q108" s="42" t="str">
        <f t="shared" si="265"/>
        <v/>
      </c>
      <c r="R108" s="40" t="str">
        <f t="shared" si="266"/>
        <v/>
      </c>
      <c r="S108" s="41" t="str">
        <f t="shared" si="267"/>
        <v/>
      </c>
      <c r="T108" s="43" t="str">
        <f t="shared" si="268"/>
        <v/>
      </c>
      <c r="U108" s="42" t="str">
        <f t="shared" si="269"/>
        <v/>
      </c>
      <c r="V108" s="40" t="str">
        <f t="shared" si="270"/>
        <v/>
      </c>
      <c r="W108" s="41" t="str">
        <f t="shared" si="271"/>
        <v/>
      </c>
      <c r="X108" s="41" t="str">
        <f t="shared" si="272"/>
        <v/>
      </c>
      <c r="Y108" s="42" t="str">
        <f t="shared" si="273"/>
        <v/>
      </c>
      <c r="Z108" s="40" t="str">
        <f t="shared" si="274"/>
        <v/>
      </c>
      <c r="AA108" s="41" t="str">
        <f t="shared" si="275"/>
        <v/>
      </c>
      <c r="AB108" s="41" t="str">
        <f t="shared" si="276"/>
        <v/>
      </c>
      <c r="AC108" s="42" t="str">
        <f t="shared" si="277"/>
        <v/>
      </c>
      <c r="AD108" s="40" t="str">
        <f t="shared" si="278"/>
        <v/>
      </c>
      <c r="AE108" s="41" t="str">
        <f t="shared" si="279"/>
        <v/>
      </c>
      <c r="AF108" s="41" t="str">
        <f t="shared" si="280"/>
        <v/>
      </c>
      <c r="AG108" s="42" t="str">
        <f t="shared" si="281"/>
        <v/>
      </c>
      <c r="AH108" s="40" t="str">
        <f t="shared" si="282"/>
        <v/>
      </c>
      <c r="AI108" s="41" t="str">
        <f t="shared" si="283"/>
        <v/>
      </c>
      <c r="AJ108" s="41" t="str">
        <f t="shared" si="284"/>
        <v/>
      </c>
      <c r="AK108" s="42" t="str">
        <f t="shared" si="285"/>
        <v/>
      </c>
      <c r="AL108" s="40">
        <f t="shared" si="286"/>
        <v>0</v>
      </c>
      <c r="AM108" s="41" t="str">
        <f t="shared" si="287"/>
        <v/>
      </c>
      <c r="AN108" s="41" t="str">
        <f t="shared" si="288"/>
        <v/>
      </c>
      <c r="AO108" s="42" t="str">
        <f t="shared" si="289"/>
        <v/>
      </c>
      <c r="AP108" s="40" t="str">
        <f t="shared" si="290"/>
        <v/>
      </c>
      <c r="AQ108" s="41" t="str">
        <f t="shared" si="291"/>
        <v/>
      </c>
      <c r="AR108" s="41" t="str">
        <f t="shared" si="292"/>
        <v/>
      </c>
      <c r="AS108" s="42" t="str">
        <f t="shared" si="293"/>
        <v/>
      </c>
      <c r="AT108" s="40">
        <f t="shared" si="294"/>
        <v>-1.0000000000000001E-5</v>
      </c>
      <c r="AU108" s="41" t="str">
        <f t="shared" si="295"/>
        <v/>
      </c>
      <c r="AV108" s="41" t="str">
        <f t="shared" si="296"/>
        <v/>
      </c>
      <c r="AW108" s="42" t="str">
        <f t="shared" si="297"/>
        <v/>
      </c>
      <c r="AX108" s="40">
        <f t="shared" si="298"/>
        <v>0</v>
      </c>
      <c r="AY108" s="41" t="str">
        <f t="shared" si="299"/>
        <v/>
      </c>
      <c r="AZ108" s="41" t="str">
        <f t="shared" si="300"/>
        <v/>
      </c>
      <c r="BA108" s="42" t="str">
        <f t="shared" si="301"/>
        <v/>
      </c>
      <c r="BB108" s="37" t="s">
        <v>106</v>
      </c>
      <c r="BC108" s="21"/>
      <c r="BD108" s="21"/>
      <c r="BG108" t="str">
        <f>IF(NOT(ISERROR(HLOOKUP(Standings!BG$3,Entries!$C100:$K100,1,FALSE))),"x",IF(NOT(ISERROR(HLOOKUP(Standings!BG$3,Entries!$L100:$L100,1,FALSE))),"S",""))</f>
        <v/>
      </c>
      <c r="BH108" t="str">
        <f>IF(NOT(ISERROR(HLOOKUP(Standings!BH$3,Entries!$C100:$K100,1,FALSE))),"x",IF(NOT(ISERROR(HLOOKUP(Standings!BH$3,Entries!$L100:$L100,1,FALSE))),"S",""))</f>
        <v/>
      </c>
      <c r="BI108" t="str">
        <f>IF(NOT(ISERROR(HLOOKUP(Standings!BI$3,Entries!$C100:$K100,1,FALSE))),"x",IF(NOT(ISERROR(HLOOKUP(Standings!BI$3,Entries!$L100:$L100,1,FALSE))),"S",""))</f>
        <v/>
      </c>
      <c r="BJ108" t="str">
        <f>IF(NOT(ISERROR(HLOOKUP(Standings!BJ$3,Entries!$C100:$K100,1,FALSE))),"x",IF(NOT(ISERROR(HLOOKUP(Standings!BJ$3,Entries!$L100:$L100,1,FALSE))),"S",""))</f>
        <v/>
      </c>
      <c r="BK108" t="str">
        <f>IF(NOT(ISERROR(HLOOKUP(Standings!BK$3,Entries!$C100:$K100,1,FALSE))),"x",IF(NOT(ISERROR(HLOOKUP(Standings!BK$3,Entries!$L100:$L100,1,FALSE))),"S",""))</f>
        <v/>
      </c>
      <c r="BL108" t="str">
        <f>IF(NOT(ISERROR(HLOOKUP(Standings!BL$3,Entries!$C100:$K100,1,FALSE))),"x",IF(NOT(ISERROR(HLOOKUP(Standings!BL$3,Entries!$L100:$L100,1,FALSE))),"S",""))</f>
        <v/>
      </c>
      <c r="BM108" t="str">
        <f>IF(NOT(ISERROR(HLOOKUP(Standings!BM$3,Entries!$C100:$K100,1,FALSE))),"x",IF(NOT(ISERROR(HLOOKUP(Standings!BM$3,Entries!$L100:$L100,1,FALSE))),"S",""))</f>
        <v/>
      </c>
      <c r="BN108" t="str">
        <f>IF(NOT(ISERROR(HLOOKUP(Standings!BN$3,Entries!$C100:$K100,1,FALSE))),"x",IF(NOT(ISERROR(HLOOKUP(Standings!BN$3,Entries!$L100:$L100,1,FALSE))),"S",""))</f>
        <v/>
      </c>
      <c r="BO108" t="str">
        <f>IF(NOT(ISERROR(HLOOKUP(Standings!BO$3,Entries!$C100:$K100,1,FALSE))),"x",IF(NOT(ISERROR(HLOOKUP(Standings!BO$3,Entries!$L100:$L100,1,FALSE))),"S",""))</f>
        <v/>
      </c>
      <c r="BP108" t="str">
        <f>IF(NOT(ISERROR(HLOOKUP(Standings!BP$3,Entries!$C100:$K100,1,FALSE))),"x",IF(NOT(ISERROR(HLOOKUP(Standings!BP$3,Entries!$L100:$L100,1,FALSE))),"S",""))</f>
        <v>x</v>
      </c>
      <c r="BQ108" t="str">
        <f>IF(NOT(ISERROR(HLOOKUP(Standings!BQ$3,Entries!$C100:$K100,1,FALSE))),"x",IF(NOT(ISERROR(HLOOKUP(Standings!BQ$3,Entries!$L100:$L100,1,FALSE))),"S",""))</f>
        <v/>
      </c>
      <c r="BR108" t="str">
        <f>IF(NOT(ISERROR(HLOOKUP(Standings!BR$3,Entries!$C100:$K100,1,FALSE))),"x",IF(NOT(ISERROR(HLOOKUP(Standings!BR$3,Entries!$L100:$L100,1,FALSE))),"S",""))</f>
        <v/>
      </c>
      <c r="BS108" t="str">
        <f>IF(NOT(ISERROR(HLOOKUP(Standings!BS$3,Entries!$C100:$K100,1,FALSE))),"x",IF(NOT(ISERROR(HLOOKUP(Standings!BS$3,Entries!$L100:$L100,1,FALSE))),"S",""))</f>
        <v/>
      </c>
      <c r="BT108" t="str">
        <f>IF(NOT(ISERROR(HLOOKUP(Standings!BT$3,Entries!$C100:$K100,1,FALSE))),"x",IF(NOT(ISERROR(HLOOKUP(Standings!BT$3,Entries!$L100:$L100,1,FALSE))),"S",""))</f>
        <v/>
      </c>
      <c r="BU108" t="str">
        <f>IF(NOT(ISERROR(HLOOKUP(Standings!BU$3,Entries!$C100:$K100,1,FALSE))),"x",IF(NOT(ISERROR(HLOOKUP(Standings!BU$3,Entries!$L100:$L100,1,FALSE))),"S",""))</f>
        <v/>
      </c>
      <c r="BV108" t="str">
        <f>IF(NOT(ISERROR(HLOOKUP(Standings!BV$3,Entries!$C100:$K100,1,FALSE))),"x",IF(NOT(ISERROR(HLOOKUP(Standings!BV$3,Entries!$L100:$L100,1,FALSE))),"S",""))</f>
        <v/>
      </c>
      <c r="BW108" t="str">
        <f>IF(NOT(ISERROR(HLOOKUP(Standings!BW$3,Entries!$C100:$K100,1,FALSE))),"x",IF(NOT(ISERROR(HLOOKUP(Standings!BW$3,Entries!$L100:$L100,1,FALSE))),"S",""))</f>
        <v/>
      </c>
      <c r="BX108" t="str">
        <f>IF(NOT(ISERROR(HLOOKUP(Standings!BX$3,Entries!$C100:$K100,1,FALSE))),"x",IF(NOT(ISERROR(HLOOKUP(Standings!BX$3,Entries!$L100:$L100,1,FALSE))),"S",""))</f>
        <v/>
      </c>
      <c r="BY108" t="str">
        <f>IF(NOT(ISERROR(HLOOKUP(Standings!BY$3,Entries!$C100:$K100,1,FALSE))),"x",IF(NOT(ISERROR(HLOOKUP(Standings!BY$3,Entries!$L100:$L100,1,FALSE))),"S",""))</f>
        <v/>
      </c>
      <c r="BZ108" t="str">
        <f>IF(NOT(ISERROR(HLOOKUP(Standings!BZ$3,Entries!$C100:$K100,1,FALSE))),"x",IF(NOT(ISERROR(HLOOKUP(Standings!BZ$3,Entries!$L100:$L100,1,FALSE))),"S",""))</f>
        <v/>
      </c>
      <c r="CA108" t="str">
        <f>IF(NOT(ISERROR(HLOOKUP(Standings!CA$3,Entries!$C100:$K100,1,FALSE))),"x",IF(NOT(ISERROR(HLOOKUP(Standings!CA$3,Entries!$L100:$L100,1,FALSE))),"S",""))</f>
        <v/>
      </c>
      <c r="CB108" t="str">
        <f>IF(NOT(ISERROR(HLOOKUP(Standings!CB$3,Entries!$C100:$K100,1,FALSE))),"x",IF(NOT(ISERROR(HLOOKUP(Standings!CB$3,Entries!$L100:$L100,1,FALSE))),"S",""))</f>
        <v/>
      </c>
      <c r="CC108" t="str">
        <f>IF(NOT(ISERROR(HLOOKUP(Standings!CC$3,Entries!$C100:$K100,1,FALSE))),"x",IF(NOT(ISERROR(HLOOKUP(Standings!CC$3,Entries!$L100:$L100,1,FALSE))),"S",""))</f>
        <v/>
      </c>
      <c r="CD108" t="str">
        <f>IF(NOT(ISERROR(HLOOKUP(Standings!CD$3,Entries!$C100:$K100,1,FALSE))),"x",IF(NOT(ISERROR(HLOOKUP(Standings!CD$3,Entries!$L100:$L100,1,FALSE))),"S",""))</f>
        <v/>
      </c>
      <c r="CE108" t="str">
        <f>IF(NOT(ISERROR(HLOOKUP(Standings!CE$3,Entries!$C100:$K100,1,FALSE))),"x",IF(NOT(ISERROR(HLOOKUP(Standings!CE$3,Entries!$L100:$L100,1,FALSE))),"S",""))</f>
        <v/>
      </c>
      <c r="CF108" t="str">
        <f>IF(NOT(ISERROR(HLOOKUP(Standings!CF$3,Entries!$C100:$K100,1,FALSE))),"x",IF(NOT(ISERROR(HLOOKUP(Standings!CF$3,Entries!$L100:$L100,1,FALSE))),"S",""))</f>
        <v/>
      </c>
      <c r="CG108" t="str">
        <f>IF(NOT(ISERROR(HLOOKUP(Standings!CG$3,Entries!$C100:$K100,1,FALSE))),"x",IF(NOT(ISERROR(HLOOKUP(Standings!CG$3,Entries!$L100:$L100,1,FALSE))),"S",""))</f>
        <v/>
      </c>
      <c r="CH108" t="str">
        <f>IF(NOT(ISERROR(HLOOKUP(Standings!CH$3,Entries!$C100:$K100,1,FALSE))),"x",IF(NOT(ISERROR(HLOOKUP(Standings!CH$3,Entries!$L100:$L100,1,FALSE))),"S",""))</f>
        <v/>
      </c>
      <c r="CI108" t="str">
        <f>IF(NOT(ISERROR(HLOOKUP(Standings!CI$3,Entries!$C100:$K100,1,FALSE))),"x",IF(NOT(ISERROR(HLOOKUP(Standings!CI$3,Entries!$L100:$L100,1,FALSE))),"S",""))</f>
        <v/>
      </c>
      <c r="CJ108" t="str">
        <f>IF(NOT(ISERROR(HLOOKUP(Standings!CJ$3,Entries!$C100:$K100,1,FALSE))),"x",IF(NOT(ISERROR(HLOOKUP(Standings!CJ$3,Entries!$L100:$L100,1,FALSE))),"S",""))</f>
        <v/>
      </c>
      <c r="CK108" t="str">
        <f>IF(NOT(ISERROR(HLOOKUP(Standings!CK$3,Entries!$C100:$K100,1,FALSE))),"x",IF(NOT(ISERROR(HLOOKUP(Standings!CK$3,Entries!$L100:$L100,1,FALSE))),"S",""))</f>
        <v/>
      </c>
      <c r="CL108" t="str">
        <f>IF(NOT(ISERROR(HLOOKUP(Standings!CL$3,Entries!$C100:$K100,1,FALSE))),"x",IF(NOT(ISERROR(HLOOKUP(Standings!CL$3,Entries!$L100:$L100,1,FALSE))),"S",""))</f>
        <v/>
      </c>
      <c r="CM108" t="str">
        <f>IF(NOT(ISERROR(HLOOKUP(Standings!CM$3,Entries!$C100:$K100,1,FALSE))),"x",IF(NOT(ISERROR(HLOOKUP(Standings!CM$3,Entries!$L100:$L100,1,FALSE))),"S",""))</f>
        <v>x</v>
      </c>
      <c r="CN108" t="str">
        <f>IF(NOT(ISERROR(HLOOKUP(Standings!CN$3,Entries!$C100:$K100,1,FALSE))),"x",IF(NOT(ISERROR(HLOOKUP(Standings!CN$3,Entries!$L100:$L100,1,FALSE))),"S",""))</f>
        <v/>
      </c>
      <c r="CO108" t="str">
        <f>IF(NOT(ISERROR(HLOOKUP(Standings!CO$3,Entries!$C100:$K100,1,FALSE))),"x",IF(NOT(ISERROR(HLOOKUP(Standings!CO$3,Entries!$L100:$L100,1,FALSE))),"S",""))</f>
        <v/>
      </c>
      <c r="CP108" t="str">
        <f>IF(NOT(ISERROR(HLOOKUP(Standings!CP$3,Entries!$C100:$K100,1,FALSE))),"x",IF(NOT(ISERROR(HLOOKUP(Standings!CP$3,Entries!$L100:$L100,1,FALSE))),"S",""))</f>
        <v/>
      </c>
      <c r="CQ108" t="str">
        <f>IF(NOT(ISERROR(HLOOKUP(Standings!CQ$3,Entries!$C100:$K100,1,FALSE))),"x",IF(NOT(ISERROR(HLOOKUP(Standings!CQ$3,Entries!$L100:$L100,1,FALSE))),"S",""))</f>
        <v/>
      </c>
      <c r="CR108" t="str">
        <f>IF(NOT(ISERROR(HLOOKUP(Standings!CR$3,Entries!$C100:$K100,1,FALSE))),"x",IF(NOT(ISERROR(HLOOKUP(Standings!CR$3,Entries!$L100:$L100,1,FALSE))),"S",""))</f>
        <v/>
      </c>
      <c r="CS108" t="str">
        <f>IF(NOT(ISERROR(HLOOKUP(Standings!CS$3,Entries!$C100:$K100,1,FALSE))),"x",IF(NOT(ISERROR(HLOOKUP(Standings!CS$3,Entries!$L100:$L100,1,FALSE))),"S",""))</f>
        <v/>
      </c>
      <c r="CT108" t="str">
        <f>IF(NOT(ISERROR(HLOOKUP(Standings!CT$3,Entries!$C100:$K100,1,FALSE))),"x",IF(NOT(ISERROR(HLOOKUP(Standings!CT$3,Entries!$L100:$L100,1,FALSE))),"S",""))</f>
        <v/>
      </c>
      <c r="CU108" t="str">
        <f>IF(NOT(ISERROR(HLOOKUP(Standings!CU$3,Entries!$C100:$K100,1,FALSE))),"x",IF(NOT(ISERROR(HLOOKUP(Standings!CU$3,Entries!$L100:$L100,1,FALSE))),"S",""))</f>
        <v>S</v>
      </c>
      <c r="CV108" t="str">
        <f>IF(NOT(ISERROR(HLOOKUP(Standings!CV$3,Entries!$C100:$K100,1,FALSE))),"x",IF(NOT(ISERROR(HLOOKUP(Standings!CV$3,Entries!$L100:$L100,1,FALSE))),"S",""))</f>
        <v/>
      </c>
      <c r="CW108" t="str">
        <f>IF(NOT(ISERROR(HLOOKUP(Standings!CW$3,Entries!$C100:$K100,1,FALSE))),"x",IF(NOT(ISERROR(HLOOKUP(Standings!CW$3,Entries!$L100:$L100,1,FALSE))),"S",""))</f>
        <v/>
      </c>
      <c r="CX108" t="str">
        <f>IF(NOT(ISERROR(HLOOKUP(Standings!CX$3,Entries!$C100:$K100,1,FALSE))),"x",IF(NOT(ISERROR(HLOOKUP(Standings!CX$3,Entries!$L100:$L100,1,FALSE))),"S",""))</f>
        <v/>
      </c>
      <c r="CY108" t="str">
        <f>IF(NOT(ISERROR(HLOOKUP(Standings!CY$3,Entries!$C100:$K100,1,FALSE))),"x",IF(NOT(ISERROR(HLOOKUP(Standings!CY$3,Entries!$L100:$L100,1,FALSE))),"S",""))</f>
        <v>x</v>
      </c>
      <c r="CZ108" t="str">
        <f>IF(NOT(ISERROR(HLOOKUP(Standings!CZ$3,Entries!$C100:$K100,1,FALSE))),"x",IF(NOT(ISERROR(HLOOKUP(Standings!CZ$3,Entries!$L100:$L100,1,FALSE))),"S",""))</f>
        <v/>
      </c>
      <c r="DA108" t="str">
        <f>IF(NOT(ISERROR(HLOOKUP(Standings!DA$3,Entries!$C100:$K100,1,FALSE))),"x",IF(NOT(ISERROR(HLOOKUP(Standings!DA$3,Entries!$L100:$L100,1,FALSE))),"S",""))</f>
        <v/>
      </c>
      <c r="DB108" t="str">
        <f>IF(NOT(ISERROR(HLOOKUP(Standings!DB$3,Entries!$C100:$K100,1,FALSE))),"x",IF(NOT(ISERROR(HLOOKUP(Standings!DB$3,Entries!$L100:$L100,1,FALSE))),"S",""))</f>
        <v/>
      </c>
    </row>
    <row r="109" spans="1:106" x14ac:dyDescent="0.25">
      <c r="A109" s="18"/>
      <c r="B109">
        <v>26</v>
      </c>
      <c r="C109" t="str">
        <f>Entries!B101</f>
        <v>Andy F2</v>
      </c>
      <c r="D109" s="4">
        <f t="shared" si="252"/>
        <v>8</v>
      </c>
      <c r="E109" s="31">
        <f t="shared" si="253"/>
        <v>3</v>
      </c>
      <c r="F109" s="40" t="str">
        <f t="shared" si="254"/>
        <v/>
      </c>
      <c r="G109" s="41" t="str">
        <f t="shared" si="255"/>
        <v/>
      </c>
      <c r="H109" s="41" t="str">
        <f t="shared" si="256"/>
        <v/>
      </c>
      <c r="I109" s="42">
        <f t="shared" si="257"/>
        <v>0</v>
      </c>
      <c r="J109" s="40">
        <f t="shared" si="258"/>
        <v>1</v>
      </c>
      <c r="K109" s="41" t="str">
        <f t="shared" si="259"/>
        <v/>
      </c>
      <c r="L109" s="41" t="str">
        <f t="shared" si="260"/>
        <v/>
      </c>
      <c r="M109" s="42" t="str">
        <f t="shared" si="261"/>
        <v/>
      </c>
      <c r="N109" s="43" t="str">
        <f t="shared" si="262"/>
        <v/>
      </c>
      <c r="O109" s="41">
        <f t="shared" si="263"/>
        <v>0</v>
      </c>
      <c r="P109" s="41" t="str">
        <f t="shared" si="264"/>
        <v/>
      </c>
      <c r="Q109" s="42" t="str">
        <f t="shared" si="265"/>
        <v/>
      </c>
      <c r="R109" s="40">
        <f t="shared" si="266"/>
        <v>2</v>
      </c>
      <c r="S109" s="41" t="str">
        <f t="shared" si="267"/>
        <v/>
      </c>
      <c r="T109" s="43" t="str">
        <f t="shared" si="268"/>
        <v/>
      </c>
      <c r="U109" s="42" t="str">
        <f t="shared" si="269"/>
        <v/>
      </c>
      <c r="V109" s="40" t="str">
        <f t="shared" si="270"/>
        <v/>
      </c>
      <c r="W109" s="41" t="str">
        <f t="shared" si="271"/>
        <v/>
      </c>
      <c r="X109" s="41">
        <f t="shared" si="272"/>
        <v>0</v>
      </c>
      <c r="Y109" s="42" t="str">
        <f t="shared" si="273"/>
        <v/>
      </c>
      <c r="Z109" s="40" t="str">
        <f t="shared" si="274"/>
        <v/>
      </c>
      <c r="AA109" s="41">
        <f t="shared" si="275"/>
        <v>0</v>
      </c>
      <c r="AB109" s="41" t="str">
        <f t="shared" si="276"/>
        <v/>
      </c>
      <c r="AC109" s="42" t="str">
        <f t="shared" si="277"/>
        <v/>
      </c>
      <c r="AD109" s="40" t="str">
        <f t="shared" si="278"/>
        <v/>
      </c>
      <c r="AE109" s="41" t="str">
        <f t="shared" si="279"/>
        <v/>
      </c>
      <c r="AF109" s="41" t="str">
        <f t="shared" si="280"/>
        <v/>
      </c>
      <c r="AG109" s="42" t="str">
        <f t="shared" si="281"/>
        <v/>
      </c>
      <c r="AH109" s="40" t="str">
        <f t="shared" si="282"/>
        <v/>
      </c>
      <c r="AI109" s="41" t="str">
        <f t="shared" si="283"/>
        <v/>
      </c>
      <c r="AJ109" s="41" t="str">
        <f t="shared" si="284"/>
        <v/>
      </c>
      <c r="AK109" s="42" t="str">
        <f t="shared" si="285"/>
        <v/>
      </c>
      <c r="AL109" s="40" t="str">
        <f t="shared" si="286"/>
        <v/>
      </c>
      <c r="AM109" s="41">
        <f t="shared" si="287"/>
        <v>0</v>
      </c>
      <c r="AN109" s="41" t="str">
        <f t="shared" si="288"/>
        <v/>
      </c>
      <c r="AO109" s="42" t="str">
        <f t="shared" si="289"/>
        <v/>
      </c>
      <c r="AP109" s="40" t="str">
        <f t="shared" si="290"/>
        <v/>
      </c>
      <c r="AQ109" s="41">
        <f t="shared" si="291"/>
        <v>0</v>
      </c>
      <c r="AR109" s="41" t="str">
        <f t="shared" si="292"/>
        <v/>
      </c>
      <c r="AS109" s="42" t="str">
        <f t="shared" si="293"/>
        <v/>
      </c>
      <c r="AT109" s="40">
        <f t="shared" si="294"/>
        <v>-1.0000000000000001E-5</v>
      </c>
      <c r="AU109" s="41" t="str">
        <f t="shared" si="295"/>
        <v/>
      </c>
      <c r="AV109" s="41">
        <f t="shared" si="296"/>
        <v>0</v>
      </c>
      <c r="AW109" s="42" t="str">
        <f t="shared" si="297"/>
        <v/>
      </c>
      <c r="AX109" s="40" t="str">
        <f t="shared" si="298"/>
        <v/>
      </c>
      <c r="AY109" s="41" t="str">
        <f t="shared" si="299"/>
        <v/>
      </c>
      <c r="AZ109" s="41" t="str">
        <f t="shared" si="300"/>
        <v/>
      </c>
      <c r="BA109" s="42" t="str">
        <f t="shared" si="301"/>
        <v/>
      </c>
      <c r="BB109" s="37" t="s">
        <v>106</v>
      </c>
      <c r="BC109" s="21"/>
      <c r="BD109" s="21"/>
      <c r="BG109" t="str">
        <f>IF(NOT(ISERROR(HLOOKUP(Standings!BG$3,Entries!$C101:$K101,1,FALSE))),"x",IF(NOT(ISERROR(HLOOKUP(Standings!BG$3,Entries!$L101:$L101,1,FALSE))),"S",""))</f>
        <v/>
      </c>
      <c r="BH109" t="str">
        <f>IF(NOT(ISERROR(HLOOKUP(Standings!BH$3,Entries!$C101:$K101,1,FALSE))),"x",IF(NOT(ISERROR(HLOOKUP(Standings!BH$3,Entries!$L101:$L101,1,FALSE))),"S",""))</f>
        <v/>
      </c>
      <c r="BI109" t="str">
        <f>IF(NOT(ISERROR(HLOOKUP(Standings!BI$3,Entries!$C101:$K101,1,FALSE))),"x",IF(NOT(ISERROR(HLOOKUP(Standings!BI$3,Entries!$L101:$L101,1,FALSE))),"S",""))</f>
        <v/>
      </c>
      <c r="BJ109" t="str">
        <f>IF(NOT(ISERROR(HLOOKUP(Standings!BJ$3,Entries!$C101:$K101,1,FALSE))),"x",IF(NOT(ISERROR(HLOOKUP(Standings!BJ$3,Entries!$L101:$L101,1,FALSE))),"S",""))</f>
        <v>x</v>
      </c>
      <c r="BK109" t="str">
        <f>IF(NOT(ISERROR(HLOOKUP(Standings!BK$3,Entries!$C101:$K101,1,FALSE))),"x",IF(NOT(ISERROR(HLOOKUP(Standings!BK$3,Entries!$L101:$L101,1,FALSE))),"S",""))</f>
        <v>x</v>
      </c>
      <c r="BL109" t="str">
        <f>IF(NOT(ISERROR(HLOOKUP(Standings!BL$3,Entries!$C101:$K101,1,FALSE))),"x",IF(NOT(ISERROR(HLOOKUP(Standings!BL$3,Entries!$L101:$L101,1,FALSE))),"S",""))</f>
        <v/>
      </c>
      <c r="BM109" t="str">
        <f>IF(NOT(ISERROR(HLOOKUP(Standings!BM$3,Entries!$C101:$K101,1,FALSE))),"x",IF(NOT(ISERROR(HLOOKUP(Standings!BM$3,Entries!$L101:$L101,1,FALSE))),"S",""))</f>
        <v/>
      </c>
      <c r="BN109" t="str">
        <f>IF(NOT(ISERROR(HLOOKUP(Standings!BN$3,Entries!$C101:$K101,1,FALSE))),"x",IF(NOT(ISERROR(HLOOKUP(Standings!BN$3,Entries!$L101:$L101,1,FALSE))),"S",""))</f>
        <v/>
      </c>
      <c r="BO109" t="str">
        <f>IF(NOT(ISERROR(HLOOKUP(Standings!BO$3,Entries!$C101:$K101,1,FALSE))),"x",IF(NOT(ISERROR(HLOOKUP(Standings!BO$3,Entries!$L101:$L101,1,FALSE))),"S",""))</f>
        <v/>
      </c>
      <c r="BP109" t="str">
        <f>IF(NOT(ISERROR(HLOOKUP(Standings!BP$3,Entries!$C101:$K101,1,FALSE))),"x",IF(NOT(ISERROR(HLOOKUP(Standings!BP$3,Entries!$L101:$L101,1,FALSE))),"S",""))</f>
        <v>x</v>
      </c>
      <c r="BQ109" t="str">
        <f>IF(NOT(ISERROR(HLOOKUP(Standings!BQ$3,Entries!$C101:$K101,1,FALSE))),"x",IF(NOT(ISERROR(HLOOKUP(Standings!BQ$3,Entries!$L101:$L101,1,FALSE))),"S",""))</f>
        <v/>
      </c>
      <c r="BR109" t="str">
        <f>IF(NOT(ISERROR(HLOOKUP(Standings!BR$3,Entries!$C101:$K101,1,FALSE))),"x",IF(NOT(ISERROR(HLOOKUP(Standings!BR$3,Entries!$L101:$L101,1,FALSE))),"S",""))</f>
        <v/>
      </c>
      <c r="BS109" t="str">
        <f>IF(NOT(ISERROR(HLOOKUP(Standings!BS$3,Entries!$C101:$K101,1,FALSE))),"x",IF(NOT(ISERROR(HLOOKUP(Standings!BS$3,Entries!$L101:$L101,1,FALSE))),"S",""))</f>
        <v>x</v>
      </c>
      <c r="BT109" t="str">
        <f>IF(NOT(ISERROR(HLOOKUP(Standings!BT$3,Entries!$C101:$K101,1,FALSE))),"x",IF(NOT(ISERROR(HLOOKUP(Standings!BT$3,Entries!$L101:$L101,1,FALSE))),"S",""))</f>
        <v/>
      </c>
      <c r="BU109" t="str">
        <f>IF(NOT(ISERROR(HLOOKUP(Standings!BU$3,Entries!$C101:$K101,1,FALSE))),"x",IF(NOT(ISERROR(HLOOKUP(Standings!BU$3,Entries!$L101:$L101,1,FALSE))),"S",""))</f>
        <v/>
      </c>
      <c r="BV109" t="str">
        <f>IF(NOT(ISERROR(HLOOKUP(Standings!BV$3,Entries!$C101:$K101,1,FALSE))),"x",IF(NOT(ISERROR(HLOOKUP(Standings!BV$3,Entries!$L101:$L101,1,FALSE))),"S",""))</f>
        <v/>
      </c>
      <c r="BW109" t="str">
        <f>IF(NOT(ISERROR(HLOOKUP(Standings!BW$3,Entries!$C101:$K101,1,FALSE))),"x",IF(NOT(ISERROR(HLOOKUP(Standings!BW$3,Entries!$L101:$L101,1,FALSE))),"S",""))</f>
        <v/>
      </c>
      <c r="BX109" t="str">
        <f>IF(NOT(ISERROR(HLOOKUP(Standings!BX$3,Entries!$C101:$K101,1,FALSE))),"x",IF(NOT(ISERROR(HLOOKUP(Standings!BX$3,Entries!$L101:$L101,1,FALSE))),"S",""))</f>
        <v/>
      </c>
      <c r="BY109" t="str">
        <f>IF(NOT(ISERROR(HLOOKUP(Standings!BY$3,Entries!$C101:$K101,1,FALSE))),"x",IF(NOT(ISERROR(HLOOKUP(Standings!BY$3,Entries!$L101:$L101,1,FALSE))),"S",""))</f>
        <v>x</v>
      </c>
      <c r="BZ109" t="str">
        <f>IF(NOT(ISERROR(HLOOKUP(Standings!BZ$3,Entries!$C101:$K101,1,FALSE))),"x",IF(NOT(ISERROR(HLOOKUP(Standings!BZ$3,Entries!$L101:$L101,1,FALSE))),"S",""))</f>
        <v/>
      </c>
      <c r="CA109" t="str">
        <f>IF(NOT(ISERROR(HLOOKUP(Standings!CA$3,Entries!$C101:$K101,1,FALSE))),"x",IF(NOT(ISERROR(HLOOKUP(Standings!CA$3,Entries!$L101:$L101,1,FALSE))),"S",""))</f>
        <v/>
      </c>
      <c r="CB109" t="str">
        <f>IF(NOT(ISERROR(HLOOKUP(Standings!CB$3,Entries!$C101:$K101,1,FALSE))),"x",IF(NOT(ISERROR(HLOOKUP(Standings!CB$3,Entries!$L101:$L101,1,FALSE))),"S",""))</f>
        <v>x</v>
      </c>
      <c r="CC109" t="str">
        <f>IF(NOT(ISERROR(HLOOKUP(Standings!CC$3,Entries!$C101:$K101,1,FALSE))),"x",IF(NOT(ISERROR(HLOOKUP(Standings!CC$3,Entries!$L101:$L101,1,FALSE))),"S",""))</f>
        <v/>
      </c>
      <c r="CD109" t="str">
        <f>IF(NOT(ISERROR(HLOOKUP(Standings!CD$3,Entries!$C101:$K101,1,FALSE))),"x",IF(NOT(ISERROR(HLOOKUP(Standings!CD$3,Entries!$L101:$L101,1,FALSE))),"S",""))</f>
        <v/>
      </c>
      <c r="CE109" t="str">
        <f>IF(NOT(ISERROR(HLOOKUP(Standings!CE$3,Entries!$C101:$K101,1,FALSE))),"x",IF(NOT(ISERROR(HLOOKUP(Standings!CE$3,Entries!$L101:$L101,1,FALSE))),"S",""))</f>
        <v/>
      </c>
      <c r="CF109" t="str">
        <f>IF(NOT(ISERROR(HLOOKUP(Standings!CF$3,Entries!$C101:$K101,1,FALSE))),"x",IF(NOT(ISERROR(HLOOKUP(Standings!CF$3,Entries!$L101:$L101,1,FALSE))),"S",""))</f>
        <v/>
      </c>
      <c r="CG109" t="str">
        <f>IF(NOT(ISERROR(HLOOKUP(Standings!CG$3,Entries!$C101:$K101,1,FALSE))),"x",IF(NOT(ISERROR(HLOOKUP(Standings!CG$3,Entries!$L101:$L101,1,FALSE))),"S",""))</f>
        <v/>
      </c>
      <c r="CH109" t="str">
        <f>IF(NOT(ISERROR(HLOOKUP(Standings!CH$3,Entries!$C101:$K101,1,FALSE))),"x",IF(NOT(ISERROR(HLOOKUP(Standings!CH$3,Entries!$L101:$L101,1,FALSE))),"S",""))</f>
        <v/>
      </c>
      <c r="CI109" t="str">
        <f>IF(NOT(ISERROR(HLOOKUP(Standings!CI$3,Entries!$C101:$K101,1,FALSE))),"x",IF(NOT(ISERROR(HLOOKUP(Standings!CI$3,Entries!$L101:$L101,1,FALSE))),"S",""))</f>
        <v/>
      </c>
      <c r="CJ109" t="str">
        <f>IF(NOT(ISERROR(HLOOKUP(Standings!CJ$3,Entries!$C101:$K101,1,FALSE))),"x",IF(NOT(ISERROR(HLOOKUP(Standings!CJ$3,Entries!$L101:$L101,1,FALSE))),"S",""))</f>
        <v/>
      </c>
      <c r="CK109" t="str">
        <f>IF(NOT(ISERROR(HLOOKUP(Standings!CK$3,Entries!$C101:$K101,1,FALSE))),"x",IF(NOT(ISERROR(HLOOKUP(Standings!CK$3,Entries!$L101:$L101,1,FALSE))),"S",""))</f>
        <v/>
      </c>
      <c r="CL109" t="str">
        <f>IF(NOT(ISERROR(HLOOKUP(Standings!CL$3,Entries!$C101:$K101,1,FALSE))),"x",IF(NOT(ISERROR(HLOOKUP(Standings!CL$3,Entries!$L101:$L101,1,FALSE))),"S",""))</f>
        <v/>
      </c>
      <c r="CM109" t="str">
        <f>IF(NOT(ISERROR(HLOOKUP(Standings!CM$3,Entries!$C101:$K101,1,FALSE))),"x",IF(NOT(ISERROR(HLOOKUP(Standings!CM$3,Entries!$L101:$L101,1,FALSE))),"S",""))</f>
        <v/>
      </c>
      <c r="CN109" t="str">
        <f>IF(NOT(ISERROR(HLOOKUP(Standings!CN$3,Entries!$C101:$K101,1,FALSE))),"x",IF(NOT(ISERROR(HLOOKUP(Standings!CN$3,Entries!$L101:$L101,1,FALSE))),"S",""))</f>
        <v>x</v>
      </c>
      <c r="CO109" t="str">
        <f>IF(NOT(ISERROR(HLOOKUP(Standings!CO$3,Entries!$C101:$K101,1,FALSE))),"x",IF(NOT(ISERROR(HLOOKUP(Standings!CO$3,Entries!$L101:$L101,1,FALSE))),"S",""))</f>
        <v/>
      </c>
      <c r="CP109" t="str">
        <f>IF(NOT(ISERROR(HLOOKUP(Standings!CP$3,Entries!$C101:$K101,1,FALSE))),"x",IF(NOT(ISERROR(HLOOKUP(Standings!CP$3,Entries!$L101:$L101,1,FALSE))),"S",""))</f>
        <v/>
      </c>
      <c r="CQ109" t="str">
        <f>IF(NOT(ISERROR(HLOOKUP(Standings!CQ$3,Entries!$C101:$K101,1,FALSE))),"x",IF(NOT(ISERROR(HLOOKUP(Standings!CQ$3,Entries!$L101:$L101,1,FALSE))),"S",""))</f>
        <v/>
      </c>
      <c r="CR109" t="str">
        <f>IF(NOT(ISERROR(HLOOKUP(Standings!CR$3,Entries!$C101:$K101,1,FALSE))),"x",IF(NOT(ISERROR(HLOOKUP(Standings!CR$3,Entries!$L101:$L101,1,FALSE))),"S",""))</f>
        <v>x</v>
      </c>
      <c r="CS109" t="str">
        <f>IF(NOT(ISERROR(HLOOKUP(Standings!CS$3,Entries!$C101:$K101,1,FALSE))),"x",IF(NOT(ISERROR(HLOOKUP(Standings!CS$3,Entries!$L101:$L101,1,FALSE))),"S",""))</f>
        <v/>
      </c>
      <c r="CT109" t="str">
        <f>IF(NOT(ISERROR(HLOOKUP(Standings!CT$3,Entries!$C101:$K101,1,FALSE))),"x",IF(NOT(ISERROR(HLOOKUP(Standings!CT$3,Entries!$L101:$L101,1,FALSE))),"S",""))</f>
        <v/>
      </c>
      <c r="CU109" t="str">
        <f>IF(NOT(ISERROR(HLOOKUP(Standings!CU$3,Entries!$C101:$K101,1,FALSE))),"x",IF(NOT(ISERROR(HLOOKUP(Standings!CU$3,Entries!$L101:$L101,1,FALSE))),"S",""))</f>
        <v>S</v>
      </c>
      <c r="CV109" t="str">
        <f>IF(NOT(ISERROR(HLOOKUP(Standings!CV$3,Entries!$C101:$K101,1,FALSE))),"x",IF(NOT(ISERROR(HLOOKUP(Standings!CV$3,Entries!$L101:$L101,1,FALSE))),"S",""))</f>
        <v/>
      </c>
      <c r="CW109" t="str">
        <f>IF(NOT(ISERROR(HLOOKUP(Standings!CW$3,Entries!$C101:$K101,1,FALSE))),"x",IF(NOT(ISERROR(HLOOKUP(Standings!CW$3,Entries!$L101:$L101,1,FALSE))),"S",""))</f>
        <v>x</v>
      </c>
      <c r="CX109" t="str">
        <f>IF(NOT(ISERROR(HLOOKUP(Standings!CX$3,Entries!$C101:$K101,1,FALSE))),"x",IF(NOT(ISERROR(HLOOKUP(Standings!CX$3,Entries!$L101:$L101,1,FALSE))),"S",""))</f>
        <v/>
      </c>
      <c r="CY109" t="str">
        <f>IF(NOT(ISERROR(HLOOKUP(Standings!CY$3,Entries!$C101:$K101,1,FALSE))),"x",IF(NOT(ISERROR(HLOOKUP(Standings!CY$3,Entries!$L101:$L101,1,FALSE))),"S",""))</f>
        <v/>
      </c>
      <c r="CZ109" t="str">
        <f>IF(NOT(ISERROR(HLOOKUP(Standings!CZ$3,Entries!$C101:$K101,1,FALSE))),"x",IF(NOT(ISERROR(HLOOKUP(Standings!CZ$3,Entries!$L101:$L101,1,FALSE))),"S",""))</f>
        <v/>
      </c>
      <c r="DA109" t="str">
        <f>IF(NOT(ISERROR(HLOOKUP(Standings!DA$3,Entries!$C101:$K101,1,FALSE))),"x",IF(NOT(ISERROR(HLOOKUP(Standings!DA$3,Entries!$L101:$L101,1,FALSE))),"S",""))</f>
        <v/>
      </c>
      <c r="DB109" t="str">
        <f>IF(NOT(ISERROR(HLOOKUP(Standings!DB$3,Entries!$C101:$K101,1,FALSE))),"x",IF(NOT(ISERROR(HLOOKUP(Standings!DB$3,Entries!$L101:$L101,1,FALSE))),"S",""))</f>
        <v/>
      </c>
    </row>
    <row r="110" spans="1:106" ht="15.75" customHeight="1" thickBot="1" x14ac:dyDescent="0.3">
      <c r="D110" s="4"/>
      <c r="E110" s="36"/>
      <c r="F110" s="44"/>
      <c r="G110" s="45"/>
      <c r="H110" s="45"/>
      <c r="I110" s="46"/>
      <c r="J110" s="44"/>
      <c r="K110" s="45"/>
      <c r="L110" s="45"/>
      <c r="M110" s="46"/>
      <c r="N110" s="47"/>
      <c r="O110" s="45"/>
      <c r="P110" s="45"/>
      <c r="Q110" s="46"/>
      <c r="R110" s="44"/>
      <c r="S110" s="45"/>
      <c r="T110" s="47"/>
      <c r="U110" s="46"/>
      <c r="V110" s="44"/>
      <c r="W110" s="45"/>
      <c r="X110" s="45"/>
      <c r="Y110" s="46"/>
      <c r="Z110" s="44"/>
      <c r="AA110" s="45"/>
      <c r="AB110" s="45"/>
      <c r="AC110" s="46"/>
      <c r="AD110" s="44"/>
      <c r="AE110" s="45"/>
      <c r="AF110" s="45"/>
      <c r="AG110" s="46"/>
      <c r="AH110" s="44"/>
      <c r="AI110" s="45"/>
      <c r="AJ110" s="45"/>
      <c r="AK110" s="46"/>
      <c r="AL110" s="44"/>
      <c r="AM110" s="45"/>
      <c r="AN110" s="45"/>
      <c r="AO110" s="46"/>
      <c r="AP110" s="44"/>
      <c r="AQ110" s="45"/>
      <c r="AR110" s="45"/>
      <c r="AS110" s="46"/>
      <c r="AT110" s="44"/>
      <c r="AU110" s="45"/>
      <c r="AV110" s="45"/>
      <c r="AW110" s="46"/>
      <c r="AX110" s="44"/>
      <c r="AY110" s="45"/>
      <c r="AZ110" s="45"/>
      <c r="BA110" s="46"/>
      <c r="BB110" s="37"/>
    </row>
    <row r="111" spans="1:106" x14ac:dyDescent="0.25">
      <c r="D111" s="5"/>
      <c r="E111" s="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  <c r="AO111" s="15"/>
      <c r="AP111" s="15"/>
      <c r="AQ111" s="15"/>
      <c r="AR111" s="15"/>
      <c r="AS111" s="15"/>
      <c r="AT111" s="15"/>
      <c r="AU111" s="15"/>
      <c r="AV111" s="15"/>
      <c r="AW111" s="15"/>
      <c r="AX111" s="15"/>
      <c r="AY111" s="15"/>
      <c r="AZ111" s="15"/>
      <c r="BA111" s="15"/>
      <c r="BB111" s="10"/>
    </row>
    <row r="113" spans="55:57" x14ac:dyDescent="0.25">
      <c r="BC113" s="21">
        <f>COUNT(D10:D109)*10</f>
        <v>1000</v>
      </c>
    </row>
    <row r="114" spans="55:57" x14ac:dyDescent="0.25">
      <c r="BC114" s="21">
        <f>SUM(BC116:BC130)</f>
        <v>1000</v>
      </c>
    </row>
    <row r="116" spans="55:57" x14ac:dyDescent="0.25">
      <c r="BC116" s="21">
        <v>250</v>
      </c>
      <c r="BE116" s="11" t="s">
        <v>107</v>
      </c>
    </row>
    <row r="117" spans="55:57" x14ac:dyDescent="0.25">
      <c r="BC117" s="21">
        <v>160</v>
      </c>
      <c r="BE117" s="11" t="s">
        <v>107</v>
      </c>
    </row>
    <row r="118" spans="55:57" x14ac:dyDescent="0.25">
      <c r="BC118" s="21">
        <v>120</v>
      </c>
      <c r="BE118" s="11" t="s">
        <v>107</v>
      </c>
    </row>
    <row r="119" spans="55:57" x14ac:dyDescent="0.25">
      <c r="BC119" s="21">
        <v>90</v>
      </c>
      <c r="BE119" s="11" t="s">
        <v>107</v>
      </c>
    </row>
    <row r="120" spans="55:57" x14ac:dyDescent="0.25">
      <c r="BC120" s="21">
        <v>70</v>
      </c>
      <c r="BE120" s="11" t="s">
        <v>107</v>
      </c>
    </row>
    <row r="121" spans="55:57" x14ac:dyDescent="0.25">
      <c r="BC121" s="21">
        <v>60</v>
      </c>
      <c r="BE121" s="11" t="s">
        <v>107</v>
      </c>
    </row>
    <row r="122" spans="55:57" x14ac:dyDescent="0.25">
      <c r="BC122" s="21">
        <v>50</v>
      </c>
      <c r="BE122" s="11" t="s">
        <v>107</v>
      </c>
    </row>
    <row r="123" spans="55:57" x14ac:dyDescent="0.25">
      <c r="BC123" s="21">
        <v>40</v>
      </c>
      <c r="BE123" s="11" t="s">
        <v>107</v>
      </c>
    </row>
    <row r="124" spans="55:57" x14ac:dyDescent="0.25">
      <c r="BC124" s="21">
        <v>40</v>
      </c>
      <c r="BE124" s="11" t="s">
        <v>107</v>
      </c>
    </row>
    <row r="125" spans="55:57" x14ac:dyDescent="0.25">
      <c r="BC125" s="21">
        <v>30</v>
      </c>
      <c r="BE125" s="11" t="s">
        <v>107</v>
      </c>
    </row>
    <row r="126" spans="55:57" x14ac:dyDescent="0.25">
      <c r="BC126" s="21">
        <v>30</v>
      </c>
      <c r="BE126" s="11" t="s">
        <v>107</v>
      </c>
    </row>
    <row r="127" spans="55:57" x14ac:dyDescent="0.25">
      <c r="BC127" s="21">
        <v>20</v>
      </c>
      <c r="BE127" s="11" t="s">
        <v>107</v>
      </c>
    </row>
    <row r="128" spans="55:57" x14ac:dyDescent="0.25">
      <c r="BC128" s="21">
        <v>20</v>
      </c>
      <c r="BE128" s="11" t="s">
        <v>107</v>
      </c>
    </row>
    <row r="129" spans="55:57" x14ac:dyDescent="0.25">
      <c r="BC129" s="21">
        <v>10</v>
      </c>
      <c r="BE129" s="11" t="s">
        <v>107</v>
      </c>
    </row>
    <row r="130" spans="55:57" x14ac:dyDescent="0.25">
      <c r="BC130" s="21">
        <v>10</v>
      </c>
      <c r="BE130" s="11" t="s">
        <v>107</v>
      </c>
    </row>
  </sheetData>
  <mergeCells count="12">
    <mergeCell ref="F2:I2"/>
    <mergeCell ref="AH2:AK2"/>
    <mergeCell ref="V2:Y2"/>
    <mergeCell ref="Z2:AC2"/>
    <mergeCell ref="J2:M2"/>
    <mergeCell ref="N2:Q2"/>
    <mergeCell ref="AD2:AG2"/>
    <mergeCell ref="AT2:AW2"/>
    <mergeCell ref="AX2:BA2"/>
    <mergeCell ref="AL2:AO2"/>
    <mergeCell ref="AP2:AS2"/>
    <mergeCell ref="R2:U2"/>
  </mergeCells>
  <conditionalFormatting sqref="D10:D109">
    <cfRule type="colorScale" priority="1184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10">
    <cfRule type="colorScale" priority="575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0:E109">
    <cfRule type="colorScale" priority="1184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10">
    <cfRule type="colorScale" priority="575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:BA4">
    <cfRule type="colorScale" priority="566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5:BA5">
    <cfRule type="colorScale" priority="1">
      <colorScale>
        <cfvo type="min"/>
        <cfvo type="max"/>
        <color rgb="FFFCFCFF"/>
        <color rgb="FFF8696B"/>
      </colorScale>
    </cfRule>
  </conditionalFormatting>
  <conditionalFormatting sqref="F6:BA6">
    <cfRule type="colorScale" priority="56682">
      <colorScale>
        <cfvo type="min"/>
        <cfvo type="max"/>
        <color rgb="FFFCFCFF"/>
        <color rgb="FF63BE7B"/>
      </colorScale>
    </cfRule>
  </conditionalFormatting>
  <conditionalFormatting sqref="F7:BA7">
    <cfRule type="colorScale" priority="56678">
      <colorScale>
        <cfvo type="min"/>
        <cfvo type="max"/>
        <color rgb="FFFCFCFF"/>
        <color rgb="FF0070C0"/>
      </colorScale>
    </cfRule>
  </conditionalFormatting>
  <conditionalFormatting sqref="F8:BA8">
    <cfRule type="colorScale" priority="56680">
      <colorScale>
        <cfvo type="min"/>
        <cfvo type="max"/>
        <color rgb="FFFCFCFF"/>
        <color theme="0" tint="-0.34998626667073579"/>
      </colorScale>
    </cfRule>
  </conditionalFormatting>
  <conditionalFormatting sqref="F9:BA9">
    <cfRule type="colorScale" priority="566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0:BA11 F13:BA64 F67:BA81">
    <cfRule type="expression" dxfId="371" priority="114897">
      <formula>(F297="x")</formula>
    </cfRule>
  </conditionalFormatting>
  <conditionalFormatting sqref="F10:BA11 F13:BA110">
    <cfRule type="expression" dxfId="370" priority="76628">
      <formula>(F188="x")</formula>
    </cfRule>
  </conditionalFormatting>
  <conditionalFormatting sqref="F10:BA11">
    <cfRule type="expression" dxfId="369" priority="108929">
      <formula>(F217="x")</formula>
    </cfRule>
  </conditionalFormatting>
  <conditionalFormatting sqref="F10:BA12 F14:BA45 F47:BA65 F67:BA81">
    <cfRule type="expression" dxfId="368" priority="118677">
      <formula>(F278="x")</formula>
    </cfRule>
  </conditionalFormatting>
  <conditionalFormatting sqref="F10:BA12 F14:BA65 F67:BA81">
    <cfRule type="expression" dxfId="367" priority="118681">
      <formula>(F277="x")</formula>
    </cfRule>
  </conditionalFormatting>
  <conditionalFormatting sqref="F10:BA12 F15:BA64 F67:BA81">
    <cfRule type="expression" dxfId="366" priority="58810">
      <formula>(F288="x")</formula>
    </cfRule>
  </conditionalFormatting>
  <conditionalFormatting sqref="F10:BA13 F15:BA64 F67:BA81">
    <cfRule type="expression" dxfId="365" priority="57972">
      <formula>(F287="x")</formula>
    </cfRule>
  </conditionalFormatting>
  <conditionalFormatting sqref="F10:BA17 F19:BA21 F25:BA25 F27:BA28 F30:BA64">
    <cfRule type="expression" dxfId="364" priority="111919">
      <formula>(F322="x")</formula>
    </cfRule>
    <cfRule type="expression" dxfId="363" priority="111842">
      <formula>(F321="x")</formula>
    </cfRule>
  </conditionalFormatting>
  <conditionalFormatting sqref="F10:BA17 F19:BA21 F25:BA64">
    <cfRule type="expression" dxfId="362" priority="89363">
      <formula>(F318="x")</formula>
    </cfRule>
  </conditionalFormatting>
  <conditionalFormatting sqref="F10:BA17 F21:BA21 F25:BA25 F27:BA28 F32:BA55">
    <cfRule type="expression" dxfId="361" priority="108426">
      <formula>(F340="x")</formula>
    </cfRule>
  </conditionalFormatting>
  <conditionalFormatting sqref="F10:BA17 F21:BA21 F25:BA25 F27:BA28 F32:BA64">
    <cfRule type="expression" dxfId="360" priority="99705">
      <formula>(F336="x")</formula>
    </cfRule>
  </conditionalFormatting>
  <conditionalFormatting sqref="F10:BA17 F21:BA21 F25:BA25 F27:BA28">
    <cfRule type="expression" dxfId="359" priority="108128">
      <formula>(F342="x")</formula>
    </cfRule>
    <cfRule type="expression" dxfId="358" priority="108130">
      <formula>(F346="x")</formula>
    </cfRule>
    <cfRule type="expression" dxfId="357" priority="108277">
      <formula>(F341="x")</formula>
    </cfRule>
  </conditionalFormatting>
  <conditionalFormatting sqref="F10:BA17 F25:BA25 F27:BA28 F32:BA64">
    <cfRule type="expression" dxfId="356" priority="100052">
      <formula>(F337="x")</formula>
    </cfRule>
  </conditionalFormatting>
  <conditionalFormatting sqref="F10:BA17 F25:BA25 F27:BA28">
    <cfRule type="expression" dxfId="355" priority="108279">
      <formula>(F345="x")</formula>
    </cfRule>
  </conditionalFormatting>
  <conditionalFormatting sqref="F10:BA17">
    <cfRule type="expression" dxfId="354" priority="117213">
      <formula>(F198="x")</formula>
    </cfRule>
  </conditionalFormatting>
  <conditionalFormatting sqref="F10:BA21 F23:BA64">
    <cfRule type="expression" dxfId="353" priority="88043">
      <formula>(F312="x")</formula>
    </cfRule>
  </conditionalFormatting>
  <conditionalFormatting sqref="F10:BA21 F23:BA65 F67:BA81">
    <cfRule type="expression" dxfId="352" priority="76620">
      <formula>(F283="x")</formula>
    </cfRule>
  </conditionalFormatting>
  <conditionalFormatting sqref="F10:BA21 F24:BA25 F27:BA28 F30:BA64">
    <cfRule type="expression" dxfId="351" priority="113401">
      <formula>(F320="x")</formula>
    </cfRule>
  </conditionalFormatting>
  <conditionalFormatting sqref="F10:BA21 F24:BA28 F30:BA64">
    <cfRule type="expression" dxfId="350" priority="113987">
      <formula>(F319="x")</formula>
    </cfRule>
    <cfRule type="expression" dxfId="349" priority="87359">
      <formula>(F315="x")</formula>
    </cfRule>
  </conditionalFormatting>
  <conditionalFormatting sqref="F10:BA21 F25:BA25 F27:BA28 F30:BA64">
    <cfRule type="expression" dxfId="348" priority="110727">
      <formula>(F325="x")</formula>
    </cfRule>
    <cfRule type="expression" dxfId="347" priority="111256">
      <formula>(F324="x")</formula>
    </cfRule>
    <cfRule type="expression" dxfId="346" priority="99716">
      <formula>(F329="x")</formula>
    </cfRule>
    <cfRule type="expression" dxfId="345" priority="109662">
      <formula>(F328="x")</formula>
    </cfRule>
    <cfRule type="expression" dxfId="344" priority="111614">
      <formula>(F323="x")</formula>
    </cfRule>
  </conditionalFormatting>
  <conditionalFormatting sqref="F10:BA21 F25:BA25 F27:BA28 F31:BA64">
    <cfRule type="expression" dxfId="343" priority="89509">
      <formula>(F335="x")</formula>
    </cfRule>
    <cfRule type="expression" dxfId="342" priority="99701">
      <formula>(F334="x")</formula>
    </cfRule>
    <cfRule type="expression" dxfId="341" priority="110288">
      <formula>(F326="x")</formula>
    </cfRule>
    <cfRule type="expression" dxfId="340" priority="99651">
      <formula>(F330="x")</formula>
    </cfRule>
    <cfRule type="expression" dxfId="339" priority="99709">
      <formula>(F331="x")</formula>
    </cfRule>
    <cfRule type="expression" dxfId="338" priority="99713">
      <formula>(F333="x")</formula>
    </cfRule>
    <cfRule type="expression" dxfId="337" priority="110374">
      <formula>(F327="x")</formula>
    </cfRule>
  </conditionalFormatting>
  <conditionalFormatting sqref="F10:BA21 F25:BA25 F27:BA28 F32:BA64">
    <cfRule type="expression" dxfId="336" priority="89537">
      <formula>(F339="x")</formula>
    </cfRule>
    <cfRule type="expression" dxfId="335" priority="89541">
      <formula>(F338="x")</formula>
    </cfRule>
  </conditionalFormatting>
  <conditionalFormatting sqref="F10:BA21">
    <cfRule type="expression" dxfId="334" priority="99703">
      <formula>(F332="x")</formula>
    </cfRule>
    <cfRule type="expression" dxfId="333" priority="115153">
      <formula>(F190="x")</formula>
    </cfRule>
  </conditionalFormatting>
  <conditionalFormatting sqref="F10:BA22 F24:BA25 F27:BA28 F30:BA64">
    <cfRule type="expression" dxfId="332" priority="89213">
      <formula>(F316="x")</formula>
    </cfRule>
  </conditionalFormatting>
  <conditionalFormatting sqref="F10:BA22 F24:BA64">
    <cfRule type="expression" dxfId="331" priority="87367">
      <formula>(F314="x")</formula>
    </cfRule>
    <cfRule type="expression" dxfId="330" priority="89208">
      <formula>(F313="x")</formula>
    </cfRule>
  </conditionalFormatting>
  <conditionalFormatting sqref="F10:BA22 F24:BA65 F67:BA81">
    <cfRule type="expression" dxfId="329" priority="118777">
      <formula>(F279="x")</formula>
    </cfRule>
  </conditionalFormatting>
  <conditionalFormatting sqref="F10:BA22 F25:BA25 F27:BA64">
    <cfRule type="expression" dxfId="328" priority="99884">
      <formula>(F317="x")</formula>
    </cfRule>
  </conditionalFormatting>
  <conditionalFormatting sqref="F10:BA22 F67:BA81">
    <cfRule type="expression" dxfId="327" priority="72270">
      <formula>(F310="x")</formula>
    </cfRule>
  </conditionalFormatting>
  <conditionalFormatting sqref="F10:BA23">
    <cfRule type="expression" dxfId="326" priority="109501">
      <formula>(F195="x")</formula>
    </cfRule>
  </conditionalFormatting>
  <conditionalFormatting sqref="F10:BA27 F29:BA32 F67:BA73">
    <cfRule type="expression" dxfId="325" priority="115822">
      <formula>(F228="x")</formula>
    </cfRule>
  </conditionalFormatting>
  <conditionalFormatting sqref="F10:BA27 F29:BA32 F78:BA109">
    <cfRule type="expression" dxfId="324" priority="23527">
      <formula>(F229="x")</formula>
    </cfRule>
  </conditionalFormatting>
  <conditionalFormatting sqref="F10:BA29 F31:BA109">
    <cfRule type="expression" dxfId="323" priority="50461">
      <formula>(F242="x")</formula>
    </cfRule>
  </conditionalFormatting>
  <conditionalFormatting sqref="F10:BA29 F31:BA110">
    <cfRule type="expression" dxfId="322" priority="102539">
      <formula>(F194="x")</formula>
    </cfRule>
  </conditionalFormatting>
  <conditionalFormatting sqref="F10:BA32 F34:BA70 F72:BA109">
    <cfRule type="expression" dxfId="321" priority="18023">
      <formula>(F225="x")</formula>
    </cfRule>
  </conditionalFormatting>
  <conditionalFormatting sqref="F10:BA32 F34:BA70">
    <cfRule type="expression" dxfId="320" priority="115172">
      <formula>(F227="x")</formula>
    </cfRule>
  </conditionalFormatting>
  <conditionalFormatting sqref="F10:BA32 F34:BA109">
    <cfRule type="expression" dxfId="319" priority="115528">
      <formula>(F222="x")</formula>
    </cfRule>
    <cfRule type="expression" dxfId="318" priority="118672">
      <formula>(F224="x")</formula>
    </cfRule>
  </conditionalFormatting>
  <conditionalFormatting sqref="F10:BA32">
    <cfRule type="expression" dxfId="317" priority="99330">
      <formula>(F223="x")</formula>
    </cfRule>
  </conditionalFormatting>
  <conditionalFormatting sqref="F10:BA34 F36:BA81">
    <cfRule type="expression" dxfId="316" priority="118803">
      <formula>(F266="x")</formula>
    </cfRule>
  </conditionalFormatting>
  <conditionalFormatting sqref="F10:BA43">
    <cfRule type="expression" dxfId="315" priority="111705">
      <formula>(F256="x")</formula>
    </cfRule>
  </conditionalFormatting>
  <conditionalFormatting sqref="F10:BA44 F68:BA76">
    <cfRule type="expression" dxfId="314" priority="114889">
      <formula>(F213="x")</formula>
    </cfRule>
  </conditionalFormatting>
  <conditionalFormatting sqref="F10:BA44">
    <cfRule type="expression" dxfId="313" priority="115511">
      <formula>(F212="x")</formula>
    </cfRule>
  </conditionalFormatting>
  <conditionalFormatting sqref="F10:BA48 F50:BA65 F67:BA81">
    <cfRule type="expression" dxfId="312" priority="118809">
      <formula>(F274="x")</formula>
    </cfRule>
  </conditionalFormatting>
  <conditionalFormatting sqref="F10:BA50">
    <cfRule type="expression" dxfId="311" priority="114764">
      <formula>(F252="x")</formula>
    </cfRule>
  </conditionalFormatting>
  <conditionalFormatting sqref="F10:BA52 F67:BA109">
    <cfRule type="expression" dxfId="310" priority="25681">
      <formula>(F250="x")</formula>
    </cfRule>
  </conditionalFormatting>
  <conditionalFormatting sqref="F10:BA53 F55:BA100">
    <cfRule type="expression" dxfId="309" priority="115211">
      <formula>(F262="x")</formula>
    </cfRule>
  </conditionalFormatting>
  <conditionalFormatting sqref="F10:BA57">
    <cfRule type="expression" dxfId="308" priority="105192">
      <formula>(F259="x")</formula>
    </cfRule>
    <cfRule type="expression" dxfId="307" priority="98973">
      <formula>(F258="x")</formula>
    </cfRule>
  </conditionalFormatting>
  <conditionalFormatting sqref="F10:BA64 F67:BA81">
    <cfRule type="expression" dxfId="306" priority="101749">
      <formula>(F308="x")</formula>
    </cfRule>
    <cfRule type="expression" dxfId="305" priority="102943">
      <formula>(F302="x")</formula>
    </cfRule>
    <cfRule type="expression" dxfId="304" priority="90795">
      <formula>(F295="x")</formula>
    </cfRule>
    <cfRule type="expression" dxfId="303" priority="101899">
      <formula>(F306="x")</formula>
    </cfRule>
    <cfRule type="expression" dxfId="302" priority="101754">
      <formula>(F303="x")</formula>
    </cfRule>
    <cfRule type="expression" dxfId="301" priority="118818">
      <formula>(F282="x")</formula>
    </cfRule>
    <cfRule type="expression" dxfId="300" priority="114932">
      <formula>(F298="x")</formula>
    </cfRule>
    <cfRule type="expression" dxfId="299" priority="114930">
      <formula>(F299="x")</formula>
    </cfRule>
    <cfRule type="expression" dxfId="298" priority="114923">
      <formula>(F300="x")</formula>
    </cfRule>
    <cfRule type="expression" dxfId="297" priority="118819">
      <formula>(F281="x")</formula>
    </cfRule>
    <cfRule type="expression" dxfId="296" priority="103192">
      <formula>(F305="x")</formula>
    </cfRule>
    <cfRule type="expression" dxfId="295" priority="103348">
      <formula>(F301="x")</formula>
    </cfRule>
    <cfRule type="expression" dxfId="294" priority="103350">
      <formula>(F304="x")</formula>
    </cfRule>
    <cfRule type="expression" dxfId="293" priority="43936">
      <formula>(F286="x")</formula>
    </cfRule>
    <cfRule type="expression" dxfId="292" priority="92172">
      <formula>(F293="x")</formula>
    </cfRule>
    <cfRule type="expression" dxfId="291" priority="92171">
      <formula>(F294="x")</formula>
    </cfRule>
    <cfRule type="expression" dxfId="290" priority="59544">
      <formula>(F289="x")</formula>
    </cfRule>
    <cfRule type="expression" dxfId="289" priority="91109">
      <formula>(F307="x")</formula>
    </cfRule>
    <cfRule type="expression" dxfId="288" priority="87063">
      <formula>(F292="x")</formula>
    </cfRule>
    <cfRule type="expression" dxfId="287" priority="57974">
      <formula>(F285="x")</formula>
    </cfRule>
    <cfRule type="expression" dxfId="286" priority="116742">
      <formula>(F296="x")</formula>
    </cfRule>
    <cfRule type="expression" dxfId="285" priority="73199">
      <formula>(F291="x")</formula>
    </cfRule>
    <cfRule type="expression" dxfId="284" priority="71227">
      <formula>(F290="x")</formula>
    </cfRule>
  </conditionalFormatting>
  <conditionalFormatting sqref="F10:BA64">
    <cfRule type="expression" dxfId="283" priority="114488">
      <formula>(F309="x")</formula>
    </cfRule>
    <cfRule type="expression" dxfId="282" priority="88035">
      <formula>(F311="x")</formula>
    </cfRule>
  </conditionalFormatting>
  <conditionalFormatting sqref="F10:BA65 F67:BA81">
    <cfRule type="expression" dxfId="281" priority="118845">
      <formula>(F280="x")</formula>
    </cfRule>
    <cfRule type="expression" dxfId="280" priority="118844">
      <formula>(F273="x")</formula>
    </cfRule>
    <cfRule type="expression" dxfId="279" priority="118843">
      <formula>(F275="x")</formula>
    </cfRule>
    <cfRule type="expression" dxfId="278" priority="58954">
      <formula>(F284="x")</formula>
    </cfRule>
    <cfRule type="expression" dxfId="277" priority="118846">
      <formula>(F276="x")</formula>
    </cfRule>
    <cfRule type="expression" dxfId="276" priority="118847">
      <formula>(F270="x")</formula>
    </cfRule>
  </conditionalFormatting>
  <conditionalFormatting sqref="F10:BA65 F67:BA109">
    <cfRule type="expression" dxfId="275" priority="18241">
      <formula>(F210="x")</formula>
    </cfRule>
  </conditionalFormatting>
  <conditionalFormatting sqref="F10:BA65">
    <cfRule type="expression" dxfId="274" priority="116281">
      <formula>(F244="x")</formula>
    </cfRule>
    <cfRule type="expression" dxfId="273" priority="99418">
      <formula>(F220="x")</formula>
    </cfRule>
    <cfRule type="expression" dxfId="272" priority="86418">
      <formula>(F238="x")</formula>
    </cfRule>
    <cfRule type="expression" dxfId="271" priority="115578">
      <formula>(F235="x")</formula>
    </cfRule>
    <cfRule type="expression" dxfId="270" priority="106449">
      <formula>(F219="x")</formula>
    </cfRule>
  </conditionalFormatting>
  <conditionalFormatting sqref="F10:BA66 F68:BA76 F78:BA109">
    <cfRule type="expression" dxfId="269" priority="118858">
      <formula>(F204="x")</formula>
    </cfRule>
  </conditionalFormatting>
  <conditionalFormatting sqref="F10:BA66">
    <cfRule type="expression" dxfId="268" priority="48716">
      <formula>(F247="x")</formula>
    </cfRule>
    <cfRule type="expression" dxfId="267" priority="99125">
      <formula>(F233="x")</formula>
    </cfRule>
  </conditionalFormatting>
  <conditionalFormatting sqref="F10:BA69">
    <cfRule type="expression" dxfId="266" priority="115552">
      <formula>(F264="x")</formula>
    </cfRule>
  </conditionalFormatting>
  <conditionalFormatting sqref="F10:BA70">
    <cfRule type="expression" dxfId="265" priority="95103">
      <formula>(F216="x")</formula>
    </cfRule>
    <cfRule type="expression" dxfId="264" priority="95436">
      <formula>(F237="x")</formula>
    </cfRule>
    <cfRule type="expression" dxfId="263" priority="84120">
      <formula>(F200="x")</formula>
    </cfRule>
    <cfRule type="expression" dxfId="262" priority="116274">
      <formula>(F236="x")</formula>
    </cfRule>
    <cfRule type="expression" dxfId="261" priority="116577">
      <formula>(F226="x")</formula>
    </cfRule>
    <cfRule type="expression" dxfId="260" priority="103612">
      <formula>(F199="x")</formula>
    </cfRule>
    <cfRule type="expression" dxfId="259" priority="106472">
      <formula>(F207="x")</formula>
    </cfRule>
    <cfRule type="expression" dxfId="258" priority="106543">
      <formula>(F245="x")</formula>
    </cfRule>
    <cfRule type="expression" dxfId="257" priority="109989">
      <formula>(F243="x")</formula>
    </cfRule>
  </conditionalFormatting>
  <conditionalFormatting sqref="F10:BA71 F73:BA109">
    <cfRule type="expression" dxfId="256" priority="115527">
      <formula>(F230="x")</formula>
    </cfRule>
  </conditionalFormatting>
  <conditionalFormatting sqref="F10:BA72">
    <cfRule type="expression" dxfId="255" priority="115539">
      <formula>(F254="x")</formula>
    </cfRule>
  </conditionalFormatting>
  <conditionalFormatting sqref="F10:BA73">
    <cfRule type="expression" dxfId="254" priority="118669">
      <formula>(F218="x")</formula>
    </cfRule>
  </conditionalFormatting>
  <conditionalFormatting sqref="F10:BA76 F78:BA109">
    <cfRule type="expression" dxfId="253" priority="114767">
      <formula>(F248="x")</formula>
    </cfRule>
  </conditionalFormatting>
  <conditionalFormatting sqref="F10:BA76">
    <cfRule type="expression" dxfId="252" priority="118873">
      <formula>(F214="x")</formula>
    </cfRule>
  </conditionalFormatting>
  <conditionalFormatting sqref="F10:BA81">
    <cfRule type="expression" dxfId="251" priority="118881">
      <formula>(F265="x")</formula>
    </cfRule>
    <cfRule type="expression" dxfId="250" priority="118882">
      <formula>(F269="x")</formula>
    </cfRule>
    <cfRule type="expression" dxfId="249" priority="118883">
      <formula>(F260="x")</formula>
    </cfRule>
    <cfRule type="expression" dxfId="248" priority="118877">
      <formula>(F272="x")</formula>
    </cfRule>
    <cfRule type="expression" dxfId="247" priority="118878">
      <formula>(F268="x")</formula>
    </cfRule>
    <cfRule type="expression" dxfId="246" priority="118884">
      <formula>(F271="x")</formula>
    </cfRule>
    <cfRule type="expression" dxfId="245" priority="118885">
      <formula>(F189="x")</formula>
    </cfRule>
    <cfRule type="expression" dxfId="244" priority="118879">
      <formula>(F263="x")</formula>
    </cfRule>
    <cfRule type="expression" dxfId="243" priority="118880">
      <formula>(F267="x")</formula>
    </cfRule>
  </conditionalFormatting>
  <conditionalFormatting sqref="F10:BA100">
    <cfRule type="expression" dxfId="242" priority="119459">
      <formula>(F261="x")</formula>
    </cfRule>
    <cfRule type="expression" dxfId="241" priority="119472">
      <formula>(F187="x")</formula>
    </cfRule>
    <cfRule type="expression" dxfId="240" priority="119458">
      <formula>(F257="x")</formula>
    </cfRule>
  </conditionalFormatting>
  <conditionalFormatting sqref="F10:BA109">
    <cfRule type="expression" dxfId="239" priority="119653">
      <formula>(F197="x")</formula>
    </cfRule>
    <cfRule type="expression" dxfId="238" priority="113213">
      <formula>(F234="x")</formula>
    </cfRule>
    <cfRule type="expression" dxfId="237" priority="102250">
      <formula>(F241="x")</formula>
    </cfRule>
    <cfRule type="expression" dxfId="236" priority="153">
      <formula>(F231="x")</formula>
    </cfRule>
    <cfRule type="expression" dxfId="235" priority="118872">
      <formula>(F192="x")</formula>
    </cfRule>
    <cfRule type="expression" dxfId="234" priority="105518">
      <formula>(F240="x")</formula>
    </cfRule>
    <cfRule type="expression" dxfId="233" priority="118785">
      <formula>(F202="x")</formula>
    </cfRule>
    <cfRule type="expression" dxfId="232" priority="12">
      <formula>(F211="x")</formula>
    </cfRule>
    <cfRule type="expression" dxfId="231" priority="118800">
      <formula>(F196="x")</formula>
    </cfRule>
    <cfRule type="expression" dxfId="230" priority="119603">
      <formula>(F215="x")</formula>
    </cfRule>
    <cfRule type="expression" dxfId="229" priority="105494">
      <formula>(F251="x")</formula>
    </cfRule>
    <cfRule type="expression" dxfId="228" priority="119609">
      <formula>(F205="x")</formula>
    </cfRule>
    <cfRule type="expression" dxfId="227" priority="118817">
      <formula>(F232="x")</formula>
    </cfRule>
    <cfRule type="expression" dxfId="226" priority="104914">
      <formula>(F255="x")</formula>
    </cfRule>
    <cfRule type="expression" dxfId="225" priority="32432">
      <formula>(F249="x")</formula>
    </cfRule>
    <cfRule type="expression" dxfId="224" priority="105167">
      <formula>(F253="x")</formula>
    </cfRule>
    <cfRule type="expression" dxfId="223" priority="119650">
      <formula>(F203="x")</formula>
    </cfRule>
    <cfRule type="expression" dxfId="222" priority="118794">
      <formula>(F201="x")</formula>
    </cfRule>
    <cfRule type="expression" dxfId="221" priority="106259">
      <formula>(F239="x")</formula>
    </cfRule>
    <cfRule type="expression" dxfId="220" priority="98956">
      <formula>(F208="x")</formula>
    </cfRule>
    <cfRule type="expression" dxfId="219" priority="120028">
      <formula>(F221="x")</formula>
    </cfRule>
    <cfRule type="expression" dxfId="218" priority="120039">
      <formula>(F209="x")</formula>
    </cfRule>
    <cfRule type="expression" dxfId="217" priority="120043">
      <formula>(F246="x")</formula>
    </cfRule>
    <cfRule type="expression" dxfId="216" priority="120075">
      <formula>(F206="x")</formula>
    </cfRule>
  </conditionalFormatting>
  <conditionalFormatting sqref="F10:BA110">
    <cfRule type="expression" dxfId="215" priority="20468">
      <formula>(F193="x")</formula>
    </cfRule>
    <cfRule type="expression" dxfId="214" priority="228">
      <formula>(#REF!="x")</formula>
    </cfRule>
    <cfRule type="expression" dxfId="213" priority="120016">
      <formula>(F191="x")</formula>
    </cfRule>
  </conditionalFormatting>
  <conditionalFormatting sqref="F11:BA11">
    <cfRule type="expression" dxfId="212" priority="109433">
      <formula>(F187="x")</formula>
    </cfRule>
    <cfRule type="expression" dxfId="211" priority="109388">
      <formula>(F186="x")</formula>
    </cfRule>
  </conditionalFormatting>
  <conditionalFormatting sqref="F12:BA16 F18:BA60 F62:BA110">
    <cfRule type="expression" dxfId="210" priority="107355">
      <formula>(F186="x")</formula>
    </cfRule>
  </conditionalFormatting>
  <conditionalFormatting sqref="F12:BA17 F21:BA21 F25:BA25 F27:BA28">
    <cfRule type="expression" dxfId="209" priority="108579">
      <formula>(F345="x")</formula>
    </cfRule>
    <cfRule type="expression" dxfId="208" priority="108428">
      <formula>(F346="x")</formula>
    </cfRule>
  </conditionalFormatting>
  <conditionalFormatting sqref="F13:BA13 F16:BA60 F62:BA65">
    <cfRule type="expression" dxfId="207" priority="112198">
      <formula>(F186="x")</formula>
    </cfRule>
  </conditionalFormatting>
  <conditionalFormatting sqref="F13:BA29 F44:BA109">
    <cfRule type="expression" dxfId="206" priority="103039">
      <formula>(F188="x")</formula>
    </cfRule>
  </conditionalFormatting>
  <conditionalFormatting sqref="F13:BA65 F67:BA109">
    <cfRule type="expression" dxfId="205" priority="84806">
      <formula>(F189="x")</formula>
    </cfRule>
  </conditionalFormatting>
  <conditionalFormatting sqref="F13:BA70">
    <cfRule type="expression" dxfId="204" priority="17781">
      <formula>(F220="x")</formula>
    </cfRule>
  </conditionalFormatting>
  <conditionalFormatting sqref="F14:BA17 F21:BA21 F27:BA28">
    <cfRule type="expression" dxfId="203" priority="108797">
      <formula>(F352="x")</formula>
    </cfRule>
    <cfRule type="expression" dxfId="202" priority="108795">
      <formula>(F353="x")</formula>
    </cfRule>
    <cfRule type="expression" dxfId="201" priority="108802">
      <formula>(F351="x")</formula>
    </cfRule>
  </conditionalFormatting>
  <conditionalFormatting sqref="F16:BA21 F44:BA110">
    <cfRule type="expression" dxfId="200" priority="115035">
      <formula>(F185="x")</formula>
    </cfRule>
  </conditionalFormatting>
  <conditionalFormatting sqref="F16:BA60 F62:BA110">
    <cfRule type="expression" dxfId="199" priority="111016">
      <formula>(F188="x")</formula>
    </cfRule>
  </conditionalFormatting>
  <conditionalFormatting sqref="F17:BA60 F62:BA110">
    <cfRule type="expression" dxfId="198" priority="116809">
      <formula>(F188="x")</formula>
    </cfRule>
  </conditionalFormatting>
  <conditionalFormatting sqref="F18:BA110">
    <cfRule type="expression" dxfId="197" priority="7507">
      <formula>(F188="x")</formula>
    </cfRule>
  </conditionalFormatting>
  <conditionalFormatting sqref="F19:BA109">
    <cfRule type="expression" dxfId="196" priority="118801">
      <formula>(F207="x")</formula>
    </cfRule>
    <cfRule type="expression" dxfId="195" priority="119724">
      <formula>(F185="x")</formula>
    </cfRule>
  </conditionalFormatting>
  <conditionalFormatting sqref="F19:BA110">
    <cfRule type="expression" dxfId="194" priority="120155">
      <formula>(F187="x")</formula>
    </cfRule>
  </conditionalFormatting>
  <conditionalFormatting sqref="F20:BA20 F22:BA109">
    <cfRule type="expression" dxfId="193" priority="115424">
      <formula>(F187="x")</formula>
    </cfRule>
  </conditionalFormatting>
  <conditionalFormatting sqref="F21:BA21 F27:BA28">
    <cfRule type="expression" dxfId="192" priority="109210">
      <formula>(F361="x")</formula>
    </cfRule>
    <cfRule type="expression" dxfId="191" priority="109264">
      <formula>(F362="x")</formula>
    </cfRule>
  </conditionalFormatting>
  <conditionalFormatting sqref="F21:BA21">
    <cfRule type="expression" dxfId="190" priority="99700">
      <formula>(F356="x")</formula>
    </cfRule>
    <cfRule type="expression" dxfId="189" priority="109003">
      <formula>(F348="x")</formula>
    </cfRule>
    <cfRule type="expression" dxfId="188" priority="109202">
      <formula>(F364="x")</formula>
    </cfRule>
    <cfRule type="expression" dxfId="187" priority="109204">
      <formula>(F363="x")</formula>
    </cfRule>
  </conditionalFormatting>
  <conditionalFormatting sqref="F23:BA23">
    <cfRule type="expression" dxfId="186" priority="110417">
      <formula>(F187="x")</formula>
    </cfRule>
  </conditionalFormatting>
  <conditionalFormatting sqref="F23:BA42">
    <cfRule type="expression" dxfId="185" priority="100690">
      <formula>(F192="x")</formula>
    </cfRule>
  </conditionalFormatting>
  <conditionalFormatting sqref="F23:BA60 F62:BA110">
    <cfRule type="expression" dxfId="184" priority="92652">
      <formula>(F203="x")</formula>
    </cfRule>
  </conditionalFormatting>
  <conditionalFormatting sqref="F23:BA110">
    <cfRule type="expression" dxfId="183" priority="96835">
      <formula>(F188="x")</formula>
    </cfRule>
  </conditionalFormatting>
  <conditionalFormatting sqref="F24:BA64">
    <cfRule type="expression" dxfId="182" priority="71245">
      <formula>(F324="x")</formula>
    </cfRule>
  </conditionalFormatting>
  <conditionalFormatting sqref="F24:BA110">
    <cfRule type="expression" dxfId="181" priority="119732">
      <formula>(F186="x")</formula>
    </cfRule>
  </conditionalFormatting>
  <conditionalFormatting sqref="F25:BA25 F27:BA28 F31:BA64">
    <cfRule type="expression" dxfId="180" priority="89844">
      <formula>(F347="x")</formula>
    </cfRule>
  </conditionalFormatting>
  <conditionalFormatting sqref="F25:BA60">
    <cfRule type="expression" dxfId="179" priority="100871">
      <formula>(F189="x")</formula>
    </cfRule>
  </conditionalFormatting>
  <conditionalFormatting sqref="F25:BA109">
    <cfRule type="expression" dxfId="178" priority="107217">
      <formula>(F210="x")</formula>
    </cfRule>
  </conditionalFormatting>
  <conditionalFormatting sqref="F25:BA110">
    <cfRule type="expression" dxfId="177" priority="43010">
      <formula>(F188="x")</formula>
    </cfRule>
  </conditionalFormatting>
  <conditionalFormatting sqref="F26:BA110">
    <cfRule type="expression" dxfId="176" priority="106765">
      <formula>(F187="x")</formula>
    </cfRule>
  </conditionalFormatting>
  <conditionalFormatting sqref="F27:BA110">
    <cfRule type="expression" dxfId="175" priority="6315">
      <formula>(F187="x")</formula>
    </cfRule>
  </conditionalFormatting>
  <conditionalFormatting sqref="F28:BA28">
    <cfRule type="expression" dxfId="174" priority="113056">
      <formula>(F184="x")</formula>
    </cfRule>
  </conditionalFormatting>
  <conditionalFormatting sqref="F29:BA110">
    <cfRule type="expression" dxfId="173" priority="116670">
      <formula>(F187="x")</formula>
    </cfRule>
    <cfRule type="expression" dxfId="172" priority="6293">
      <formula>(F188="x")</formula>
    </cfRule>
  </conditionalFormatting>
  <conditionalFormatting sqref="F30:BA32">
    <cfRule type="expression" dxfId="171" priority="119385">
      <formula>(F187="x")</formula>
    </cfRule>
  </conditionalFormatting>
  <conditionalFormatting sqref="F31:BA42">
    <cfRule type="expression" dxfId="170" priority="6290">
      <formula>(F206="x")</formula>
    </cfRule>
  </conditionalFormatting>
  <conditionalFormatting sqref="F31:BA110">
    <cfRule type="expression" dxfId="169" priority="86747">
      <formula>(F187="x")</formula>
    </cfRule>
  </conditionalFormatting>
  <conditionalFormatting sqref="F33:BA43">
    <cfRule type="expression" dxfId="168" priority="116110">
      <formula>(F188="x")</formula>
    </cfRule>
  </conditionalFormatting>
  <conditionalFormatting sqref="F34:BA65">
    <cfRule type="expression" dxfId="167" priority="116479">
      <formula>(F252="x")</formula>
    </cfRule>
    <cfRule type="expression" dxfId="166" priority="98557">
      <formula>(F253="x")</formula>
    </cfRule>
  </conditionalFormatting>
  <conditionalFormatting sqref="F34:BA66">
    <cfRule type="expression" dxfId="165" priority="104036">
      <formula>(F247="x")</formula>
    </cfRule>
  </conditionalFormatting>
  <conditionalFormatting sqref="F34:BA109">
    <cfRule type="expression" dxfId="164" priority="119744">
      <formula>(F191="x")</formula>
    </cfRule>
  </conditionalFormatting>
  <conditionalFormatting sqref="F34:BA110">
    <cfRule type="expression" dxfId="163" priority="118981">
      <formula>(F188="x")</formula>
    </cfRule>
  </conditionalFormatting>
  <conditionalFormatting sqref="F35:BA110">
    <cfRule type="expression" dxfId="162" priority="83504">
      <formula>(F188="x")</formula>
    </cfRule>
  </conditionalFormatting>
  <conditionalFormatting sqref="F36:BA62 F64:BA110">
    <cfRule type="expression" dxfId="161" priority="118965">
      <formula>(F188="x")</formula>
    </cfRule>
  </conditionalFormatting>
  <conditionalFormatting sqref="F37:BA40">
    <cfRule type="expression" dxfId="160" priority="6004">
      <formula>(F186="x")</formula>
    </cfRule>
  </conditionalFormatting>
  <conditionalFormatting sqref="F37:BA62">
    <cfRule type="expression" dxfId="159" priority="114847">
      <formula>(F187="x")</formula>
    </cfRule>
  </conditionalFormatting>
  <conditionalFormatting sqref="F37:BA109">
    <cfRule type="expression" dxfId="158" priority="118461">
      <formula>(F188="x")</formula>
    </cfRule>
  </conditionalFormatting>
  <conditionalFormatting sqref="F39:BA109">
    <cfRule type="expression" dxfId="157" priority="97929">
      <formula>(F187="x")</formula>
    </cfRule>
  </conditionalFormatting>
  <conditionalFormatting sqref="F40:BA41">
    <cfRule type="expression" dxfId="156" priority="95692">
      <formula>(F187="x")</formula>
    </cfRule>
  </conditionalFormatting>
  <conditionalFormatting sqref="F40:BA60 F62:BA109">
    <cfRule type="expression" dxfId="155" priority="115808">
      <formula>(F186="x")</formula>
    </cfRule>
  </conditionalFormatting>
  <conditionalFormatting sqref="F42:BA67">
    <cfRule type="expression" dxfId="154" priority="115714">
      <formula>(F191="x")</formula>
    </cfRule>
  </conditionalFormatting>
  <conditionalFormatting sqref="F43:BA69">
    <cfRule type="expression" dxfId="153" priority="112162">
      <formula>(F190="x")</formula>
    </cfRule>
  </conditionalFormatting>
  <conditionalFormatting sqref="F43:BA109">
    <cfRule type="expression" dxfId="152" priority="120197">
      <formula>(F188="x")</formula>
    </cfRule>
  </conditionalFormatting>
  <conditionalFormatting sqref="F44:BA46 F64:BA109">
    <cfRule type="expression" dxfId="151" priority="104832">
      <formula>(F186="x")</formula>
    </cfRule>
  </conditionalFormatting>
  <conditionalFormatting sqref="F44:BA109">
    <cfRule type="expression" dxfId="150" priority="120203">
      <formula>(F187="x")</formula>
    </cfRule>
    <cfRule type="expression" dxfId="149" priority="118115">
      <formula>(F188="x")</formula>
    </cfRule>
  </conditionalFormatting>
  <conditionalFormatting sqref="F45:BA45">
    <cfRule type="expression" dxfId="148" priority="114176">
      <formula>(F185="x")</formula>
    </cfRule>
  </conditionalFormatting>
  <conditionalFormatting sqref="F45:BA109">
    <cfRule type="expression" dxfId="147" priority="96454">
      <formula>(F291="x")</formula>
    </cfRule>
  </conditionalFormatting>
  <conditionalFormatting sqref="F45:BA110">
    <cfRule type="expression" dxfId="146" priority="13759">
      <formula>(F200="x")</formula>
    </cfRule>
  </conditionalFormatting>
  <conditionalFormatting sqref="F46:BA66">
    <cfRule type="expression" dxfId="145" priority="111681">
      <formula>(F249="x")</formula>
    </cfRule>
  </conditionalFormatting>
  <conditionalFormatting sqref="F46:BA109">
    <cfRule type="expression" dxfId="144" priority="25549">
      <formula>(F248="x")</formula>
    </cfRule>
    <cfRule type="expression" dxfId="143" priority="102192">
      <formula>(F187="x")</formula>
    </cfRule>
  </conditionalFormatting>
  <conditionalFormatting sqref="F47:BA67">
    <cfRule type="expression" dxfId="142" priority="116381">
      <formula>(F187="x")</formula>
    </cfRule>
  </conditionalFormatting>
  <conditionalFormatting sqref="F48:BA62">
    <cfRule type="expression" dxfId="141" priority="96315">
      <formula>(F190="x")</formula>
    </cfRule>
  </conditionalFormatting>
  <conditionalFormatting sqref="F49:BA56 F58:BA109">
    <cfRule type="expression" dxfId="140" priority="82157">
      <formula>(F188="x")</formula>
    </cfRule>
  </conditionalFormatting>
  <conditionalFormatting sqref="F50:BA109">
    <cfRule type="expression" dxfId="139" priority="119377">
      <formula>(F188="x")</formula>
    </cfRule>
  </conditionalFormatting>
  <conditionalFormatting sqref="F51:BA51">
    <cfRule type="expression" dxfId="138" priority="116230">
      <formula>(F185="x")</formula>
    </cfRule>
  </conditionalFormatting>
  <conditionalFormatting sqref="F51:BA67 F69:BA109">
    <cfRule type="expression" dxfId="137" priority="106140">
      <formula>(F186="x")</formula>
    </cfRule>
  </conditionalFormatting>
  <conditionalFormatting sqref="F51:BA73">
    <cfRule type="expression" dxfId="136" priority="104927">
      <formula>(F188="x")</formula>
    </cfRule>
    <cfRule type="expression" dxfId="135" priority="95484">
      <formula>(F187="x")</formula>
    </cfRule>
  </conditionalFormatting>
  <conditionalFormatting sqref="F52:BA109">
    <cfRule type="expression" dxfId="134" priority="105173">
      <formula>(F294="x")</formula>
    </cfRule>
  </conditionalFormatting>
  <conditionalFormatting sqref="F54:BA57">
    <cfRule type="expression" dxfId="133" priority="115484">
      <formula>(F187="x")</formula>
    </cfRule>
  </conditionalFormatting>
  <conditionalFormatting sqref="F54:BA62 F64:BA109">
    <cfRule type="expression" dxfId="132" priority="5995">
      <formula>(F186="x")</formula>
    </cfRule>
  </conditionalFormatting>
  <conditionalFormatting sqref="F54:BA64">
    <cfRule type="expression" dxfId="131" priority="116315">
      <formula>(F294="x")</formula>
    </cfRule>
  </conditionalFormatting>
  <conditionalFormatting sqref="F54:BA109">
    <cfRule type="expression" dxfId="130" priority="106399">
      <formula>(F188="x")</formula>
    </cfRule>
  </conditionalFormatting>
  <conditionalFormatting sqref="F55:BA65">
    <cfRule type="expression" dxfId="129" priority="116552">
      <formula>(F186="x")</formula>
    </cfRule>
  </conditionalFormatting>
  <conditionalFormatting sqref="F57:BA80">
    <cfRule type="expression" dxfId="128" priority="114964">
      <formula>(F187="x")</formula>
    </cfRule>
  </conditionalFormatting>
  <conditionalFormatting sqref="F57:BA109">
    <cfRule type="expression" dxfId="127" priority="111654">
      <formula>(F186="x")</formula>
    </cfRule>
  </conditionalFormatting>
  <conditionalFormatting sqref="F59:BA60 F62:BA109">
    <cfRule type="expression" dxfId="126" priority="115836">
      <formula>(F185="x")</formula>
    </cfRule>
  </conditionalFormatting>
  <conditionalFormatting sqref="F59:BA69">
    <cfRule type="expression" dxfId="125" priority="46567">
      <formula>(F308="x")</formula>
    </cfRule>
  </conditionalFormatting>
  <conditionalFormatting sqref="F59:BA100">
    <cfRule type="expression" dxfId="124" priority="119807">
      <formula>(F307="x")</formula>
    </cfRule>
  </conditionalFormatting>
  <conditionalFormatting sqref="F59:BA109">
    <cfRule type="expression" dxfId="123" priority="103808">
      <formula>(F192="x")</formula>
    </cfRule>
  </conditionalFormatting>
  <conditionalFormatting sqref="F60:BA65 F79:BA109">
    <cfRule type="expression" dxfId="122" priority="99066">
      <formula>(F188="x")</formula>
    </cfRule>
  </conditionalFormatting>
  <conditionalFormatting sqref="F60:BA73">
    <cfRule type="expression" dxfId="121" priority="107038">
      <formula>(F187="x")</formula>
    </cfRule>
  </conditionalFormatting>
  <conditionalFormatting sqref="F62:BA65 F67:BA109">
    <cfRule type="expression" dxfId="120" priority="230">
      <formula>(F186="x")</formula>
    </cfRule>
  </conditionalFormatting>
  <conditionalFormatting sqref="F62:BA110">
    <cfRule type="expression" dxfId="119" priority="157">
      <formula>(F226="x")</formula>
    </cfRule>
  </conditionalFormatting>
  <conditionalFormatting sqref="F63:BA109">
    <cfRule type="expression" dxfId="118" priority="106610">
      <formula>(F188="x")</formula>
    </cfRule>
  </conditionalFormatting>
  <conditionalFormatting sqref="F64:BA67">
    <cfRule type="expression" dxfId="117" priority="106015">
      <formula>(F214="x")</formula>
    </cfRule>
  </conditionalFormatting>
  <conditionalFormatting sqref="F64:BA76 F80:BA109">
    <cfRule type="expression" dxfId="116" priority="41967">
      <formula>(F186="x")</formula>
    </cfRule>
  </conditionalFormatting>
  <conditionalFormatting sqref="F64:BA109">
    <cfRule type="expression" dxfId="115" priority="120241">
      <formula>(F187="x")</formula>
    </cfRule>
  </conditionalFormatting>
  <conditionalFormatting sqref="F66:BA109">
    <cfRule type="expression" dxfId="114" priority="119811">
      <formula>(F187="x")</formula>
    </cfRule>
  </conditionalFormatting>
  <conditionalFormatting sqref="F67:BA68 F70:BA109">
    <cfRule type="expression" dxfId="113" priority="43203">
      <formula>(F186="x")</formula>
    </cfRule>
    <cfRule type="expression" dxfId="112" priority="115304">
      <formula>(F187="x")</formula>
    </cfRule>
  </conditionalFormatting>
  <conditionalFormatting sqref="F67:BA70 F72:BA109">
    <cfRule type="expression" dxfId="111" priority="98952">
      <formula>(F301="x")</formula>
    </cfRule>
  </conditionalFormatting>
  <conditionalFormatting sqref="F67:BA76">
    <cfRule type="expression" dxfId="110" priority="145">
      <formula>(F286="x")</formula>
    </cfRule>
  </conditionalFormatting>
  <conditionalFormatting sqref="F67:BA77">
    <cfRule type="expression" dxfId="109" priority="68226">
      <formula>(F195="x")</formula>
    </cfRule>
  </conditionalFormatting>
  <conditionalFormatting sqref="F67:BA79 F81:BA109">
    <cfRule type="expression" dxfId="108" priority="115658">
      <formula>(F185="x")</formula>
    </cfRule>
  </conditionalFormatting>
  <conditionalFormatting sqref="F67:BA81">
    <cfRule type="expression" dxfId="107" priority="71243">
      <formula>(F366="x")</formula>
    </cfRule>
  </conditionalFormatting>
  <conditionalFormatting sqref="F67:BA109">
    <cfRule type="expression" dxfId="106" priority="167">
      <formula>(F292="x")</formula>
    </cfRule>
    <cfRule type="expression" dxfId="105" priority="27820">
      <formula>(F198="x")</formula>
    </cfRule>
    <cfRule type="expression" dxfId="104" priority="120035">
      <formula>(F276="x")</formula>
    </cfRule>
    <cfRule type="expression" dxfId="103" priority="32428">
      <formula>(F295="x")</formula>
    </cfRule>
    <cfRule type="expression" dxfId="102" priority="120033">
      <formula>(F277="x")</formula>
    </cfRule>
  </conditionalFormatting>
  <conditionalFormatting sqref="F67:BA110">
    <cfRule type="expression" dxfId="101" priority="17381">
      <formula>(F240="x")</formula>
    </cfRule>
  </conditionalFormatting>
  <conditionalFormatting sqref="F68:BA109">
    <cfRule type="expression" dxfId="100" priority="137">
      <formula>(F281="x")</formula>
    </cfRule>
    <cfRule type="expression" dxfId="99" priority="33202">
      <formula>(F291="x")</formula>
    </cfRule>
    <cfRule type="expression" dxfId="98" priority="61807">
      <formula>(F305="x")</formula>
    </cfRule>
  </conditionalFormatting>
  <conditionalFormatting sqref="F69:BA109">
    <cfRule type="expression" dxfId="97" priority="119000">
      <formula>(F219="x")</formula>
    </cfRule>
    <cfRule type="expression" dxfId="96" priority="82321">
      <formula>(F209="x")</formula>
    </cfRule>
    <cfRule type="expression" dxfId="95" priority="119758">
      <formula>(F218="x")</formula>
    </cfRule>
  </conditionalFormatting>
  <conditionalFormatting sqref="F70:BA70">
    <cfRule type="expression" dxfId="94" priority="119429">
      <formula>(F186="x")</formula>
    </cfRule>
  </conditionalFormatting>
  <conditionalFormatting sqref="F70:BA74 F76:BA109">
    <cfRule type="expression" dxfId="93" priority="71025">
      <formula>(F185="x")</formula>
    </cfRule>
  </conditionalFormatting>
  <conditionalFormatting sqref="F70:BA109">
    <cfRule type="expression" dxfId="92" priority="119815">
      <formula>(F187="x")</formula>
    </cfRule>
  </conditionalFormatting>
  <conditionalFormatting sqref="F71:BA81">
    <cfRule type="expression" dxfId="91" priority="119097">
      <formula>(F320="x")</formula>
    </cfRule>
    <cfRule type="expression" dxfId="90" priority="119096">
      <formula>(F325="x")</formula>
    </cfRule>
  </conditionalFormatting>
  <conditionalFormatting sqref="F71:BA109">
    <cfRule type="expression" dxfId="89" priority="119384">
      <formula>(F218="x")</formula>
    </cfRule>
  </conditionalFormatting>
  <conditionalFormatting sqref="F72:BA74">
    <cfRule type="expression" dxfId="88" priority="107459">
      <formula>(F299="x")</formula>
    </cfRule>
  </conditionalFormatting>
  <conditionalFormatting sqref="F72:BA109">
    <cfRule type="expression" dxfId="87" priority="119606">
      <formula>(F278="x")</formula>
    </cfRule>
    <cfRule type="expression" dxfId="86" priority="7072">
      <formula>(F188="x")</formula>
    </cfRule>
    <cfRule type="expression" dxfId="85" priority="33533">
      <formula>(F289="x")</formula>
    </cfRule>
    <cfRule type="expression" dxfId="84" priority="30467">
      <formula>(F288="x")</formula>
    </cfRule>
    <cfRule type="expression" dxfId="83" priority="119604">
      <formula>(F279="x")</formula>
    </cfRule>
    <cfRule type="expression" dxfId="82" priority="119839">
      <formula>(F185="x")</formula>
    </cfRule>
    <cfRule type="expression" dxfId="81" priority="119657">
      <formula>(F298="x")</formula>
    </cfRule>
    <cfRule type="expression" dxfId="80" priority="119618">
      <formula>(F305="x")</formula>
    </cfRule>
    <cfRule type="expression" dxfId="79" priority="119616">
      <formula>(F307="x")</formula>
    </cfRule>
    <cfRule type="expression" dxfId="78" priority="118862">
      <formula>(F269="x")</formula>
    </cfRule>
  </conditionalFormatting>
  <conditionalFormatting sqref="F72:BA110">
    <cfRule type="expression" dxfId="77" priority="82910">
      <formula>(F262="x")</formula>
    </cfRule>
    <cfRule type="expression" dxfId="76" priority="118797">
      <formula>(F261="x")</formula>
    </cfRule>
  </conditionalFormatting>
  <conditionalFormatting sqref="F74:BA109">
    <cfRule type="expression" dxfId="75" priority="113942">
      <formula>(F188="x")</formula>
    </cfRule>
    <cfRule type="expression" dxfId="74" priority="96922">
      <formula>(F318="x")</formula>
    </cfRule>
  </conditionalFormatting>
  <conditionalFormatting sqref="F75:BA109">
    <cfRule type="expression" dxfId="73" priority="111408">
      <formula>(F293="x")</formula>
    </cfRule>
    <cfRule type="expression" dxfId="72" priority="105520">
      <formula>(F202="x")</formula>
    </cfRule>
    <cfRule type="expression" dxfId="71" priority="120032">
      <formula>(F283="x")</formula>
    </cfRule>
    <cfRule type="expression" dxfId="70" priority="120215">
      <formula>(F211="x")</formula>
    </cfRule>
    <cfRule type="expression" dxfId="69" priority="6108">
      <formula>(F212="x")</formula>
    </cfRule>
    <cfRule type="expression" dxfId="68" priority="120285">
      <formula>(F186="x")</formula>
    </cfRule>
  </conditionalFormatting>
  <conditionalFormatting sqref="F76:BA109">
    <cfRule type="expression" dxfId="67" priority="80397">
      <formula>(F303="x")</formula>
    </cfRule>
    <cfRule type="expression" dxfId="66" priority="120283">
      <formula>(F188="x")</formula>
    </cfRule>
  </conditionalFormatting>
  <conditionalFormatting sqref="F77:BA77">
    <cfRule type="expression" dxfId="65" priority="119433">
      <formula>(F186="x")</formula>
    </cfRule>
  </conditionalFormatting>
  <conditionalFormatting sqref="F77:BA109">
    <cfRule type="expression" dxfId="64" priority="52511">
      <formula>(F187="x")</formula>
    </cfRule>
  </conditionalFormatting>
  <conditionalFormatting sqref="F78:BA78">
    <cfRule type="expression" dxfId="63" priority="93">
      <formula>(F200="x")</formula>
    </cfRule>
  </conditionalFormatting>
  <conditionalFormatting sqref="F78:BA109">
    <cfRule type="expression" dxfId="62" priority="106570">
      <formula>(F282="x")</formula>
    </cfRule>
    <cfRule type="expression" dxfId="61" priority="24834">
      <formula>(F281="x")</formula>
    </cfRule>
  </conditionalFormatting>
  <conditionalFormatting sqref="F79:BA79 F81:BA109">
    <cfRule type="expression" dxfId="60" priority="11463">
      <formula>(F187="x")</formula>
    </cfRule>
  </conditionalFormatting>
  <conditionalFormatting sqref="F79:BA109">
    <cfRule type="expression" dxfId="59" priority="119859">
      <formula>(F188="x")</formula>
    </cfRule>
  </conditionalFormatting>
  <conditionalFormatting sqref="F81:BA109">
    <cfRule type="expression" dxfId="58" priority="115264">
      <formula>(F188="x")</formula>
    </cfRule>
  </conditionalFormatting>
  <conditionalFormatting sqref="F82:BA109">
    <cfRule type="expression" dxfId="57" priority="76263">
      <formula>(F212="x")</formula>
    </cfRule>
    <cfRule type="expression" dxfId="56" priority="119432">
      <formula>(F188="x")</formula>
    </cfRule>
    <cfRule type="expression" dxfId="55" priority="119046">
      <formula>(F187="x")</formula>
    </cfRule>
  </conditionalFormatting>
  <conditionalFormatting sqref="F101:BA109">
    <cfRule type="expression" dxfId="54" priority="120355">
      <formula>(F350="x")</formula>
    </cfRule>
    <cfRule type="expression" dxfId="53" priority="120339">
      <formula>(F205="x")</formula>
    </cfRule>
    <cfRule type="expression" dxfId="52" priority="116908">
      <formula>(F204="x")</formula>
    </cfRule>
    <cfRule type="expression" dxfId="51" priority="120354">
      <formula>(F351="x")</formula>
    </cfRule>
  </conditionalFormatting>
  <conditionalFormatting sqref="F101:BA110">
    <cfRule type="expression" dxfId="50" priority="160">
      <formula>(F280="x")</formula>
    </cfRule>
  </conditionalFormatting>
  <conditionalFormatting sqref="F109:BA109">
    <cfRule type="expression" dxfId="49" priority="6044">
      <formula>(F189="x")</formula>
    </cfRule>
    <cfRule type="expression" dxfId="48" priority="116550">
      <formula>(F185="x")</formula>
    </cfRule>
    <cfRule type="expression" dxfId="47" priority="119594">
      <formula>(F286="x")</formula>
    </cfRule>
    <cfRule type="expression" dxfId="46" priority="86433">
      <formula>(F192="x")</formula>
    </cfRule>
    <cfRule type="expression" dxfId="45" priority="117002">
      <formula>(F196="x")</formula>
    </cfRule>
    <cfRule type="expression" dxfId="44" priority="16361">
      <formula>(F193="x")</formula>
    </cfRule>
    <cfRule type="expression" dxfId="43" priority="24138">
      <formula>(F195="x")</formula>
    </cfRule>
    <cfRule type="expression" dxfId="42" priority="117781">
      <formula>(F197="x")</formula>
    </cfRule>
    <cfRule type="expression" dxfId="41" priority="118097">
      <formula>(F208="x")</formula>
    </cfRule>
    <cfRule type="expression" dxfId="40" priority="53902">
      <formula>(F188="x")</formula>
    </cfRule>
    <cfRule type="expression" dxfId="39" priority="118466">
      <formula>(F204="x")</formula>
    </cfRule>
    <cfRule type="expression" dxfId="38" priority="107618">
      <formula>(F209="x")</formula>
    </cfRule>
    <cfRule type="expression" dxfId="37" priority="119076">
      <formula>(F202="x")</formula>
    </cfRule>
    <cfRule type="expression" dxfId="36" priority="119077">
      <formula>(F203="x")</formula>
    </cfRule>
    <cfRule type="expression" dxfId="35" priority="119079">
      <formula>(F201="x")</formula>
    </cfRule>
    <cfRule type="expression" dxfId="34" priority="119907">
      <formula>(F210="x")</formula>
    </cfRule>
    <cfRule type="expression" dxfId="33" priority="119093">
      <formula>(F198="x")</formula>
    </cfRule>
    <cfRule type="expression" dxfId="32" priority="119058">
      <formula>(F207="x")</formula>
    </cfRule>
    <cfRule type="expression" dxfId="31" priority="7471">
      <formula>(F211="x")</formula>
    </cfRule>
    <cfRule type="expression" dxfId="30" priority="309">
      <formula>(F187="x")</formula>
    </cfRule>
    <cfRule type="expression" dxfId="29" priority="119131">
      <formula>(F191="x")</formula>
    </cfRule>
    <cfRule type="expression" dxfId="28" priority="115923">
      <formula>(F200="x")</formula>
    </cfRule>
    <cfRule type="expression" dxfId="27" priority="6123">
      <formula>(F190="x")</formula>
    </cfRule>
    <cfRule type="expression" dxfId="26" priority="83562">
      <formula>(F199="x")</formula>
    </cfRule>
    <cfRule type="expression" dxfId="25" priority="6138">
      <formula>(F206="x")</formula>
    </cfRule>
    <cfRule type="expression" dxfId="24" priority="6165">
      <formula>(F194="x")</formula>
    </cfRule>
  </conditionalFormatting>
  <conditionalFormatting sqref="F109:BA110">
    <cfRule type="expression" dxfId="23" priority="119065">
      <formula>(F205="x")</formula>
    </cfRule>
  </conditionalFormatting>
  <conditionalFormatting sqref="F111:BA111">
    <cfRule type="expression" dxfId="22" priority="472">
      <formula>(F188="x")</formula>
    </cfRule>
  </conditionalFormatting>
  <conditionalFormatting sqref="F208:BC279">
    <cfRule type="expression" dxfId="21" priority="473">
      <formula>(F208="x")</formula>
    </cfRule>
  </conditionalFormatting>
  <conditionalFormatting sqref="BB10:BB111">
    <cfRule type="expression" dxfId="20" priority="232">
      <formula>(BB10="No")</formula>
    </cfRule>
    <cfRule type="expression" dxfId="19" priority="231">
      <formula>(BB10="Yes")</formula>
    </cfRule>
  </conditionalFormatting>
  <conditionalFormatting sqref="BB208:BC279">
    <cfRule type="expression" dxfId="18" priority="418">
      <formula>BB208&lt;100.1</formula>
    </cfRule>
  </conditionalFormatting>
  <conditionalFormatting sqref="BE116:BE130">
    <cfRule type="expression" dxfId="17" priority="464">
      <formula>(BE116="No")</formula>
    </cfRule>
    <cfRule type="expression" dxfId="16" priority="463">
      <formula>(BE116="Yes")</formula>
    </cfRule>
  </conditionalFormatting>
  <pageMargins left="0.7" right="0.7" top="0.75" bottom="0.75" header="0.3" footer="0.3"/>
  <pageSetup scale="39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ADB29-14C5-4FD9-9AB2-2BAF4294C940}">
  <dimension ref="A1:C49"/>
  <sheetViews>
    <sheetView workbookViewId="0">
      <selection activeCell="G9" sqref="G9"/>
    </sheetView>
  </sheetViews>
  <sheetFormatPr defaultRowHeight="15" x14ac:dyDescent="0.25"/>
  <sheetData>
    <row r="1" spans="1:3" x14ac:dyDescent="0.25">
      <c r="A1" s="1" t="s">
        <v>291</v>
      </c>
      <c r="B1" s="1" t="s">
        <v>292</v>
      </c>
      <c r="C1" s="1" t="s">
        <v>293</v>
      </c>
    </row>
    <row r="2" spans="1:3" x14ac:dyDescent="0.25">
      <c r="A2" t="s">
        <v>78</v>
      </c>
      <c r="B2" t="s">
        <v>42</v>
      </c>
      <c r="C2">
        <v>27</v>
      </c>
    </row>
    <row r="3" spans="1:3" x14ac:dyDescent="0.25">
      <c r="A3" t="s">
        <v>78</v>
      </c>
      <c r="B3" t="s">
        <v>88</v>
      </c>
      <c r="C3">
        <v>6</v>
      </c>
    </row>
    <row r="4" spans="1:3" x14ac:dyDescent="0.25">
      <c r="A4" t="s">
        <v>78</v>
      </c>
      <c r="B4" t="s">
        <v>89</v>
      </c>
      <c r="C4">
        <v>11</v>
      </c>
    </row>
    <row r="5" spans="1:3" x14ac:dyDescent="0.25">
      <c r="A5" t="s">
        <v>78</v>
      </c>
      <c r="B5" t="s">
        <v>55</v>
      </c>
      <c r="C5">
        <v>12</v>
      </c>
    </row>
    <row r="6" spans="1:3" x14ac:dyDescent="0.25">
      <c r="A6" t="s">
        <v>79</v>
      </c>
      <c r="B6" t="s">
        <v>67</v>
      </c>
      <c r="C6">
        <v>19</v>
      </c>
    </row>
    <row r="7" spans="1:3" x14ac:dyDescent="0.25">
      <c r="A7" t="s">
        <v>79</v>
      </c>
      <c r="B7" t="s">
        <v>60</v>
      </c>
      <c r="C7">
        <v>26</v>
      </c>
    </row>
    <row r="8" spans="1:3" x14ac:dyDescent="0.25">
      <c r="A8" t="s">
        <v>79</v>
      </c>
      <c r="B8" t="s">
        <v>43</v>
      </c>
      <c r="C8">
        <v>3</v>
      </c>
    </row>
    <row r="9" spans="1:3" x14ac:dyDescent="0.25">
      <c r="A9" t="s">
        <v>79</v>
      </c>
      <c r="B9" t="s">
        <v>90</v>
      </c>
      <c r="C9">
        <v>10</v>
      </c>
    </row>
    <row r="10" spans="1:3" x14ac:dyDescent="0.25">
      <c r="A10" t="s">
        <v>80</v>
      </c>
      <c r="B10" t="s">
        <v>52</v>
      </c>
      <c r="C10">
        <v>54</v>
      </c>
    </row>
    <row r="11" spans="1:3" x14ac:dyDescent="0.25">
      <c r="A11" t="s">
        <v>80</v>
      </c>
      <c r="B11" t="s">
        <v>62</v>
      </c>
      <c r="C11">
        <v>21</v>
      </c>
    </row>
    <row r="12" spans="1:3" x14ac:dyDescent="0.25">
      <c r="A12" t="s">
        <v>80</v>
      </c>
      <c r="B12" t="s">
        <v>63</v>
      </c>
      <c r="C12">
        <v>5</v>
      </c>
    </row>
    <row r="13" spans="1:3" x14ac:dyDescent="0.25">
      <c r="A13" t="s">
        <v>80</v>
      </c>
      <c r="B13" t="s">
        <v>69</v>
      </c>
      <c r="C13">
        <v>9</v>
      </c>
    </row>
    <row r="14" spans="1:3" x14ac:dyDescent="0.25">
      <c r="A14" t="s">
        <v>81</v>
      </c>
      <c r="B14" t="s">
        <v>50</v>
      </c>
      <c r="C14">
        <v>23</v>
      </c>
    </row>
    <row r="15" spans="1:3" x14ac:dyDescent="0.25">
      <c r="A15" t="s">
        <v>81</v>
      </c>
      <c r="B15" t="s">
        <v>91</v>
      </c>
      <c r="C15">
        <v>13</v>
      </c>
    </row>
    <row r="16" spans="1:3" x14ac:dyDescent="0.25">
      <c r="A16" t="s">
        <v>81</v>
      </c>
      <c r="B16" t="s">
        <v>70</v>
      </c>
      <c r="C16">
        <v>7</v>
      </c>
    </row>
    <row r="17" spans="1:3" x14ac:dyDescent="0.25">
      <c r="A17" t="s">
        <v>81</v>
      </c>
      <c r="B17" t="s">
        <v>53</v>
      </c>
      <c r="C17">
        <v>20</v>
      </c>
    </row>
    <row r="18" spans="1:3" x14ac:dyDescent="0.25">
      <c r="A18" t="s">
        <v>82</v>
      </c>
      <c r="B18" t="s">
        <v>38</v>
      </c>
      <c r="C18">
        <v>45</v>
      </c>
    </row>
    <row r="19" spans="1:3" x14ac:dyDescent="0.25">
      <c r="A19" t="s">
        <v>82</v>
      </c>
      <c r="B19" t="s">
        <v>74</v>
      </c>
      <c r="C19">
        <v>3</v>
      </c>
    </row>
    <row r="20" spans="1:3" x14ac:dyDescent="0.25">
      <c r="A20" t="s">
        <v>82</v>
      </c>
      <c r="B20" t="s">
        <v>75</v>
      </c>
      <c r="C20">
        <v>9</v>
      </c>
    </row>
    <row r="21" spans="1:3" x14ac:dyDescent="0.25">
      <c r="A21" t="s">
        <v>82</v>
      </c>
      <c r="B21" t="s">
        <v>54</v>
      </c>
      <c r="C21">
        <v>17</v>
      </c>
    </row>
    <row r="22" spans="1:3" x14ac:dyDescent="0.25">
      <c r="A22" t="s">
        <v>83</v>
      </c>
      <c r="B22" t="s">
        <v>40</v>
      </c>
      <c r="C22">
        <v>35</v>
      </c>
    </row>
    <row r="23" spans="1:3" x14ac:dyDescent="0.25">
      <c r="A23" t="s">
        <v>83</v>
      </c>
      <c r="B23" t="s">
        <v>41</v>
      </c>
      <c r="C23">
        <v>20</v>
      </c>
    </row>
    <row r="24" spans="1:3" x14ac:dyDescent="0.25">
      <c r="A24" t="s">
        <v>83</v>
      </c>
      <c r="B24" t="s">
        <v>73</v>
      </c>
      <c r="C24">
        <v>7</v>
      </c>
    </row>
    <row r="25" spans="1:3" x14ac:dyDescent="0.25">
      <c r="A25" t="s">
        <v>83</v>
      </c>
      <c r="B25" t="s">
        <v>57</v>
      </c>
      <c r="C25">
        <v>14</v>
      </c>
    </row>
    <row r="26" spans="1:3" x14ac:dyDescent="0.25">
      <c r="A26" t="s">
        <v>84</v>
      </c>
      <c r="B26" t="s">
        <v>47</v>
      </c>
      <c r="C26">
        <v>38</v>
      </c>
    </row>
    <row r="27" spans="1:3" x14ac:dyDescent="0.25">
      <c r="A27" t="s">
        <v>84</v>
      </c>
      <c r="B27" t="s">
        <v>71</v>
      </c>
      <c r="C27">
        <v>10</v>
      </c>
    </row>
    <row r="28" spans="1:3" x14ac:dyDescent="0.25">
      <c r="A28" t="s">
        <v>84</v>
      </c>
      <c r="B28" t="s">
        <v>76</v>
      </c>
      <c r="C28">
        <v>8</v>
      </c>
    </row>
    <row r="29" spans="1:3" x14ac:dyDescent="0.25">
      <c r="A29" t="s">
        <v>84</v>
      </c>
      <c r="B29" t="s">
        <v>58</v>
      </c>
      <c r="C29">
        <v>4</v>
      </c>
    </row>
    <row r="30" spans="1:3" x14ac:dyDescent="0.25">
      <c r="A30" t="s">
        <v>85</v>
      </c>
      <c r="B30" t="s">
        <v>45</v>
      </c>
      <c r="C30">
        <v>70</v>
      </c>
    </row>
    <row r="31" spans="1:3" x14ac:dyDescent="0.25">
      <c r="A31" t="s">
        <v>85</v>
      </c>
      <c r="B31" t="s">
        <v>92</v>
      </c>
      <c r="C31">
        <v>4</v>
      </c>
    </row>
    <row r="32" spans="1:3" x14ac:dyDescent="0.25">
      <c r="A32" t="s">
        <v>85</v>
      </c>
      <c r="B32" t="s">
        <v>93</v>
      </c>
      <c r="C32">
        <v>5</v>
      </c>
    </row>
    <row r="33" spans="1:3" x14ac:dyDescent="0.25">
      <c r="A33" t="s">
        <v>85</v>
      </c>
      <c r="B33" t="s">
        <v>68</v>
      </c>
      <c r="C33">
        <v>18</v>
      </c>
    </row>
    <row r="34" spans="1:3" x14ac:dyDescent="0.25">
      <c r="A34" t="s">
        <v>284</v>
      </c>
      <c r="B34" t="s">
        <v>59</v>
      </c>
      <c r="C34">
        <v>68</v>
      </c>
    </row>
    <row r="35" spans="1:3" x14ac:dyDescent="0.25">
      <c r="A35" t="s">
        <v>284</v>
      </c>
      <c r="B35" t="s">
        <v>65</v>
      </c>
      <c r="C35">
        <v>13</v>
      </c>
    </row>
    <row r="36" spans="1:3" x14ac:dyDescent="0.25">
      <c r="A36" t="s">
        <v>284</v>
      </c>
      <c r="B36" t="s">
        <v>39</v>
      </c>
      <c r="C36">
        <v>30</v>
      </c>
    </row>
    <row r="37" spans="1:3" x14ac:dyDescent="0.25">
      <c r="A37" t="s">
        <v>284</v>
      </c>
      <c r="B37" t="s">
        <v>94</v>
      </c>
      <c r="C37">
        <v>5</v>
      </c>
    </row>
    <row r="38" spans="1:3" x14ac:dyDescent="0.25">
      <c r="A38" t="s">
        <v>285</v>
      </c>
      <c r="B38" t="s">
        <v>51</v>
      </c>
      <c r="C38">
        <v>52</v>
      </c>
    </row>
    <row r="39" spans="1:3" x14ac:dyDescent="0.25">
      <c r="A39" t="s">
        <v>285</v>
      </c>
      <c r="B39" t="s">
        <v>46</v>
      </c>
      <c r="C39">
        <v>8</v>
      </c>
    </row>
    <row r="40" spans="1:3" x14ac:dyDescent="0.25">
      <c r="A40" t="s">
        <v>285</v>
      </c>
      <c r="B40" t="s">
        <v>48</v>
      </c>
      <c r="C40">
        <v>12</v>
      </c>
    </row>
    <row r="41" spans="1:3" x14ac:dyDescent="0.25">
      <c r="A41" t="s">
        <v>285</v>
      </c>
      <c r="B41" t="s">
        <v>56</v>
      </c>
      <c r="C41">
        <v>3</v>
      </c>
    </row>
    <row r="42" spans="1:3" x14ac:dyDescent="0.25">
      <c r="A42" t="s">
        <v>286</v>
      </c>
      <c r="B42" t="s">
        <v>61</v>
      </c>
      <c r="C42">
        <v>50</v>
      </c>
    </row>
    <row r="43" spans="1:3" x14ac:dyDescent="0.25">
      <c r="A43" t="s">
        <v>286</v>
      </c>
      <c r="B43" t="s">
        <v>95</v>
      </c>
      <c r="C43">
        <v>5</v>
      </c>
    </row>
    <row r="44" spans="1:3" x14ac:dyDescent="0.25">
      <c r="A44" t="s">
        <v>286</v>
      </c>
      <c r="B44" t="s">
        <v>72</v>
      </c>
      <c r="C44">
        <v>25</v>
      </c>
    </row>
    <row r="45" spans="1:3" x14ac:dyDescent="0.25">
      <c r="A45" t="s">
        <v>286</v>
      </c>
      <c r="B45" t="s">
        <v>77</v>
      </c>
      <c r="C45">
        <v>6</v>
      </c>
    </row>
    <row r="46" spans="1:3" x14ac:dyDescent="0.25">
      <c r="A46" t="s">
        <v>287</v>
      </c>
      <c r="B46" t="s">
        <v>44</v>
      </c>
      <c r="C46">
        <v>60</v>
      </c>
    </row>
    <row r="47" spans="1:3" x14ac:dyDescent="0.25">
      <c r="A47" t="s">
        <v>287</v>
      </c>
      <c r="B47" t="s">
        <v>49</v>
      </c>
      <c r="C47">
        <v>16</v>
      </c>
    </row>
    <row r="48" spans="1:3" x14ac:dyDescent="0.25">
      <c r="A48" t="s">
        <v>287</v>
      </c>
      <c r="B48" t="s">
        <v>66</v>
      </c>
      <c r="C48">
        <v>7</v>
      </c>
    </row>
    <row r="49" spans="1:3" x14ac:dyDescent="0.25">
      <c r="A49" t="s">
        <v>287</v>
      </c>
      <c r="B49" t="s">
        <v>64</v>
      </c>
      <c r="C49">
        <v>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9"/>
  <sheetViews>
    <sheetView topLeftCell="B1" workbookViewId="0">
      <selection activeCell="F20" sqref="F20"/>
    </sheetView>
  </sheetViews>
  <sheetFormatPr defaultRowHeight="15" x14ac:dyDescent="0.25"/>
  <cols>
    <col min="1" max="1" width="9.140625" hidden="1" customWidth="1"/>
    <col min="3" max="3" width="9.140625" style="5" customWidth="1"/>
    <col min="4" max="4" width="9.42578125" style="5" bestFit="1" customWidth="1"/>
    <col min="5" max="5" width="18.7109375" bestFit="1" customWidth="1"/>
  </cols>
  <sheetData>
    <row r="1" spans="1:6" x14ac:dyDescent="0.25">
      <c r="C1" s="5" t="s">
        <v>97</v>
      </c>
      <c r="D1" s="5" t="s">
        <v>108</v>
      </c>
    </row>
    <row r="2" spans="1:6" x14ac:dyDescent="0.25">
      <c r="A2">
        <v>1</v>
      </c>
      <c r="B2" t="s">
        <v>109</v>
      </c>
      <c r="C2" s="21">
        <v>250</v>
      </c>
      <c r="D2" s="39">
        <f t="shared" ref="D2:D13" si="0">C2/$F$2/10</f>
        <v>0.25</v>
      </c>
      <c r="E2" s="12" t="s">
        <v>110</v>
      </c>
      <c r="F2">
        <f>COUNT(Standings!D:D)</f>
        <v>100</v>
      </c>
    </row>
    <row r="3" spans="1:6" x14ac:dyDescent="0.25">
      <c r="A3">
        <v>2</v>
      </c>
      <c r="B3" t="s">
        <v>111</v>
      </c>
      <c r="C3" s="21">
        <v>160</v>
      </c>
      <c r="D3" s="39">
        <f t="shared" si="0"/>
        <v>0.16</v>
      </c>
      <c r="E3" s="12" t="s">
        <v>112</v>
      </c>
      <c r="F3">
        <f>CEILING(F2*0.15,1)</f>
        <v>15</v>
      </c>
    </row>
    <row r="4" spans="1:6" x14ac:dyDescent="0.25">
      <c r="A4">
        <v>3</v>
      </c>
      <c r="B4" t="s">
        <v>113</v>
      </c>
      <c r="C4" s="21">
        <v>120</v>
      </c>
      <c r="D4" s="39">
        <f t="shared" si="0"/>
        <v>0.12</v>
      </c>
    </row>
    <row r="5" spans="1:6" x14ac:dyDescent="0.25">
      <c r="A5">
        <v>4</v>
      </c>
      <c r="B5" t="s">
        <v>114</v>
      </c>
      <c r="C5" s="21">
        <v>90</v>
      </c>
      <c r="D5" s="39">
        <f t="shared" si="0"/>
        <v>0.09</v>
      </c>
    </row>
    <row r="6" spans="1:6" x14ac:dyDescent="0.25">
      <c r="A6">
        <v>5</v>
      </c>
      <c r="B6" t="s">
        <v>115</v>
      </c>
      <c r="C6" s="21">
        <v>70</v>
      </c>
      <c r="D6" s="39">
        <f t="shared" si="0"/>
        <v>6.9999999999999993E-2</v>
      </c>
    </row>
    <row r="7" spans="1:6" x14ac:dyDescent="0.25">
      <c r="A7">
        <v>6</v>
      </c>
      <c r="B7" t="s">
        <v>116</v>
      </c>
      <c r="C7" s="21">
        <v>60</v>
      </c>
      <c r="D7" s="39">
        <f t="shared" si="0"/>
        <v>0.06</v>
      </c>
    </row>
    <row r="8" spans="1:6" x14ac:dyDescent="0.25">
      <c r="A8">
        <v>7</v>
      </c>
      <c r="B8" t="s">
        <v>117</v>
      </c>
      <c r="C8" s="21">
        <v>50</v>
      </c>
      <c r="D8" s="39">
        <f t="shared" si="0"/>
        <v>0.05</v>
      </c>
    </row>
    <row r="9" spans="1:6" x14ac:dyDescent="0.25">
      <c r="A9">
        <v>8</v>
      </c>
      <c r="B9" t="s">
        <v>118</v>
      </c>
      <c r="C9" s="21">
        <v>40</v>
      </c>
      <c r="D9" s="39">
        <f t="shared" si="0"/>
        <v>0.04</v>
      </c>
    </row>
    <row r="10" spans="1:6" x14ac:dyDescent="0.25">
      <c r="A10">
        <v>9</v>
      </c>
      <c r="B10" t="s">
        <v>119</v>
      </c>
      <c r="C10" s="21">
        <v>40</v>
      </c>
      <c r="D10" s="39">
        <f t="shared" si="0"/>
        <v>0.04</v>
      </c>
    </row>
    <row r="11" spans="1:6" x14ac:dyDescent="0.25">
      <c r="A11">
        <v>10</v>
      </c>
      <c r="B11" t="s">
        <v>120</v>
      </c>
      <c r="C11" s="21">
        <v>30</v>
      </c>
      <c r="D11" s="39">
        <f t="shared" si="0"/>
        <v>0.03</v>
      </c>
    </row>
    <row r="12" spans="1:6" x14ac:dyDescent="0.25">
      <c r="A12">
        <v>11</v>
      </c>
      <c r="B12" t="s">
        <v>121</v>
      </c>
      <c r="C12" s="21">
        <v>30</v>
      </c>
      <c r="D12" s="39">
        <f t="shared" si="0"/>
        <v>0.03</v>
      </c>
    </row>
    <row r="13" spans="1:6" x14ac:dyDescent="0.25">
      <c r="A13">
        <v>12</v>
      </c>
      <c r="B13" t="s">
        <v>122</v>
      </c>
      <c r="C13" s="21">
        <v>20</v>
      </c>
      <c r="D13" s="39">
        <f t="shared" si="0"/>
        <v>0.02</v>
      </c>
    </row>
    <row r="14" spans="1:6" x14ac:dyDescent="0.25">
      <c r="B14" t="s">
        <v>288</v>
      </c>
      <c r="C14" s="21">
        <v>20</v>
      </c>
      <c r="D14" s="39">
        <f t="shared" ref="D14:D16" si="1">C14/$F$2/10</f>
        <v>0.02</v>
      </c>
    </row>
    <row r="15" spans="1:6" x14ac:dyDescent="0.25">
      <c r="B15" t="s">
        <v>290</v>
      </c>
      <c r="C15" s="21">
        <v>10</v>
      </c>
      <c r="D15" s="39">
        <f t="shared" si="1"/>
        <v>0.01</v>
      </c>
    </row>
    <row r="16" spans="1:6" x14ac:dyDescent="0.25">
      <c r="B16" t="s">
        <v>289</v>
      </c>
      <c r="C16" s="21">
        <v>10</v>
      </c>
      <c r="D16" s="39">
        <f t="shared" si="1"/>
        <v>0.01</v>
      </c>
    </row>
    <row r="17" spans="2:3" x14ac:dyDescent="0.25">
      <c r="C17" s="21"/>
    </row>
    <row r="18" spans="2:3" x14ac:dyDescent="0.25">
      <c r="C18" s="21">
        <f>SUM(C2:C16)</f>
        <v>1000</v>
      </c>
    </row>
    <row r="19" spans="2:3" x14ac:dyDescent="0.25">
      <c r="B19" t="s">
        <v>123</v>
      </c>
      <c r="C19" s="5" t="b">
        <f>SUM(C2:C16)=(F2*10)</f>
        <v>1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Z27"/>
  <sheetViews>
    <sheetView zoomScale="90" zoomScaleNormal="90" workbookViewId="0">
      <selection activeCell="B12" sqref="B12"/>
    </sheetView>
  </sheetViews>
  <sheetFormatPr defaultRowHeight="15" x14ac:dyDescent="0.25"/>
  <cols>
    <col min="1" max="1" width="21.28515625" customWidth="1"/>
    <col min="2" max="2" width="6" bestFit="1" customWidth="1"/>
    <col min="3" max="9" width="5.5703125" bestFit="1" customWidth="1"/>
    <col min="10" max="25" width="5.5703125" customWidth="1"/>
    <col min="26" max="33" width="5.5703125" bestFit="1" customWidth="1"/>
    <col min="34" max="41" width="5.5703125" customWidth="1"/>
    <col min="42" max="49" width="5.5703125" bestFit="1" customWidth="1"/>
    <col min="51" max="51" width="3.42578125" bestFit="1" customWidth="1"/>
    <col min="52" max="55" width="13.7109375" customWidth="1"/>
  </cols>
  <sheetData>
    <row r="1" spans="1:52" ht="63.75" customHeight="1" thickBot="1" x14ac:dyDescent="0.3">
      <c r="B1" s="19" t="s">
        <v>46</v>
      </c>
      <c r="C1" s="19" t="s">
        <v>51</v>
      </c>
      <c r="D1" s="19" t="s">
        <v>70</v>
      </c>
      <c r="E1" s="19" t="s">
        <v>48</v>
      </c>
      <c r="F1" s="19" t="s">
        <v>47</v>
      </c>
      <c r="G1" s="19" t="s">
        <v>90</v>
      </c>
      <c r="H1" s="19" t="s">
        <v>52</v>
      </c>
      <c r="I1" s="19" t="s">
        <v>67</v>
      </c>
      <c r="J1" s="19" t="s">
        <v>92</v>
      </c>
      <c r="K1" s="19" t="s">
        <v>72</v>
      </c>
      <c r="L1" s="19" t="s">
        <v>49</v>
      </c>
      <c r="M1" s="19" t="s">
        <v>74</v>
      </c>
      <c r="N1" s="19" t="s">
        <v>55</v>
      </c>
      <c r="O1" s="19" t="s">
        <v>77</v>
      </c>
      <c r="P1" s="19" t="s">
        <v>54</v>
      </c>
      <c r="Q1" s="19" t="s">
        <v>71</v>
      </c>
      <c r="R1" s="19" t="s">
        <v>44</v>
      </c>
      <c r="S1" s="19" t="s">
        <v>59</v>
      </c>
      <c r="T1" s="19" t="s">
        <v>38</v>
      </c>
      <c r="U1" s="19" t="s">
        <v>66</v>
      </c>
      <c r="V1" s="19" t="s">
        <v>63</v>
      </c>
      <c r="W1" s="19" t="s">
        <v>76</v>
      </c>
      <c r="X1" s="19" t="s">
        <v>94</v>
      </c>
      <c r="Y1" s="19" t="s">
        <v>75</v>
      </c>
      <c r="Z1" s="19" t="s">
        <v>41</v>
      </c>
      <c r="AA1" s="19" t="s">
        <v>56</v>
      </c>
      <c r="AB1" s="19" t="s">
        <v>42</v>
      </c>
      <c r="AC1" s="19" t="s">
        <v>62</v>
      </c>
      <c r="AD1" s="19" t="s">
        <v>40</v>
      </c>
      <c r="AE1" s="19" t="s">
        <v>58</v>
      </c>
      <c r="AF1" s="19" t="s">
        <v>39</v>
      </c>
      <c r="AG1" s="19" t="s">
        <v>64</v>
      </c>
      <c r="AH1" s="19" t="s">
        <v>91</v>
      </c>
      <c r="AI1" s="19" t="s">
        <v>61</v>
      </c>
      <c r="AJ1" s="19" t="s">
        <v>43</v>
      </c>
      <c r="AK1" s="19" t="s">
        <v>93</v>
      </c>
      <c r="AL1" s="19" t="s">
        <v>69</v>
      </c>
      <c r="AM1" s="19" t="s">
        <v>65</v>
      </c>
      <c r="AN1" s="19" t="s">
        <v>88</v>
      </c>
      <c r="AO1" s="19" t="s">
        <v>89</v>
      </c>
      <c r="AP1" s="19" t="s">
        <v>45</v>
      </c>
      <c r="AQ1" s="19" t="s">
        <v>57</v>
      </c>
      <c r="AR1" s="19" t="s">
        <v>60</v>
      </c>
      <c r="AS1" s="19" t="s">
        <v>73</v>
      </c>
      <c r="AT1" s="19" t="s">
        <v>53</v>
      </c>
      <c r="AU1" s="19" t="s">
        <v>68</v>
      </c>
      <c r="AV1" s="19" t="s">
        <v>50</v>
      </c>
      <c r="AW1" s="19" t="s">
        <v>95</v>
      </c>
    </row>
    <row r="2" spans="1:52" ht="15.75" customHeight="1" thickBot="1" x14ac:dyDescent="0.3">
      <c r="A2" t="s">
        <v>124</v>
      </c>
      <c r="B2" s="8"/>
      <c r="C2" s="8"/>
      <c r="D2" s="8"/>
      <c r="E2" s="8"/>
      <c r="F2" s="8"/>
      <c r="G2" s="8">
        <v>1</v>
      </c>
      <c r="H2" s="8"/>
      <c r="I2" s="8">
        <v>1</v>
      </c>
      <c r="J2" s="8"/>
      <c r="K2" s="8"/>
      <c r="L2" s="8"/>
      <c r="M2" s="8"/>
      <c r="N2" s="8">
        <v>0</v>
      </c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9"/>
      <c r="AA2" s="9"/>
      <c r="AB2" s="9">
        <v>2</v>
      </c>
      <c r="AC2" s="9"/>
      <c r="AD2" s="9"/>
      <c r="AE2" s="9"/>
      <c r="AF2" s="9"/>
      <c r="AG2" s="9"/>
      <c r="AH2" s="8">
        <v>0</v>
      </c>
      <c r="AI2" s="8"/>
      <c r="AJ2" s="8"/>
      <c r="AK2" s="8"/>
      <c r="AL2" s="8"/>
      <c r="AM2" s="8"/>
      <c r="AN2" s="8">
        <v>0</v>
      </c>
      <c r="AO2" s="8">
        <v>2</v>
      </c>
      <c r="AP2" s="9"/>
      <c r="AQ2" s="9"/>
      <c r="AR2" s="9"/>
      <c r="AS2" s="9"/>
      <c r="AT2" s="9"/>
      <c r="AU2" s="9"/>
      <c r="AV2" s="9">
        <v>2</v>
      </c>
      <c r="AW2" s="9"/>
      <c r="AY2">
        <f t="shared" ref="AY2:AY8" si="0">SUM(B2:AW2)</f>
        <v>8</v>
      </c>
      <c r="AZ2" t="s">
        <v>125</v>
      </c>
    </row>
    <row r="3" spans="1:52" ht="15.75" customHeight="1" thickBot="1" x14ac:dyDescent="0.3">
      <c r="A3" t="s">
        <v>126</v>
      </c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9"/>
      <c r="AA3" s="9"/>
      <c r="AB3" s="9"/>
      <c r="AC3" s="9"/>
      <c r="AD3" s="9"/>
      <c r="AE3" s="9"/>
      <c r="AF3" s="9"/>
      <c r="AG3" s="9"/>
      <c r="AH3" s="8"/>
      <c r="AI3" s="8"/>
      <c r="AJ3" s="8"/>
      <c r="AK3" s="8"/>
      <c r="AL3" s="8"/>
      <c r="AM3" s="8"/>
      <c r="AN3" s="8"/>
      <c r="AO3" s="8"/>
      <c r="AP3" s="9"/>
      <c r="AQ3" s="9"/>
      <c r="AR3" s="9"/>
      <c r="AS3" s="9"/>
      <c r="AT3" s="9"/>
      <c r="AU3" s="9"/>
      <c r="AV3" s="9"/>
      <c r="AW3" s="9"/>
      <c r="AY3">
        <f t="shared" si="0"/>
        <v>0</v>
      </c>
      <c r="AZ3" t="s">
        <v>125</v>
      </c>
    </row>
    <row r="4" spans="1:52" ht="15.75" customHeight="1" thickBot="1" x14ac:dyDescent="0.3">
      <c r="A4" t="s">
        <v>127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9"/>
      <c r="AA4" s="9"/>
      <c r="AB4" s="9"/>
      <c r="AC4" s="9"/>
      <c r="AD4" s="9"/>
      <c r="AE4" s="9"/>
      <c r="AF4" s="9"/>
      <c r="AG4" s="9"/>
      <c r="AH4" s="8"/>
      <c r="AI4" s="8"/>
      <c r="AJ4" s="8"/>
      <c r="AK4" s="8"/>
      <c r="AL4" s="8"/>
      <c r="AM4" s="8"/>
      <c r="AN4" s="8"/>
      <c r="AO4" s="8"/>
      <c r="AP4" s="9"/>
      <c r="AQ4" s="9"/>
      <c r="AR4" s="9"/>
      <c r="AS4" s="9"/>
      <c r="AT4" s="9"/>
      <c r="AU4" s="9"/>
      <c r="AV4" s="9"/>
      <c r="AW4" s="9"/>
      <c r="AY4">
        <f t="shared" si="0"/>
        <v>0</v>
      </c>
      <c r="AZ4" t="s">
        <v>125</v>
      </c>
    </row>
    <row r="5" spans="1:52" ht="15.75" customHeight="1" thickBot="1" x14ac:dyDescent="0.3">
      <c r="A5" t="s">
        <v>128</v>
      </c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9"/>
      <c r="AA5" s="9"/>
      <c r="AB5" s="9"/>
      <c r="AC5" s="9"/>
      <c r="AD5" s="9"/>
      <c r="AE5" s="9"/>
      <c r="AF5" s="9"/>
      <c r="AG5" s="9"/>
      <c r="AH5" s="8"/>
      <c r="AI5" s="8"/>
      <c r="AJ5" s="8"/>
      <c r="AK5" s="8"/>
      <c r="AL5" s="8"/>
      <c r="AM5" s="8"/>
      <c r="AN5" s="8"/>
      <c r="AO5" s="8"/>
      <c r="AP5" s="9"/>
      <c r="AQ5" s="9"/>
      <c r="AR5" s="9"/>
      <c r="AS5" s="9"/>
      <c r="AT5" s="9"/>
      <c r="AU5" s="9"/>
      <c r="AV5" s="9"/>
      <c r="AW5" s="9"/>
      <c r="AY5">
        <f t="shared" si="0"/>
        <v>0</v>
      </c>
      <c r="AZ5" t="s">
        <v>125</v>
      </c>
    </row>
    <row r="6" spans="1:52" ht="15.75" customHeight="1" thickBot="1" x14ac:dyDescent="0.3">
      <c r="A6" t="s">
        <v>129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9"/>
      <c r="AA6" s="9"/>
      <c r="AB6" s="9"/>
      <c r="AC6" s="9"/>
      <c r="AD6" s="9"/>
      <c r="AE6" s="9"/>
      <c r="AF6" s="9"/>
      <c r="AG6" s="9"/>
      <c r="AH6" s="8"/>
      <c r="AI6" s="8"/>
      <c r="AJ6" s="8"/>
      <c r="AK6" s="8"/>
      <c r="AL6" s="8"/>
      <c r="AM6" s="8"/>
      <c r="AN6" s="8"/>
      <c r="AO6" s="8"/>
      <c r="AP6" s="9"/>
      <c r="AQ6" s="9"/>
      <c r="AR6" s="9"/>
      <c r="AS6" s="9"/>
      <c r="AT6" s="9"/>
      <c r="AU6" s="9"/>
      <c r="AV6" s="9"/>
      <c r="AW6" s="9"/>
      <c r="AY6">
        <f t="shared" si="0"/>
        <v>0</v>
      </c>
      <c r="AZ6" t="s">
        <v>125</v>
      </c>
    </row>
    <row r="7" spans="1:52" ht="15.75" customHeight="1" thickBot="1" x14ac:dyDescent="0.3">
      <c r="A7" t="s">
        <v>130</v>
      </c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9"/>
      <c r="AA7" s="9"/>
      <c r="AB7" s="9"/>
      <c r="AC7" s="9"/>
      <c r="AD7" s="9"/>
      <c r="AE7" s="9"/>
      <c r="AF7" s="9"/>
      <c r="AG7" s="9"/>
      <c r="AH7" s="8"/>
      <c r="AI7" s="8"/>
      <c r="AJ7" s="8"/>
      <c r="AK7" s="8"/>
      <c r="AL7" s="8"/>
      <c r="AM7" s="8"/>
      <c r="AN7" s="8"/>
      <c r="AO7" s="8"/>
      <c r="AP7" s="9"/>
      <c r="AQ7" s="9"/>
      <c r="AR7" s="9"/>
      <c r="AS7" s="9"/>
      <c r="AT7" s="9"/>
      <c r="AU7" s="9"/>
      <c r="AV7" s="9"/>
      <c r="AW7" s="9"/>
      <c r="AY7">
        <f t="shared" si="0"/>
        <v>0</v>
      </c>
      <c r="AZ7" t="s">
        <v>125</v>
      </c>
    </row>
    <row r="8" spans="1:52" ht="15.75" customHeight="1" thickBot="1" x14ac:dyDescent="0.3">
      <c r="A8" t="s">
        <v>131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9"/>
      <c r="AA8" s="9"/>
      <c r="AB8" s="9"/>
      <c r="AC8" s="9"/>
      <c r="AD8" s="9"/>
      <c r="AE8" s="9"/>
      <c r="AF8" s="9"/>
      <c r="AG8" s="9"/>
      <c r="AH8" s="8"/>
      <c r="AI8" s="8"/>
      <c r="AJ8" s="8"/>
      <c r="AK8" s="8"/>
      <c r="AL8" s="8"/>
      <c r="AM8" s="8"/>
      <c r="AN8" s="8"/>
      <c r="AO8" s="8"/>
      <c r="AP8" s="9"/>
      <c r="AQ8" s="9"/>
      <c r="AR8" s="9"/>
      <c r="AS8" s="9"/>
      <c r="AT8" s="9"/>
      <c r="AU8" s="9"/>
      <c r="AV8" s="9"/>
      <c r="AW8" s="9"/>
      <c r="AY8">
        <f t="shared" si="0"/>
        <v>0</v>
      </c>
      <c r="AZ8" t="s">
        <v>125</v>
      </c>
    </row>
    <row r="9" spans="1:52" ht="15.75" customHeight="1" thickBot="1" x14ac:dyDescent="0.3">
      <c r="A9" t="s">
        <v>132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9"/>
      <c r="AA9" s="9"/>
      <c r="AB9" s="9"/>
      <c r="AC9" s="9"/>
      <c r="AD9" s="9"/>
      <c r="AE9" s="9"/>
      <c r="AF9" s="9"/>
      <c r="AG9" s="9"/>
      <c r="AH9" s="8"/>
      <c r="AI9" s="8"/>
      <c r="AJ9" s="8"/>
      <c r="AK9" s="8"/>
      <c r="AL9" s="8"/>
      <c r="AM9" s="8"/>
      <c r="AN9" s="8"/>
      <c r="AO9" s="8"/>
      <c r="AP9" s="9"/>
      <c r="AQ9" s="9"/>
      <c r="AR9" s="9"/>
      <c r="AS9" s="9"/>
      <c r="AT9" s="9"/>
      <c r="AU9" s="9"/>
      <c r="AV9" s="9"/>
      <c r="AW9" s="9"/>
    </row>
    <row r="10" spans="1:52" ht="15.75" customHeight="1" thickBot="1" x14ac:dyDescent="0.3">
      <c r="A10" t="s">
        <v>133</v>
      </c>
      <c r="B10" s="8">
        <f t="shared" ref="B10:AW10" si="1">SUM(B2:B9)</f>
        <v>0</v>
      </c>
      <c r="C10" s="8">
        <f t="shared" si="1"/>
        <v>0</v>
      </c>
      <c r="D10" s="8">
        <f t="shared" si="1"/>
        <v>0</v>
      </c>
      <c r="E10" s="8">
        <f t="shared" si="1"/>
        <v>0</v>
      </c>
      <c r="F10" s="8">
        <f t="shared" si="1"/>
        <v>0</v>
      </c>
      <c r="G10" s="8">
        <f t="shared" si="1"/>
        <v>1</v>
      </c>
      <c r="H10" s="8">
        <f t="shared" si="1"/>
        <v>0</v>
      </c>
      <c r="I10" s="8">
        <f t="shared" si="1"/>
        <v>1</v>
      </c>
      <c r="J10" s="8">
        <f t="shared" si="1"/>
        <v>0</v>
      </c>
      <c r="K10" s="8">
        <f t="shared" si="1"/>
        <v>0</v>
      </c>
      <c r="L10" s="8">
        <f t="shared" si="1"/>
        <v>0</v>
      </c>
      <c r="M10" s="8">
        <f t="shared" si="1"/>
        <v>0</v>
      </c>
      <c r="N10" s="8">
        <f t="shared" si="1"/>
        <v>0</v>
      </c>
      <c r="O10" s="8">
        <f t="shared" si="1"/>
        <v>0</v>
      </c>
      <c r="P10" s="8">
        <f t="shared" si="1"/>
        <v>0</v>
      </c>
      <c r="Q10" s="8">
        <f t="shared" si="1"/>
        <v>0</v>
      </c>
      <c r="R10" s="8">
        <f t="shared" si="1"/>
        <v>0</v>
      </c>
      <c r="S10" s="8">
        <f t="shared" si="1"/>
        <v>0</v>
      </c>
      <c r="T10" s="8">
        <f t="shared" si="1"/>
        <v>0</v>
      </c>
      <c r="U10" s="8">
        <f t="shared" si="1"/>
        <v>0</v>
      </c>
      <c r="V10" s="8">
        <f t="shared" si="1"/>
        <v>0</v>
      </c>
      <c r="W10" s="8">
        <f t="shared" si="1"/>
        <v>0</v>
      </c>
      <c r="X10" s="8">
        <f t="shared" si="1"/>
        <v>0</v>
      </c>
      <c r="Y10" s="8">
        <f t="shared" si="1"/>
        <v>0</v>
      </c>
      <c r="Z10" s="8">
        <f t="shared" si="1"/>
        <v>0</v>
      </c>
      <c r="AA10" s="8">
        <f t="shared" si="1"/>
        <v>0</v>
      </c>
      <c r="AB10" s="8">
        <f t="shared" si="1"/>
        <v>2</v>
      </c>
      <c r="AC10" s="8">
        <f t="shared" si="1"/>
        <v>0</v>
      </c>
      <c r="AD10" s="8">
        <f t="shared" si="1"/>
        <v>0</v>
      </c>
      <c r="AE10" s="8">
        <f t="shared" si="1"/>
        <v>0</v>
      </c>
      <c r="AF10" s="8">
        <f t="shared" si="1"/>
        <v>0</v>
      </c>
      <c r="AG10" s="8">
        <f t="shared" si="1"/>
        <v>0</v>
      </c>
      <c r="AH10" s="8">
        <f t="shared" si="1"/>
        <v>0</v>
      </c>
      <c r="AI10" s="8">
        <f t="shared" si="1"/>
        <v>0</v>
      </c>
      <c r="AJ10" s="8">
        <f t="shared" si="1"/>
        <v>0</v>
      </c>
      <c r="AK10" s="8">
        <f t="shared" si="1"/>
        <v>0</v>
      </c>
      <c r="AL10" s="8">
        <f t="shared" si="1"/>
        <v>0</v>
      </c>
      <c r="AM10" s="8">
        <f t="shared" si="1"/>
        <v>0</v>
      </c>
      <c r="AN10" s="8">
        <f t="shared" si="1"/>
        <v>0</v>
      </c>
      <c r="AO10" s="8">
        <f t="shared" si="1"/>
        <v>2</v>
      </c>
      <c r="AP10" s="8">
        <f t="shared" si="1"/>
        <v>0</v>
      </c>
      <c r="AQ10" s="8">
        <f t="shared" si="1"/>
        <v>0</v>
      </c>
      <c r="AR10" s="8">
        <f t="shared" si="1"/>
        <v>0</v>
      </c>
      <c r="AS10" s="8">
        <f t="shared" si="1"/>
        <v>0</v>
      </c>
      <c r="AT10" s="8">
        <f t="shared" si="1"/>
        <v>0</v>
      </c>
      <c r="AU10" s="8">
        <f t="shared" si="1"/>
        <v>0</v>
      </c>
      <c r="AV10" s="8">
        <f t="shared" si="1"/>
        <v>2</v>
      </c>
      <c r="AW10" s="8">
        <f t="shared" si="1"/>
        <v>0</v>
      </c>
    </row>
    <row r="11" spans="1:52" ht="15.75" customHeight="1" thickBot="1" x14ac:dyDescent="0.3">
      <c r="B11" s="8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</row>
    <row r="12" spans="1:52" x14ac:dyDescent="0.25">
      <c r="A12" t="s">
        <v>101</v>
      </c>
      <c r="B12" s="17">
        <f>HLOOKUP(B1,Standings!$F$3:$BA$5,3,FALSE)</f>
        <v>8</v>
      </c>
      <c r="C12" s="17">
        <f>HLOOKUP(C1,Standings!$F$3:$BA$5,3,FALSE)</f>
        <v>52</v>
      </c>
      <c r="D12" s="17">
        <f>HLOOKUP(D1,Standings!$F$3:$BA$5,3,FALSE)</f>
        <v>7</v>
      </c>
      <c r="E12" s="17">
        <f>HLOOKUP(E1,Standings!$F$3:$BA$5,3,FALSE)</f>
        <v>12</v>
      </c>
      <c r="F12" s="17">
        <f>HLOOKUP(F1,Standings!$F$3:$BA$5,3,FALSE)</f>
        <v>38</v>
      </c>
      <c r="G12" s="17">
        <f>HLOOKUP(G1,Standings!$F$3:$BA$5,3,FALSE)</f>
        <v>10</v>
      </c>
      <c r="H12" s="17">
        <f>HLOOKUP(H1,Standings!$F$3:$BA$5,3,FALSE)</f>
        <v>54</v>
      </c>
      <c r="I12" s="17">
        <f>HLOOKUP(I1,Standings!$F$3:$BA$5,3,FALSE)</f>
        <v>19</v>
      </c>
      <c r="J12" s="17">
        <f>HLOOKUP(J1,Standings!$F$3:$BA$5,3,FALSE)</f>
        <v>4</v>
      </c>
      <c r="K12" s="17">
        <f>HLOOKUP(K1,Standings!$F$3:$BA$5,3,FALSE)</f>
        <v>25</v>
      </c>
      <c r="L12" s="17">
        <f>HLOOKUP(L1,Standings!$F$3:$BA$5,3,FALSE)</f>
        <v>16</v>
      </c>
      <c r="M12" s="17">
        <f>HLOOKUP(M1,Standings!$F$3:$BA$5,3,FALSE)</f>
        <v>3</v>
      </c>
      <c r="N12" s="17">
        <f>HLOOKUP(N1,Standings!$F$3:$BA$5,3,FALSE)</f>
        <v>12</v>
      </c>
      <c r="O12" s="17">
        <f>HLOOKUP(O1,Standings!$F$3:$BA$5,3,FALSE)</f>
        <v>6</v>
      </c>
      <c r="P12" s="17">
        <f>HLOOKUP(P1,Standings!$F$3:$BA$5,3,FALSE)</f>
        <v>17</v>
      </c>
      <c r="Q12" s="17">
        <f>HLOOKUP(Q1,Standings!$F$3:$BA$5,3,FALSE)</f>
        <v>10</v>
      </c>
      <c r="R12" s="17">
        <f>HLOOKUP(R1,Standings!$F$3:$BA$5,3,FALSE)</f>
        <v>60</v>
      </c>
      <c r="S12" s="17">
        <f>HLOOKUP(S1,Standings!$F$3:$BA$5,3,FALSE)</f>
        <v>68</v>
      </c>
      <c r="T12" s="17">
        <f>HLOOKUP(T1,Standings!$F$3:$BA$5,3,FALSE)</f>
        <v>45</v>
      </c>
      <c r="U12" s="17">
        <f>HLOOKUP(U1,Standings!$F$3:$BA$5,3,FALSE)</f>
        <v>7</v>
      </c>
      <c r="V12" s="17">
        <f>HLOOKUP(V1,Standings!$F$3:$BA$5,3,FALSE)</f>
        <v>5</v>
      </c>
      <c r="W12" s="17">
        <f>HLOOKUP(W1,Standings!$F$3:$BA$5,3,FALSE)</f>
        <v>8</v>
      </c>
      <c r="X12" s="17">
        <f>HLOOKUP(X1,Standings!$F$3:$BA$5,3,FALSE)</f>
        <v>5</v>
      </c>
      <c r="Y12" s="17">
        <f>HLOOKUP(Y1,Standings!$F$3:$BA$5,3,FALSE)</f>
        <v>9</v>
      </c>
      <c r="Z12" s="17">
        <f>HLOOKUP(Z1,Standings!$F$3:$BA$5,3,FALSE)</f>
        <v>20</v>
      </c>
      <c r="AA12" s="17">
        <f>HLOOKUP(AA1,Standings!$F$3:$BA$5,3,FALSE)</f>
        <v>3</v>
      </c>
      <c r="AB12" s="17">
        <f>HLOOKUP(AB1,Standings!$F$3:$BA$5,3,FALSE)</f>
        <v>27</v>
      </c>
      <c r="AC12" s="17">
        <f>HLOOKUP(AC1,Standings!$F$3:$BA$5,3,FALSE)</f>
        <v>21</v>
      </c>
      <c r="AD12" s="17">
        <f>HLOOKUP(AD1,Standings!$F$3:$BA$5,3,FALSE)</f>
        <v>35</v>
      </c>
      <c r="AE12" s="17">
        <f>HLOOKUP(AE1,Standings!$F$3:$BA$5,3,FALSE)</f>
        <v>4</v>
      </c>
      <c r="AF12" s="17">
        <f>HLOOKUP(AF1,Standings!$F$3:$BA$5,3,FALSE)</f>
        <v>30</v>
      </c>
      <c r="AG12" s="17">
        <f>HLOOKUP(AG1,Standings!$F$3:$BA$5,3,FALSE)</f>
        <v>5</v>
      </c>
      <c r="AH12" s="17">
        <f>HLOOKUP(AH1,Standings!$F$3:$BA$5,3,FALSE)</f>
        <v>13</v>
      </c>
      <c r="AI12" s="17">
        <f>HLOOKUP(AI1,Standings!$F$3:$BA$5,3,FALSE)</f>
        <v>50</v>
      </c>
      <c r="AJ12" s="17">
        <f>HLOOKUP(AJ1,Standings!$F$3:$BA$5,3,FALSE)</f>
        <v>3</v>
      </c>
      <c r="AK12" s="17">
        <f>HLOOKUP(AK1,Standings!$F$3:$BA$5,3,FALSE)</f>
        <v>5</v>
      </c>
      <c r="AL12" s="17">
        <f>HLOOKUP(AL1,Standings!$F$3:$BA$5,3,FALSE)</f>
        <v>9</v>
      </c>
      <c r="AM12" s="17">
        <f>HLOOKUP(AM1,Standings!$F$3:$BA$5,3,FALSE)</f>
        <v>13</v>
      </c>
      <c r="AN12" s="17">
        <f>HLOOKUP(AN1,Standings!$F$3:$BA$5,3,FALSE)</f>
        <v>6</v>
      </c>
      <c r="AO12" s="17">
        <f>HLOOKUP(AO1,Standings!$F$3:$BA$5,3,FALSE)</f>
        <v>11</v>
      </c>
      <c r="AP12" s="17">
        <f>HLOOKUP(AP1,Standings!$F$3:$BA$5,3,FALSE)</f>
        <v>70</v>
      </c>
      <c r="AQ12" s="17">
        <f>HLOOKUP(AQ1,Standings!$F$3:$BA$5,3,FALSE)</f>
        <v>14</v>
      </c>
      <c r="AR12" s="17">
        <f>HLOOKUP(AR1,Standings!$F$3:$BA$5,3,FALSE)</f>
        <v>26</v>
      </c>
      <c r="AS12" s="17">
        <f>HLOOKUP(AS1,Standings!$F$3:$BA$5,3,FALSE)</f>
        <v>7</v>
      </c>
      <c r="AT12" s="17">
        <f>HLOOKUP(AT1,Standings!$F$3:$BA$5,3,FALSE)</f>
        <v>20</v>
      </c>
      <c r="AU12" s="17">
        <f>HLOOKUP(AU1,Standings!$F$3:$BA$5,3,FALSE)</f>
        <v>18</v>
      </c>
      <c r="AV12" s="17">
        <f>HLOOKUP(AV1,Standings!$F$3:$BA$5,3,FALSE)</f>
        <v>23</v>
      </c>
      <c r="AW12" s="17">
        <f>HLOOKUP(AW1,Standings!$F$3:$BA$5,3,FALSE)</f>
        <v>5</v>
      </c>
    </row>
    <row r="13" spans="1:52" x14ac:dyDescent="0.25">
      <c r="A13" t="s">
        <v>134</v>
      </c>
      <c r="B13" s="38">
        <f t="shared" ref="B13:AW13" si="2">B10/B12</f>
        <v>0</v>
      </c>
      <c r="C13" s="38">
        <f t="shared" si="2"/>
        <v>0</v>
      </c>
      <c r="D13" s="38">
        <f t="shared" si="2"/>
        <v>0</v>
      </c>
      <c r="E13" s="38">
        <f t="shared" si="2"/>
        <v>0</v>
      </c>
      <c r="F13" s="38">
        <f t="shared" si="2"/>
        <v>0</v>
      </c>
      <c r="G13" s="38">
        <f t="shared" si="2"/>
        <v>0.1</v>
      </c>
      <c r="H13" s="38">
        <f t="shared" si="2"/>
        <v>0</v>
      </c>
      <c r="I13" s="38">
        <f t="shared" si="2"/>
        <v>5.2631578947368418E-2</v>
      </c>
      <c r="J13" s="38">
        <f t="shared" si="2"/>
        <v>0</v>
      </c>
      <c r="K13" s="38">
        <f t="shared" si="2"/>
        <v>0</v>
      </c>
      <c r="L13" s="38">
        <f t="shared" si="2"/>
        <v>0</v>
      </c>
      <c r="M13" s="38">
        <f t="shared" si="2"/>
        <v>0</v>
      </c>
      <c r="N13" s="38">
        <f t="shared" si="2"/>
        <v>0</v>
      </c>
      <c r="O13" s="38">
        <f t="shared" si="2"/>
        <v>0</v>
      </c>
      <c r="P13" s="38">
        <f t="shared" si="2"/>
        <v>0</v>
      </c>
      <c r="Q13" s="38">
        <f t="shared" si="2"/>
        <v>0</v>
      </c>
      <c r="R13" s="38">
        <f t="shared" si="2"/>
        <v>0</v>
      </c>
      <c r="S13" s="38">
        <f t="shared" si="2"/>
        <v>0</v>
      </c>
      <c r="T13" s="38">
        <f t="shared" si="2"/>
        <v>0</v>
      </c>
      <c r="U13" s="38">
        <f t="shared" si="2"/>
        <v>0</v>
      </c>
      <c r="V13" s="38">
        <f t="shared" si="2"/>
        <v>0</v>
      </c>
      <c r="W13" s="38">
        <f t="shared" si="2"/>
        <v>0</v>
      </c>
      <c r="X13" s="38">
        <f t="shared" si="2"/>
        <v>0</v>
      </c>
      <c r="Y13" s="38">
        <f t="shared" si="2"/>
        <v>0</v>
      </c>
      <c r="Z13" s="38">
        <f t="shared" si="2"/>
        <v>0</v>
      </c>
      <c r="AA13" s="38">
        <f t="shared" si="2"/>
        <v>0</v>
      </c>
      <c r="AB13" s="38">
        <f t="shared" si="2"/>
        <v>7.407407407407407E-2</v>
      </c>
      <c r="AC13" s="38">
        <f t="shared" si="2"/>
        <v>0</v>
      </c>
      <c r="AD13" s="38">
        <f t="shared" si="2"/>
        <v>0</v>
      </c>
      <c r="AE13" s="38">
        <f t="shared" si="2"/>
        <v>0</v>
      </c>
      <c r="AF13" s="38">
        <f t="shared" si="2"/>
        <v>0</v>
      </c>
      <c r="AG13" s="38">
        <f t="shared" si="2"/>
        <v>0</v>
      </c>
      <c r="AH13" s="38">
        <f t="shared" si="2"/>
        <v>0</v>
      </c>
      <c r="AI13" s="38">
        <f t="shared" si="2"/>
        <v>0</v>
      </c>
      <c r="AJ13" s="38">
        <f t="shared" si="2"/>
        <v>0</v>
      </c>
      <c r="AK13" s="38">
        <f t="shared" si="2"/>
        <v>0</v>
      </c>
      <c r="AL13" s="38">
        <f t="shared" si="2"/>
        <v>0</v>
      </c>
      <c r="AM13" s="38">
        <f t="shared" si="2"/>
        <v>0</v>
      </c>
      <c r="AN13" s="38">
        <f t="shared" si="2"/>
        <v>0</v>
      </c>
      <c r="AO13" s="38">
        <f t="shared" si="2"/>
        <v>0.18181818181818182</v>
      </c>
      <c r="AP13" s="38">
        <f t="shared" si="2"/>
        <v>0</v>
      </c>
      <c r="AQ13" s="38">
        <f t="shared" si="2"/>
        <v>0</v>
      </c>
      <c r="AR13" s="38">
        <f t="shared" si="2"/>
        <v>0</v>
      </c>
      <c r="AS13" s="38">
        <f t="shared" si="2"/>
        <v>0</v>
      </c>
      <c r="AT13" s="38">
        <f t="shared" si="2"/>
        <v>0</v>
      </c>
      <c r="AU13" s="38">
        <f t="shared" si="2"/>
        <v>0</v>
      </c>
      <c r="AV13" s="38">
        <f t="shared" si="2"/>
        <v>8.6956521739130432E-2</v>
      </c>
      <c r="AW13" s="38">
        <f t="shared" si="2"/>
        <v>0</v>
      </c>
    </row>
    <row r="14" spans="1:52" x14ac:dyDescent="0.25">
      <c r="A14" t="s">
        <v>135</v>
      </c>
      <c r="B14" s="5">
        <f t="shared" ref="B14:AW14" si="3">RANK(B13,$B$13:$AW$13)</f>
        <v>6</v>
      </c>
      <c r="C14" s="5">
        <f t="shared" si="3"/>
        <v>6</v>
      </c>
      <c r="D14" s="5">
        <f t="shared" si="3"/>
        <v>6</v>
      </c>
      <c r="E14" s="5">
        <f t="shared" si="3"/>
        <v>6</v>
      </c>
      <c r="F14" s="5">
        <f t="shared" si="3"/>
        <v>6</v>
      </c>
      <c r="G14" s="5">
        <f t="shared" si="3"/>
        <v>2</v>
      </c>
      <c r="H14" s="5">
        <f t="shared" si="3"/>
        <v>6</v>
      </c>
      <c r="I14" s="5">
        <f t="shared" si="3"/>
        <v>5</v>
      </c>
      <c r="J14" s="5">
        <f t="shared" si="3"/>
        <v>6</v>
      </c>
      <c r="K14" s="5">
        <f t="shared" si="3"/>
        <v>6</v>
      </c>
      <c r="L14" s="5">
        <f t="shared" si="3"/>
        <v>6</v>
      </c>
      <c r="M14" s="5">
        <f t="shared" si="3"/>
        <v>6</v>
      </c>
      <c r="N14" s="5">
        <f t="shared" si="3"/>
        <v>6</v>
      </c>
      <c r="O14" s="5">
        <f t="shared" si="3"/>
        <v>6</v>
      </c>
      <c r="P14" s="5">
        <f t="shared" si="3"/>
        <v>6</v>
      </c>
      <c r="Q14" s="5">
        <f t="shared" si="3"/>
        <v>6</v>
      </c>
      <c r="R14" s="5">
        <f t="shared" si="3"/>
        <v>6</v>
      </c>
      <c r="S14" s="5">
        <f t="shared" si="3"/>
        <v>6</v>
      </c>
      <c r="T14" s="5">
        <f t="shared" si="3"/>
        <v>6</v>
      </c>
      <c r="U14" s="5">
        <f t="shared" si="3"/>
        <v>6</v>
      </c>
      <c r="V14" s="5">
        <f t="shared" si="3"/>
        <v>6</v>
      </c>
      <c r="W14" s="5">
        <f t="shared" si="3"/>
        <v>6</v>
      </c>
      <c r="X14" s="5">
        <f t="shared" si="3"/>
        <v>6</v>
      </c>
      <c r="Y14" s="5">
        <f t="shared" si="3"/>
        <v>6</v>
      </c>
      <c r="Z14" s="5">
        <f t="shared" si="3"/>
        <v>6</v>
      </c>
      <c r="AA14" s="5">
        <f t="shared" si="3"/>
        <v>6</v>
      </c>
      <c r="AB14" s="5">
        <f t="shared" si="3"/>
        <v>4</v>
      </c>
      <c r="AC14" s="5">
        <f t="shared" si="3"/>
        <v>6</v>
      </c>
      <c r="AD14" s="5">
        <f t="shared" si="3"/>
        <v>6</v>
      </c>
      <c r="AE14" s="5">
        <f t="shared" si="3"/>
        <v>6</v>
      </c>
      <c r="AF14" s="5">
        <f t="shared" si="3"/>
        <v>6</v>
      </c>
      <c r="AG14" s="5">
        <f t="shared" si="3"/>
        <v>6</v>
      </c>
      <c r="AH14" s="5">
        <f t="shared" si="3"/>
        <v>6</v>
      </c>
      <c r="AI14" s="5">
        <f t="shared" si="3"/>
        <v>6</v>
      </c>
      <c r="AJ14" s="5">
        <f t="shared" si="3"/>
        <v>6</v>
      </c>
      <c r="AK14" s="5">
        <f t="shared" si="3"/>
        <v>6</v>
      </c>
      <c r="AL14" s="5">
        <f t="shared" si="3"/>
        <v>6</v>
      </c>
      <c r="AM14" s="5">
        <f t="shared" si="3"/>
        <v>6</v>
      </c>
      <c r="AN14" s="5">
        <f t="shared" si="3"/>
        <v>6</v>
      </c>
      <c r="AO14" s="5">
        <f t="shared" si="3"/>
        <v>1</v>
      </c>
      <c r="AP14" s="5">
        <f t="shared" si="3"/>
        <v>6</v>
      </c>
      <c r="AQ14" s="5">
        <f t="shared" si="3"/>
        <v>6</v>
      </c>
      <c r="AR14" s="5">
        <f t="shared" si="3"/>
        <v>6</v>
      </c>
      <c r="AS14" s="5">
        <f t="shared" si="3"/>
        <v>6</v>
      </c>
      <c r="AT14" s="5">
        <f t="shared" si="3"/>
        <v>6</v>
      </c>
      <c r="AU14" s="5">
        <f t="shared" si="3"/>
        <v>6</v>
      </c>
      <c r="AV14" s="5">
        <f t="shared" si="3"/>
        <v>3</v>
      </c>
      <c r="AW14" s="5">
        <f t="shared" si="3"/>
        <v>6</v>
      </c>
    </row>
    <row r="16" spans="1:52" ht="21" customHeight="1" x14ac:dyDescent="0.35">
      <c r="A16" s="16" t="s">
        <v>136</v>
      </c>
    </row>
    <row r="17" spans="1:2" x14ac:dyDescent="0.25">
      <c r="A17" s="1" t="s">
        <v>137</v>
      </c>
    </row>
    <row r="18" spans="1:2" x14ac:dyDescent="0.25">
      <c r="B18" t="s">
        <v>138</v>
      </c>
    </row>
    <row r="19" spans="1:2" x14ac:dyDescent="0.25">
      <c r="B19" t="s">
        <v>139</v>
      </c>
    </row>
    <row r="20" spans="1:2" x14ac:dyDescent="0.25">
      <c r="B20" t="s">
        <v>140</v>
      </c>
    </row>
    <row r="21" spans="1:2" x14ac:dyDescent="0.25">
      <c r="B21" t="s">
        <v>141</v>
      </c>
    </row>
    <row r="22" spans="1:2" x14ac:dyDescent="0.25">
      <c r="A22" s="1" t="s">
        <v>142</v>
      </c>
    </row>
    <row r="23" spans="1:2" x14ac:dyDescent="0.25">
      <c r="B23" t="s">
        <v>143</v>
      </c>
    </row>
    <row r="24" spans="1:2" x14ac:dyDescent="0.25">
      <c r="B24" t="s">
        <v>144</v>
      </c>
    </row>
    <row r="25" spans="1:2" x14ac:dyDescent="0.25">
      <c r="B25" t="s">
        <v>145</v>
      </c>
    </row>
    <row r="26" spans="1:2" x14ac:dyDescent="0.25">
      <c r="B26" t="s">
        <v>146</v>
      </c>
    </row>
    <row r="27" spans="1:2" x14ac:dyDescent="0.25">
      <c r="B27" t="s">
        <v>147</v>
      </c>
    </row>
  </sheetData>
  <sortState xmlns:xlrd2="http://schemas.microsoft.com/office/spreadsheetml/2017/richdata2" ref="D33:D80">
    <sortCondition ref="D33:D80"/>
  </sortState>
  <conditionalFormatting sqref="B2:AW2">
    <cfRule type="colorScale" priority="7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B3:AW3">
    <cfRule type="colorScale" priority="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B4:AW4">
    <cfRule type="colorScale" priority="5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B5:AW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6:AW6">
    <cfRule type="colorScale" priority="4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B7:AW7">
    <cfRule type="colorScale" priority="3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B8:AW8"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B9:AW9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B10:AW10">
    <cfRule type="colorScale" priority="343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4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1:AW11">
    <cfRule type="colorScale" priority="34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2:AW12">
    <cfRule type="colorScale" priority="34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3:AW13">
    <cfRule type="colorScale" priority="34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4:AW14">
    <cfRule type="colorScale" priority="34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4:AW15">
    <cfRule type="colorScale" priority="34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3734661-4938-4BFA-9BBA-148EB2110B4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Include</vt:lpstr>
      <vt:lpstr>PickList</vt:lpstr>
      <vt:lpstr>Entries</vt:lpstr>
      <vt:lpstr>Standings</vt:lpstr>
      <vt:lpstr>Teams</vt:lpstr>
      <vt:lpstr>Payouts</vt:lpstr>
      <vt:lpstr>Match Results</vt:lpstr>
      <vt:lpstr>Standings!Print_Area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e78698</dc:creator>
  <cp:lastModifiedBy>John Bullock</cp:lastModifiedBy>
  <cp:lastPrinted>2022-11-29T18:38:20Z</cp:lastPrinted>
  <dcterms:created xsi:type="dcterms:W3CDTF">2010-05-19T18:14:19Z</dcterms:created>
  <dcterms:modified xsi:type="dcterms:W3CDTF">2026-06-13T17:05:32Z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0x010100B0746EB72D213A42B4BA8BF7286F10DC</vt:lpwstr>
  </property>
  <property fmtid="{D5CDD505-2E9C-101B-9397-08002B2CF9AE}" pid="3" name="SV_QUERY_LIST_4F35BF76-6C0D-4D9B-82B2-816C12CF3733">
    <vt:lpwstr>empty_477D106A-C0D6-4607-AEBD-E2C9D60EA279</vt:lpwstr>
  </property>
  <property fmtid="{D5CDD505-2E9C-101B-9397-08002B2CF9AE}" pid="4" name="SV_HIDDEN_GRID_QUERY_LIST_4F35BF76-6C0D-4D9B-82B2-816C12CF3733">
    <vt:lpwstr>empty_477D106A-C0D6-4607-AEBD-E2C9D60EA279</vt:lpwstr>
  </property>
</Properties>
</file>