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wc-pool\app\data\"/>
    </mc:Choice>
  </mc:AlternateContent>
  <xr:revisionPtr revIDLastSave="0" documentId="13_ncr:1_{D7CFE161-34FE-4687-97F3-F98A60937CB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clude" sheetId="2" r:id="rId1"/>
    <sheet name="PickList" sheetId="7" r:id="rId2"/>
    <sheet name="Entries" sheetId="1" r:id="rId3"/>
    <sheet name="Standings" sheetId="3" r:id="rId4"/>
    <sheet name="Teams" sheetId="6" r:id="rId5"/>
    <sheet name="Payouts" sheetId="4" r:id="rId6"/>
    <sheet name="Match Results" sheetId="5" r:id="rId7"/>
  </sheets>
  <externalReferences>
    <externalReference r:id="rId8"/>
  </externalReferences>
  <definedNames>
    <definedName name="ExternalData_1" localSheetId="1" hidden="1">PickList!$A$1:$D$649</definedName>
    <definedName name="_xlnm.Print_Area" localSheetId="3">Standings!$A$3:$BB$113</definedName>
    <definedName name="teams">[1]Prices!$B$3:$I$34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0" i="3" l="1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C18" i="4"/>
  <c r="DB19" i="3"/>
  <c r="DA19" i="3"/>
  <c r="AZ19" i="3" s="1"/>
  <c r="CZ19" i="3"/>
  <c r="AY19" i="3" s="1"/>
  <c r="CY19" i="3"/>
  <c r="AX19" i="3" s="1"/>
  <c r="CX19" i="3"/>
  <c r="AW19" i="3" s="1"/>
  <c r="CW19" i="3"/>
  <c r="CV19" i="3"/>
  <c r="AU19" i="3" s="1"/>
  <c r="CU19" i="3"/>
  <c r="CT19" i="3"/>
  <c r="AS19" i="3" s="1"/>
  <c r="CS19" i="3"/>
  <c r="AR19" i="3" s="1"/>
  <c r="CR19" i="3"/>
  <c r="CQ19" i="3"/>
  <c r="AP19" i="3" s="1"/>
  <c r="CP19" i="3"/>
  <c r="AO19" i="3" s="1"/>
  <c r="CO19" i="3"/>
  <c r="AN19" i="3" s="1"/>
  <c r="CN19" i="3"/>
  <c r="CM19" i="3"/>
  <c r="AL19" i="3" s="1"/>
  <c r="CL19" i="3"/>
  <c r="AK19" i="3" s="1"/>
  <c r="CK19" i="3"/>
  <c r="AJ19" i="3" s="1"/>
  <c r="CJ19" i="3"/>
  <c r="AI19" i="3" s="1"/>
  <c r="CI19" i="3"/>
  <c r="AH19" i="3" s="1"/>
  <c r="CH19" i="3"/>
  <c r="AG19" i="3" s="1"/>
  <c r="CG19" i="3"/>
  <c r="AF19" i="3" s="1"/>
  <c r="CF19" i="3"/>
  <c r="AE19" i="3" s="1"/>
  <c r="CE19" i="3"/>
  <c r="AD19" i="3" s="1"/>
  <c r="CD19" i="3"/>
  <c r="AC19" i="3" s="1"/>
  <c r="CC19" i="3"/>
  <c r="AB19" i="3" s="1"/>
  <c r="CB19" i="3"/>
  <c r="CA19" i="3"/>
  <c r="Z19" i="3" s="1"/>
  <c r="BZ19" i="3"/>
  <c r="Y19" i="3" s="1"/>
  <c r="BY19" i="3"/>
  <c r="BX19" i="3"/>
  <c r="W19" i="3" s="1"/>
  <c r="BW19" i="3"/>
  <c r="BV19" i="3"/>
  <c r="U19" i="3" s="1"/>
  <c r="BU19" i="3"/>
  <c r="T19" i="3" s="1"/>
  <c r="BT19" i="3"/>
  <c r="S19" i="3" s="1"/>
  <c r="BS19" i="3"/>
  <c r="BR19" i="3"/>
  <c r="Q19" i="3" s="1"/>
  <c r="BQ19" i="3"/>
  <c r="P19" i="3" s="1"/>
  <c r="BP19" i="3"/>
  <c r="BO19" i="3"/>
  <c r="N19" i="3" s="1"/>
  <c r="BN19" i="3"/>
  <c r="M19" i="3" s="1"/>
  <c r="BM19" i="3"/>
  <c r="L19" i="3" s="1"/>
  <c r="BL19" i="3"/>
  <c r="K19" i="3" s="1"/>
  <c r="BK19" i="3"/>
  <c r="BJ19" i="3"/>
  <c r="BI19" i="3"/>
  <c r="H19" i="3" s="1"/>
  <c r="BH19" i="3"/>
  <c r="G19" i="3" s="1"/>
  <c r="BG19" i="3"/>
  <c r="F19" i="3" s="1"/>
  <c r="BA19" i="3"/>
  <c r="V19" i="3"/>
  <c r="C19" i="3"/>
  <c r="DB109" i="3"/>
  <c r="BA109" i="3" s="1"/>
  <c r="DA109" i="3"/>
  <c r="AZ109" i="3" s="1"/>
  <c r="CZ109" i="3"/>
  <c r="AY109" i="3" s="1"/>
  <c r="CY109" i="3"/>
  <c r="CX109" i="3"/>
  <c r="AW109" i="3" s="1"/>
  <c r="CW109" i="3"/>
  <c r="AV109" i="3" s="1"/>
  <c r="CV109" i="3"/>
  <c r="AU109" i="3" s="1"/>
  <c r="CU109" i="3"/>
  <c r="CT109" i="3"/>
  <c r="AS109" i="3" s="1"/>
  <c r="CS109" i="3"/>
  <c r="AR109" i="3" s="1"/>
  <c r="CR109" i="3"/>
  <c r="AQ109" i="3" s="1"/>
  <c r="CQ109" i="3"/>
  <c r="AP109" i="3" s="1"/>
  <c r="CP109" i="3"/>
  <c r="AO109" i="3" s="1"/>
  <c r="CO109" i="3"/>
  <c r="AN109" i="3" s="1"/>
  <c r="CN109" i="3"/>
  <c r="AM109" i="3" s="1"/>
  <c r="CM109" i="3"/>
  <c r="CL109" i="3"/>
  <c r="AK109" i="3" s="1"/>
  <c r="CK109" i="3"/>
  <c r="AJ109" i="3" s="1"/>
  <c r="CJ109" i="3"/>
  <c r="AI109" i="3" s="1"/>
  <c r="CI109" i="3"/>
  <c r="AH109" i="3" s="1"/>
  <c r="CH109" i="3"/>
  <c r="AG109" i="3" s="1"/>
  <c r="CG109" i="3"/>
  <c r="AF109" i="3" s="1"/>
  <c r="CF109" i="3"/>
  <c r="AE109" i="3" s="1"/>
  <c r="CE109" i="3"/>
  <c r="AD109" i="3" s="1"/>
  <c r="CD109" i="3"/>
  <c r="AC109" i="3" s="1"/>
  <c r="CC109" i="3"/>
  <c r="AB109" i="3" s="1"/>
  <c r="CB109" i="3"/>
  <c r="AA109" i="3" s="1"/>
  <c r="CA109" i="3"/>
  <c r="Z109" i="3" s="1"/>
  <c r="BZ109" i="3"/>
  <c r="Y109" i="3" s="1"/>
  <c r="BY109" i="3"/>
  <c r="X109" i="3" s="1"/>
  <c r="BX109" i="3"/>
  <c r="W109" i="3" s="1"/>
  <c r="BW109" i="3"/>
  <c r="V109" i="3" s="1"/>
  <c r="BV109" i="3"/>
  <c r="U109" i="3" s="1"/>
  <c r="BU109" i="3"/>
  <c r="T109" i="3" s="1"/>
  <c r="BT109" i="3"/>
  <c r="S109" i="3" s="1"/>
  <c r="BS109" i="3"/>
  <c r="R109" i="3" s="1"/>
  <c r="BR109" i="3"/>
  <c r="Q109" i="3" s="1"/>
  <c r="BQ109" i="3"/>
  <c r="P109" i="3" s="1"/>
  <c r="BP109" i="3"/>
  <c r="BO109" i="3"/>
  <c r="N109" i="3" s="1"/>
  <c r="BN109" i="3"/>
  <c r="M109" i="3" s="1"/>
  <c r="BM109" i="3"/>
  <c r="L109" i="3" s="1"/>
  <c r="BL109" i="3"/>
  <c r="K109" i="3" s="1"/>
  <c r="BK109" i="3"/>
  <c r="J109" i="3" s="1"/>
  <c r="BJ109" i="3"/>
  <c r="I109" i="3" s="1"/>
  <c r="BI109" i="3"/>
  <c r="H109" i="3" s="1"/>
  <c r="BH109" i="3"/>
  <c r="G109" i="3" s="1"/>
  <c r="BG109" i="3"/>
  <c r="F109" i="3" s="1"/>
  <c r="DB108" i="3"/>
  <c r="DA108" i="3"/>
  <c r="AZ108" i="3" s="1"/>
  <c r="CZ108" i="3"/>
  <c r="AY108" i="3" s="1"/>
  <c r="CY108" i="3"/>
  <c r="AX108" i="3" s="1"/>
  <c r="CX108" i="3"/>
  <c r="AW108" i="3" s="1"/>
  <c r="CW108" i="3"/>
  <c r="AV108" i="3" s="1"/>
  <c r="CV108" i="3"/>
  <c r="AU108" i="3" s="1"/>
  <c r="CU108" i="3"/>
  <c r="CT108" i="3"/>
  <c r="AS108" i="3" s="1"/>
  <c r="CS108" i="3"/>
  <c r="AR108" i="3" s="1"/>
  <c r="CR108" i="3"/>
  <c r="AQ108" i="3" s="1"/>
  <c r="CQ108" i="3"/>
  <c r="CP108" i="3"/>
  <c r="AO108" i="3" s="1"/>
  <c r="CO108" i="3"/>
  <c r="AN108" i="3" s="1"/>
  <c r="CN108" i="3"/>
  <c r="AM108" i="3" s="1"/>
  <c r="CM108" i="3"/>
  <c r="CL108" i="3"/>
  <c r="AK108" i="3" s="1"/>
  <c r="CK108" i="3"/>
  <c r="AJ108" i="3" s="1"/>
  <c r="CJ108" i="3"/>
  <c r="AI108" i="3" s="1"/>
  <c r="CI108" i="3"/>
  <c r="AH108" i="3" s="1"/>
  <c r="CH108" i="3"/>
  <c r="AG108" i="3" s="1"/>
  <c r="CG108" i="3"/>
  <c r="AF108" i="3" s="1"/>
  <c r="CF108" i="3"/>
  <c r="AE108" i="3" s="1"/>
  <c r="CE108" i="3"/>
  <c r="AD108" i="3" s="1"/>
  <c r="CD108" i="3"/>
  <c r="AC108" i="3" s="1"/>
  <c r="CC108" i="3"/>
  <c r="AB108" i="3" s="1"/>
  <c r="CB108" i="3"/>
  <c r="AA108" i="3" s="1"/>
  <c r="CA108" i="3"/>
  <c r="Z108" i="3" s="1"/>
  <c r="BZ108" i="3"/>
  <c r="Y108" i="3" s="1"/>
  <c r="BY108" i="3"/>
  <c r="X108" i="3" s="1"/>
  <c r="BX108" i="3"/>
  <c r="W108" i="3" s="1"/>
  <c r="BW108" i="3"/>
  <c r="V108" i="3" s="1"/>
  <c r="BV108" i="3"/>
  <c r="U108" i="3" s="1"/>
  <c r="BU108" i="3"/>
  <c r="T108" i="3" s="1"/>
  <c r="BT108" i="3"/>
  <c r="S108" i="3" s="1"/>
  <c r="BS108" i="3"/>
  <c r="BR108" i="3"/>
  <c r="Q108" i="3" s="1"/>
  <c r="BQ108" i="3"/>
  <c r="P108" i="3" s="1"/>
  <c r="BP108" i="3"/>
  <c r="O108" i="3" s="1"/>
  <c r="BO108" i="3"/>
  <c r="N108" i="3" s="1"/>
  <c r="BN108" i="3"/>
  <c r="M108" i="3" s="1"/>
  <c r="BM108" i="3"/>
  <c r="L108" i="3" s="1"/>
  <c r="BL108" i="3"/>
  <c r="K108" i="3" s="1"/>
  <c r="BK108" i="3"/>
  <c r="J108" i="3" s="1"/>
  <c r="BJ108" i="3"/>
  <c r="I108" i="3" s="1"/>
  <c r="BI108" i="3"/>
  <c r="H108" i="3" s="1"/>
  <c r="BH108" i="3"/>
  <c r="G108" i="3" s="1"/>
  <c r="BG108" i="3"/>
  <c r="F108" i="3" s="1"/>
  <c r="C108" i="3"/>
  <c r="DB107" i="3"/>
  <c r="BA107" i="3" s="1"/>
  <c r="DA107" i="3"/>
  <c r="AZ107" i="3" s="1"/>
  <c r="CZ107" i="3"/>
  <c r="AY107" i="3" s="1"/>
  <c r="CY107" i="3"/>
  <c r="CX107" i="3"/>
  <c r="AW107" i="3" s="1"/>
  <c r="CW107" i="3"/>
  <c r="AV107" i="3" s="1"/>
  <c r="CV107" i="3"/>
  <c r="AU107" i="3" s="1"/>
  <c r="CU107" i="3"/>
  <c r="CT107" i="3"/>
  <c r="AS107" i="3" s="1"/>
  <c r="CS107" i="3"/>
  <c r="AR107" i="3" s="1"/>
  <c r="CR107" i="3"/>
  <c r="AQ107" i="3" s="1"/>
  <c r="CQ107" i="3"/>
  <c r="AP107" i="3" s="1"/>
  <c r="CP107" i="3"/>
  <c r="AO107" i="3" s="1"/>
  <c r="CO107" i="3"/>
  <c r="AN107" i="3" s="1"/>
  <c r="CN107" i="3"/>
  <c r="AM107" i="3" s="1"/>
  <c r="CM107" i="3"/>
  <c r="AL107" i="3" s="1"/>
  <c r="CL107" i="3"/>
  <c r="AK107" i="3" s="1"/>
  <c r="CK107" i="3"/>
  <c r="AJ107" i="3" s="1"/>
  <c r="CJ107" i="3"/>
  <c r="AI107" i="3" s="1"/>
  <c r="CI107" i="3"/>
  <c r="CH107" i="3"/>
  <c r="AG107" i="3" s="1"/>
  <c r="CG107" i="3"/>
  <c r="AF107" i="3" s="1"/>
  <c r="CF107" i="3"/>
  <c r="AE107" i="3" s="1"/>
  <c r="CE107" i="3"/>
  <c r="AD107" i="3" s="1"/>
  <c r="CD107" i="3"/>
  <c r="AC107" i="3" s="1"/>
  <c r="CC107" i="3"/>
  <c r="AB107" i="3" s="1"/>
  <c r="CB107" i="3"/>
  <c r="CA107" i="3"/>
  <c r="Z107" i="3" s="1"/>
  <c r="BZ107" i="3"/>
  <c r="Y107" i="3" s="1"/>
  <c r="BY107" i="3"/>
  <c r="X107" i="3" s="1"/>
  <c r="BX107" i="3"/>
  <c r="W107" i="3" s="1"/>
  <c r="BW107" i="3"/>
  <c r="V107" i="3" s="1"/>
  <c r="BV107" i="3"/>
  <c r="U107" i="3" s="1"/>
  <c r="BU107" i="3"/>
  <c r="T107" i="3" s="1"/>
  <c r="BT107" i="3"/>
  <c r="S107" i="3" s="1"/>
  <c r="BS107" i="3"/>
  <c r="R107" i="3" s="1"/>
  <c r="BR107" i="3"/>
  <c r="Q107" i="3" s="1"/>
  <c r="BQ107" i="3"/>
  <c r="P107" i="3" s="1"/>
  <c r="BP107" i="3"/>
  <c r="O107" i="3" s="1"/>
  <c r="BO107" i="3"/>
  <c r="N107" i="3" s="1"/>
  <c r="BN107" i="3"/>
  <c r="M107" i="3" s="1"/>
  <c r="BM107" i="3"/>
  <c r="L107" i="3" s="1"/>
  <c r="BL107" i="3"/>
  <c r="K107" i="3" s="1"/>
  <c r="BK107" i="3"/>
  <c r="J107" i="3" s="1"/>
  <c r="BJ107" i="3"/>
  <c r="I107" i="3" s="1"/>
  <c r="BI107" i="3"/>
  <c r="H107" i="3" s="1"/>
  <c r="BH107" i="3"/>
  <c r="G107" i="3" s="1"/>
  <c r="BG107" i="3"/>
  <c r="F107" i="3" s="1"/>
  <c r="DB106" i="3"/>
  <c r="DA106" i="3"/>
  <c r="AZ106" i="3" s="1"/>
  <c r="CZ106" i="3"/>
  <c r="CY106" i="3"/>
  <c r="AX106" i="3" s="1"/>
  <c r="CX106" i="3"/>
  <c r="AW106" i="3" s="1"/>
  <c r="CW106" i="3"/>
  <c r="AV106" i="3" s="1"/>
  <c r="CV106" i="3"/>
  <c r="AU106" i="3" s="1"/>
  <c r="CU106" i="3"/>
  <c r="AT106" i="3" s="1"/>
  <c r="CT106" i="3"/>
  <c r="AS106" i="3" s="1"/>
  <c r="CS106" i="3"/>
  <c r="CR106" i="3"/>
  <c r="AQ106" i="3" s="1"/>
  <c r="CQ106" i="3"/>
  <c r="AP106" i="3" s="1"/>
  <c r="CP106" i="3"/>
  <c r="AO106" i="3" s="1"/>
  <c r="CO106" i="3"/>
  <c r="AN106" i="3" s="1"/>
  <c r="CN106" i="3"/>
  <c r="CM106" i="3"/>
  <c r="AL106" i="3" s="1"/>
  <c r="CL106" i="3"/>
  <c r="AK106" i="3" s="1"/>
  <c r="CK106" i="3"/>
  <c r="AJ106" i="3" s="1"/>
  <c r="CJ106" i="3"/>
  <c r="AI106" i="3" s="1"/>
  <c r="CI106" i="3"/>
  <c r="AH106" i="3" s="1"/>
  <c r="CH106" i="3"/>
  <c r="AG106" i="3" s="1"/>
  <c r="CG106" i="3"/>
  <c r="AF106" i="3" s="1"/>
  <c r="CF106" i="3"/>
  <c r="CE106" i="3"/>
  <c r="AD106" i="3" s="1"/>
  <c r="CD106" i="3"/>
  <c r="AC106" i="3" s="1"/>
  <c r="CC106" i="3"/>
  <c r="AB106" i="3" s="1"/>
  <c r="CB106" i="3"/>
  <c r="CA106" i="3"/>
  <c r="Z106" i="3" s="1"/>
  <c r="BZ106" i="3"/>
  <c r="BY106" i="3"/>
  <c r="X106" i="3" s="1"/>
  <c r="BX106" i="3"/>
  <c r="W106" i="3" s="1"/>
  <c r="BW106" i="3"/>
  <c r="V106" i="3" s="1"/>
  <c r="BV106" i="3"/>
  <c r="BU106" i="3"/>
  <c r="T106" i="3" s="1"/>
  <c r="BT106" i="3"/>
  <c r="BS106" i="3"/>
  <c r="R106" i="3" s="1"/>
  <c r="BR106" i="3"/>
  <c r="Q106" i="3" s="1"/>
  <c r="BQ106" i="3"/>
  <c r="P106" i="3" s="1"/>
  <c r="BP106" i="3"/>
  <c r="O106" i="3" s="1"/>
  <c r="BO106" i="3"/>
  <c r="N106" i="3" s="1"/>
  <c r="BN106" i="3"/>
  <c r="M106" i="3" s="1"/>
  <c r="BM106" i="3"/>
  <c r="L106" i="3" s="1"/>
  <c r="BL106" i="3"/>
  <c r="K106" i="3" s="1"/>
  <c r="BK106" i="3"/>
  <c r="J106" i="3" s="1"/>
  <c r="BJ106" i="3"/>
  <c r="I106" i="3" s="1"/>
  <c r="BI106" i="3"/>
  <c r="H106" i="3" s="1"/>
  <c r="BH106" i="3"/>
  <c r="G106" i="3" s="1"/>
  <c r="BG106" i="3"/>
  <c r="F106" i="3" s="1"/>
  <c r="C109" i="3"/>
  <c r="C107" i="3"/>
  <c r="BC114" i="3"/>
  <c r="DB29" i="3"/>
  <c r="BA29" i="3" s="1"/>
  <c r="DA29" i="3"/>
  <c r="AZ29" i="3" s="1"/>
  <c r="CZ29" i="3"/>
  <c r="CY29" i="3"/>
  <c r="AX29" i="3" s="1"/>
  <c r="CX29" i="3"/>
  <c r="AW29" i="3" s="1"/>
  <c r="CW29" i="3"/>
  <c r="AV29" i="3" s="1"/>
  <c r="CV29" i="3"/>
  <c r="AU29" i="3" s="1"/>
  <c r="CU29" i="3"/>
  <c r="AT29" i="3" s="1"/>
  <c r="CT29" i="3"/>
  <c r="AS29" i="3" s="1"/>
  <c r="CS29" i="3"/>
  <c r="CR29" i="3"/>
  <c r="AQ29" i="3" s="1"/>
  <c r="CQ29" i="3"/>
  <c r="AP29" i="3" s="1"/>
  <c r="CP29" i="3"/>
  <c r="AO29" i="3" s="1"/>
  <c r="CO29" i="3"/>
  <c r="CN29" i="3"/>
  <c r="AM29" i="3" s="1"/>
  <c r="CM29" i="3"/>
  <c r="AL29" i="3" s="1"/>
  <c r="CL29" i="3"/>
  <c r="AK29" i="3" s="1"/>
  <c r="CK29" i="3"/>
  <c r="AJ29" i="3" s="1"/>
  <c r="CJ29" i="3"/>
  <c r="AI29" i="3" s="1"/>
  <c r="CI29" i="3"/>
  <c r="AH29" i="3" s="1"/>
  <c r="CH29" i="3"/>
  <c r="AG29" i="3" s="1"/>
  <c r="CG29" i="3"/>
  <c r="AF29" i="3" s="1"/>
  <c r="CF29" i="3"/>
  <c r="CE29" i="3"/>
  <c r="AD29" i="3" s="1"/>
  <c r="CD29" i="3"/>
  <c r="AC29" i="3" s="1"/>
  <c r="CC29" i="3"/>
  <c r="AB29" i="3" s="1"/>
  <c r="CB29" i="3"/>
  <c r="CA29" i="3"/>
  <c r="Z29" i="3" s="1"/>
  <c r="BZ29" i="3"/>
  <c r="Y29" i="3" s="1"/>
  <c r="BY29" i="3"/>
  <c r="X29" i="3" s="1"/>
  <c r="BX29" i="3"/>
  <c r="W29" i="3" s="1"/>
  <c r="BW29" i="3"/>
  <c r="V29" i="3" s="1"/>
  <c r="BV29" i="3"/>
  <c r="U29" i="3" s="1"/>
  <c r="BU29" i="3"/>
  <c r="T29" i="3" s="1"/>
  <c r="BT29" i="3"/>
  <c r="S29" i="3" s="1"/>
  <c r="BS29" i="3"/>
  <c r="R29" i="3" s="1"/>
  <c r="BR29" i="3"/>
  <c r="Q29" i="3" s="1"/>
  <c r="BQ29" i="3"/>
  <c r="P29" i="3" s="1"/>
  <c r="BP29" i="3"/>
  <c r="O29" i="3" s="1"/>
  <c r="BO29" i="3"/>
  <c r="N29" i="3" s="1"/>
  <c r="BN29" i="3"/>
  <c r="M29" i="3" s="1"/>
  <c r="BM29" i="3"/>
  <c r="L29" i="3" s="1"/>
  <c r="BL29" i="3"/>
  <c r="BK29" i="3"/>
  <c r="BJ29" i="3"/>
  <c r="I29" i="3" s="1"/>
  <c r="BI29" i="3"/>
  <c r="H29" i="3" s="1"/>
  <c r="BH29" i="3"/>
  <c r="G29" i="3" s="1"/>
  <c r="BG29" i="3"/>
  <c r="DB105" i="3"/>
  <c r="BA105" i="3" s="1"/>
  <c r="DA105" i="3"/>
  <c r="AZ105" i="3" s="1"/>
  <c r="CZ105" i="3"/>
  <c r="AY105" i="3" s="1"/>
  <c r="CY105" i="3"/>
  <c r="CX105" i="3"/>
  <c r="AW105" i="3" s="1"/>
  <c r="CW105" i="3"/>
  <c r="CV105" i="3"/>
  <c r="AU105" i="3" s="1"/>
  <c r="CU105" i="3"/>
  <c r="CT105" i="3"/>
  <c r="AS105" i="3" s="1"/>
  <c r="CS105" i="3"/>
  <c r="AR105" i="3" s="1"/>
  <c r="CR105" i="3"/>
  <c r="AQ105" i="3" s="1"/>
  <c r="CQ105" i="3"/>
  <c r="AP105" i="3" s="1"/>
  <c r="CP105" i="3"/>
  <c r="AO105" i="3" s="1"/>
  <c r="CO105" i="3"/>
  <c r="AN105" i="3" s="1"/>
  <c r="CN105" i="3"/>
  <c r="AM105" i="3" s="1"/>
  <c r="CM105" i="3"/>
  <c r="AL105" i="3" s="1"/>
  <c r="CL105" i="3"/>
  <c r="AK105" i="3" s="1"/>
  <c r="CK105" i="3"/>
  <c r="AJ105" i="3" s="1"/>
  <c r="CJ105" i="3"/>
  <c r="AI105" i="3" s="1"/>
  <c r="CI105" i="3"/>
  <c r="AH105" i="3" s="1"/>
  <c r="CH105" i="3"/>
  <c r="AG105" i="3" s="1"/>
  <c r="CG105" i="3"/>
  <c r="AF105" i="3" s="1"/>
  <c r="CF105" i="3"/>
  <c r="AE105" i="3" s="1"/>
  <c r="CE105" i="3"/>
  <c r="AD105" i="3" s="1"/>
  <c r="CD105" i="3"/>
  <c r="AC105" i="3" s="1"/>
  <c r="CC105" i="3"/>
  <c r="AB105" i="3" s="1"/>
  <c r="CB105" i="3"/>
  <c r="CA105" i="3"/>
  <c r="Z105" i="3" s="1"/>
  <c r="BZ105" i="3"/>
  <c r="BY105" i="3"/>
  <c r="X105" i="3" s="1"/>
  <c r="BX105" i="3"/>
  <c r="W105" i="3" s="1"/>
  <c r="BW105" i="3"/>
  <c r="V105" i="3" s="1"/>
  <c r="BV105" i="3"/>
  <c r="U105" i="3" s="1"/>
  <c r="BU105" i="3"/>
  <c r="T105" i="3" s="1"/>
  <c r="BT105" i="3"/>
  <c r="S105" i="3" s="1"/>
  <c r="BS105" i="3"/>
  <c r="R105" i="3" s="1"/>
  <c r="BR105" i="3"/>
  <c r="Q105" i="3" s="1"/>
  <c r="BQ105" i="3"/>
  <c r="P105" i="3" s="1"/>
  <c r="BP105" i="3"/>
  <c r="BO105" i="3"/>
  <c r="N105" i="3" s="1"/>
  <c r="BN105" i="3"/>
  <c r="M105" i="3" s="1"/>
  <c r="BM105" i="3"/>
  <c r="L105" i="3" s="1"/>
  <c r="BL105" i="3"/>
  <c r="BK105" i="3"/>
  <c r="J105" i="3" s="1"/>
  <c r="BJ105" i="3"/>
  <c r="I105" i="3" s="1"/>
  <c r="BI105" i="3"/>
  <c r="H105" i="3" s="1"/>
  <c r="BH105" i="3"/>
  <c r="G105" i="3" s="1"/>
  <c r="BG105" i="3"/>
  <c r="F105" i="3" s="1"/>
  <c r="DB40" i="3"/>
  <c r="BA40" i="3" s="1"/>
  <c r="DA40" i="3"/>
  <c r="AZ40" i="3" s="1"/>
  <c r="CZ40" i="3"/>
  <c r="AY40" i="3" s="1"/>
  <c r="CY40" i="3"/>
  <c r="AX40" i="3" s="1"/>
  <c r="CX40" i="3"/>
  <c r="AW40" i="3" s="1"/>
  <c r="CW40" i="3"/>
  <c r="AV40" i="3" s="1"/>
  <c r="CV40" i="3"/>
  <c r="AU40" i="3" s="1"/>
  <c r="CU40" i="3"/>
  <c r="AT40" i="3" s="1"/>
  <c r="CT40" i="3"/>
  <c r="AS40" i="3" s="1"/>
  <c r="CS40" i="3"/>
  <c r="AR40" i="3" s="1"/>
  <c r="CR40" i="3"/>
  <c r="AQ40" i="3" s="1"/>
  <c r="CQ40" i="3"/>
  <c r="AP40" i="3" s="1"/>
  <c r="CP40" i="3"/>
  <c r="AO40" i="3" s="1"/>
  <c r="CO40" i="3"/>
  <c r="AN40" i="3" s="1"/>
  <c r="CN40" i="3"/>
  <c r="AM40" i="3" s="1"/>
  <c r="CM40" i="3"/>
  <c r="AL40" i="3" s="1"/>
  <c r="CL40" i="3"/>
  <c r="AK40" i="3" s="1"/>
  <c r="CK40" i="3"/>
  <c r="AJ40" i="3" s="1"/>
  <c r="CJ40" i="3"/>
  <c r="AI40" i="3" s="1"/>
  <c r="CI40" i="3"/>
  <c r="AH40" i="3" s="1"/>
  <c r="CH40" i="3"/>
  <c r="AG40" i="3" s="1"/>
  <c r="CG40" i="3"/>
  <c r="CF40" i="3"/>
  <c r="AE40" i="3" s="1"/>
  <c r="CE40" i="3"/>
  <c r="CD40" i="3"/>
  <c r="AC40" i="3" s="1"/>
  <c r="CC40" i="3"/>
  <c r="AB40" i="3" s="1"/>
  <c r="CB40" i="3"/>
  <c r="CA40" i="3"/>
  <c r="Z40" i="3" s="1"/>
  <c r="BZ40" i="3"/>
  <c r="Y40" i="3" s="1"/>
  <c r="BY40" i="3"/>
  <c r="X40" i="3" s="1"/>
  <c r="BX40" i="3"/>
  <c r="W40" i="3" s="1"/>
  <c r="BW40" i="3"/>
  <c r="V40" i="3" s="1"/>
  <c r="BV40" i="3"/>
  <c r="U40" i="3" s="1"/>
  <c r="BU40" i="3"/>
  <c r="T40" i="3" s="1"/>
  <c r="BT40" i="3"/>
  <c r="S40" i="3" s="1"/>
  <c r="BS40" i="3"/>
  <c r="BR40" i="3"/>
  <c r="Q40" i="3" s="1"/>
  <c r="BQ40" i="3"/>
  <c r="P40" i="3" s="1"/>
  <c r="BP40" i="3"/>
  <c r="O40" i="3" s="1"/>
  <c r="BO40" i="3"/>
  <c r="N40" i="3" s="1"/>
  <c r="BN40" i="3"/>
  <c r="M40" i="3" s="1"/>
  <c r="BM40" i="3"/>
  <c r="L40" i="3" s="1"/>
  <c r="BL40" i="3"/>
  <c r="K40" i="3" s="1"/>
  <c r="BK40" i="3"/>
  <c r="J40" i="3" s="1"/>
  <c r="BJ40" i="3"/>
  <c r="I40" i="3" s="1"/>
  <c r="BI40" i="3"/>
  <c r="H40" i="3" s="1"/>
  <c r="BH40" i="3"/>
  <c r="G40" i="3" s="1"/>
  <c r="BG40" i="3"/>
  <c r="C106" i="3"/>
  <c r="C29" i="3"/>
  <c r="C105" i="3"/>
  <c r="DB104" i="3"/>
  <c r="BA104" i="3" s="1"/>
  <c r="DA104" i="3"/>
  <c r="AZ104" i="3" s="1"/>
  <c r="CZ104" i="3"/>
  <c r="AY104" i="3" s="1"/>
  <c r="CY104" i="3"/>
  <c r="CX104" i="3"/>
  <c r="AW104" i="3" s="1"/>
  <c r="CW104" i="3"/>
  <c r="AV104" i="3" s="1"/>
  <c r="CV104" i="3"/>
  <c r="AU104" i="3" s="1"/>
  <c r="CU104" i="3"/>
  <c r="AT104" i="3" s="1"/>
  <c r="CT104" i="3"/>
  <c r="AS104" i="3" s="1"/>
  <c r="CS104" i="3"/>
  <c r="AR104" i="3" s="1"/>
  <c r="CR104" i="3"/>
  <c r="AQ104" i="3" s="1"/>
  <c r="CQ104" i="3"/>
  <c r="AP104" i="3" s="1"/>
  <c r="CP104" i="3"/>
  <c r="AO104" i="3" s="1"/>
  <c r="CO104" i="3"/>
  <c r="CN104" i="3"/>
  <c r="AM104" i="3" s="1"/>
  <c r="CM104" i="3"/>
  <c r="AL104" i="3" s="1"/>
  <c r="CL104" i="3"/>
  <c r="CK104" i="3"/>
  <c r="AJ104" i="3" s="1"/>
  <c r="CJ104" i="3"/>
  <c r="AI104" i="3" s="1"/>
  <c r="CI104" i="3"/>
  <c r="AH104" i="3" s="1"/>
  <c r="CH104" i="3"/>
  <c r="AG104" i="3" s="1"/>
  <c r="CG104" i="3"/>
  <c r="AF104" i="3" s="1"/>
  <c r="CF104" i="3"/>
  <c r="AE104" i="3" s="1"/>
  <c r="CE104" i="3"/>
  <c r="AD104" i="3" s="1"/>
  <c r="CD104" i="3"/>
  <c r="CC104" i="3"/>
  <c r="AB104" i="3" s="1"/>
  <c r="CB104" i="3"/>
  <c r="AA104" i="3" s="1"/>
  <c r="CA104" i="3"/>
  <c r="Z104" i="3" s="1"/>
  <c r="BZ104" i="3"/>
  <c r="Y104" i="3" s="1"/>
  <c r="BY104" i="3"/>
  <c r="X104" i="3" s="1"/>
  <c r="BX104" i="3"/>
  <c r="W104" i="3" s="1"/>
  <c r="BW104" i="3"/>
  <c r="BV104" i="3"/>
  <c r="U104" i="3" s="1"/>
  <c r="BU104" i="3"/>
  <c r="T104" i="3" s="1"/>
  <c r="BT104" i="3"/>
  <c r="S104" i="3" s="1"/>
  <c r="BS104" i="3"/>
  <c r="BR104" i="3"/>
  <c r="Q104" i="3" s="1"/>
  <c r="BQ104" i="3"/>
  <c r="P104" i="3" s="1"/>
  <c r="BP104" i="3"/>
  <c r="O104" i="3" s="1"/>
  <c r="BO104" i="3"/>
  <c r="N104" i="3" s="1"/>
  <c r="BN104" i="3"/>
  <c r="M104" i="3" s="1"/>
  <c r="BM104" i="3"/>
  <c r="L104" i="3" s="1"/>
  <c r="BL104" i="3"/>
  <c r="K104" i="3" s="1"/>
  <c r="BK104" i="3"/>
  <c r="J104" i="3" s="1"/>
  <c r="BJ104" i="3"/>
  <c r="I104" i="3" s="1"/>
  <c r="BI104" i="3"/>
  <c r="H104" i="3" s="1"/>
  <c r="BH104" i="3"/>
  <c r="G104" i="3" s="1"/>
  <c r="BG104" i="3"/>
  <c r="F104" i="3" s="1"/>
  <c r="DB103" i="3"/>
  <c r="BA103" i="3" s="1"/>
  <c r="DA103" i="3"/>
  <c r="AZ103" i="3" s="1"/>
  <c r="CZ103" i="3"/>
  <c r="AY103" i="3" s="1"/>
  <c r="CY103" i="3"/>
  <c r="AX103" i="3" s="1"/>
  <c r="CX103" i="3"/>
  <c r="AW103" i="3" s="1"/>
  <c r="CW103" i="3"/>
  <c r="CV103" i="3"/>
  <c r="AU103" i="3" s="1"/>
  <c r="CU103" i="3"/>
  <c r="AT103" i="3" s="1"/>
  <c r="CT103" i="3"/>
  <c r="AS103" i="3" s="1"/>
  <c r="CS103" i="3"/>
  <c r="AR103" i="3" s="1"/>
  <c r="CR103" i="3"/>
  <c r="AQ103" i="3" s="1"/>
  <c r="CQ103" i="3"/>
  <c r="AP103" i="3" s="1"/>
  <c r="CP103" i="3"/>
  <c r="AO103" i="3" s="1"/>
  <c r="CO103" i="3"/>
  <c r="AN103" i="3" s="1"/>
  <c r="CN103" i="3"/>
  <c r="CM103" i="3"/>
  <c r="AL103" i="3" s="1"/>
  <c r="CL103" i="3"/>
  <c r="AK103" i="3" s="1"/>
  <c r="CK103" i="3"/>
  <c r="AJ103" i="3" s="1"/>
  <c r="CJ103" i="3"/>
  <c r="AI103" i="3" s="1"/>
  <c r="CI103" i="3"/>
  <c r="AH103" i="3" s="1"/>
  <c r="CH103" i="3"/>
  <c r="AG103" i="3" s="1"/>
  <c r="CG103" i="3"/>
  <c r="AF103" i="3" s="1"/>
  <c r="CF103" i="3"/>
  <c r="AE103" i="3" s="1"/>
  <c r="CE103" i="3"/>
  <c r="AD103" i="3" s="1"/>
  <c r="CD103" i="3"/>
  <c r="AC103" i="3" s="1"/>
  <c r="CC103" i="3"/>
  <c r="AB103" i="3" s="1"/>
  <c r="CB103" i="3"/>
  <c r="CA103" i="3"/>
  <c r="Z103" i="3" s="1"/>
  <c r="BZ103" i="3"/>
  <c r="Y103" i="3" s="1"/>
  <c r="BY103" i="3"/>
  <c r="X103" i="3" s="1"/>
  <c r="BX103" i="3"/>
  <c r="W103" i="3" s="1"/>
  <c r="BW103" i="3"/>
  <c r="V103" i="3" s="1"/>
  <c r="BV103" i="3"/>
  <c r="BU103" i="3"/>
  <c r="T103" i="3" s="1"/>
  <c r="BT103" i="3"/>
  <c r="S103" i="3" s="1"/>
  <c r="BS103" i="3"/>
  <c r="R103" i="3" s="1"/>
  <c r="BR103" i="3"/>
  <c r="Q103" i="3" s="1"/>
  <c r="BQ103" i="3"/>
  <c r="P103" i="3" s="1"/>
  <c r="BP103" i="3"/>
  <c r="BO103" i="3"/>
  <c r="N103" i="3" s="1"/>
  <c r="BN103" i="3"/>
  <c r="M103" i="3" s="1"/>
  <c r="BM103" i="3"/>
  <c r="L103" i="3" s="1"/>
  <c r="BL103" i="3"/>
  <c r="BK103" i="3"/>
  <c r="J103" i="3" s="1"/>
  <c r="BJ103" i="3"/>
  <c r="I103" i="3" s="1"/>
  <c r="BI103" i="3"/>
  <c r="H103" i="3" s="1"/>
  <c r="BH103" i="3"/>
  <c r="G103" i="3" s="1"/>
  <c r="BG103" i="3"/>
  <c r="F103" i="3" s="1"/>
  <c r="DB10" i="3"/>
  <c r="BA10" i="3" s="1"/>
  <c r="DA10" i="3"/>
  <c r="AZ10" i="3" s="1"/>
  <c r="CZ10" i="3"/>
  <c r="AY10" i="3" s="1"/>
  <c r="CY10" i="3"/>
  <c r="AX10" i="3" s="1"/>
  <c r="CX10" i="3"/>
  <c r="AW10" i="3" s="1"/>
  <c r="CW10" i="3"/>
  <c r="AV10" i="3" s="1"/>
  <c r="CV10" i="3"/>
  <c r="AU10" i="3" s="1"/>
  <c r="CU10" i="3"/>
  <c r="AT10" i="3" s="1"/>
  <c r="CT10" i="3"/>
  <c r="AS10" i="3" s="1"/>
  <c r="CS10" i="3"/>
  <c r="AR10" i="3" s="1"/>
  <c r="CR10" i="3"/>
  <c r="AQ10" i="3" s="1"/>
  <c r="CQ10" i="3"/>
  <c r="AP10" i="3" s="1"/>
  <c r="CP10" i="3"/>
  <c r="AO10" i="3" s="1"/>
  <c r="CO10" i="3"/>
  <c r="AN10" i="3" s="1"/>
  <c r="CN10" i="3"/>
  <c r="AM10" i="3" s="1"/>
  <c r="CM10" i="3"/>
  <c r="CL10" i="3"/>
  <c r="AK10" i="3" s="1"/>
  <c r="CK10" i="3"/>
  <c r="AJ10" i="3" s="1"/>
  <c r="CJ10" i="3"/>
  <c r="AI10" i="3" s="1"/>
  <c r="CI10" i="3"/>
  <c r="AH10" i="3" s="1"/>
  <c r="CH10" i="3"/>
  <c r="AG10" i="3" s="1"/>
  <c r="CG10" i="3"/>
  <c r="AF10" i="3" s="1"/>
  <c r="CF10" i="3"/>
  <c r="AE10" i="3" s="1"/>
  <c r="CE10" i="3"/>
  <c r="AD10" i="3" s="1"/>
  <c r="CD10" i="3"/>
  <c r="AC10" i="3" s="1"/>
  <c r="CC10" i="3"/>
  <c r="AB10" i="3" s="1"/>
  <c r="CB10" i="3"/>
  <c r="AA10" i="3" s="1"/>
  <c r="CA10" i="3"/>
  <c r="Z10" i="3" s="1"/>
  <c r="BZ10" i="3"/>
  <c r="Y10" i="3" s="1"/>
  <c r="BY10" i="3"/>
  <c r="X10" i="3" s="1"/>
  <c r="BX10" i="3"/>
  <c r="W10" i="3" s="1"/>
  <c r="BW10" i="3"/>
  <c r="V10" i="3" s="1"/>
  <c r="BV10" i="3"/>
  <c r="U10" i="3" s="1"/>
  <c r="BU10" i="3"/>
  <c r="T10" i="3" s="1"/>
  <c r="BT10" i="3"/>
  <c r="S10" i="3" s="1"/>
  <c r="BS10" i="3"/>
  <c r="R10" i="3" s="1"/>
  <c r="BR10" i="3"/>
  <c r="Q10" i="3" s="1"/>
  <c r="BQ10" i="3"/>
  <c r="P10" i="3" s="1"/>
  <c r="BP10" i="3"/>
  <c r="O10" i="3" s="1"/>
  <c r="BO10" i="3"/>
  <c r="BN10" i="3"/>
  <c r="BM10" i="3"/>
  <c r="BL10" i="3"/>
  <c r="BK10" i="3"/>
  <c r="BJ10" i="3"/>
  <c r="BI10" i="3"/>
  <c r="BH10" i="3"/>
  <c r="BG10" i="3"/>
  <c r="DB102" i="3"/>
  <c r="BA102" i="3" s="1"/>
  <c r="DA102" i="3"/>
  <c r="AZ102" i="3" s="1"/>
  <c r="CZ102" i="3"/>
  <c r="AY102" i="3" s="1"/>
  <c r="CY102" i="3"/>
  <c r="AX102" i="3" s="1"/>
  <c r="CX102" i="3"/>
  <c r="AW102" i="3" s="1"/>
  <c r="CW102" i="3"/>
  <c r="AV102" i="3" s="1"/>
  <c r="CV102" i="3"/>
  <c r="AU102" i="3" s="1"/>
  <c r="CU102" i="3"/>
  <c r="CT102" i="3"/>
  <c r="AS102" i="3" s="1"/>
  <c r="CS102" i="3"/>
  <c r="AR102" i="3" s="1"/>
  <c r="CR102" i="3"/>
  <c r="AQ102" i="3" s="1"/>
  <c r="CQ102" i="3"/>
  <c r="AP102" i="3" s="1"/>
  <c r="CP102" i="3"/>
  <c r="AO102" i="3" s="1"/>
  <c r="CO102" i="3"/>
  <c r="CN102" i="3"/>
  <c r="AM102" i="3" s="1"/>
  <c r="CM102" i="3"/>
  <c r="AL102" i="3" s="1"/>
  <c r="CL102" i="3"/>
  <c r="AK102" i="3" s="1"/>
  <c r="CK102" i="3"/>
  <c r="AJ102" i="3" s="1"/>
  <c r="CJ102" i="3"/>
  <c r="AI102" i="3" s="1"/>
  <c r="CI102" i="3"/>
  <c r="AH102" i="3" s="1"/>
  <c r="CH102" i="3"/>
  <c r="AG102" i="3" s="1"/>
  <c r="CG102" i="3"/>
  <c r="AF102" i="3" s="1"/>
  <c r="CF102" i="3"/>
  <c r="AE102" i="3" s="1"/>
  <c r="CE102" i="3"/>
  <c r="AD102" i="3" s="1"/>
  <c r="CD102" i="3"/>
  <c r="AC102" i="3" s="1"/>
  <c r="CC102" i="3"/>
  <c r="AB102" i="3" s="1"/>
  <c r="CB102" i="3"/>
  <c r="AA102" i="3" s="1"/>
  <c r="CA102" i="3"/>
  <c r="Z102" i="3" s="1"/>
  <c r="BZ102" i="3"/>
  <c r="Y102" i="3" s="1"/>
  <c r="BY102" i="3"/>
  <c r="X102" i="3" s="1"/>
  <c r="BX102" i="3"/>
  <c r="W102" i="3" s="1"/>
  <c r="BW102" i="3"/>
  <c r="V102" i="3" s="1"/>
  <c r="BV102" i="3"/>
  <c r="U102" i="3" s="1"/>
  <c r="BU102" i="3"/>
  <c r="T102" i="3" s="1"/>
  <c r="BT102" i="3"/>
  <c r="S102" i="3" s="1"/>
  <c r="BS102" i="3"/>
  <c r="R102" i="3" s="1"/>
  <c r="BR102" i="3"/>
  <c r="Q102" i="3" s="1"/>
  <c r="BQ102" i="3"/>
  <c r="P102" i="3" s="1"/>
  <c r="BP102" i="3"/>
  <c r="O102" i="3" s="1"/>
  <c r="BO102" i="3"/>
  <c r="BN102" i="3"/>
  <c r="M102" i="3" s="1"/>
  <c r="BM102" i="3"/>
  <c r="L102" i="3" s="1"/>
  <c r="BL102" i="3"/>
  <c r="BK102" i="3"/>
  <c r="J102" i="3" s="1"/>
  <c r="BJ102" i="3"/>
  <c r="I102" i="3" s="1"/>
  <c r="BI102" i="3"/>
  <c r="H102" i="3" s="1"/>
  <c r="BH102" i="3"/>
  <c r="G102" i="3" s="1"/>
  <c r="BG102" i="3"/>
  <c r="F102" i="3" s="1"/>
  <c r="DB101" i="3"/>
  <c r="BA101" i="3" s="1"/>
  <c r="DA101" i="3"/>
  <c r="AZ101" i="3" s="1"/>
  <c r="CZ101" i="3"/>
  <c r="AY101" i="3" s="1"/>
  <c r="CY101" i="3"/>
  <c r="AX101" i="3" s="1"/>
  <c r="CX101" i="3"/>
  <c r="AW101" i="3" s="1"/>
  <c r="CW101" i="3"/>
  <c r="CV101" i="3"/>
  <c r="AU101" i="3" s="1"/>
  <c r="CU101" i="3"/>
  <c r="CT101" i="3"/>
  <c r="AS101" i="3" s="1"/>
  <c r="CS101" i="3"/>
  <c r="AR101" i="3" s="1"/>
  <c r="CR101" i="3"/>
  <c r="AQ101" i="3" s="1"/>
  <c r="CQ101" i="3"/>
  <c r="AP101" i="3" s="1"/>
  <c r="CP101" i="3"/>
  <c r="AO101" i="3" s="1"/>
  <c r="CO101" i="3"/>
  <c r="AN101" i="3" s="1"/>
  <c r="CN101" i="3"/>
  <c r="AM101" i="3" s="1"/>
  <c r="CM101" i="3"/>
  <c r="AL101" i="3" s="1"/>
  <c r="CL101" i="3"/>
  <c r="AK101" i="3" s="1"/>
  <c r="CK101" i="3"/>
  <c r="AJ101" i="3" s="1"/>
  <c r="CJ101" i="3"/>
  <c r="AI101" i="3" s="1"/>
  <c r="CI101" i="3"/>
  <c r="AH101" i="3" s="1"/>
  <c r="CH101" i="3"/>
  <c r="AG101" i="3" s="1"/>
  <c r="CG101" i="3"/>
  <c r="AF101" i="3" s="1"/>
  <c r="CF101" i="3"/>
  <c r="AE101" i="3" s="1"/>
  <c r="CE101" i="3"/>
  <c r="CD101" i="3"/>
  <c r="AC101" i="3" s="1"/>
  <c r="CC101" i="3"/>
  <c r="AB101" i="3" s="1"/>
  <c r="CB101" i="3"/>
  <c r="CA101" i="3"/>
  <c r="Z101" i="3" s="1"/>
  <c r="BZ101" i="3"/>
  <c r="BY101" i="3"/>
  <c r="X101" i="3" s="1"/>
  <c r="BX101" i="3"/>
  <c r="W101" i="3" s="1"/>
  <c r="BW101" i="3"/>
  <c r="V101" i="3" s="1"/>
  <c r="BV101" i="3"/>
  <c r="U101" i="3" s="1"/>
  <c r="BU101" i="3"/>
  <c r="T101" i="3" s="1"/>
  <c r="BT101" i="3"/>
  <c r="S101" i="3" s="1"/>
  <c r="BS101" i="3"/>
  <c r="R101" i="3" s="1"/>
  <c r="BR101" i="3"/>
  <c r="Q101" i="3" s="1"/>
  <c r="BQ101" i="3"/>
  <c r="P101" i="3" s="1"/>
  <c r="BP101" i="3"/>
  <c r="O101" i="3" s="1"/>
  <c r="BO101" i="3"/>
  <c r="N101" i="3" s="1"/>
  <c r="BN101" i="3"/>
  <c r="M101" i="3" s="1"/>
  <c r="BM101" i="3"/>
  <c r="L101" i="3" s="1"/>
  <c r="BL101" i="3"/>
  <c r="BK101" i="3"/>
  <c r="J101" i="3" s="1"/>
  <c r="BJ101" i="3"/>
  <c r="I101" i="3" s="1"/>
  <c r="BI101" i="3"/>
  <c r="H101" i="3" s="1"/>
  <c r="BH101" i="3"/>
  <c r="G101" i="3" s="1"/>
  <c r="BG101" i="3"/>
  <c r="F101" i="3" s="1"/>
  <c r="DB100" i="3"/>
  <c r="BA100" i="3" s="1"/>
  <c r="DA100" i="3"/>
  <c r="AZ100" i="3" s="1"/>
  <c r="CZ100" i="3"/>
  <c r="AY100" i="3" s="1"/>
  <c r="CY100" i="3"/>
  <c r="CX100" i="3"/>
  <c r="AW100" i="3" s="1"/>
  <c r="CW100" i="3"/>
  <c r="AV100" i="3" s="1"/>
  <c r="CV100" i="3"/>
  <c r="AU100" i="3" s="1"/>
  <c r="CU100" i="3"/>
  <c r="AT100" i="3" s="1"/>
  <c r="CT100" i="3"/>
  <c r="AS100" i="3" s="1"/>
  <c r="CS100" i="3"/>
  <c r="AR100" i="3" s="1"/>
  <c r="CR100" i="3"/>
  <c r="AQ100" i="3" s="1"/>
  <c r="CQ100" i="3"/>
  <c r="AP100" i="3" s="1"/>
  <c r="CP100" i="3"/>
  <c r="AO100" i="3" s="1"/>
  <c r="CO100" i="3"/>
  <c r="AN100" i="3" s="1"/>
  <c r="CN100" i="3"/>
  <c r="AM100" i="3" s="1"/>
  <c r="CM100" i="3"/>
  <c r="AL100" i="3" s="1"/>
  <c r="CL100" i="3"/>
  <c r="AK100" i="3" s="1"/>
  <c r="CK100" i="3"/>
  <c r="AJ100" i="3" s="1"/>
  <c r="CJ100" i="3"/>
  <c r="AI100" i="3" s="1"/>
  <c r="CI100" i="3"/>
  <c r="AH100" i="3" s="1"/>
  <c r="CH100" i="3"/>
  <c r="CG100" i="3"/>
  <c r="AF100" i="3" s="1"/>
  <c r="CF100" i="3"/>
  <c r="AE100" i="3" s="1"/>
  <c r="CE100" i="3"/>
  <c r="AD100" i="3" s="1"/>
  <c r="CD100" i="3"/>
  <c r="AC100" i="3" s="1"/>
  <c r="CC100" i="3"/>
  <c r="AB100" i="3" s="1"/>
  <c r="CB100" i="3"/>
  <c r="AA100" i="3" s="1"/>
  <c r="CA100" i="3"/>
  <c r="Z100" i="3" s="1"/>
  <c r="BZ100" i="3"/>
  <c r="Y100" i="3" s="1"/>
  <c r="BY100" i="3"/>
  <c r="X100" i="3" s="1"/>
  <c r="BX100" i="3"/>
  <c r="W100" i="3" s="1"/>
  <c r="BW100" i="3"/>
  <c r="V100" i="3" s="1"/>
  <c r="BV100" i="3"/>
  <c r="U100" i="3" s="1"/>
  <c r="BU100" i="3"/>
  <c r="T100" i="3" s="1"/>
  <c r="BT100" i="3"/>
  <c r="S100" i="3" s="1"/>
  <c r="BS100" i="3"/>
  <c r="BR100" i="3"/>
  <c r="Q100" i="3" s="1"/>
  <c r="BQ100" i="3"/>
  <c r="P100" i="3" s="1"/>
  <c r="BP100" i="3"/>
  <c r="O100" i="3" s="1"/>
  <c r="BO100" i="3"/>
  <c r="N100" i="3" s="1"/>
  <c r="BN100" i="3"/>
  <c r="M100" i="3" s="1"/>
  <c r="BM100" i="3"/>
  <c r="L100" i="3" s="1"/>
  <c r="BL100" i="3"/>
  <c r="K100" i="3" s="1"/>
  <c r="BK100" i="3"/>
  <c r="BJ100" i="3"/>
  <c r="I100" i="3" s="1"/>
  <c r="BI100" i="3"/>
  <c r="H100" i="3" s="1"/>
  <c r="BH100" i="3"/>
  <c r="BG100" i="3"/>
  <c r="F100" i="3" s="1"/>
  <c r="DB99" i="3"/>
  <c r="BA99" i="3" s="1"/>
  <c r="DA99" i="3"/>
  <c r="AZ99" i="3" s="1"/>
  <c r="CZ99" i="3"/>
  <c r="CY99" i="3"/>
  <c r="AX99" i="3" s="1"/>
  <c r="CX99" i="3"/>
  <c r="AW99" i="3" s="1"/>
  <c r="CW99" i="3"/>
  <c r="AV99" i="3" s="1"/>
  <c r="CV99" i="3"/>
  <c r="AU99" i="3" s="1"/>
  <c r="CU99" i="3"/>
  <c r="AT99" i="3" s="1"/>
  <c r="CT99" i="3"/>
  <c r="AS99" i="3" s="1"/>
  <c r="CS99" i="3"/>
  <c r="AR99" i="3" s="1"/>
  <c r="CR99" i="3"/>
  <c r="AQ99" i="3" s="1"/>
  <c r="CQ99" i="3"/>
  <c r="AP99" i="3" s="1"/>
  <c r="CP99" i="3"/>
  <c r="AO99" i="3" s="1"/>
  <c r="CO99" i="3"/>
  <c r="AN99" i="3" s="1"/>
  <c r="CN99" i="3"/>
  <c r="AM99" i="3" s="1"/>
  <c r="CM99" i="3"/>
  <c r="CL99" i="3"/>
  <c r="AK99" i="3" s="1"/>
  <c r="CK99" i="3"/>
  <c r="AJ99" i="3" s="1"/>
  <c r="CJ99" i="3"/>
  <c r="AI99" i="3" s="1"/>
  <c r="CI99" i="3"/>
  <c r="CH99" i="3"/>
  <c r="AG99" i="3" s="1"/>
  <c r="CG99" i="3"/>
  <c r="AF99" i="3" s="1"/>
  <c r="CF99" i="3"/>
  <c r="AE99" i="3" s="1"/>
  <c r="CE99" i="3"/>
  <c r="AD99" i="3" s="1"/>
  <c r="CD99" i="3"/>
  <c r="AC99" i="3" s="1"/>
  <c r="CC99" i="3"/>
  <c r="AB99" i="3" s="1"/>
  <c r="CB99" i="3"/>
  <c r="AA99" i="3" s="1"/>
  <c r="CA99" i="3"/>
  <c r="Z99" i="3" s="1"/>
  <c r="BZ99" i="3"/>
  <c r="Y99" i="3" s="1"/>
  <c r="BY99" i="3"/>
  <c r="X99" i="3" s="1"/>
  <c r="BX99" i="3"/>
  <c r="W99" i="3" s="1"/>
  <c r="BW99" i="3"/>
  <c r="V99" i="3" s="1"/>
  <c r="BV99" i="3"/>
  <c r="U99" i="3" s="1"/>
  <c r="BU99" i="3"/>
  <c r="T99" i="3" s="1"/>
  <c r="BT99" i="3"/>
  <c r="S99" i="3" s="1"/>
  <c r="BS99" i="3"/>
  <c r="R99" i="3" s="1"/>
  <c r="BR99" i="3"/>
  <c r="Q99" i="3" s="1"/>
  <c r="BQ99" i="3"/>
  <c r="P99" i="3" s="1"/>
  <c r="BP99" i="3"/>
  <c r="O99" i="3" s="1"/>
  <c r="BO99" i="3"/>
  <c r="BN99" i="3"/>
  <c r="M99" i="3" s="1"/>
  <c r="BM99" i="3"/>
  <c r="L99" i="3" s="1"/>
  <c r="BL99" i="3"/>
  <c r="K99" i="3" s="1"/>
  <c r="BK99" i="3"/>
  <c r="J99" i="3" s="1"/>
  <c r="BJ99" i="3"/>
  <c r="I99" i="3" s="1"/>
  <c r="BI99" i="3"/>
  <c r="H99" i="3" s="1"/>
  <c r="BH99" i="3"/>
  <c r="G99" i="3" s="1"/>
  <c r="BG99" i="3"/>
  <c r="F99" i="3" s="1"/>
  <c r="DB98" i="3"/>
  <c r="BA98" i="3" s="1"/>
  <c r="DA98" i="3"/>
  <c r="AZ98" i="3" s="1"/>
  <c r="CZ98" i="3"/>
  <c r="AY98" i="3" s="1"/>
  <c r="CY98" i="3"/>
  <c r="AX98" i="3" s="1"/>
  <c r="CX98" i="3"/>
  <c r="AW98" i="3" s="1"/>
  <c r="CW98" i="3"/>
  <c r="AV98" i="3" s="1"/>
  <c r="CV98" i="3"/>
  <c r="AU98" i="3" s="1"/>
  <c r="CU98" i="3"/>
  <c r="CT98" i="3"/>
  <c r="AS98" i="3" s="1"/>
  <c r="CS98" i="3"/>
  <c r="AR98" i="3" s="1"/>
  <c r="CR98" i="3"/>
  <c r="AQ98" i="3" s="1"/>
  <c r="CQ98" i="3"/>
  <c r="CP98" i="3"/>
  <c r="AO98" i="3" s="1"/>
  <c r="CO98" i="3"/>
  <c r="AN98" i="3" s="1"/>
  <c r="CN98" i="3"/>
  <c r="CM98" i="3"/>
  <c r="AL98" i="3" s="1"/>
  <c r="CL98" i="3"/>
  <c r="AK98" i="3" s="1"/>
  <c r="CK98" i="3"/>
  <c r="AJ98" i="3" s="1"/>
  <c r="CJ98" i="3"/>
  <c r="AI98" i="3" s="1"/>
  <c r="CI98" i="3"/>
  <c r="AH98" i="3" s="1"/>
  <c r="CH98" i="3"/>
  <c r="AG98" i="3" s="1"/>
  <c r="CG98" i="3"/>
  <c r="AF98" i="3" s="1"/>
  <c r="CF98" i="3"/>
  <c r="AE98" i="3" s="1"/>
  <c r="CE98" i="3"/>
  <c r="AD98" i="3" s="1"/>
  <c r="CD98" i="3"/>
  <c r="AC98" i="3" s="1"/>
  <c r="CC98" i="3"/>
  <c r="AB98" i="3" s="1"/>
  <c r="CB98" i="3"/>
  <c r="AA98" i="3" s="1"/>
  <c r="CA98" i="3"/>
  <c r="BZ98" i="3"/>
  <c r="Y98" i="3" s="1"/>
  <c r="BY98" i="3"/>
  <c r="X98" i="3" s="1"/>
  <c r="BX98" i="3"/>
  <c r="W98" i="3" s="1"/>
  <c r="BW98" i="3"/>
  <c r="V98" i="3" s="1"/>
  <c r="BV98" i="3"/>
  <c r="BU98" i="3"/>
  <c r="T98" i="3" s="1"/>
  <c r="BT98" i="3"/>
  <c r="S98" i="3" s="1"/>
  <c r="BS98" i="3"/>
  <c r="R98" i="3" s="1"/>
  <c r="BR98" i="3"/>
  <c r="Q98" i="3" s="1"/>
  <c r="BQ98" i="3"/>
  <c r="P98" i="3" s="1"/>
  <c r="BP98" i="3"/>
  <c r="O98" i="3" s="1"/>
  <c r="BO98" i="3"/>
  <c r="N98" i="3" s="1"/>
  <c r="BN98" i="3"/>
  <c r="M98" i="3" s="1"/>
  <c r="BM98" i="3"/>
  <c r="L98" i="3" s="1"/>
  <c r="BL98" i="3"/>
  <c r="K98" i="3" s="1"/>
  <c r="BK98" i="3"/>
  <c r="J98" i="3" s="1"/>
  <c r="BJ98" i="3"/>
  <c r="I98" i="3" s="1"/>
  <c r="BI98" i="3"/>
  <c r="H98" i="3" s="1"/>
  <c r="BH98" i="3"/>
  <c r="G98" i="3" s="1"/>
  <c r="BG98" i="3"/>
  <c r="F98" i="3" s="1"/>
  <c r="DB97" i="3"/>
  <c r="BA97" i="3" s="1"/>
  <c r="DA97" i="3"/>
  <c r="AZ97" i="3" s="1"/>
  <c r="CZ97" i="3"/>
  <c r="AY97" i="3" s="1"/>
  <c r="CY97" i="3"/>
  <c r="AX97" i="3" s="1"/>
  <c r="CX97" i="3"/>
  <c r="AW97" i="3" s="1"/>
  <c r="CW97" i="3"/>
  <c r="AV97" i="3" s="1"/>
  <c r="CV97" i="3"/>
  <c r="AU97" i="3" s="1"/>
  <c r="CU97" i="3"/>
  <c r="CT97" i="3"/>
  <c r="AS97" i="3" s="1"/>
  <c r="CS97" i="3"/>
  <c r="AR97" i="3" s="1"/>
  <c r="CR97" i="3"/>
  <c r="AQ97" i="3" s="1"/>
  <c r="CQ97" i="3"/>
  <c r="AP97" i="3" s="1"/>
  <c r="CP97" i="3"/>
  <c r="AO97" i="3" s="1"/>
  <c r="CO97" i="3"/>
  <c r="CN97" i="3"/>
  <c r="CM97" i="3"/>
  <c r="AL97" i="3" s="1"/>
  <c r="CL97" i="3"/>
  <c r="AK97" i="3" s="1"/>
  <c r="CK97" i="3"/>
  <c r="AJ97" i="3" s="1"/>
  <c r="CJ97" i="3"/>
  <c r="AI97" i="3" s="1"/>
  <c r="CI97" i="3"/>
  <c r="AH97" i="3" s="1"/>
  <c r="CH97" i="3"/>
  <c r="AG97" i="3" s="1"/>
  <c r="CG97" i="3"/>
  <c r="AF97" i="3" s="1"/>
  <c r="CF97" i="3"/>
  <c r="AE97" i="3" s="1"/>
  <c r="CE97" i="3"/>
  <c r="AD97" i="3" s="1"/>
  <c r="CD97" i="3"/>
  <c r="AC97" i="3" s="1"/>
  <c r="CC97" i="3"/>
  <c r="AB97" i="3" s="1"/>
  <c r="CB97" i="3"/>
  <c r="AA97" i="3" s="1"/>
  <c r="CA97" i="3"/>
  <c r="BZ97" i="3"/>
  <c r="Y97" i="3" s="1"/>
  <c r="BY97" i="3"/>
  <c r="X97" i="3" s="1"/>
  <c r="BX97" i="3"/>
  <c r="W97" i="3" s="1"/>
  <c r="BW97" i="3"/>
  <c r="V97" i="3" s="1"/>
  <c r="BV97" i="3"/>
  <c r="U97" i="3" s="1"/>
  <c r="BU97" i="3"/>
  <c r="T97" i="3" s="1"/>
  <c r="BT97" i="3"/>
  <c r="S97" i="3" s="1"/>
  <c r="BS97" i="3"/>
  <c r="R97" i="3" s="1"/>
  <c r="BR97" i="3"/>
  <c r="Q97" i="3" s="1"/>
  <c r="BQ97" i="3"/>
  <c r="P97" i="3" s="1"/>
  <c r="BP97" i="3"/>
  <c r="BO97" i="3"/>
  <c r="N97" i="3" s="1"/>
  <c r="BN97" i="3"/>
  <c r="M97" i="3" s="1"/>
  <c r="BM97" i="3"/>
  <c r="L97" i="3" s="1"/>
  <c r="BL97" i="3"/>
  <c r="K97" i="3" s="1"/>
  <c r="BK97" i="3"/>
  <c r="J97" i="3" s="1"/>
  <c r="BJ97" i="3"/>
  <c r="I97" i="3" s="1"/>
  <c r="BI97" i="3"/>
  <c r="BH97" i="3"/>
  <c r="G97" i="3" s="1"/>
  <c r="BG97" i="3"/>
  <c r="F97" i="3" s="1"/>
  <c r="DB96" i="3"/>
  <c r="BA96" i="3" s="1"/>
  <c r="DA96" i="3"/>
  <c r="AZ96" i="3" s="1"/>
  <c r="CZ96" i="3"/>
  <c r="AY96" i="3" s="1"/>
  <c r="CY96" i="3"/>
  <c r="AX96" i="3" s="1"/>
  <c r="CX96" i="3"/>
  <c r="AW96" i="3" s="1"/>
  <c r="CW96" i="3"/>
  <c r="CV96" i="3"/>
  <c r="AU96" i="3" s="1"/>
  <c r="CU96" i="3"/>
  <c r="AT96" i="3" s="1"/>
  <c r="CT96" i="3"/>
  <c r="AS96" i="3" s="1"/>
  <c r="CS96" i="3"/>
  <c r="CR96" i="3"/>
  <c r="AQ96" i="3" s="1"/>
  <c r="CQ96" i="3"/>
  <c r="AP96" i="3" s="1"/>
  <c r="CP96" i="3"/>
  <c r="AO96" i="3" s="1"/>
  <c r="CO96" i="3"/>
  <c r="CN96" i="3"/>
  <c r="AM96" i="3" s="1"/>
  <c r="CM96" i="3"/>
  <c r="AL96" i="3" s="1"/>
  <c r="CL96" i="3"/>
  <c r="CK96" i="3"/>
  <c r="AJ96" i="3" s="1"/>
  <c r="CJ96" i="3"/>
  <c r="AI96" i="3" s="1"/>
  <c r="CI96" i="3"/>
  <c r="CH96" i="3"/>
  <c r="AG96" i="3" s="1"/>
  <c r="CG96" i="3"/>
  <c r="AF96" i="3" s="1"/>
  <c r="CF96" i="3"/>
  <c r="AE96" i="3" s="1"/>
  <c r="CE96" i="3"/>
  <c r="CD96" i="3"/>
  <c r="AC96" i="3" s="1"/>
  <c r="CC96" i="3"/>
  <c r="AB96" i="3" s="1"/>
  <c r="CB96" i="3"/>
  <c r="CA96" i="3"/>
  <c r="Z96" i="3" s="1"/>
  <c r="BZ96" i="3"/>
  <c r="BY96" i="3"/>
  <c r="X96" i="3" s="1"/>
  <c r="BX96" i="3"/>
  <c r="W96" i="3" s="1"/>
  <c r="BW96" i="3"/>
  <c r="V96" i="3" s="1"/>
  <c r="BV96" i="3"/>
  <c r="U96" i="3" s="1"/>
  <c r="BU96" i="3"/>
  <c r="T96" i="3" s="1"/>
  <c r="BT96" i="3"/>
  <c r="S96" i="3" s="1"/>
  <c r="BS96" i="3"/>
  <c r="R96" i="3" s="1"/>
  <c r="BR96" i="3"/>
  <c r="BQ96" i="3"/>
  <c r="P96" i="3" s="1"/>
  <c r="BP96" i="3"/>
  <c r="O96" i="3" s="1"/>
  <c r="BO96" i="3"/>
  <c r="N96" i="3" s="1"/>
  <c r="BN96" i="3"/>
  <c r="M96" i="3" s="1"/>
  <c r="BM96" i="3"/>
  <c r="L96" i="3" s="1"/>
  <c r="BL96" i="3"/>
  <c r="K96" i="3" s="1"/>
  <c r="BK96" i="3"/>
  <c r="J96" i="3" s="1"/>
  <c r="BJ96" i="3"/>
  <c r="I96" i="3" s="1"/>
  <c r="BI96" i="3"/>
  <c r="H96" i="3" s="1"/>
  <c r="BH96" i="3"/>
  <c r="G96" i="3" s="1"/>
  <c r="BG96" i="3"/>
  <c r="F96" i="3" s="1"/>
  <c r="DB28" i="3"/>
  <c r="BA28" i="3" s="1"/>
  <c r="DA28" i="3"/>
  <c r="AZ28" i="3" s="1"/>
  <c r="CZ28" i="3"/>
  <c r="AY28" i="3" s="1"/>
  <c r="CY28" i="3"/>
  <c r="AX28" i="3" s="1"/>
  <c r="CX28" i="3"/>
  <c r="AW28" i="3" s="1"/>
  <c r="CW28" i="3"/>
  <c r="CV28" i="3"/>
  <c r="AU28" i="3" s="1"/>
  <c r="CU28" i="3"/>
  <c r="AT28" i="3" s="1"/>
  <c r="CT28" i="3"/>
  <c r="AS28" i="3" s="1"/>
  <c r="CS28" i="3"/>
  <c r="CR28" i="3"/>
  <c r="AQ28" i="3" s="1"/>
  <c r="CQ28" i="3"/>
  <c r="AP28" i="3" s="1"/>
  <c r="CP28" i="3"/>
  <c r="AO28" i="3" s="1"/>
  <c r="CO28" i="3"/>
  <c r="AN28" i="3" s="1"/>
  <c r="CN28" i="3"/>
  <c r="AM28" i="3" s="1"/>
  <c r="CM28" i="3"/>
  <c r="CL28" i="3"/>
  <c r="AK28" i="3" s="1"/>
  <c r="CK28" i="3"/>
  <c r="AJ28" i="3" s="1"/>
  <c r="CJ28" i="3"/>
  <c r="AI28" i="3" s="1"/>
  <c r="CI28" i="3"/>
  <c r="AH28" i="3" s="1"/>
  <c r="CH28" i="3"/>
  <c r="AG28" i="3" s="1"/>
  <c r="CG28" i="3"/>
  <c r="AF28" i="3" s="1"/>
  <c r="CF28" i="3"/>
  <c r="AE28" i="3" s="1"/>
  <c r="CE28" i="3"/>
  <c r="CD28" i="3"/>
  <c r="AC28" i="3" s="1"/>
  <c r="CC28" i="3"/>
  <c r="AB28" i="3" s="1"/>
  <c r="CB28" i="3"/>
  <c r="AA28" i="3" s="1"/>
  <c r="CA28" i="3"/>
  <c r="Z28" i="3" s="1"/>
  <c r="BZ28" i="3"/>
  <c r="Y28" i="3" s="1"/>
  <c r="BY28" i="3"/>
  <c r="X28" i="3" s="1"/>
  <c r="BX28" i="3"/>
  <c r="W28" i="3" s="1"/>
  <c r="BW28" i="3"/>
  <c r="BV28" i="3"/>
  <c r="U28" i="3" s="1"/>
  <c r="BU28" i="3"/>
  <c r="T28" i="3" s="1"/>
  <c r="BT28" i="3"/>
  <c r="S28" i="3" s="1"/>
  <c r="BS28" i="3"/>
  <c r="R28" i="3" s="1"/>
  <c r="BR28" i="3"/>
  <c r="Q28" i="3" s="1"/>
  <c r="BQ28" i="3"/>
  <c r="P28" i="3" s="1"/>
  <c r="BP28" i="3"/>
  <c r="BO28" i="3"/>
  <c r="N28" i="3" s="1"/>
  <c r="BN28" i="3"/>
  <c r="M28" i="3" s="1"/>
  <c r="BM28" i="3"/>
  <c r="L28" i="3" s="1"/>
  <c r="BL28" i="3"/>
  <c r="K28" i="3" s="1"/>
  <c r="BK28" i="3"/>
  <c r="J28" i="3" s="1"/>
  <c r="BJ28" i="3"/>
  <c r="I28" i="3" s="1"/>
  <c r="BI28" i="3"/>
  <c r="H28" i="3" s="1"/>
  <c r="BH28" i="3"/>
  <c r="G28" i="3" s="1"/>
  <c r="BG28" i="3"/>
  <c r="DB95" i="3"/>
  <c r="BA95" i="3" s="1"/>
  <c r="DA95" i="3"/>
  <c r="AZ95" i="3" s="1"/>
  <c r="CZ95" i="3"/>
  <c r="AY95" i="3" s="1"/>
  <c r="CY95" i="3"/>
  <c r="AX95" i="3" s="1"/>
  <c r="CX95" i="3"/>
  <c r="AW95" i="3" s="1"/>
  <c r="CW95" i="3"/>
  <c r="AV95" i="3" s="1"/>
  <c r="CV95" i="3"/>
  <c r="AU95" i="3" s="1"/>
  <c r="CU95" i="3"/>
  <c r="AT95" i="3" s="1"/>
  <c r="CT95" i="3"/>
  <c r="AS95" i="3" s="1"/>
  <c r="CS95" i="3"/>
  <c r="AR95" i="3" s="1"/>
  <c r="CR95" i="3"/>
  <c r="AQ95" i="3" s="1"/>
  <c r="CQ95" i="3"/>
  <c r="CP95" i="3"/>
  <c r="AO95" i="3" s="1"/>
  <c r="CO95" i="3"/>
  <c r="AN95" i="3" s="1"/>
  <c r="CN95" i="3"/>
  <c r="AM95" i="3" s="1"/>
  <c r="CM95" i="3"/>
  <c r="AL95" i="3" s="1"/>
  <c r="CL95" i="3"/>
  <c r="AK95" i="3" s="1"/>
  <c r="CK95" i="3"/>
  <c r="AJ95" i="3" s="1"/>
  <c r="CJ95" i="3"/>
  <c r="AI95" i="3" s="1"/>
  <c r="CI95" i="3"/>
  <c r="CH95" i="3"/>
  <c r="AG95" i="3" s="1"/>
  <c r="CG95" i="3"/>
  <c r="CF95" i="3"/>
  <c r="AE95" i="3" s="1"/>
  <c r="CE95" i="3"/>
  <c r="AD95" i="3" s="1"/>
  <c r="CD95" i="3"/>
  <c r="AC95" i="3" s="1"/>
  <c r="CC95" i="3"/>
  <c r="AB95" i="3" s="1"/>
  <c r="CB95" i="3"/>
  <c r="AA95" i="3" s="1"/>
  <c r="CA95" i="3"/>
  <c r="BZ95" i="3"/>
  <c r="Y95" i="3" s="1"/>
  <c r="BY95" i="3"/>
  <c r="X95" i="3" s="1"/>
  <c r="BX95" i="3"/>
  <c r="W95" i="3" s="1"/>
  <c r="BW95" i="3"/>
  <c r="V95" i="3" s="1"/>
  <c r="BV95" i="3"/>
  <c r="U95" i="3" s="1"/>
  <c r="BU95" i="3"/>
  <c r="T95" i="3" s="1"/>
  <c r="BT95" i="3"/>
  <c r="S95" i="3" s="1"/>
  <c r="BS95" i="3"/>
  <c r="R95" i="3" s="1"/>
  <c r="BR95" i="3"/>
  <c r="Q95" i="3" s="1"/>
  <c r="BQ95" i="3"/>
  <c r="P95" i="3" s="1"/>
  <c r="BP95" i="3"/>
  <c r="BO95" i="3"/>
  <c r="BN95" i="3"/>
  <c r="M95" i="3" s="1"/>
  <c r="BM95" i="3"/>
  <c r="L95" i="3" s="1"/>
  <c r="BL95" i="3"/>
  <c r="K95" i="3" s="1"/>
  <c r="BK95" i="3"/>
  <c r="J95" i="3" s="1"/>
  <c r="BJ95" i="3"/>
  <c r="I95" i="3" s="1"/>
  <c r="BI95" i="3"/>
  <c r="H95" i="3" s="1"/>
  <c r="BH95" i="3"/>
  <c r="G95" i="3" s="1"/>
  <c r="BG95" i="3"/>
  <c r="F95" i="3" s="1"/>
  <c r="DB94" i="3"/>
  <c r="BA94" i="3" s="1"/>
  <c r="DA94" i="3"/>
  <c r="AZ94" i="3" s="1"/>
  <c r="CZ94" i="3"/>
  <c r="CY94" i="3"/>
  <c r="CX94" i="3"/>
  <c r="AW94" i="3" s="1"/>
  <c r="CW94" i="3"/>
  <c r="AV94" i="3" s="1"/>
  <c r="CV94" i="3"/>
  <c r="AU94" i="3" s="1"/>
  <c r="CU94" i="3"/>
  <c r="AT94" i="3" s="1"/>
  <c r="CT94" i="3"/>
  <c r="AS94" i="3" s="1"/>
  <c r="CS94" i="3"/>
  <c r="AR94" i="3" s="1"/>
  <c r="CR94" i="3"/>
  <c r="CQ94" i="3"/>
  <c r="AP94" i="3" s="1"/>
  <c r="CP94" i="3"/>
  <c r="AO94" i="3" s="1"/>
  <c r="CO94" i="3"/>
  <c r="AN94" i="3" s="1"/>
  <c r="CN94" i="3"/>
  <c r="AM94" i="3" s="1"/>
  <c r="CM94" i="3"/>
  <c r="CL94" i="3"/>
  <c r="AK94" i="3" s="1"/>
  <c r="CK94" i="3"/>
  <c r="AJ94" i="3" s="1"/>
  <c r="CJ94" i="3"/>
  <c r="AI94" i="3" s="1"/>
  <c r="CI94" i="3"/>
  <c r="AH94" i="3" s="1"/>
  <c r="CH94" i="3"/>
  <c r="AG94" i="3" s="1"/>
  <c r="CG94" i="3"/>
  <c r="AF94" i="3" s="1"/>
  <c r="CF94" i="3"/>
  <c r="AE94" i="3" s="1"/>
  <c r="CE94" i="3"/>
  <c r="AD94" i="3" s="1"/>
  <c r="CD94" i="3"/>
  <c r="AC94" i="3" s="1"/>
  <c r="CC94" i="3"/>
  <c r="AB94" i="3" s="1"/>
  <c r="CB94" i="3"/>
  <c r="AA94" i="3" s="1"/>
  <c r="CA94" i="3"/>
  <c r="Z94" i="3" s="1"/>
  <c r="BZ94" i="3"/>
  <c r="Y94" i="3" s="1"/>
  <c r="BY94" i="3"/>
  <c r="X94" i="3" s="1"/>
  <c r="BX94" i="3"/>
  <c r="W94" i="3" s="1"/>
  <c r="BW94" i="3"/>
  <c r="BV94" i="3"/>
  <c r="U94" i="3" s="1"/>
  <c r="BU94" i="3"/>
  <c r="T94" i="3" s="1"/>
  <c r="BT94" i="3"/>
  <c r="S94" i="3" s="1"/>
  <c r="BS94" i="3"/>
  <c r="BR94" i="3"/>
  <c r="Q94" i="3" s="1"/>
  <c r="BQ94" i="3"/>
  <c r="P94" i="3" s="1"/>
  <c r="BP94" i="3"/>
  <c r="O94" i="3" s="1"/>
  <c r="BO94" i="3"/>
  <c r="N94" i="3" s="1"/>
  <c r="BN94" i="3"/>
  <c r="M94" i="3" s="1"/>
  <c r="BM94" i="3"/>
  <c r="L94" i="3" s="1"/>
  <c r="BL94" i="3"/>
  <c r="K94" i="3" s="1"/>
  <c r="BK94" i="3"/>
  <c r="J94" i="3" s="1"/>
  <c r="BJ94" i="3"/>
  <c r="I94" i="3" s="1"/>
  <c r="BI94" i="3"/>
  <c r="H94" i="3" s="1"/>
  <c r="BH94" i="3"/>
  <c r="G94" i="3" s="1"/>
  <c r="BG94" i="3"/>
  <c r="F94" i="3" s="1"/>
  <c r="DB93" i="3"/>
  <c r="BA93" i="3" s="1"/>
  <c r="DA93" i="3"/>
  <c r="AZ93" i="3" s="1"/>
  <c r="CZ93" i="3"/>
  <c r="AY93" i="3" s="1"/>
  <c r="CY93" i="3"/>
  <c r="CX93" i="3"/>
  <c r="CW93" i="3"/>
  <c r="AV93" i="3" s="1"/>
  <c r="CV93" i="3"/>
  <c r="AU93" i="3" s="1"/>
  <c r="CU93" i="3"/>
  <c r="AT93" i="3" s="1"/>
  <c r="CT93" i="3"/>
  <c r="AS93" i="3" s="1"/>
  <c r="CS93" i="3"/>
  <c r="AR93" i="3" s="1"/>
  <c r="CR93" i="3"/>
  <c r="AQ93" i="3" s="1"/>
  <c r="CQ93" i="3"/>
  <c r="CP93" i="3"/>
  <c r="AO93" i="3" s="1"/>
  <c r="CO93" i="3"/>
  <c r="CN93" i="3"/>
  <c r="AM93" i="3" s="1"/>
  <c r="CM93" i="3"/>
  <c r="AL93" i="3" s="1"/>
  <c r="CL93" i="3"/>
  <c r="CK93" i="3"/>
  <c r="AJ93" i="3" s="1"/>
  <c r="CJ93" i="3"/>
  <c r="AI93" i="3" s="1"/>
  <c r="CI93" i="3"/>
  <c r="AH93" i="3" s="1"/>
  <c r="CH93" i="3"/>
  <c r="CG93" i="3"/>
  <c r="AF93" i="3" s="1"/>
  <c r="CF93" i="3"/>
  <c r="AE93" i="3" s="1"/>
  <c r="CE93" i="3"/>
  <c r="AD93" i="3" s="1"/>
  <c r="CD93" i="3"/>
  <c r="AC93" i="3" s="1"/>
  <c r="CC93" i="3"/>
  <c r="AB93" i="3" s="1"/>
  <c r="CB93" i="3"/>
  <c r="CA93" i="3"/>
  <c r="Z93" i="3" s="1"/>
  <c r="BZ93" i="3"/>
  <c r="BY93" i="3"/>
  <c r="X93" i="3" s="1"/>
  <c r="BX93" i="3"/>
  <c r="W93" i="3" s="1"/>
  <c r="BW93" i="3"/>
  <c r="V93" i="3" s="1"/>
  <c r="BV93" i="3"/>
  <c r="U93" i="3" s="1"/>
  <c r="BU93" i="3"/>
  <c r="T93" i="3" s="1"/>
  <c r="BT93" i="3"/>
  <c r="BS93" i="3"/>
  <c r="R93" i="3" s="1"/>
  <c r="BR93" i="3"/>
  <c r="Q93" i="3" s="1"/>
  <c r="BQ93" i="3"/>
  <c r="P93" i="3" s="1"/>
  <c r="BP93" i="3"/>
  <c r="O93" i="3" s="1"/>
  <c r="BO93" i="3"/>
  <c r="N93" i="3" s="1"/>
  <c r="BN93" i="3"/>
  <c r="M93" i="3" s="1"/>
  <c r="BM93" i="3"/>
  <c r="L93" i="3" s="1"/>
  <c r="BL93" i="3"/>
  <c r="K93" i="3" s="1"/>
  <c r="BK93" i="3"/>
  <c r="J93" i="3" s="1"/>
  <c r="BJ93" i="3"/>
  <c r="I93" i="3" s="1"/>
  <c r="BI93" i="3"/>
  <c r="H93" i="3" s="1"/>
  <c r="BH93" i="3"/>
  <c r="G93" i="3" s="1"/>
  <c r="BG93" i="3"/>
  <c r="F93" i="3" s="1"/>
  <c r="DB92" i="3"/>
  <c r="BA92" i="3" s="1"/>
  <c r="DA92" i="3"/>
  <c r="AZ92" i="3" s="1"/>
  <c r="CZ92" i="3"/>
  <c r="AY92" i="3" s="1"/>
  <c r="CY92" i="3"/>
  <c r="AX92" i="3" s="1"/>
  <c r="CX92" i="3"/>
  <c r="AW92" i="3" s="1"/>
  <c r="CW92" i="3"/>
  <c r="CV92" i="3"/>
  <c r="AU92" i="3" s="1"/>
  <c r="CU92" i="3"/>
  <c r="AT92" i="3" s="1"/>
  <c r="CT92" i="3"/>
  <c r="AS92" i="3" s="1"/>
  <c r="CS92" i="3"/>
  <c r="AR92" i="3" s="1"/>
  <c r="CR92" i="3"/>
  <c r="CQ92" i="3"/>
  <c r="AP92" i="3" s="1"/>
  <c r="CP92" i="3"/>
  <c r="AO92" i="3" s="1"/>
  <c r="CO92" i="3"/>
  <c r="AN92" i="3" s="1"/>
  <c r="CN92" i="3"/>
  <c r="CM92" i="3"/>
  <c r="AL92" i="3" s="1"/>
  <c r="CL92" i="3"/>
  <c r="AK92" i="3" s="1"/>
  <c r="CK92" i="3"/>
  <c r="AJ92" i="3" s="1"/>
  <c r="CJ92" i="3"/>
  <c r="AI92" i="3" s="1"/>
  <c r="CI92" i="3"/>
  <c r="AH92" i="3" s="1"/>
  <c r="CH92" i="3"/>
  <c r="AG92" i="3" s="1"/>
  <c r="CG92" i="3"/>
  <c r="AF92" i="3" s="1"/>
  <c r="CF92" i="3"/>
  <c r="AE92" i="3" s="1"/>
  <c r="CE92" i="3"/>
  <c r="AD92" i="3" s="1"/>
  <c r="CD92" i="3"/>
  <c r="AC92" i="3" s="1"/>
  <c r="CC92" i="3"/>
  <c r="AB92" i="3" s="1"/>
  <c r="CB92" i="3"/>
  <c r="AA92" i="3" s="1"/>
  <c r="CA92" i="3"/>
  <c r="BZ92" i="3"/>
  <c r="Y92" i="3" s="1"/>
  <c r="BY92" i="3"/>
  <c r="X92" i="3" s="1"/>
  <c r="BX92" i="3"/>
  <c r="W92" i="3" s="1"/>
  <c r="BW92" i="3"/>
  <c r="BV92" i="3"/>
  <c r="U92" i="3" s="1"/>
  <c r="BU92" i="3"/>
  <c r="T92" i="3" s="1"/>
  <c r="BT92" i="3"/>
  <c r="S92" i="3" s="1"/>
  <c r="BS92" i="3"/>
  <c r="R92" i="3" s="1"/>
  <c r="BR92" i="3"/>
  <c r="Q92" i="3" s="1"/>
  <c r="BQ92" i="3"/>
  <c r="P92" i="3" s="1"/>
  <c r="BP92" i="3"/>
  <c r="O92" i="3" s="1"/>
  <c r="BO92" i="3"/>
  <c r="N92" i="3" s="1"/>
  <c r="BN92" i="3"/>
  <c r="M92" i="3" s="1"/>
  <c r="BM92" i="3"/>
  <c r="L92" i="3" s="1"/>
  <c r="BL92" i="3"/>
  <c r="K92" i="3" s="1"/>
  <c r="BK92" i="3"/>
  <c r="J92" i="3" s="1"/>
  <c r="BJ92" i="3"/>
  <c r="I92" i="3" s="1"/>
  <c r="BI92" i="3"/>
  <c r="H92" i="3" s="1"/>
  <c r="BH92" i="3"/>
  <c r="G92" i="3" s="1"/>
  <c r="BG92" i="3"/>
  <c r="F92" i="3" s="1"/>
  <c r="DB39" i="3"/>
  <c r="BA39" i="3" s="1"/>
  <c r="DA39" i="3"/>
  <c r="AZ39" i="3" s="1"/>
  <c r="CZ39" i="3"/>
  <c r="AY39" i="3" s="1"/>
  <c r="CY39" i="3"/>
  <c r="AX39" i="3" s="1"/>
  <c r="CX39" i="3"/>
  <c r="AW39" i="3" s="1"/>
  <c r="CW39" i="3"/>
  <c r="AV39" i="3" s="1"/>
  <c r="CV39" i="3"/>
  <c r="AU39" i="3" s="1"/>
  <c r="CU39" i="3"/>
  <c r="AT39" i="3" s="1"/>
  <c r="CT39" i="3"/>
  <c r="AS39" i="3" s="1"/>
  <c r="CS39" i="3"/>
  <c r="AR39" i="3" s="1"/>
  <c r="CR39" i="3"/>
  <c r="AQ39" i="3" s="1"/>
  <c r="CQ39" i="3"/>
  <c r="AP39" i="3" s="1"/>
  <c r="CP39" i="3"/>
  <c r="AO39" i="3" s="1"/>
  <c r="CO39" i="3"/>
  <c r="CN39" i="3"/>
  <c r="AM39" i="3" s="1"/>
  <c r="CM39" i="3"/>
  <c r="CL39" i="3"/>
  <c r="AK39" i="3" s="1"/>
  <c r="CK39" i="3"/>
  <c r="AJ39" i="3" s="1"/>
  <c r="CJ39" i="3"/>
  <c r="AI39" i="3" s="1"/>
  <c r="CI39" i="3"/>
  <c r="AH39" i="3" s="1"/>
  <c r="CH39" i="3"/>
  <c r="AG39" i="3" s="1"/>
  <c r="CG39" i="3"/>
  <c r="AF39" i="3" s="1"/>
  <c r="CF39" i="3"/>
  <c r="AE39" i="3" s="1"/>
  <c r="CE39" i="3"/>
  <c r="CD39" i="3"/>
  <c r="AC39" i="3" s="1"/>
  <c r="CC39" i="3"/>
  <c r="AB39" i="3" s="1"/>
  <c r="CB39" i="3"/>
  <c r="AA39" i="3" s="1"/>
  <c r="CA39" i="3"/>
  <c r="Z39" i="3" s="1"/>
  <c r="BZ39" i="3"/>
  <c r="Y39" i="3" s="1"/>
  <c r="BY39" i="3"/>
  <c r="BX39" i="3"/>
  <c r="W39" i="3" s="1"/>
  <c r="BW39" i="3"/>
  <c r="V39" i="3" s="1"/>
  <c r="BV39" i="3"/>
  <c r="U39" i="3" s="1"/>
  <c r="BU39" i="3"/>
  <c r="T39" i="3" s="1"/>
  <c r="BT39" i="3"/>
  <c r="S39" i="3" s="1"/>
  <c r="BS39" i="3"/>
  <c r="BR39" i="3"/>
  <c r="Q39" i="3" s="1"/>
  <c r="BQ39" i="3"/>
  <c r="P39" i="3" s="1"/>
  <c r="BP39" i="3"/>
  <c r="O39" i="3" s="1"/>
  <c r="BO39" i="3"/>
  <c r="N39" i="3" s="1"/>
  <c r="BN39" i="3"/>
  <c r="M39" i="3" s="1"/>
  <c r="BM39" i="3"/>
  <c r="L39" i="3" s="1"/>
  <c r="BL39" i="3"/>
  <c r="K39" i="3" s="1"/>
  <c r="BK39" i="3"/>
  <c r="J39" i="3" s="1"/>
  <c r="BJ39" i="3"/>
  <c r="I39" i="3" s="1"/>
  <c r="BI39" i="3"/>
  <c r="H39" i="3" s="1"/>
  <c r="BH39" i="3"/>
  <c r="G39" i="3" s="1"/>
  <c r="BG39" i="3"/>
  <c r="F39" i="3" s="1"/>
  <c r="AL39" i="3"/>
  <c r="DB91" i="3"/>
  <c r="BA91" i="3" s="1"/>
  <c r="DA91" i="3"/>
  <c r="AZ91" i="3" s="1"/>
  <c r="CZ91" i="3"/>
  <c r="AY91" i="3" s="1"/>
  <c r="CY91" i="3"/>
  <c r="AX91" i="3" s="1"/>
  <c r="CX91" i="3"/>
  <c r="AW91" i="3" s="1"/>
  <c r="CW91" i="3"/>
  <c r="AV91" i="3" s="1"/>
  <c r="CV91" i="3"/>
  <c r="AU91" i="3" s="1"/>
  <c r="CU91" i="3"/>
  <c r="AT91" i="3" s="1"/>
  <c r="CT91" i="3"/>
  <c r="CS91" i="3"/>
  <c r="AR91" i="3" s="1"/>
  <c r="CR91" i="3"/>
  <c r="AQ91" i="3" s="1"/>
  <c r="CQ91" i="3"/>
  <c r="AP91" i="3" s="1"/>
  <c r="CP91" i="3"/>
  <c r="AO91" i="3" s="1"/>
  <c r="CO91" i="3"/>
  <c r="AN91" i="3" s="1"/>
  <c r="CN91" i="3"/>
  <c r="CM91" i="3"/>
  <c r="AL91" i="3" s="1"/>
  <c r="CL91" i="3"/>
  <c r="AK91" i="3" s="1"/>
  <c r="CK91" i="3"/>
  <c r="AJ91" i="3" s="1"/>
  <c r="CJ91" i="3"/>
  <c r="AI91" i="3" s="1"/>
  <c r="CI91" i="3"/>
  <c r="CH91" i="3"/>
  <c r="AG91" i="3" s="1"/>
  <c r="CG91" i="3"/>
  <c r="AF91" i="3" s="1"/>
  <c r="CF91" i="3"/>
  <c r="AE91" i="3" s="1"/>
  <c r="CE91" i="3"/>
  <c r="AD91" i="3" s="1"/>
  <c r="CD91" i="3"/>
  <c r="AC91" i="3" s="1"/>
  <c r="CC91" i="3"/>
  <c r="AB91" i="3" s="1"/>
  <c r="CB91" i="3"/>
  <c r="CA91" i="3"/>
  <c r="Z91" i="3" s="1"/>
  <c r="BZ91" i="3"/>
  <c r="Y91" i="3" s="1"/>
  <c r="BY91" i="3"/>
  <c r="X91" i="3" s="1"/>
  <c r="BX91" i="3"/>
  <c r="W91" i="3" s="1"/>
  <c r="BW91" i="3"/>
  <c r="V91" i="3" s="1"/>
  <c r="BV91" i="3"/>
  <c r="U91" i="3" s="1"/>
  <c r="BU91" i="3"/>
  <c r="T91" i="3" s="1"/>
  <c r="BT91" i="3"/>
  <c r="S91" i="3" s="1"/>
  <c r="BS91" i="3"/>
  <c r="R91" i="3" s="1"/>
  <c r="BR91" i="3"/>
  <c r="Q91" i="3" s="1"/>
  <c r="BQ91" i="3"/>
  <c r="P91" i="3" s="1"/>
  <c r="BP91" i="3"/>
  <c r="O91" i="3" s="1"/>
  <c r="BO91" i="3"/>
  <c r="N91" i="3" s="1"/>
  <c r="BN91" i="3"/>
  <c r="M91" i="3" s="1"/>
  <c r="BM91" i="3"/>
  <c r="L91" i="3" s="1"/>
  <c r="BL91" i="3"/>
  <c r="K91" i="3" s="1"/>
  <c r="BK91" i="3"/>
  <c r="J91" i="3" s="1"/>
  <c r="BJ91" i="3"/>
  <c r="I91" i="3" s="1"/>
  <c r="BI91" i="3"/>
  <c r="H91" i="3" s="1"/>
  <c r="BH91" i="3"/>
  <c r="G91" i="3" s="1"/>
  <c r="BG91" i="3"/>
  <c r="F91" i="3" s="1"/>
  <c r="DB27" i="3"/>
  <c r="BA27" i="3" s="1"/>
  <c r="DA27" i="3"/>
  <c r="AZ27" i="3" s="1"/>
  <c r="CZ27" i="3"/>
  <c r="CY27" i="3"/>
  <c r="AX27" i="3" s="1"/>
  <c r="CX27" i="3"/>
  <c r="AW27" i="3" s="1"/>
  <c r="CW27" i="3"/>
  <c r="AV27" i="3" s="1"/>
  <c r="CV27" i="3"/>
  <c r="AU27" i="3" s="1"/>
  <c r="CU27" i="3"/>
  <c r="CT27" i="3"/>
  <c r="AS27" i="3" s="1"/>
  <c r="CS27" i="3"/>
  <c r="CR27" i="3"/>
  <c r="AQ27" i="3" s="1"/>
  <c r="CQ27" i="3"/>
  <c r="AP27" i="3" s="1"/>
  <c r="CP27" i="3"/>
  <c r="AO27" i="3" s="1"/>
  <c r="CO27" i="3"/>
  <c r="AN27" i="3" s="1"/>
  <c r="CN27" i="3"/>
  <c r="AM27" i="3" s="1"/>
  <c r="CM27" i="3"/>
  <c r="CL27" i="3"/>
  <c r="AK27" i="3" s="1"/>
  <c r="CK27" i="3"/>
  <c r="AJ27" i="3" s="1"/>
  <c r="CJ27" i="3"/>
  <c r="AI27" i="3" s="1"/>
  <c r="CI27" i="3"/>
  <c r="AH27" i="3" s="1"/>
  <c r="CH27" i="3"/>
  <c r="AG27" i="3" s="1"/>
  <c r="CG27" i="3"/>
  <c r="AF27" i="3" s="1"/>
  <c r="CF27" i="3"/>
  <c r="CE27" i="3"/>
  <c r="AD27" i="3" s="1"/>
  <c r="CD27" i="3"/>
  <c r="CC27" i="3"/>
  <c r="AB27" i="3" s="1"/>
  <c r="CB27" i="3"/>
  <c r="AA27" i="3" s="1"/>
  <c r="CA27" i="3"/>
  <c r="Z27" i="3" s="1"/>
  <c r="BZ27" i="3"/>
  <c r="Y27" i="3" s="1"/>
  <c r="BY27" i="3"/>
  <c r="BX27" i="3"/>
  <c r="W27" i="3" s="1"/>
  <c r="BW27" i="3"/>
  <c r="V27" i="3" s="1"/>
  <c r="BV27" i="3"/>
  <c r="U27" i="3" s="1"/>
  <c r="BU27" i="3"/>
  <c r="T27" i="3" s="1"/>
  <c r="BT27" i="3"/>
  <c r="S27" i="3" s="1"/>
  <c r="BS27" i="3"/>
  <c r="R27" i="3" s="1"/>
  <c r="BR27" i="3"/>
  <c r="Q27" i="3" s="1"/>
  <c r="BQ27" i="3"/>
  <c r="P27" i="3" s="1"/>
  <c r="BP27" i="3"/>
  <c r="BO27" i="3"/>
  <c r="N27" i="3" s="1"/>
  <c r="BN27" i="3"/>
  <c r="M27" i="3" s="1"/>
  <c r="BM27" i="3"/>
  <c r="L27" i="3" s="1"/>
  <c r="BL27" i="3"/>
  <c r="K27" i="3" s="1"/>
  <c r="BK27" i="3"/>
  <c r="J27" i="3" s="1"/>
  <c r="BJ27" i="3"/>
  <c r="I27" i="3" s="1"/>
  <c r="BI27" i="3"/>
  <c r="H27" i="3" s="1"/>
  <c r="BH27" i="3"/>
  <c r="G27" i="3" s="1"/>
  <c r="BG27" i="3"/>
  <c r="F27" i="3" s="1"/>
  <c r="DB90" i="3"/>
  <c r="BA90" i="3" s="1"/>
  <c r="DA90" i="3"/>
  <c r="AZ90" i="3" s="1"/>
  <c r="CZ90" i="3"/>
  <c r="AY90" i="3" s="1"/>
  <c r="CY90" i="3"/>
  <c r="AX90" i="3" s="1"/>
  <c r="CX90" i="3"/>
  <c r="AW90" i="3" s="1"/>
  <c r="CW90" i="3"/>
  <c r="CV90" i="3"/>
  <c r="AU90" i="3" s="1"/>
  <c r="CU90" i="3"/>
  <c r="AT90" i="3" s="1"/>
  <c r="CT90" i="3"/>
  <c r="AS90" i="3" s="1"/>
  <c r="CS90" i="3"/>
  <c r="AR90" i="3" s="1"/>
  <c r="CR90" i="3"/>
  <c r="AQ90" i="3" s="1"/>
  <c r="CQ90" i="3"/>
  <c r="CP90" i="3"/>
  <c r="AO90" i="3" s="1"/>
  <c r="CO90" i="3"/>
  <c r="AN90" i="3" s="1"/>
  <c r="CN90" i="3"/>
  <c r="AM90" i="3" s="1"/>
  <c r="CM90" i="3"/>
  <c r="AL90" i="3" s="1"/>
  <c r="CL90" i="3"/>
  <c r="AK90" i="3" s="1"/>
  <c r="CK90" i="3"/>
  <c r="AJ90" i="3" s="1"/>
  <c r="CJ90" i="3"/>
  <c r="AI90" i="3" s="1"/>
  <c r="CI90" i="3"/>
  <c r="AH90" i="3" s="1"/>
  <c r="CH90" i="3"/>
  <c r="AG90" i="3" s="1"/>
  <c r="CG90" i="3"/>
  <c r="AF90" i="3" s="1"/>
  <c r="CF90" i="3"/>
  <c r="AE90" i="3" s="1"/>
  <c r="CE90" i="3"/>
  <c r="CD90" i="3"/>
  <c r="AC90" i="3" s="1"/>
  <c r="CC90" i="3"/>
  <c r="AB90" i="3" s="1"/>
  <c r="CB90" i="3"/>
  <c r="AA90" i="3" s="1"/>
  <c r="CA90" i="3"/>
  <c r="BZ90" i="3"/>
  <c r="Y90" i="3" s="1"/>
  <c r="BY90" i="3"/>
  <c r="X90" i="3" s="1"/>
  <c r="BX90" i="3"/>
  <c r="W90" i="3" s="1"/>
  <c r="BW90" i="3"/>
  <c r="V90" i="3" s="1"/>
  <c r="BV90" i="3"/>
  <c r="U90" i="3" s="1"/>
  <c r="BU90" i="3"/>
  <c r="T90" i="3" s="1"/>
  <c r="BT90" i="3"/>
  <c r="S90" i="3" s="1"/>
  <c r="BS90" i="3"/>
  <c r="R90" i="3" s="1"/>
  <c r="BR90" i="3"/>
  <c r="Q90" i="3" s="1"/>
  <c r="BQ90" i="3"/>
  <c r="P90" i="3" s="1"/>
  <c r="BP90" i="3"/>
  <c r="O90" i="3" s="1"/>
  <c r="BO90" i="3"/>
  <c r="N90" i="3" s="1"/>
  <c r="BN90" i="3"/>
  <c r="M90" i="3" s="1"/>
  <c r="BM90" i="3"/>
  <c r="L90" i="3" s="1"/>
  <c r="BL90" i="3"/>
  <c r="K90" i="3" s="1"/>
  <c r="BK90" i="3"/>
  <c r="J90" i="3" s="1"/>
  <c r="BJ90" i="3"/>
  <c r="I90" i="3" s="1"/>
  <c r="BI90" i="3"/>
  <c r="H90" i="3" s="1"/>
  <c r="BH90" i="3"/>
  <c r="G90" i="3" s="1"/>
  <c r="BG90" i="3"/>
  <c r="F90" i="3" s="1"/>
  <c r="C40" i="3"/>
  <c r="BA108" i="3" l="1"/>
  <c r="AQ19" i="3"/>
  <c r="AR106" i="3"/>
  <c r="AP108" i="3"/>
  <c r="AL109" i="3"/>
  <c r="AM19" i="3"/>
  <c r="AV19" i="3"/>
  <c r="AT19" i="3"/>
  <c r="AX107" i="3"/>
  <c r="AY106" i="3"/>
  <c r="BA106" i="3"/>
  <c r="AT108" i="3"/>
  <c r="AT107" i="3"/>
  <c r="AX109" i="3"/>
  <c r="AT109" i="3"/>
  <c r="AM106" i="3"/>
  <c r="AL108" i="3"/>
  <c r="C104" i="3"/>
  <c r="C103" i="3"/>
  <c r="C10" i="3" l="1"/>
  <c r="C102" i="3"/>
  <c r="C101" i="3" l="1"/>
  <c r="C100" i="3" l="1"/>
  <c r="C99" i="3"/>
  <c r="C98" i="3"/>
  <c r="C97" i="3" l="1"/>
  <c r="C96" i="3" l="1"/>
  <c r="C28" i="3" l="1"/>
  <c r="C95" i="3" l="1"/>
  <c r="C94" i="3"/>
  <c r="C93" i="3" l="1"/>
  <c r="C92" i="3"/>
  <c r="C39" i="3" l="1"/>
  <c r="C91" i="3"/>
  <c r="C27" i="3" l="1"/>
  <c r="C90" i="3" l="1"/>
  <c r="C89" i="3"/>
  <c r="C88" i="3" l="1"/>
  <c r="W101" i="1"/>
  <c r="V101" i="1"/>
  <c r="U101" i="1"/>
  <c r="T101" i="1"/>
  <c r="S101" i="1"/>
  <c r="R101" i="1"/>
  <c r="Q101" i="1"/>
  <c r="P101" i="1"/>
  <c r="O101" i="1"/>
  <c r="N101" i="1"/>
  <c r="W100" i="1"/>
  <c r="V100" i="1"/>
  <c r="U100" i="1"/>
  <c r="T100" i="1"/>
  <c r="S100" i="1"/>
  <c r="R100" i="1"/>
  <c r="Q100" i="1"/>
  <c r="P100" i="1"/>
  <c r="O100" i="1"/>
  <c r="N100" i="1"/>
  <c r="W99" i="1"/>
  <c r="V99" i="1"/>
  <c r="U99" i="1"/>
  <c r="T99" i="1"/>
  <c r="S99" i="1"/>
  <c r="R99" i="1"/>
  <c r="Q99" i="1"/>
  <c r="P99" i="1"/>
  <c r="O99" i="1"/>
  <c r="N99" i="1"/>
  <c r="W98" i="1"/>
  <c r="V98" i="1"/>
  <c r="U98" i="1"/>
  <c r="T98" i="1"/>
  <c r="S98" i="1"/>
  <c r="R98" i="1"/>
  <c r="Q98" i="1"/>
  <c r="P98" i="1"/>
  <c r="O98" i="1"/>
  <c r="N98" i="1"/>
  <c r="W97" i="1"/>
  <c r="V97" i="1"/>
  <c r="U97" i="1"/>
  <c r="T97" i="1"/>
  <c r="S97" i="1"/>
  <c r="R97" i="1"/>
  <c r="Q97" i="1"/>
  <c r="P97" i="1"/>
  <c r="O97" i="1"/>
  <c r="N97" i="1"/>
  <c r="W96" i="1"/>
  <c r="V96" i="1"/>
  <c r="U96" i="1"/>
  <c r="T96" i="1"/>
  <c r="S96" i="1"/>
  <c r="R96" i="1"/>
  <c r="Q96" i="1"/>
  <c r="P96" i="1"/>
  <c r="O96" i="1"/>
  <c r="N96" i="1"/>
  <c r="W95" i="1"/>
  <c r="V95" i="1"/>
  <c r="U95" i="1"/>
  <c r="T95" i="1"/>
  <c r="S95" i="1"/>
  <c r="R95" i="1"/>
  <c r="Q95" i="1"/>
  <c r="P95" i="1"/>
  <c r="O95" i="1"/>
  <c r="N95" i="1"/>
  <c r="W94" i="1"/>
  <c r="V94" i="1"/>
  <c r="U94" i="1"/>
  <c r="T94" i="1"/>
  <c r="S94" i="1"/>
  <c r="R94" i="1"/>
  <c r="Q94" i="1"/>
  <c r="P94" i="1"/>
  <c r="O94" i="1"/>
  <c r="N94" i="1"/>
  <c r="W93" i="1"/>
  <c r="V93" i="1"/>
  <c r="U93" i="1"/>
  <c r="T93" i="1"/>
  <c r="S93" i="1"/>
  <c r="R93" i="1"/>
  <c r="Q93" i="1"/>
  <c r="P93" i="1"/>
  <c r="O93" i="1"/>
  <c r="N93" i="1"/>
  <c r="W92" i="1"/>
  <c r="V92" i="1"/>
  <c r="U92" i="1"/>
  <c r="T92" i="1"/>
  <c r="S92" i="1"/>
  <c r="R92" i="1"/>
  <c r="Q92" i="1"/>
  <c r="P92" i="1"/>
  <c r="O92" i="1"/>
  <c r="N92" i="1"/>
  <c r="W91" i="1"/>
  <c r="V91" i="1"/>
  <c r="U91" i="1"/>
  <c r="T91" i="1"/>
  <c r="S91" i="1"/>
  <c r="R91" i="1"/>
  <c r="Q91" i="1"/>
  <c r="P91" i="1"/>
  <c r="O91" i="1"/>
  <c r="N91" i="1"/>
  <c r="W90" i="1"/>
  <c r="V90" i="1"/>
  <c r="U90" i="1"/>
  <c r="T90" i="1"/>
  <c r="S90" i="1"/>
  <c r="R90" i="1"/>
  <c r="Q90" i="1"/>
  <c r="P90" i="1"/>
  <c r="O90" i="1"/>
  <c r="N90" i="1"/>
  <c r="W89" i="1"/>
  <c r="V89" i="1"/>
  <c r="U89" i="1"/>
  <c r="T89" i="1"/>
  <c r="S89" i="1"/>
  <c r="R89" i="1"/>
  <c r="Q89" i="1"/>
  <c r="P89" i="1"/>
  <c r="O89" i="1"/>
  <c r="N89" i="1"/>
  <c r="W88" i="1"/>
  <c r="V88" i="1"/>
  <c r="U88" i="1"/>
  <c r="T88" i="1"/>
  <c r="S88" i="1"/>
  <c r="R88" i="1"/>
  <c r="Q88" i="1"/>
  <c r="P88" i="1"/>
  <c r="O88" i="1"/>
  <c r="N88" i="1"/>
  <c r="W87" i="1"/>
  <c r="V87" i="1"/>
  <c r="U87" i="1"/>
  <c r="T87" i="1"/>
  <c r="S87" i="1"/>
  <c r="R87" i="1"/>
  <c r="Q87" i="1"/>
  <c r="P87" i="1"/>
  <c r="O87" i="1"/>
  <c r="N87" i="1"/>
  <c r="W86" i="1"/>
  <c r="V86" i="1"/>
  <c r="U86" i="1"/>
  <c r="T86" i="1"/>
  <c r="S86" i="1"/>
  <c r="R86" i="1"/>
  <c r="Q86" i="1"/>
  <c r="P86" i="1"/>
  <c r="O86" i="1"/>
  <c r="N86" i="1"/>
  <c r="W85" i="1"/>
  <c r="V85" i="1"/>
  <c r="U85" i="1"/>
  <c r="T85" i="1"/>
  <c r="S85" i="1"/>
  <c r="R85" i="1"/>
  <c r="Q85" i="1"/>
  <c r="P85" i="1"/>
  <c r="O85" i="1"/>
  <c r="N85" i="1"/>
  <c r="W84" i="1"/>
  <c r="V84" i="1"/>
  <c r="U84" i="1"/>
  <c r="T84" i="1"/>
  <c r="S84" i="1"/>
  <c r="R84" i="1"/>
  <c r="Q84" i="1"/>
  <c r="P84" i="1"/>
  <c r="O84" i="1"/>
  <c r="N84" i="1"/>
  <c r="W83" i="1"/>
  <c r="V83" i="1"/>
  <c r="U83" i="1"/>
  <c r="T83" i="1"/>
  <c r="S83" i="1"/>
  <c r="R83" i="1"/>
  <c r="Q83" i="1"/>
  <c r="P83" i="1"/>
  <c r="O83" i="1"/>
  <c r="N83" i="1"/>
  <c r="W82" i="1"/>
  <c r="V82" i="1"/>
  <c r="U82" i="1"/>
  <c r="T82" i="1"/>
  <c r="S82" i="1"/>
  <c r="R82" i="1"/>
  <c r="Q82" i="1"/>
  <c r="P82" i="1"/>
  <c r="O82" i="1"/>
  <c r="N82" i="1"/>
  <c r="W81" i="1"/>
  <c r="V81" i="1"/>
  <c r="U81" i="1"/>
  <c r="T81" i="1"/>
  <c r="S81" i="1"/>
  <c r="R81" i="1"/>
  <c r="Q81" i="1"/>
  <c r="P81" i="1"/>
  <c r="O81" i="1"/>
  <c r="N81" i="1"/>
  <c r="W80" i="1"/>
  <c r="V80" i="1"/>
  <c r="U80" i="1"/>
  <c r="T80" i="1"/>
  <c r="S80" i="1"/>
  <c r="R80" i="1"/>
  <c r="Q80" i="1"/>
  <c r="P80" i="1"/>
  <c r="O80" i="1"/>
  <c r="N80" i="1"/>
  <c r="W79" i="1"/>
  <c r="V79" i="1"/>
  <c r="U79" i="1"/>
  <c r="T79" i="1"/>
  <c r="S79" i="1"/>
  <c r="R79" i="1"/>
  <c r="Q79" i="1"/>
  <c r="P79" i="1"/>
  <c r="O79" i="1"/>
  <c r="N79" i="1"/>
  <c r="W78" i="1"/>
  <c r="V78" i="1"/>
  <c r="U78" i="1"/>
  <c r="T78" i="1"/>
  <c r="S78" i="1"/>
  <c r="R78" i="1"/>
  <c r="Q78" i="1"/>
  <c r="P78" i="1"/>
  <c r="O78" i="1"/>
  <c r="N78" i="1"/>
  <c r="W77" i="1"/>
  <c r="V77" i="1"/>
  <c r="U77" i="1"/>
  <c r="T77" i="1"/>
  <c r="S77" i="1"/>
  <c r="R77" i="1"/>
  <c r="Q77" i="1"/>
  <c r="P77" i="1"/>
  <c r="O77" i="1"/>
  <c r="N77" i="1"/>
  <c r="W76" i="1"/>
  <c r="V76" i="1"/>
  <c r="U76" i="1"/>
  <c r="T76" i="1"/>
  <c r="S76" i="1"/>
  <c r="R76" i="1"/>
  <c r="Q76" i="1"/>
  <c r="P76" i="1"/>
  <c r="O76" i="1"/>
  <c r="N76" i="1"/>
  <c r="X89" i="1" l="1"/>
  <c r="X90" i="1"/>
  <c r="X79" i="1"/>
  <c r="X95" i="1"/>
  <c r="X76" i="1"/>
  <c r="X86" i="1"/>
  <c r="X87" i="1"/>
  <c r="X92" i="1"/>
  <c r="X84" i="1"/>
  <c r="X101" i="1"/>
  <c r="X100" i="1"/>
  <c r="X97" i="1"/>
  <c r="X83" i="1"/>
  <c r="X98" i="1"/>
  <c r="X78" i="1"/>
  <c r="X99" i="1"/>
  <c r="X96" i="1"/>
  <c r="X94" i="1"/>
  <c r="X93" i="1"/>
  <c r="X91" i="1"/>
  <c r="X88" i="1"/>
  <c r="X85" i="1"/>
  <c r="X82" i="1"/>
  <c r="X81" i="1"/>
  <c r="X80" i="1"/>
  <c r="X77" i="1"/>
  <c r="C87" i="3"/>
  <c r="C86" i="3"/>
  <c r="C85" i="3"/>
  <c r="C38" i="3" l="1"/>
  <c r="C37" i="3"/>
  <c r="C26" i="3" l="1"/>
  <c r="C84" i="3"/>
  <c r="C25" i="3" l="1"/>
  <c r="C83" i="3"/>
  <c r="C36" i="3"/>
  <c r="C82" i="3"/>
  <c r="C81" i="3" l="1"/>
  <c r="C35" i="3" l="1"/>
  <c r="C80" i="3" l="1"/>
  <c r="C79" i="3"/>
  <c r="C78" i="3"/>
  <c r="C24" i="3"/>
  <c r="C77" i="3"/>
  <c r="C76" i="3"/>
  <c r="C75" i="3"/>
  <c r="C18" i="3" l="1"/>
  <c r="C34" i="3"/>
  <c r="C74" i="3"/>
  <c r="C73" i="3" l="1"/>
  <c r="C72" i="3" l="1"/>
  <c r="C71" i="3"/>
  <c r="C33" i="3" l="1"/>
  <c r="C70" i="3"/>
  <c r="C69" i="3" l="1"/>
  <c r="C32" i="3" l="1"/>
  <c r="C23" i="3" l="1"/>
  <c r="C17" i="3"/>
  <c r="C68" i="3" l="1"/>
  <c r="C67" i="3"/>
  <c r="C66" i="3"/>
  <c r="C65" i="3" l="1"/>
  <c r="C16" i="3"/>
  <c r="C64" i="3" l="1"/>
  <c r="C63" i="3"/>
  <c r="C62" i="3" l="1"/>
  <c r="C13" i="3" l="1"/>
  <c r="C11" i="3"/>
  <c r="C61" i="3"/>
  <c r="C60" i="3"/>
  <c r="C59" i="3"/>
  <c r="C58" i="3"/>
  <c r="C57" i="3"/>
  <c r="C56" i="3"/>
  <c r="C55" i="3"/>
  <c r="C22" i="3"/>
  <c r="C54" i="3"/>
  <c r="C53" i="3"/>
  <c r="C52" i="3"/>
  <c r="C21" i="3"/>
  <c r="C20" i="3"/>
  <c r="C15" i="3"/>
  <c r="C51" i="3"/>
  <c r="C50" i="3"/>
  <c r="C44" i="3"/>
  <c r="C31" i="3"/>
  <c r="C12" i="3"/>
  <c r="C30" i="3"/>
  <c r="C49" i="3"/>
  <c r="C48" i="3"/>
  <c r="C43" i="3"/>
  <c r="C42" i="3"/>
  <c r="C47" i="3"/>
  <c r="C46" i="3"/>
  <c r="C41" i="3"/>
  <c r="C45" i="3"/>
  <c r="C14" i="3"/>
  <c r="DB89" i="3" l="1"/>
  <c r="BA89" i="3" s="1"/>
  <c r="DA89" i="3"/>
  <c r="AZ89" i="3" s="1"/>
  <c r="CZ89" i="3"/>
  <c r="AY89" i="3" s="1"/>
  <c r="CY89" i="3"/>
  <c r="AX89" i="3" s="1"/>
  <c r="CX89" i="3"/>
  <c r="AW89" i="3" s="1"/>
  <c r="CW89" i="3"/>
  <c r="AV89" i="3" s="1"/>
  <c r="CV89" i="3"/>
  <c r="AU89" i="3" s="1"/>
  <c r="CU89" i="3"/>
  <c r="AT89" i="3" s="1"/>
  <c r="CT89" i="3"/>
  <c r="AS89" i="3" s="1"/>
  <c r="CS89" i="3"/>
  <c r="AR89" i="3" s="1"/>
  <c r="CR89" i="3"/>
  <c r="AQ89" i="3" s="1"/>
  <c r="CQ89" i="3"/>
  <c r="AP89" i="3" s="1"/>
  <c r="CP89" i="3"/>
  <c r="AO89" i="3" s="1"/>
  <c r="CO89" i="3"/>
  <c r="AN89" i="3" s="1"/>
  <c r="CN89" i="3"/>
  <c r="AM89" i="3" s="1"/>
  <c r="CM89" i="3"/>
  <c r="AL89" i="3" s="1"/>
  <c r="CL89" i="3"/>
  <c r="AK89" i="3" s="1"/>
  <c r="CK89" i="3"/>
  <c r="AJ89" i="3" s="1"/>
  <c r="CJ89" i="3"/>
  <c r="AI89" i="3" s="1"/>
  <c r="CI89" i="3"/>
  <c r="CH89" i="3"/>
  <c r="CG89" i="3"/>
  <c r="AF89" i="3" s="1"/>
  <c r="CF89" i="3"/>
  <c r="CE89" i="3"/>
  <c r="AD89" i="3" s="1"/>
  <c r="CD89" i="3"/>
  <c r="AC89" i="3" s="1"/>
  <c r="CC89" i="3"/>
  <c r="AB89" i="3" s="1"/>
  <c r="CB89" i="3"/>
  <c r="AA89" i="3" s="1"/>
  <c r="CA89" i="3"/>
  <c r="Z89" i="3" s="1"/>
  <c r="BZ89" i="3"/>
  <c r="Y89" i="3" s="1"/>
  <c r="BY89" i="3"/>
  <c r="X89" i="3" s="1"/>
  <c r="BX89" i="3"/>
  <c r="W89" i="3" s="1"/>
  <c r="BW89" i="3"/>
  <c r="BV89" i="3"/>
  <c r="U89" i="3" s="1"/>
  <c r="BU89" i="3"/>
  <c r="BT89" i="3"/>
  <c r="S89" i="3" s="1"/>
  <c r="BS89" i="3"/>
  <c r="R89" i="3" s="1"/>
  <c r="BR89" i="3"/>
  <c r="Q89" i="3" s="1"/>
  <c r="BQ89" i="3"/>
  <c r="P89" i="3" s="1"/>
  <c r="BP89" i="3"/>
  <c r="O89" i="3" s="1"/>
  <c r="BO89" i="3"/>
  <c r="BN89" i="3"/>
  <c r="M89" i="3" s="1"/>
  <c r="BM89" i="3"/>
  <c r="L89" i="3" s="1"/>
  <c r="BL89" i="3"/>
  <c r="K89" i="3" s="1"/>
  <c r="BK89" i="3"/>
  <c r="J89" i="3" s="1"/>
  <c r="BJ89" i="3"/>
  <c r="I89" i="3" s="1"/>
  <c r="BI89" i="3"/>
  <c r="H89" i="3" s="1"/>
  <c r="BH89" i="3"/>
  <c r="G89" i="3" s="1"/>
  <c r="BG89" i="3"/>
  <c r="F89" i="3" s="1"/>
  <c r="DB88" i="3"/>
  <c r="BA88" i="3" s="1"/>
  <c r="DA88" i="3"/>
  <c r="AZ88" i="3" s="1"/>
  <c r="CZ88" i="3"/>
  <c r="CY88" i="3"/>
  <c r="AX88" i="3" s="1"/>
  <c r="CX88" i="3"/>
  <c r="AW88" i="3" s="1"/>
  <c r="CW88" i="3"/>
  <c r="AV88" i="3" s="1"/>
  <c r="CV88" i="3"/>
  <c r="AU88" i="3" s="1"/>
  <c r="CU88" i="3"/>
  <c r="AT88" i="3" s="1"/>
  <c r="CT88" i="3"/>
  <c r="AS88" i="3" s="1"/>
  <c r="CS88" i="3"/>
  <c r="AR88" i="3" s="1"/>
  <c r="CR88" i="3"/>
  <c r="AQ88" i="3" s="1"/>
  <c r="CQ88" i="3"/>
  <c r="AP88" i="3" s="1"/>
  <c r="CP88" i="3"/>
  <c r="AO88" i="3" s="1"/>
  <c r="CO88" i="3"/>
  <c r="AN88" i="3" s="1"/>
  <c r="CN88" i="3"/>
  <c r="AM88" i="3" s="1"/>
  <c r="CM88" i="3"/>
  <c r="AL88" i="3" s="1"/>
  <c r="CL88" i="3"/>
  <c r="AK88" i="3" s="1"/>
  <c r="CK88" i="3"/>
  <c r="AJ88" i="3" s="1"/>
  <c r="CJ88" i="3"/>
  <c r="AI88" i="3" s="1"/>
  <c r="CI88" i="3"/>
  <c r="AH88" i="3" s="1"/>
  <c r="CH88" i="3"/>
  <c r="AG88" i="3" s="1"/>
  <c r="CG88" i="3"/>
  <c r="AF88" i="3" s="1"/>
  <c r="CF88" i="3"/>
  <c r="AE88" i="3" s="1"/>
  <c r="CE88" i="3"/>
  <c r="AD88" i="3" s="1"/>
  <c r="CD88" i="3"/>
  <c r="AC88" i="3" s="1"/>
  <c r="CC88" i="3"/>
  <c r="CB88" i="3"/>
  <c r="AA88" i="3" s="1"/>
  <c r="CA88" i="3"/>
  <c r="Z88" i="3" s="1"/>
  <c r="BZ88" i="3"/>
  <c r="Y88" i="3" s="1"/>
  <c r="BY88" i="3"/>
  <c r="X88" i="3" s="1"/>
  <c r="BX88" i="3"/>
  <c r="W88" i="3" s="1"/>
  <c r="BW88" i="3"/>
  <c r="V88" i="3" s="1"/>
  <c r="BV88" i="3"/>
  <c r="U88" i="3" s="1"/>
  <c r="BU88" i="3"/>
  <c r="T88" i="3" s="1"/>
  <c r="BT88" i="3"/>
  <c r="S88" i="3" s="1"/>
  <c r="BS88" i="3"/>
  <c r="BR88" i="3"/>
  <c r="Q88" i="3" s="1"/>
  <c r="BQ88" i="3"/>
  <c r="P88" i="3" s="1"/>
  <c r="BP88" i="3"/>
  <c r="O88" i="3" s="1"/>
  <c r="BO88" i="3"/>
  <c r="BN88" i="3"/>
  <c r="M88" i="3" s="1"/>
  <c r="BM88" i="3"/>
  <c r="L88" i="3" s="1"/>
  <c r="BL88" i="3"/>
  <c r="K88" i="3" s="1"/>
  <c r="BK88" i="3"/>
  <c r="J88" i="3" s="1"/>
  <c r="BJ88" i="3"/>
  <c r="I88" i="3" s="1"/>
  <c r="BI88" i="3"/>
  <c r="H88" i="3" s="1"/>
  <c r="BH88" i="3"/>
  <c r="G88" i="3" s="1"/>
  <c r="BG88" i="3"/>
  <c r="F88" i="3" s="1"/>
  <c r="DB87" i="3"/>
  <c r="BA87" i="3" s="1"/>
  <c r="DA87" i="3"/>
  <c r="AZ87" i="3" s="1"/>
  <c r="CZ87" i="3"/>
  <c r="CY87" i="3"/>
  <c r="AX87" i="3" s="1"/>
  <c r="CX87" i="3"/>
  <c r="AW87" i="3" s="1"/>
  <c r="CW87" i="3"/>
  <c r="AV87" i="3" s="1"/>
  <c r="CV87" i="3"/>
  <c r="AU87" i="3" s="1"/>
  <c r="CU87" i="3"/>
  <c r="CT87" i="3"/>
  <c r="AS87" i="3" s="1"/>
  <c r="CS87" i="3"/>
  <c r="AR87" i="3" s="1"/>
  <c r="CR87" i="3"/>
  <c r="AQ87" i="3" s="1"/>
  <c r="CQ87" i="3"/>
  <c r="CP87" i="3"/>
  <c r="AO87" i="3" s="1"/>
  <c r="CO87" i="3"/>
  <c r="AN87" i="3" s="1"/>
  <c r="CN87" i="3"/>
  <c r="AM87" i="3" s="1"/>
  <c r="CM87" i="3"/>
  <c r="CL87" i="3"/>
  <c r="AK87" i="3" s="1"/>
  <c r="CK87" i="3"/>
  <c r="AJ87" i="3" s="1"/>
  <c r="CJ87" i="3"/>
  <c r="AI87" i="3" s="1"/>
  <c r="CI87" i="3"/>
  <c r="AH87" i="3" s="1"/>
  <c r="CH87" i="3"/>
  <c r="AG87" i="3" s="1"/>
  <c r="CG87" i="3"/>
  <c r="AF87" i="3" s="1"/>
  <c r="CF87" i="3"/>
  <c r="AE87" i="3" s="1"/>
  <c r="CE87" i="3"/>
  <c r="AD87" i="3" s="1"/>
  <c r="CD87" i="3"/>
  <c r="AC87" i="3" s="1"/>
  <c r="CC87" i="3"/>
  <c r="AB87" i="3" s="1"/>
  <c r="CB87" i="3"/>
  <c r="AA87" i="3" s="1"/>
  <c r="CA87" i="3"/>
  <c r="Z87" i="3" s="1"/>
  <c r="BZ87" i="3"/>
  <c r="Y87" i="3" s="1"/>
  <c r="BY87" i="3"/>
  <c r="X87" i="3" s="1"/>
  <c r="BX87" i="3"/>
  <c r="W87" i="3" s="1"/>
  <c r="BW87" i="3"/>
  <c r="V87" i="3" s="1"/>
  <c r="BV87" i="3"/>
  <c r="U87" i="3" s="1"/>
  <c r="BU87" i="3"/>
  <c r="BT87" i="3"/>
  <c r="S87" i="3" s="1"/>
  <c r="BS87" i="3"/>
  <c r="R87" i="3" s="1"/>
  <c r="BR87" i="3"/>
  <c r="Q87" i="3" s="1"/>
  <c r="BQ87" i="3"/>
  <c r="P87" i="3" s="1"/>
  <c r="BP87" i="3"/>
  <c r="O87" i="3" s="1"/>
  <c r="BO87" i="3"/>
  <c r="N87" i="3" s="1"/>
  <c r="BN87" i="3"/>
  <c r="M87" i="3" s="1"/>
  <c r="BM87" i="3"/>
  <c r="L87" i="3" s="1"/>
  <c r="BL87" i="3"/>
  <c r="K87" i="3" s="1"/>
  <c r="BK87" i="3"/>
  <c r="J87" i="3" s="1"/>
  <c r="BJ87" i="3"/>
  <c r="I87" i="3" s="1"/>
  <c r="BI87" i="3"/>
  <c r="BH87" i="3"/>
  <c r="G87" i="3" s="1"/>
  <c r="BG87" i="3"/>
  <c r="F87" i="3" s="1"/>
  <c r="DB86" i="3"/>
  <c r="BA86" i="3" s="1"/>
  <c r="DA86" i="3"/>
  <c r="AZ86" i="3" s="1"/>
  <c r="CZ86" i="3"/>
  <c r="AY86" i="3" s="1"/>
  <c r="CY86" i="3"/>
  <c r="AX86" i="3" s="1"/>
  <c r="CX86" i="3"/>
  <c r="AW86" i="3" s="1"/>
  <c r="CW86" i="3"/>
  <c r="AV86" i="3" s="1"/>
  <c r="CV86" i="3"/>
  <c r="AU86" i="3" s="1"/>
  <c r="CU86" i="3"/>
  <c r="CT86" i="3"/>
  <c r="AS86" i="3" s="1"/>
  <c r="CS86" i="3"/>
  <c r="AR86" i="3" s="1"/>
  <c r="CR86" i="3"/>
  <c r="AQ86" i="3" s="1"/>
  <c r="CQ86" i="3"/>
  <c r="AP86" i="3" s="1"/>
  <c r="CP86" i="3"/>
  <c r="AO86" i="3" s="1"/>
  <c r="CO86" i="3"/>
  <c r="AN86" i="3" s="1"/>
  <c r="CN86" i="3"/>
  <c r="AM86" i="3" s="1"/>
  <c r="CM86" i="3"/>
  <c r="CL86" i="3"/>
  <c r="AK86" i="3" s="1"/>
  <c r="CK86" i="3"/>
  <c r="AJ86" i="3" s="1"/>
  <c r="CJ86" i="3"/>
  <c r="AI86" i="3" s="1"/>
  <c r="CI86" i="3"/>
  <c r="CH86" i="3"/>
  <c r="AG86" i="3" s="1"/>
  <c r="CG86" i="3"/>
  <c r="AF86" i="3" s="1"/>
  <c r="CF86" i="3"/>
  <c r="AE86" i="3" s="1"/>
  <c r="CE86" i="3"/>
  <c r="AD86" i="3" s="1"/>
  <c r="CD86" i="3"/>
  <c r="AC86" i="3" s="1"/>
  <c r="CC86" i="3"/>
  <c r="AB86" i="3" s="1"/>
  <c r="CB86" i="3"/>
  <c r="AA86" i="3" s="1"/>
  <c r="CA86" i="3"/>
  <c r="Z86" i="3" s="1"/>
  <c r="BZ86" i="3"/>
  <c r="BY86" i="3"/>
  <c r="X86" i="3" s="1"/>
  <c r="BX86" i="3"/>
  <c r="W86" i="3" s="1"/>
  <c r="BW86" i="3"/>
  <c r="V86" i="3" s="1"/>
  <c r="BV86" i="3"/>
  <c r="BU86" i="3"/>
  <c r="T86" i="3" s="1"/>
  <c r="BT86" i="3"/>
  <c r="S86" i="3" s="1"/>
  <c r="BS86" i="3"/>
  <c r="R86" i="3" s="1"/>
  <c r="BR86" i="3"/>
  <c r="Q86" i="3" s="1"/>
  <c r="BQ86" i="3"/>
  <c r="P86" i="3" s="1"/>
  <c r="BP86" i="3"/>
  <c r="O86" i="3" s="1"/>
  <c r="BO86" i="3"/>
  <c r="N86" i="3" s="1"/>
  <c r="BN86" i="3"/>
  <c r="M86" i="3" s="1"/>
  <c r="BM86" i="3"/>
  <c r="L86" i="3" s="1"/>
  <c r="BL86" i="3"/>
  <c r="K86" i="3" s="1"/>
  <c r="BK86" i="3"/>
  <c r="J86" i="3" s="1"/>
  <c r="BJ86" i="3"/>
  <c r="I86" i="3" s="1"/>
  <c r="BI86" i="3"/>
  <c r="BH86" i="3"/>
  <c r="G86" i="3" s="1"/>
  <c r="BG86" i="3"/>
  <c r="F86" i="3" s="1"/>
  <c r="DB85" i="3"/>
  <c r="BA85" i="3" s="1"/>
  <c r="DA85" i="3"/>
  <c r="AZ85" i="3" s="1"/>
  <c r="CZ85" i="3"/>
  <c r="CY85" i="3"/>
  <c r="AX85" i="3" s="1"/>
  <c r="CX85" i="3"/>
  <c r="AW85" i="3" s="1"/>
  <c r="CW85" i="3"/>
  <c r="AV85" i="3" s="1"/>
  <c r="CV85" i="3"/>
  <c r="AU85" i="3" s="1"/>
  <c r="CU85" i="3"/>
  <c r="CT85" i="3"/>
  <c r="AS85" i="3" s="1"/>
  <c r="CS85" i="3"/>
  <c r="AR85" i="3" s="1"/>
  <c r="CR85" i="3"/>
  <c r="AQ85" i="3" s="1"/>
  <c r="CQ85" i="3"/>
  <c r="AP85" i="3" s="1"/>
  <c r="CP85" i="3"/>
  <c r="AO85" i="3" s="1"/>
  <c r="CO85" i="3"/>
  <c r="AN85" i="3" s="1"/>
  <c r="CN85" i="3"/>
  <c r="AM85" i="3" s="1"/>
  <c r="CM85" i="3"/>
  <c r="CL85" i="3"/>
  <c r="AK85" i="3" s="1"/>
  <c r="CK85" i="3"/>
  <c r="AJ85" i="3" s="1"/>
  <c r="CJ85" i="3"/>
  <c r="AI85" i="3" s="1"/>
  <c r="CI85" i="3"/>
  <c r="AH85" i="3" s="1"/>
  <c r="CH85" i="3"/>
  <c r="AG85" i="3" s="1"/>
  <c r="CG85" i="3"/>
  <c r="AF85" i="3" s="1"/>
  <c r="CF85" i="3"/>
  <c r="AE85" i="3" s="1"/>
  <c r="CE85" i="3"/>
  <c r="CD85" i="3"/>
  <c r="AC85" i="3" s="1"/>
  <c r="CC85" i="3"/>
  <c r="AB85" i="3" s="1"/>
  <c r="CB85" i="3"/>
  <c r="AA85" i="3" s="1"/>
  <c r="CA85" i="3"/>
  <c r="BZ85" i="3"/>
  <c r="BY85" i="3"/>
  <c r="X85" i="3" s="1"/>
  <c r="BX85" i="3"/>
  <c r="W85" i="3" s="1"/>
  <c r="BW85" i="3"/>
  <c r="V85" i="3" s="1"/>
  <c r="BV85" i="3"/>
  <c r="U85" i="3" s="1"/>
  <c r="BU85" i="3"/>
  <c r="T85" i="3" s="1"/>
  <c r="BT85" i="3"/>
  <c r="S85" i="3" s="1"/>
  <c r="BS85" i="3"/>
  <c r="R85" i="3" s="1"/>
  <c r="BR85" i="3"/>
  <c r="Q85" i="3" s="1"/>
  <c r="BQ85" i="3"/>
  <c r="P85" i="3" s="1"/>
  <c r="BP85" i="3"/>
  <c r="O85" i="3" s="1"/>
  <c r="BO85" i="3"/>
  <c r="N85" i="3" s="1"/>
  <c r="BN85" i="3"/>
  <c r="M85" i="3" s="1"/>
  <c r="BM85" i="3"/>
  <c r="L85" i="3" s="1"/>
  <c r="BL85" i="3"/>
  <c r="K85" i="3" s="1"/>
  <c r="BK85" i="3"/>
  <c r="J85" i="3" s="1"/>
  <c r="BJ85" i="3"/>
  <c r="I85" i="3" s="1"/>
  <c r="BI85" i="3"/>
  <c r="BH85" i="3"/>
  <c r="G85" i="3" s="1"/>
  <c r="BG85" i="3"/>
  <c r="F85" i="3" s="1"/>
  <c r="DB38" i="3"/>
  <c r="BA38" i="3" s="1"/>
  <c r="DA38" i="3"/>
  <c r="AZ38" i="3" s="1"/>
  <c r="CZ38" i="3"/>
  <c r="CY38" i="3"/>
  <c r="AX38" i="3" s="1"/>
  <c r="CX38" i="3"/>
  <c r="AW38" i="3" s="1"/>
  <c r="CW38" i="3"/>
  <c r="AV38" i="3" s="1"/>
  <c r="CV38" i="3"/>
  <c r="AU38" i="3" s="1"/>
  <c r="CU38" i="3"/>
  <c r="CT38" i="3"/>
  <c r="AS38" i="3" s="1"/>
  <c r="CS38" i="3"/>
  <c r="AR38" i="3" s="1"/>
  <c r="CR38" i="3"/>
  <c r="AQ38" i="3" s="1"/>
  <c r="CQ38" i="3"/>
  <c r="AP38" i="3" s="1"/>
  <c r="CP38" i="3"/>
  <c r="AO38" i="3" s="1"/>
  <c r="CO38" i="3"/>
  <c r="AN38" i="3" s="1"/>
  <c r="CN38" i="3"/>
  <c r="AM38" i="3" s="1"/>
  <c r="CM38" i="3"/>
  <c r="CL38" i="3"/>
  <c r="AK38" i="3" s="1"/>
  <c r="CK38" i="3"/>
  <c r="AJ38" i="3" s="1"/>
  <c r="CJ38" i="3"/>
  <c r="AI38" i="3" s="1"/>
  <c r="CI38" i="3"/>
  <c r="AH38" i="3" s="1"/>
  <c r="CH38" i="3"/>
  <c r="AG38" i="3" s="1"/>
  <c r="CG38" i="3"/>
  <c r="AF38" i="3" s="1"/>
  <c r="CF38" i="3"/>
  <c r="CE38" i="3"/>
  <c r="CD38" i="3"/>
  <c r="AC38" i="3" s="1"/>
  <c r="CC38" i="3"/>
  <c r="AB38" i="3" s="1"/>
  <c r="CB38" i="3"/>
  <c r="AA38" i="3" s="1"/>
  <c r="CA38" i="3"/>
  <c r="Z38" i="3" s="1"/>
  <c r="BZ38" i="3"/>
  <c r="BY38" i="3"/>
  <c r="X38" i="3" s="1"/>
  <c r="BX38" i="3"/>
  <c r="W38" i="3" s="1"/>
  <c r="BW38" i="3"/>
  <c r="V38" i="3" s="1"/>
  <c r="BV38" i="3"/>
  <c r="U38" i="3" s="1"/>
  <c r="BU38" i="3"/>
  <c r="T38" i="3" s="1"/>
  <c r="BT38" i="3"/>
  <c r="S38" i="3" s="1"/>
  <c r="BS38" i="3"/>
  <c r="R38" i="3" s="1"/>
  <c r="BR38" i="3"/>
  <c r="Q38" i="3" s="1"/>
  <c r="BQ38" i="3"/>
  <c r="P38" i="3" s="1"/>
  <c r="BP38" i="3"/>
  <c r="O38" i="3" s="1"/>
  <c r="BO38" i="3"/>
  <c r="N38" i="3" s="1"/>
  <c r="BN38" i="3"/>
  <c r="M38" i="3" s="1"/>
  <c r="BM38" i="3"/>
  <c r="L38" i="3" s="1"/>
  <c r="BL38" i="3"/>
  <c r="BK38" i="3"/>
  <c r="J38" i="3" s="1"/>
  <c r="BJ38" i="3"/>
  <c r="I38" i="3" s="1"/>
  <c r="BI38" i="3"/>
  <c r="BH38" i="3"/>
  <c r="G38" i="3" s="1"/>
  <c r="BG38" i="3"/>
  <c r="F38" i="3" s="1"/>
  <c r="DB37" i="3"/>
  <c r="BA37" i="3" s="1"/>
  <c r="DA37" i="3"/>
  <c r="AZ37" i="3" s="1"/>
  <c r="CZ37" i="3"/>
  <c r="AY37" i="3" s="1"/>
  <c r="CY37" i="3"/>
  <c r="AX37" i="3" s="1"/>
  <c r="CX37" i="3"/>
  <c r="AW37" i="3" s="1"/>
  <c r="CW37" i="3"/>
  <c r="AV37" i="3" s="1"/>
  <c r="CV37" i="3"/>
  <c r="AU37" i="3" s="1"/>
  <c r="CU37" i="3"/>
  <c r="AT37" i="3" s="1"/>
  <c r="CT37" i="3"/>
  <c r="AS37" i="3" s="1"/>
  <c r="CS37" i="3"/>
  <c r="AR37" i="3" s="1"/>
  <c r="CR37" i="3"/>
  <c r="AQ37" i="3" s="1"/>
  <c r="CQ37" i="3"/>
  <c r="CP37" i="3"/>
  <c r="AO37" i="3" s="1"/>
  <c r="CO37" i="3"/>
  <c r="CN37" i="3"/>
  <c r="AM37" i="3" s="1"/>
  <c r="CM37" i="3"/>
  <c r="AL37" i="3" s="1"/>
  <c r="CL37" i="3"/>
  <c r="AK37" i="3" s="1"/>
  <c r="CK37" i="3"/>
  <c r="AJ37" i="3" s="1"/>
  <c r="CJ37" i="3"/>
  <c r="AI37" i="3" s="1"/>
  <c r="CI37" i="3"/>
  <c r="AH37" i="3" s="1"/>
  <c r="CH37" i="3"/>
  <c r="AG37" i="3" s="1"/>
  <c r="CG37" i="3"/>
  <c r="AF37" i="3" s="1"/>
  <c r="CF37" i="3"/>
  <c r="CE37" i="3"/>
  <c r="AD37" i="3" s="1"/>
  <c r="CD37" i="3"/>
  <c r="AC37" i="3" s="1"/>
  <c r="CC37" i="3"/>
  <c r="AB37" i="3" s="1"/>
  <c r="CB37" i="3"/>
  <c r="AA37" i="3" s="1"/>
  <c r="CA37" i="3"/>
  <c r="Z37" i="3" s="1"/>
  <c r="BZ37" i="3"/>
  <c r="Y37" i="3" s="1"/>
  <c r="BY37" i="3"/>
  <c r="X37" i="3" s="1"/>
  <c r="BX37" i="3"/>
  <c r="W37" i="3" s="1"/>
  <c r="BW37" i="3"/>
  <c r="BV37" i="3"/>
  <c r="U37" i="3" s="1"/>
  <c r="BU37" i="3"/>
  <c r="T37" i="3" s="1"/>
  <c r="BT37" i="3"/>
  <c r="S37" i="3" s="1"/>
  <c r="BS37" i="3"/>
  <c r="BR37" i="3"/>
  <c r="Q37" i="3" s="1"/>
  <c r="BQ37" i="3"/>
  <c r="P37" i="3" s="1"/>
  <c r="BP37" i="3"/>
  <c r="O37" i="3" s="1"/>
  <c r="BO37" i="3"/>
  <c r="N37" i="3" s="1"/>
  <c r="BN37" i="3"/>
  <c r="M37" i="3" s="1"/>
  <c r="BM37" i="3"/>
  <c r="L37" i="3" s="1"/>
  <c r="BL37" i="3"/>
  <c r="K37" i="3" s="1"/>
  <c r="BK37" i="3"/>
  <c r="J37" i="3" s="1"/>
  <c r="BJ37" i="3"/>
  <c r="I37" i="3" s="1"/>
  <c r="BI37" i="3"/>
  <c r="H37" i="3" s="1"/>
  <c r="BH37" i="3"/>
  <c r="G37" i="3" s="1"/>
  <c r="BG37" i="3"/>
  <c r="F37" i="3" s="1"/>
  <c r="DB26" i="3"/>
  <c r="BA26" i="3" s="1"/>
  <c r="DA26" i="3"/>
  <c r="AZ26" i="3" s="1"/>
  <c r="CZ26" i="3"/>
  <c r="AY26" i="3" s="1"/>
  <c r="CY26" i="3"/>
  <c r="AX26" i="3" s="1"/>
  <c r="CX26" i="3"/>
  <c r="AW26" i="3" s="1"/>
  <c r="CW26" i="3"/>
  <c r="AV26" i="3" s="1"/>
  <c r="CV26" i="3"/>
  <c r="AU26" i="3" s="1"/>
  <c r="CU26" i="3"/>
  <c r="CT26" i="3"/>
  <c r="AS26" i="3" s="1"/>
  <c r="CS26" i="3"/>
  <c r="AR26" i="3" s="1"/>
  <c r="CR26" i="3"/>
  <c r="AQ26" i="3" s="1"/>
  <c r="CQ26" i="3"/>
  <c r="AP26" i="3" s="1"/>
  <c r="CP26" i="3"/>
  <c r="AO26" i="3" s="1"/>
  <c r="CO26" i="3"/>
  <c r="AN26" i="3" s="1"/>
  <c r="CN26" i="3"/>
  <c r="AM26" i="3" s="1"/>
  <c r="CM26" i="3"/>
  <c r="AL26" i="3" s="1"/>
  <c r="CL26" i="3"/>
  <c r="AK26" i="3" s="1"/>
  <c r="CK26" i="3"/>
  <c r="AJ26" i="3" s="1"/>
  <c r="CJ26" i="3"/>
  <c r="AI26" i="3" s="1"/>
  <c r="CI26" i="3"/>
  <c r="AH26" i="3" s="1"/>
  <c r="CH26" i="3"/>
  <c r="AG26" i="3" s="1"/>
  <c r="CG26" i="3"/>
  <c r="AF26" i="3" s="1"/>
  <c r="CF26" i="3"/>
  <c r="CE26" i="3"/>
  <c r="AD26" i="3" s="1"/>
  <c r="CD26" i="3"/>
  <c r="AC26" i="3" s="1"/>
  <c r="CC26" i="3"/>
  <c r="AB26" i="3" s="1"/>
  <c r="CB26" i="3"/>
  <c r="CA26" i="3"/>
  <c r="Z26" i="3" s="1"/>
  <c r="BZ26" i="3"/>
  <c r="Y26" i="3" s="1"/>
  <c r="BY26" i="3"/>
  <c r="X26" i="3" s="1"/>
  <c r="BX26" i="3"/>
  <c r="W26" i="3" s="1"/>
  <c r="BW26" i="3"/>
  <c r="BV26" i="3"/>
  <c r="U26" i="3" s="1"/>
  <c r="BU26" i="3"/>
  <c r="T26" i="3" s="1"/>
  <c r="BT26" i="3"/>
  <c r="S26" i="3" s="1"/>
  <c r="BS26" i="3"/>
  <c r="R26" i="3" s="1"/>
  <c r="BR26" i="3"/>
  <c r="Q26" i="3" s="1"/>
  <c r="BQ26" i="3"/>
  <c r="P26" i="3" s="1"/>
  <c r="BP26" i="3"/>
  <c r="O26" i="3" s="1"/>
  <c r="BO26" i="3"/>
  <c r="BN26" i="3"/>
  <c r="M26" i="3" s="1"/>
  <c r="BM26" i="3"/>
  <c r="L26" i="3" s="1"/>
  <c r="BL26" i="3"/>
  <c r="K26" i="3" s="1"/>
  <c r="BK26" i="3"/>
  <c r="BJ26" i="3"/>
  <c r="I26" i="3" s="1"/>
  <c r="BI26" i="3"/>
  <c r="H26" i="3" s="1"/>
  <c r="BH26" i="3"/>
  <c r="G26" i="3" s="1"/>
  <c r="BG26" i="3"/>
  <c r="F26" i="3" s="1"/>
  <c r="DB84" i="3"/>
  <c r="BA84" i="3" s="1"/>
  <c r="DA84" i="3"/>
  <c r="AZ84" i="3" s="1"/>
  <c r="CZ84" i="3"/>
  <c r="AY84" i="3" s="1"/>
  <c r="CY84" i="3"/>
  <c r="CX84" i="3"/>
  <c r="AW84" i="3" s="1"/>
  <c r="CW84" i="3"/>
  <c r="AV84" i="3" s="1"/>
  <c r="CV84" i="3"/>
  <c r="AU84" i="3" s="1"/>
  <c r="CU84" i="3"/>
  <c r="AT84" i="3" s="1"/>
  <c r="CT84" i="3"/>
  <c r="AS84" i="3" s="1"/>
  <c r="CS84" i="3"/>
  <c r="AR84" i="3" s="1"/>
  <c r="CR84" i="3"/>
  <c r="AQ84" i="3" s="1"/>
  <c r="CQ84" i="3"/>
  <c r="AP84" i="3" s="1"/>
  <c r="CP84" i="3"/>
  <c r="AO84" i="3" s="1"/>
  <c r="CO84" i="3"/>
  <c r="CN84" i="3"/>
  <c r="AM84" i="3" s="1"/>
  <c r="CM84" i="3"/>
  <c r="CL84" i="3"/>
  <c r="AK84" i="3" s="1"/>
  <c r="CK84" i="3"/>
  <c r="AJ84" i="3" s="1"/>
  <c r="CJ84" i="3"/>
  <c r="AI84" i="3" s="1"/>
  <c r="CI84" i="3"/>
  <c r="AH84" i="3" s="1"/>
  <c r="CH84" i="3"/>
  <c r="AG84" i="3" s="1"/>
  <c r="CG84" i="3"/>
  <c r="AF84" i="3" s="1"/>
  <c r="CF84" i="3"/>
  <c r="AE84" i="3" s="1"/>
  <c r="CE84" i="3"/>
  <c r="CD84" i="3"/>
  <c r="AC84" i="3" s="1"/>
  <c r="CC84" i="3"/>
  <c r="AB84" i="3" s="1"/>
  <c r="CB84" i="3"/>
  <c r="AA84" i="3" s="1"/>
  <c r="CA84" i="3"/>
  <c r="Z84" i="3" s="1"/>
  <c r="BZ84" i="3"/>
  <c r="Y84" i="3" s="1"/>
  <c r="BY84" i="3"/>
  <c r="X84" i="3" s="1"/>
  <c r="BX84" i="3"/>
  <c r="W84" i="3" s="1"/>
  <c r="BW84" i="3"/>
  <c r="V84" i="3" s="1"/>
  <c r="BV84" i="3"/>
  <c r="U84" i="3" s="1"/>
  <c r="BU84" i="3"/>
  <c r="T84" i="3" s="1"/>
  <c r="BT84" i="3"/>
  <c r="S84" i="3" s="1"/>
  <c r="BS84" i="3"/>
  <c r="R84" i="3" s="1"/>
  <c r="BR84" i="3"/>
  <c r="Q84" i="3" s="1"/>
  <c r="BQ84" i="3"/>
  <c r="P84" i="3" s="1"/>
  <c r="BP84" i="3"/>
  <c r="BO84" i="3"/>
  <c r="N84" i="3" s="1"/>
  <c r="BN84" i="3"/>
  <c r="M84" i="3" s="1"/>
  <c r="BM84" i="3"/>
  <c r="BL84" i="3"/>
  <c r="K84" i="3" s="1"/>
  <c r="BK84" i="3"/>
  <c r="J84" i="3" s="1"/>
  <c r="BJ84" i="3"/>
  <c r="I84" i="3" s="1"/>
  <c r="BI84" i="3"/>
  <c r="H84" i="3" s="1"/>
  <c r="BH84" i="3"/>
  <c r="G84" i="3" s="1"/>
  <c r="BG84" i="3"/>
  <c r="F84" i="3" s="1"/>
  <c r="DB25" i="3"/>
  <c r="BA25" i="3" s="1"/>
  <c r="DA25" i="3"/>
  <c r="AZ25" i="3" s="1"/>
  <c r="CZ25" i="3"/>
  <c r="AY25" i="3" s="1"/>
  <c r="CY25" i="3"/>
  <c r="AX25" i="3" s="1"/>
  <c r="CX25" i="3"/>
  <c r="CW25" i="3"/>
  <c r="AV25" i="3" s="1"/>
  <c r="CV25" i="3"/>
  <c r="AU25" i="3" s="1"/>
  <c r="CU25" i="3"/>
  <c r="AT25" i="3" s="1"/>
  <c r="CT25" i="3"/>
  <c r="AS25" i="3" s="1"/>
  <c r="CS25" i="3"/>
  <c r="CR25" i="3"/>
  <c r="AQ25" i="3" s="1"/>
  <c r="CQ25" i="3"/>
  <c r="AP25" i="3" s="1"/>
  <c r="CP25" i="3"/>
  <c r="AO25" i="3" s="1"/>
  <c r="CO25" i="3"/>
  <c r="AN25" i="3" s="1"/>
  <c r="CN25" i="3"/>
  <c r="CM25" i="3"/>
  <c r="AL25" i="3" s="1"/>
  <c r="CL25" i="3"/>
  <c r="AK25" i="3" s="1"/>
  <c r="CK25" i="3"/>
  <c r="AJ25" i="3" s="1"/>
  <c r="CJ25" i="3"/>
  <c r="AI25" i="3" s="1"/>
  <c r="CI25" i="3"/>
  <c r="AH25" i="3" s="1"/>
  <c r="CH25" i="3"/>
  <c r="AG25" i="3" s="1"/>
  <c r="CG25" i="3"/>
  <c r="AF25" i="3" s="1"/>
  <c r="CF25" i="3"/>
  <c r="AE25" i="3" s="1"/>
  <c r="CE25" i="3"/>
  <c r="AD25" i="3" s="1"/>
  <c r="CD25" i="3"/>
  <c r="AC25" i="3" s="1"/>
  <c r="CC25" i="3"/>
  <c r="CB25" i="3"/>
  <c r="AA25" i="3" s="1"/>
  <c r="CA25" i="3"/>
  <c r="BZ25" i="3"/>
  <c r="Y25" i="3" s="1"/>
  <c r="BY25" i="3"/>
  <c r="X25" i="3" s="1"/>
  <c r="BX25" i="3"/>
  <c r="W25" i="3" s="1"/>
  <c r="BW25" i="3"/>
  <c r="BV25" i="3"/>
  <c r="U25" i="3" s="1"/>
  <c r="BU25" i="3"/>
  <c r="BT25" i="3"/>
  <c r="BS25" i="3"/>
  <c r="R25" i="3" s="1"/>
  <c r="BR25" i="3"/>
  <c r="Q25" i="3" s="1"/>
  <c r="BQ25" i="3"/>
  <c r="P25" i="3" s="1"/>
  <c r="BP25" i="3"/>
  <c r="BO25" i="3"/>
  <c r="N25" i="3" s="1"/>
  <c r="BN25" i="3"/>
  <c r="M25" i="3" s="1"/>
  <c r="BM25" i="3"/>
  <c r="L25" i="3" s="1"/>
  <c r="BL25" i="3"/>
  <c r="K25" i="3" s="1"/>
  <c r="BK25" i="3"/>
  <c r="J25" i="3" s="1"/>
  <c r="BJ25" i="3"/>
  <c r="I25" i="3" s="1"/>
  <c r="BI25" i="3"/>
  <c r="BH25" i="3"/>
  <c r="G25" i="3" s="1"/>
  <c r="BG25" i="3"/>
  <c r="F25" i="3" s="1"/>
  <c r="DB83" i="3"/>
  <c r="BA83" i="3" s="1"/>
  <c r="DA83" i="3"/>
  <c r="AZ83" i="3" s="1"/>
  <c r="CZ83" i="3"/>
  <c r="CY83" i="3"/>
  <c r="AX83" i="3" s="1"/>
  <c r="CX83" i="3"/>
  <c r="AW83" i="3" s="1"/>
  <c r="CW83" i="3"/>
  <c r="CV83" i="3"/>
  <c r="AU83" i="3" s="1"/>
  <c r="CU83" i="3"/>
  <c r="AT83" i="3" s="1"/>
  <c r="CT83" i="3"/>
  <c r="AS83" i="3" s="1"/>
  <c r="CS83" i="3"/>
  <c r="CR83" i="3"/>
  <c r="AQ83" i="3" s="1"/>
  <c r="CQ83" i="3"/>
  <c r="AP83" i="3" s="1"/>
  <c r="CP83" i="3"/>
  <c r="AO83" i="3" s="1"/>
  <c r="CO83" i="3"/>
  <c r="AN83" i="3" s="1"/>
  <c r="CN83" i="3"/>
  <c r="AM83" i="3" s="1"/>
  <c r="CM83" i="3"/>
  <c r="AL83" i="3" s="1"/>
  <c r="CL83" i="3"/>
  <c r="CK83" i="3"/>
  <c r="AJ83" i="3" s="1"/>
  <c r="CJ83" i="3"/>
  <c r="AI83" i="3" s="1"/>
  <c r="CI83" i="3"/>
  <c r="AH83" i="3" s="1"/>
  <c r="CH83" i="3"/>
  <c r="AG83" i="3" s="1"/>
  <c r="CG83" i="3"/>
  <c r="AF83" i="3" s="1"/>
  <c r="CF83" i="3"/>
  <c r="AE83" i="3" s="1"/>
  <c r="CE83" i="3"/>
  <c r="AD83" i="3" s="1"/>
  <c r="CD83" i="3"/>
  <c r="AC83" i="3" s="1"/>
  <c r="CC83" i="3"/>
  <c r="AB83" i="3" s="1"/>
  <c r="CB83" i="3"/>
  <c r="CA83" i="3"/>
  <c r="Z83" i="3" s="1"/>
  <c r="BZ83" i="3"/>
  <c r="Y83" i="3" s="1"/>
  <c r="BY83" i="3"/>
  <c r="X83" i="3" s="1"/>
  <c r="BX83" i="3"/>
  <c r="W83" i="3" s="1"/>
  <c r="BW83" i="3"/>
  <c r="V83" i="3" s="1"/>
  <c r="BV83" i="3"/>
  <c r="U83" i="3" s="1"/>
  <c r="BU83" i="3"/>
  <c r="T83" i="3" s="1"/>
  <c r="BT83" i="3"/>
  <c r="S83" i="3" s="1"/>
  <c r="BS83" i="3"/>
  <c r="R83" i="3" s="1"/>
  <c r="BR83" i="3"/>
  <c r="Q83" i="3" s="1"/>
  <c r="BQ83" i="3"/>
  <c r="P83" i="3" s="1"/>
  <c r="BP83" i="3"/>
  <c r="O83" i="3" s="1"/>
  <c r="BO83" i="3"/>
  <c r="N83" i="3" s="1"/>
  <c r="BN83" i="3"/>
  <c r="M83" i="3" s="1"/>
  <c r="BM83" i="3"/>
  <c r="BL83" i="3"/>
  <c r="K83" i="3" s="1"/>
  <c r="BK83" i="3"/>
  <c r="J83" i="3" s="1"/>
  <c r="BJ83" i="3"/>
  <c r="I83" i="3" s="1"/>
  <c r="BI83" i="3"/>
  <c r="BH83" i="3"/>
  <c r="G83" i="3" s="1"/>
  <c r="BG83" i="3"/>
  <c r="F83" i="3" s="1"/>
  <c r="DB36" i="3"/>
  <c r="BA36" i="3" s="1"/>
  <c r="DA36" i="3"/>
  <c r="AZ36" i="3" s="1"/>
  <c r="CZ36" i="3"/>
  <c r="AY36" i="3" s="1"/>
  <c r="CY36" i="3"/>
  <c r="AX36" i="3" s="1"/>
  <c r="CX36" i="3"/>
  <c r="AW36" i="3" s="1"/>
  <c r="CW36" i="3"/>
  <c r="AV36" i="3" s="1"/>
  <c r="CV36" i="3"/>
  <c r="AU36" i="3" s="1"/>
  <c r="CU36" i="3"/>
  <c r="AT36" i="3" s="1"/>
  <c r="CT36" i="3"/>
  <c r="CS36" i="3"/>
  <c r="AR36" i="3" s="1"/>
  <c r="CR36" i="3"/>
  <c r="AQ36" i="3" s="1"/>
  <c r="CQ36" i="3"/>
  <c r="AP36" i="3" s="1"/>
  <c r="CP36" i="3"/>
  <c r="AO36" i="3" s="1"/>
  <c r="CO36" i="3"/>
  <c r="AN36" i="3" s="1"/>
  <c r="CN36" i="3"/>
  <c r="AM36" i="3" s="1"/>
  <c r="CM36" i="3"/>
  <c r="AL36" i="3" s="1"/>
  <c r="CL36" i="3"/>
  <c r="AK36" i="3" s="1"/>
  <c r="CK36" i="3"/>
  <c r="AJ36" i="3" s="1"/>
  <c r="CJ36" i="3"/>
  <c r="AI36" i="3" s="1"/>
  <c r="CI36" i="3"/>
  <c r="AH36" i="3" s="1"/>
  <c r="CH36" i="3"/>
  <c r="AG36" i="3" s="1"/>
  <c r="CG36" i="3"/>
  <c r="AF36" i="3" s="1"/>
  <c r="CF36" i="3"/>
  <c r="AE36" i="3" s="1"/>
  <c r="CE36" i="3"/>
  <c r="AD36" i="3" s="1"/>
  <c r="CD36" i="3"/>
  <c r="AC36" i="3" s="1"/>
  <c r="CC36" i="3"/>
  <c r="AB36" i="3" s="1"/>
  <c r="CB36" i="3"/>
  <c r="AA36" i="3" s="1"/>
  <c r="CA36" i="3"/>
  <c r="BZ36" i="3"/>
  <c r="Y36" i="3" s="1"/>
  <c r="BY36" i="3"/>
  <c r="X36" i="3" s="1"/>
  <c r="BX36" i="3"/>
  <c r="W36" i="3" s="1"/>
  <c r="BW36" i="3"/>
  <c r="BV36" i="3"/>
  <c r="U36" i="3" s="1"/>
  <c r="BU36" i="3"/>
  <c r="T36" i="3" s="1"/>
  <c r="BT36" i="3"/>
  <c r="S36" i="3" s="1"/>
  <c r="BS36" i="3"/>
  <c r="BR36" i="3"/>
  <c r="Q36" i="3" s="1"/>
  <c r="BQ36" i="3"/>
  <c r="P36" i="3" s="1"/>
  <c r="BP36" i="3"/>
  <c r="O36" i="3" s="1"/>
  <c r="BO36" i="3"/>
  <c r="N36" i="3" s="1"/>
  <c r="BN36" i="3"/>
  <c r="M36" i="3" s="1"/>
  <c r="BM36" i="3"/>
  <c r="L36" i="3" s="1"/>
  <c r="BL36" i="3"/>
  <c r="K36" i="3" s="1"/>
  <c r="BK36" i="3"/>
  <c r="J36" i="3" s="1"/>
  <c r="BJ36" i="3"/>
  <c r="I36" i="3" s="1"/>
  <c r="BI36" i="3"/>
  <c r="H36" i="3" s="1"/>
  <c r="BH36" i="3"/>
  <c r="G36" i="3" s="1"/>
  <c r="BG36" i="3"/>
  <c r="F36" i="3" s="1"/>
  <c r="DB82" i="3"/>
  <c r="BA82" i="3" s="1"/>
  <c r="DA82" i="3"/>
  <c r="AZ82" i="3" s="1"/>
  <c r="CZ82" i="3"/>
  <c r="AY82" i="3" s="1"/>
  <c r="CY82" i="3"/>
  <c r="AX82" i="3" s="1"/>
  <c r="CX82" i="3"/>
  <c r="AW82" i="3" s="1"/>
  <c r="CW82" i="3"/>
  <c r="AV82" i="3" s="1"/>
  <c r="CV82" i="3"/>
  <c r="AU82" i="3" s="1"/>
  <c r="CU82" i="3"/>
  <c r="AT82" i="3" s="1"/>
  <c r="CT82" i="3"/>
  <c r="AS82" i="3" s="1"/>
  <c r="CS82" i="3"/>
  <c r="AR82" i="3" s="1"/>
  <c r="CR82" i="3"/>
  <c r="AQ82" i="3" s="1"/>
  <c r="CQ82" i="3"/>
  <c r="CP82" i="3"/>
  <c r="AO82" i="3" s="1"/>
  <c r="CO82" i="3"/>
  <c r="AN82" i="3" s="1"/>
  <c r="CN82" i="3"/>
  <c r="CM82" i="3"/>
  <c r="AL82" i="3" s="1"/>
  <c r="CL82" i="3"/>
  <c r="AK82" i="3" s="1"/>
  <c r="CK82" i="3"/>
  <c r="AJ82" i="3" s="1"/>
  <c r="CJ82" i="3"/>
  <c r="AI82" i="3" s="1"/>
  <c r="CI82" i="3"/>
  <c r="AH82" i="3" s="1"/>
  <c r="CH82" i="3"/>
  <c r="AG82" i="3" s="1"/>
  <c r="CG82" i="3"/>
  <c r="AF82" i="3" s="1"/>
  <c r="CF82" i="3"/>
  <c r="AE82" i="3" s="1"/>
  <c r="CE82" i="3"/>
  <c r="CD82" i="3"/>
  <c r="CC82" i="3"/>
  <c r="AB82" i="3" s="1"/>
  <c r="CB82" i="3"/>
  <c r="AA82" i="3" s="1"/>
  <c r="CA82" i="3"/>
  <c r="Z82" i="3" s="1"/>
  <c r="BZ82" i="3"/>
  <c r="Y82" i="3" s="1"/>
  <c r="BY82" i="3"/>
  <c r="X82" i="3" s="1"/>
  <c r="BX82" i="3"/>
  <c r="W82" i="3" s="1"/>
  <c r="BW82" i="3"/>
  <c r="V82" i="3" s="1"/>
  <c r="BV82" i="3"/>
  <c r="U82" i="3" s="1"/>
  <c r="BU82" i="3"/>
  <c r="T82" i="3" s="1"/>
  <c r="BT82" i="3"/>
  <c r="S82" i="3" s="1"/>
  <c r="BS82" i="3"/>
  <c r="R82" i="3" s="1"/>
  <c r="BR82" i="3"/>
  <c r="Q82" i="3" s="1"/>
  <c r="BQ82" i="3"/>
  <c r="P82" i="3" s="1"/>
  <c r="BP82" i="3"/>
  <c r="O82" i="3" s="1"/>
  <c r="BO82" i="3"/>
  <c r="N82" i="3" s="1"/>
  <c r="BN82" i="3"/>
  <c r="M82" i="3" s="1"/>
  <c r="BM82" i="3"/>
  <c r="L82" i="3" s="1"/>
  <c r="BL82" i="3"/>
  <c r="K82" i="3" s="1"/>
  <c r="BK82" i="3"/>
  <c r="J82" i="3" s="1"/>
  <c r="BJ82" i="3"/>
  <c r="I82" i="3" s="1"/>
  <c r="BI82" i="3"/>
  <c r="BH82" i="3"/>
  <c r="G82" i="3" s="1"/>
  <c r="BG82" i="3"/>
  <c r="F82" i="3" s="1"/>
  <c r="DB81" i="3"/>
  <c r="BA81" i="3" s="1"/>
  <c r="DA81" i="3"/>
  <c r="AZ81" i="3" s="1"/>
  <c r="CZ81" i="3"/>
  <c r="AY81" i="3" s="1"/>
  <c r="CY81" i="3"/>
  <c r="CX81" i="3"/>
  <c r="AW81" i="3" s="1"/>
  <c r="CW81" i="3"/>
  <c r="AV81" i="3" s="1"/>
  <c r="CV81" i="3"/>
  <c r="AU81" i="3" s="1"/>
  <c r="CU81" i="3"/>
  <c r="AT81" i="3" s="1"/>
  <c r="CT81" i="3"/>
  <c r="AS81" i="3" s="1"/>
  <c r="CS81" i="3"/>
  <c r="AR81" i="3" s="1"/>
  <c r="CR81" i="3"/>
  <c r="AQ81" i="3" s="1"/>
  <c r="CQ81" i="3"/>
  <c r="AP81" i="3" s="1"/>
  <c r="CP81" i="3"/>
  <c r="AO81" i="3" s="1"/>
  <c r="CO81" i="3"/>
  <c r="CN81" i="3"/>
  <c r="AM81" i="3" s="1"/>
  <c r="CM81" i="3"/>
  <c r="AL81" i="3" s="1"/>
  <c r="CL81" i="3"/>
  <c r="AK81" i="3" s="1"/>
  <c r="CK81" i="3"/>
  <c r="AJ81" i="3" s="1"/>
  <c r="CJ81" i="3"/>
  <c r="AI81" i="3" s="1"/>
  <c r="CI81" i="3"/>
  <c r="AH81" i="3" s="1"/>
  <c r="CH81" i="3"/>
  <c r="CG81" i="3"/>
  <c r="AF81" i="3" s="1"/>
  <c r="CF81" i="3"/>
  <c r="AE81" i="3" s="1"/>
  <c r="CE81" i="3"/>
  <c r="AD81" i="3" s="1"/>
  <c r="CD81" i="3"/>
  <c r="CC81" i="3"/>
  <c r="AB81" i="3" s="1"/>
  <c r="CB81" i="3"/>
  <c r="CA81" i="3"/>
  <c r="Z81" i="3" s="1"/>
  <c r="BZ81" i="3"/>
  <c r="Y81" i="3" s="1"/>
  <c r="BY81" i="3"/>
  <c r="X81" i="3" s="1"/>
  <c r="BX81" i="3"/>
  <c r="W81" i="3" s="1"/>
  <c r="BW81" i="3"/>
  <c r="V81" i="3" s="1"/>
  <c r="BV81" i="3"/>
  <c r="U81" i="3" s="1"/>
  <c r="BU81" i="3"/>
  <c r="T81" i="3" s="1"/>
  <c r="BT81" i="3"/>
  <c r="S81" i="3" s="1"/>
  <c r="BS81" i="3"/>
  <c r="R81" i="3" s="1"/>
  <c r="BR81" i="3"/>
  <c r="Q81" i="3" s="1"/>
  <c r="BQ81" i="3"/>
  <c r="P81" i="3" s="1"/>
  <c r="BP81" i="3"/>
  <c r="O81" i="3" s="1"/>
  <c r="BO81" i="3"/>
  <c r="N81" i="3" s="1"/>
  <c r="BN81" i="3"/>
  <c r="M81" i="3" s="1"/>
  <c r="BM81" i="3"/>
  <c r="L81" i="3" s="1"/>
  <c r="BL81" i="3"/>
  <c r="K81" i="3" s="1"/>
  <c r="BK81" i="3"/>
  <c r="J81" i="3" s="1"/>
  <c r="BJ81" i="3"/>
  <c r="BI81" i="3"/>
  <c r="H81" i="3" s="1"/>
  <c r="BH81" i="3"/>
  <c r="G81" i="3" s="1"/>
  <c r="BG81" i="3"/>
  <c r="F81" i="3" s="1"/>
  <c r="DB35" i="3"/>
  <c r="BA35" i="3" s="1"/>
  <c r="DA35" i="3"/>
  <c r="AZ35" i="3" s="1"/>
  <c r="CZ35" i="3"/>
  <c r="AY35" i="3" s="1"/>
  <c r="CY35" i="3"/>
  <c r="AX35" i="3" s="1"/>
  <c r="CX35" i="3"/>
  <c r="AW35" i="3" s="1"/>
  <c r="CW35" i="3"/>
  <c r="AV35" i="3" s="1"/>
  <c r="CV35" i="3"/>
  <c r="AU35" i="3" s="1"/>
  <c r="CU35" i="3"/>
  <c r="CT35" i="3"/>
  <c r="AS35" i="3" s="1"/>
  <c r="CS35" i="3"/>
  <c r="AR35" i="3" s="1"/>
  <c r="CR35" i="3"/>
  <c r="AQ35" i="3" s="1"/>
  <c r="CQ35" i="3"/>
  <c r="AP35" i="3" s="1"/>
  <c r="CP35" i="3"/>
  <c r="AO35" i="3" s="1"/>
  <c r="CO35" i="3"/>
  <c r="AN35" i="3" s="1"/>
  <c r="CN35" i="3"/>
  <c r="AM35" i="3" s="1"/>
  <c r="CM35" i="3"/>
  <c r="AL35" i="3" s="1"/>
  <c r="CL35" i="3"/>
  <c r="AK35" i="3" s="1"/>
  <c r="CK35" i="3"/>
  <c r="AJ35" i="3" s="1"/>
  <c r="CJ35" i="3"/>
  <c r="AI35" i="3" s="1"/>
  <c r="CI35" i="3"/>
  <c r="AH35" i="3" s="1"/>
  <c r="CH35" i="3"/>
  <c r="AG35" i="3" s="1"/>
  <c r="CG35" i="3"/>
  <c r="AF35" i="3" s="1"/>
  <c r="CF35" i="3"/>
  <c r="AE35" i="3" s="1"/>
  <c r="CE35" i="3"/>
  <c r="AD35" i="3" s="1"/>
  <c r="CD35" i="3"/>
  <c r="AC35" i="3" s="1"/>
  <c r="CC35" i="3"/>
  <c r="AB35" i="3" s="1"/>
  <c r="CB35" i="3"/>
  <c r="AA35" i="3" s="1"/>
  <c r="CA35" i="3"/>
  <c r="Z35" i="3" s="1"/>
  <c r="BZ35" i="3"/>
  <c r="Y35" i="3" s="1"/>
  <c r="BY35" i="3"/>
  <c r="X35" i="3" s="1"/>
  <c r="BX35" i="3"/>
  <c r="W35" i="3" s="1"/>
  <c r="BW35" i="3"/>
  <c r="V35" i="3" s="1"/>
  <c r="BV35" i="3"/>
  <c r="BU35" i="3"/>
  <c r="T35" i="3" s="1"/>
  <c r="BT35" i="3"/>
  <c r="S35" i="3" s="1"/>
  <c r="BS35" i="3"/>
  <c r="BR35" i="3"/>
  <c r="Q35" i="3" s="1"/>
  <c r="BQ35" i="3"/>
  <c r="P35" i="3" s="1"/>
  <c r="BP35" i="3"/>
  <c r="O35" i="3" s="1"/>
  <c r="BO35" i="3"/>
  <c r="N35" i="3" s="1"/>
  <c r="BN35" i="3"/>
  <c r="M35" i="3" s="1"/>
  <c r="BM35" i="3"/>
  <c r="L35" i="3" s="1"/>
  <c r="BL35" i="3"/>
  <c r="K35" i="3" s="1"/>
  <c r="BK35" i="3"/>
  <c r="BJ35" i="3"/>
  <c r="I35" i="3" s="1"/>
  <c r="BI35" i="3"/>
  <c r="H35" i="3" s="1"/>
  <c r="BH35" i="3"/>
  <c r="G35" i="3" s="1"/>
  <c r="BG35" i="3"/>
  <c r="DB80" i="3"/>
  <c r="BA80" i="3" s="1"/>
  <c r="DA80" i="3"/>
  <c r="AZ80" i="3" s="1"/>
  <c r="CZ80" i="3"/>
  <c r="AY80" i="3" s="1"/>
  <c r="CY80" i="3"/>
  <c r="AX80" i="3" s="1"/>
  <c r="CX80" i="3"/>
  <c r="AW80" i="3" s="1"/>
  <c r="CW80" i="3"/>
  <c r="AV80" i="3" s="1"/>
  <c r="CV80" i="3"/>
  <c r="AU80" i="3" s="1"/>
  <c r="CU80" i="3"/>
  <c r="AT80" i="3" s="1"/>
  <c r="CT80" i="3"/>
  <c r="AS80" i="3" s="1"/>
  <c r="CS80" i="3"/>
  <c r="AR80" i="3" s="1"/>
  <c r="CR80" i="3"/>
  <c r="AQ80" i="3" s="1"/>
  <c r="CQ80" i="3"/>
  <c r="AP80" i="3" s="1"/>
  <c r="CP80" i="3"/>
  <c r="AO80" i="3" s="1"/>
  <c r="CO80" i="3"/>
  <c r="CN80" i="3"/>
  <c r="AM80" i="3" s="1"/>
  <c r="CM80" i="3"/>
  <c r="AL80" i="3" s="1"/>
  <c r="CL80" i="3"/>
  <c r="AK80" i="3" s="1"/>
  <c r="CK80" i="3"/>
  <c r="AJ80" i="3" s="1"/>
  <c r="CJ80" i="3"/>
  <c r="AI80" i="3" s="1"/>
  <c r="CI80" i="3"/>
  <c r="AH80" i="3" s="1"/>
  <c r="CH80" i="3"/>
  <c r="AG80" i="3" s="1"/>
  <c r="CG80" i="3"/>
  <c r="AF80" i="3" s="1"/>
  <c r="CF80" i="3"/>
  <c r="AE80" i="3" s="1"/>
  <c r="CE80" i="3"/>
  <c r="CD80" i="3"/>
  <c r="AC80" i="3" s="1"/>
  <c r="CC80" i="3"/>
  <c r="AB80" i="3" s="1"/>
  <c r="CB80" i="3"/>
  <c r="AA80" i="3" s="1"/>
  <c r="CA80" i="3"/>
  <c r="Z80" i="3" s="1"/>
  <c r="BZ80" i="3"/>
  <c r="Y80" i="3" s="1"/>
  <c r="BY80" i="3"/>
  <c r="X80" i="3" s="1"/>
  <c r="BX80" i="3"/>
  <c r="W80" i="3" s="1"/>
  <c r="BW80" i="3"/>
  <c r="V80" i="3" s="1"/>
  <c r="BV80" i="3"/>
  <c r="U80" i="3" s="1"/>
  <c r="BU80" i="3"/>
  <c r="T80" i="3" s="1"/>
  <c r="BT80" i="3"/>
  <c r="S80" i="3" s="1"/>
  <c r="BS80" i="3"/>
  <c r="BR80" i="3"/>
  <c r="Q80" i="3" s="1"/>
  <c r="BQ80" i="3"/>
  <c r="P80" i="3" s="1"/>
  <c r="BP80" i="3"/>
  <c r="BO80" i="3"/>
  <c r="N80" i="3" s="1"/>
  <c r="BN80" i="3"/>
  <c r="M80" i="3" s="1"/>
  <c r="BM80" i="3"/>
  <c r="L80" i="3" s="1"/>
  <c r="BL80" i="3"/>
  <c r="K80" i="3" s="1"/>
  <c r="BK80" i="3"/>
  <c r="J80" i="3" s="1"/>
  <c r="BJ80" i="3"/>
  <c r="BI80" i="3"/>
  <c r="H80" i="3" s="1"/>
  <c r="BH80" i="3"/>
  <c r="G80" i="3" s="1"/>
  <c r="BG80" i="3"/>
  <c r="F80" i="3" s="1"/>
  <c r="DB79" i="3"/>
  <c r="BA79" i="3" s="1"/>
  <c r="DA79" i="3"/>
  <c r="AZ79" i="3" s="1"/>
  <c r="CZ79" i="3"/>
  <c r="AY79" i="3" s="1"/>
  <c r="CY79" i="3"/>
  <c r="AX79" i="3" s="1"/>
  <c r="CX79" i="3"/>
  <c r="AW79" i="3" s="1"/>
  <c r="CW79" i="3"/>
  <c r="CV79" i="3"/>
  <c r="AU79" i="3" s="1"/>
  <c r="CU79" i="3"/>
  <c r="CT79" i="3"/>
  <c r="AS79" i="3" s="1"/>
  <c r="CS79" i="3"/>
  <c r="AR79" i="3" s="1"/>
  <c r="CR79" i="3"/>
  <c r="AQ79" i="3" s="1"/>
  <c r="CQ79" i="3"/>
  <c r="AP79" i="3" s="1"/>
  <c r="CP79" i="3"/>
  <c r="AO79" i="3" s="1"/>
  <c r="CO79" i="3"/>
  <c r="AN79" i="3" s="1"/>
  <c r="CN79" i="3"/>
  <c r="AM79" i="3" s="1"/>
  <c r="CM79" i="3"/>
  <c r="AL79" i="3" s="1"/>
  <c r="CL79" i="3"/>
  <c r="AK79" i="3" s="1"/>
  <c r="CK79" i="3"/>
  <c r="AJ79" i="3" s="1"/>
  <c r="CJ79" i="3"/>
  <c r="AI79" i="3" s="1"/>
  <c r="CI79" i="3"/>
  <c r="AH79" i="3" s="1"/>
  <c r="CH79" i="3"/>
  <c r="AG79" i="3" s="1"/>
  <c r="CG79" i="3"/>
  <c r="AF79" i="3" s="1"/>
  <c r="CF79" i="3"/>
  <c r="AE79" i="3" s="1"/>
  <c r="CE79" i="3"/>
  <c r="AD79" i="3" s="1"/>
  <c r="CD79" i="3"/>
  <c r="AC79" i="3" s="1"/>
  <c r="CC79" i="3"/>
  <c r="AB79" i="3" s="1"/>
  <c r="CB79" i="3"/>
  <c r="AA79" i="3" s="1"/>
  <c r="CA79" i="3"/>
  <c r="BZ79" i="3"/>
  <c r="Y79" i="3" s="1"/>
  <c r="BY79" i="3"/>
  <c r="X79" i="3" s="1"/>
  <c r="BX79" i="3"/>
  <c r="W79" i="3" s="1"/>
  <c r="BW79" i="3"/>
  <c r="V79" i="3" s="1"/>
  <c r="BV79" i="3"/>
  <c r="U79" i="3" s="1"/>
  <c r="BU79" i="3"/>
  <c r="T79" i="3" s="1"/>
  <c r="BT79" i="3"/>
  <c r="S79" i="3" s="1"/>
  <c r="BS79" i="3"/>
  <c r="R79" i="3" s="1"/>
  <c r="BR79" i="3"/>
  <c r="Q79" i="3" s="1"/>
  <c r="BQ79" i="3"/>
  <c r="P79" i="3" s="1"/>
  <c r="BP79" i="3"/>
  <c r="O79" i="3" s="1"/>
  <c r="BO79" i="3"/>
  <c r="N79" i="3" s="1"/>
  <c r="BN79" i="3"/>
  <c r="BM79" i="3"/>
  <c r="L79" i="3" s="1"/>
  <c r="BL79" i="3"/>
  <c r="K79" i="3" s="1"/>
  <c r="BK79" i="3"/>
  <c r="J79" i="3" s="1"/>
  <c r="BJ79" i="3"/>
  <c r="I79" i="3" s="1"/>
  <c r="BI79" i="3"/>
  <c r="H79" i="3" s="1"/>
  <c r="BH79" i="3"/>
  <c r="G79" i="3" s="1"/>
  <c r="BG79" i="3"/>
  <c r="F79" i="3" s="1"/>
  <c r="DB78" i="3"/>
  <c r="BA78" i="3" s="1"/>
  <c r="DA78" i="3"/>
  <c r="AZ78" i="3" s="1"/>
  <c r="CZ78" i="3"/>
  <c r="AY78" i="3" s="1"/>
  <c r="CY78" i="3"/>
  <c r="AX78" i="3" s="1"/>
  <c r="CX78" i="3"/>
  <c r="AW78" i="3" s="1"/>
  <c r="CW78" i="3"/>
  <c r="AV78" i="3" s="1"/>
  <c r="CV78" i="3"/>
  <c r="AU78" i="3" s="1"/>
  <c r="CU78" i="3"/>
  <c r="AT78" i="3" s="1"/>
  <c r="CT78" i="3"/>
  <c r="AS78" i="3" s="1"/>
  <c r="CS78" i="3"/>
  <c r="AR78" i="3" s="1"/>
  <c r="CR78" i="3"/>
  <c r="AQ78" i="3" s="1"/>
  <c r="CQ78" i="3"/>
  <c r="CP78" i="3"/>
  <c r="AO78" i="3" s="1"/>
  <c r="CO78" i="3"/>
  <c r="AN78" i="3" s="1"/>
  <c r="CN78" i="3"/>
  <c r="CM78" i="3"/>
  <c r="AL78" i="3" s="1"/>
  <c r="CL78" i="3"/>
  <c r="AK78" i="3" s="1"/>
  <c r="CK78" i="3"/>
  <c r="AJ78" i="3" s="1"/>
  <c r="CJ78" i="3"/>
  <c r="AI78" i="3" s="1"/>
  <c r="CI78" i="3"/>
  <c r="AH78" i="3" s="1"/>
  <c r="CH78" i="3"/>
  <c r="AG78" i="3" s="1"/>
  <c r="CG78" i="3"/>
  <c r="AF78" i="3" s="1"/>
  <c r="CF78" i="3"/>
  <c r="AE78" i="3" s="1"/>
  <c r="CE78" i="3"/>
  <c r="AD78" i="3" s="1"/>
  <c r="CD78" i="3"/>
  <c r="AC78" i="3" s="1"/>
  <c r="CC78" i="3"/>
  <c r="AB78" i="3" s="1"/>
  <c r="CB78" i="3"/>
  <c r="CA78" i="3"/>
  <c r="Z78" i="3" s="1"/>
  <c r="BZ78" i="3"/>
  <c r="Y78" i="3" s="1"/>
  <c r="BY78" i="3"/>
  <c r="X78" i="3" s="1"/>
  <c r="BX78" i="3"/>
  <c r="W78" i="3" s="1"/>
  <c r="BW78" i="3"/>
  <c r="V78" i="3" s="1"/>
  <c r="BV78" i="3"/>
  <c r="U78" i="3" s="1"/>
  <c r="BU78" i="3"/>
  <c r="T78" i="3" s="1"/>
  <c r="BT78" i="3"/>
  <c r="S78" i="3" s="1"/>
  <c r="BS78" i="3"/>
  <c r="R78" i="3" s="1"/>
  <c r="BR78" i="3"/>
  <c r="Q78" i="3" s="1"/>
  <c r="BQ78" i="3"/>
  <c r="P78" i="3" s="1"/>
  <c r="BP78" i="3"/>
  <c r="O78" i="3" s="1"/>
  <c r="BO78" i="3"/>
  <c r="BN78" i="3"/>
  <c r="M78" i="3" s="1"/>
  <c r="BM78" i="3"/>
  <c r="L78" i="3" s="1"/>
  <c r="BL78" i="3"/>
  <c r="K78" i="3" s="1"/>
  <c r="BK78" i="3"/>
  <c r="J78" i="3" s="1"/>
  <c r="BJ78" i="3"/>
  <c r="I78" i="3" s="1"/>
  <c r="BI78" i="3"/>
  <c r="H78" i="3" s="1"/>
  <c r="BH78" i="3"/>
  <c r="G78" i="3" s="1"/>
  <c r="BG78" i="3"/>
  <c r="F78" i="3" s="1"/>
  <c r="DB24" i="3"/>
  <c r="BA24" i="3" s="1"/>
  <c r="DA24" i="3"/>
  <c r="AZ24" i="3" s="1"/>
  <c r="CZ24" i="3"/>
  <c r="AY24" i="3" s="1"/>
  <c r="CY24" i="3"/>
  <c r="AX24" i="3" s="1"/>
  <c r="CX24" i="3"/>
  <c r="AW24" i="3" s="1"/>
  <c r="CW24" i="3"/>
  <c r="AV24" i="3" s="1"/>
  <c r="CV24" i="3"/>
  <c r="AU24" i="3" s="1"/>
  <c r="CU24" i="3"/>
  <c r="AT24" i="3" s="1"/>
  <c r="CT24" i="3"/>
  <c r="AS24" i="3" s="1"/>
  <c r="CS24" i="3"/>
  <c r="AR24" i="3" s="1"/>
  <c r="CR24" i="3"/>
  <c r="AQ24" i="3" s="1"/>
  <c r="CQ24" i="3"/>
  <c r="AP24" i="3" s="1"/>
  <c r="CP24" i="3"/>
  <c r="AO24" i="3" s="1"/>
  <c r="CO24" i="3"/>
  <c r="CN24" i="3"/>
  <c r="AM24" i="3" s="1"/>
  <c r="CM24" i="3"/>
  <c r="AL24" i="3" s="1"/>
  <c r="CL24" i="3"/>
  <c r="AK24" i="3" s="1"/>
  <c r="CK24" i="3"/>
  <c r="AJ24" i="3" s="1"/>
  <c r="CJ24" i="3"/>
  <c r="AI24" i="3" s="1"/>
  <c r="CI24" i="3"/>
  <c r="AH24" i="3" s="1"/>
  <c r="CH24" i="3"/>
  <c r="AG24" i="3" s="1"/>
  <c r="CG24" i="3"/>
  <c r="AF24" i="3" s="1"/>
  <c r="CF24" i="3"/>
  <c r="AE24" i="3" s="1"/>
  <c r="CE24" i="3"/>
  <c r="CD24" i="3"/>
  <c r="CC24" i="3"/>
  <c r="AB24" i="3" s="1"/>
  <c r="CB24" i="3"/>
  <c r="AA24" i="3" s="1"/>
  <c r="CA24" i="3"/>
  <c r="BZ24" i="3"/>
  <c r="BY24" i="3"/>
  <c r="X24" i="3" s="1"/>
  <c r="BX24" i="3"/>
  <c r="W24" i="3" s="1"/>
  <c r="BW24" i="3"/>
  <c r="V24" i="3" s="1"/>
  <c r="BV24" i="3"/>
  <c r="U24" i="3" s="1"/>
  <c r="BU24" i="3"/>
  <c r="T24" i="3" s="1"/>
  <c r="BT24" i="3"/>
  <c r="S24" i="3" s="1"/>
  <c r="BS24" i="3"/>
  <c r="R24" i="3" s="1"/>
  <c r="BR24" i="3"/>
  <c r="BQ24" i="3"/>
  <c r="P24" i="3" s="1"/>
  <c r="BP24" i="3"/>
  <c r="O24" i="3" s="1"/>
  <c r="BO24" i="3"/>
  <c r="N24" i="3" s="1"/>
  <c r="BN24" i="3"/>
  <c r="M24" i="3" s="1"/>
  <c r="BM24" i="3"/>
  <c r="L24" i="3" s="1"/>
  <c r="BL24" i="3"/>
  <c r="K24" i="3" s="1"/>
  <c r="BK24" i="3"/>
  <c r="J24" i="3" s="1"/>
  <c r="BJ24" i="3"/>
  <c r="I24" i="3" s="1"/>
  <c r="BI24" i="3"/>
  <c r="H24" i="3" s="1"/>
  <c r="BH24" i="3"/>
  <c r="G24" i="3" s="1"/>
  <c r="BG24" i="3"/>
  <c r="DB77" i="3"/>
  <c r="BA77" i="3" s="1"/>
  <c r="DA77" i="3"/>
  <c r="AZ77" i="3" s="1"/>
  <c r="CZ77" i="3"/>
  <c r="AY77" i="3" s="1"/>
  <c r="CY77" i="3"/>
  <c r="CX77" i="3"/>
  <c r="AW77" i="3" s="1"/>
  <c r="CW77" i="3"/>
  <c r="AV77" i="3" s="1"/>
  <c r="CV77" i="3"/>
  <c r="AU77" i="3" s="1"/>
  <c r="CU77" i="3"/>
  <c r="AT77" i="3" s="1"/>
  <c r="CT77" i="3"/>
  <c r="AS77" i="3" s="1"/>
  <c r="CS77" i="3"/>
  <c r="CR77" i="3"/>
  <c r="AQ77" i="3" s="1"/>
  <c r="CQ77" i="3"/>
  <c r="AP77" i="3" s="1"/>
  <c r="CP77" i="3"/>
  <c r="AO77" i="3" s="1"/>
  <c r="CO77" i="3"/>
  <c r="AN77" i="3" s="1"/>
  <c r="CN77" i="3"/>
  <c r="AM77" i="3" s="1"/>
  <c r="CM77" i="3"/>
  <c r="AL77" i="3" s="1"/>
  <c r="CL77" i="3"/>
  <c r="AK77" i="3" s="1"/>
  <c r="CK77" i="3"/>
  <c r="AJ77" i="3" s="1"/>
  <c r="CJ77" i="3"/>
  <c r="AI77" i="3" s="1"/>
  <c r="CI77" i="3"/>
  <c r="AH77" i="3" s="1"/>
  <c r="CH77" i="3"/>
  <c r="AG77" i="3" s="1"/>
  <c r="CG77" i="3"/>
  <c r="AF77" i="3" s="1"/>
  <c r="CF77" i="3"/>
  <c r="AE77" i="3" s="1"/>
  <c r="CE77" i="3"/>
  <c r="AD77" i="3" s="1"/>
  <c r="CD77" i="3"/>
  <c r="AC77" i="3" s="1"/>
  <c r="CC77" i="3"/>
  <c r="AB77" i="3" s="1"/>
  <c r="CB77" i="3"/>
  <c r="AA77" i="3" s="1"/>
  <c r="CA77" i="3"/>
  <c r="BZ77" i="3"/>
  <c r="BY77" i="3"/>
  <c r="X77" i="3" s="1"/>
  <c r="BX77" i="3"/>
  <c r="W77" i="3" s="1"/>
  <c r="BW77" i="3"/>
  <c r="V77" i="3" s="1"/>
  <c r="BV77" i="3"/>
  <c r="U77" i="3" s="1"/>
  <c r="BU77" i="3"/>
  <c r="T77" i="3" s="1"/>
  <c r="BT77" i="3"/>
  <c r="S77" i="3" s="1"/>
  <c r="BS77" i="3"/>
  <c r="R77" i="3" s="1"/>
  <c r="BR77" i="3"/>
  <c r="BQ77" i="3"/>
  <c r="P77" i="3" s="1"/>
  <c r="BP77" i="3"/>
  <c r="BO77" i="3"/>
  <c r="BN77" i="3"/>
  <c r="M77" i="3" s="1"/>
  <c r="BM77" i="3"/>
  <c r="L77" i="3" s="1"/>
  <c r="BL77" i="3"/>
  <c r="K77" i="3" s="1"/>
  <c r="BK77" i="3"/>
  <c r="J77" i="3" s="1"/>
  <c r="BJ77" i="3"/>
  <c r="I77" i="3" s="1"/>
  <c r="BI77" i="3"/>
  <c r="H77" i="3" s="1"/>
  <c r="BH77" i="3"/>
  <c r="G77" i="3" s="1"/>
  <c r="BG77" i="3"/>
  <c r="F77" i="3" s="1"/>
  <c r="DB76" i="3"/>
  <c r="BA76" i="3" s="1"/>
  <c r="DA76" i="3"/>
  <c r="AZ76" i="3" s="1"/>
  <c r="CZ76" i="3"/>
  <c r="CY76" i="3"/>
  <c r="AX76" i="3" s="1"/>
  <c r="CX76" i="3"/>
  <c r="AW76" i="3" s="1"/>
  <c r="CW76" i="3"/>
  <c r="CV76" i="3"/>
  <c r="AU76" i="3" s="1"/>
  <c r="CU76" i="3"/>
  <c r="AT76" i="3" s="1"/>
  <c r="CT76" i="3"/>
  <c r="AS76" i="3" s="1"/>
  <c r="CS76" i="3"/>
  <c r="CR76" i="3"/>
  <c r="AQ76" i="3" s="1"/>
  <c r="CQ76" i="3"/>
  <c r="AP76" i="3" s="1"/>
  <c r="CP76" i="3"/>
  <c r="AO76" i="3" s="1"/>
  <c r="CO76" i="3"/>
  <c r="AN76" i="3" s="1"/>
  <c r="CN76" i="3"/>
  <c r="CM76" i="3"/>
  <c r="AL76" i="3" s="1"/>
  <c r="CL76" i="3"/>
  <c r="AK76" i="3" s="1"/>
  <c r="CK76" i="3"/>
  <c r="AJ76" i="3" s="1"/>
  <c r="CJ76" i="3"/>
  <c r="AI76" i="3" s="1"/>
  <c r="CI76" i="3"/>
  <c r="AH76" i="3" s="1"/>
  <c r="CH76" i="3"/>
  <c r="AG76" i="3" s="1"/>
  <c r="CG76" i="3"/>
  <c r="AF76" i="3" s="1"/>
  <c r="CF76" i="3"/>
  <c r="AE76" i="3" s="1"/>
  <c r="CE76" i="3"/>
  <c r="AD76" i="3" s="1"/>
  <c r="CD76" i="3"/>
  <c r="AC76" i="3" s="1"/>
  <c r="CC76" i="3"/>
  <c r="AB76" i="3" s="1"/>
  <c r="CB76" i="3"/>
  <c r="AA76" i="3" s="1"/>
  <c r="CA76" i="3"/>
  <c r="BZ76" i="3"/>
  <c r="Y76" i="3" s="1"/>
  <c r="BY76" i="3"/>
  <c r="X76" i="3" s="1"/>
  <c r="BX76" i="3"/>
  <c r="W76" i="3" s="1"/>
  <c r="BW76" i="3"/>
  <c r="V76" i="3" s="1"/>
  <c r="BV76" i="3"/>
  <c r="U76" i="3" s="1"/>
  <c r="BU76" i="3"/>
  <c r="T76" i="3" s="1"/>
  <c r="BT76" i="3"/>
  <c r="S76" i="3" s="1"/>
  <c r="BS76" i="3"/>
  <c r="BR76" i="3"/>
  <c r="Q76" i="3" s="1"/>
  <c r="BQ76" i="3"/>
  <c r="P76" i="3" s="1"/>
  <c r="BP76" i="3"/>
  <c r="O76" i="3" s="1"/>
  <c r="BO76" i="3"/>
  <c r="N76" i="3" s="1"/>
  <c r="BN76" i="3"/>
  <c r="M76" i="3" s="1"/>
  <c r="BM76" i="3"/>
  <c r="L76" i="3" s="1"/>
  <c r="BL76" i="3"/>
  <c r="K76" i="3" s="1"/>
  <c r="BK76" i="3"/>
  <c r="BJ76" i="3"/>
  <c r="I76" i="3" s="1"/>
  <c r="BI76" i="3"/>
  <c r="H76" i="3" s="1"/>
  <c r="BH76" i="3"/>
  <c r="G76" i="3" s="1"/>
  <c r="BG76" i="3"/>
  <c r="DB75" i="3"/>
  <c r="BA75" i="3" s="1"/>
  <c r="DA75" i="3"/>
  <c r="AZ75" i="3" s="1"/>
  <c r="CZ75" i="3"/>
  <c r="AY75" i="3" s="1"/>
  <c r="CY75" i="3"/>
  <c r="CX75" i="3"/>
  <c r="AW75" i="3" s="1"/>
  <c r="CW75" i="3"/>
  <c r="AV75" i="3" s="1"/>
  <c r="CV75" i="3"/>
  <c r="AU75" i="3" s="1"/>
  <c r="CU75" i="3"/>
  <c r="AT75" i="3" s="1"/>
  <c r="CT75" i="3"/>
  <c r="AS75" i="3" s="1"/>
  <c r="CS75" i="3"/>
  <c r="CR75" i="3"/>
  <c r="AQ75" i="3" s="1"/>
  <c r="CQ75" i="3"/>
  <c r="CP75" i="3"/>
  <c r="AO75" i="3" s="1"/>
  <c r="CO75" i="3"/>
  <c r="AN75" i="3" s="1"/>
  <c r="CN75" i="3"/>
  <c r="AM75" i="3" s="1"/>
  <c r="CM75" i="3"/>
  <c r="AL75" i="3" s="1"/>
  <c r="CL75" i="3"/>
  <c r="AK75" i="3" s="1"/>
  <c r="CK75" i="3"/>
  <c r="AJ75" i="3" s="1"/>
  <c r="CJ75" i="3"/>
  <c r="AI75" i="3" s="1"/>
  <c r="CI75" i="3"/>
  <c r="AH75" i="3" s="1"/>
  <c r="CH75" i="3"/>
  <c r="AG75" i="3" s="1"/>
  <c r="CG75" i="3"/>
  <c r="AF75" i="3" s="1"/>
  <c r="CF75" i="3"/>
  <c r="AE75" i="3" s="1"/>
  <c r="CE75" i="3"/>
  <c r="AD75" i="3" s="1"/>
  <c r="CD75" i="3"/>
  <c r="AC75" i="3" s="1"/>
  <c r="CC75" i="3"/>
  <c r="AB75" i="3" s="1"/>
  <c r="CB75" i="3"/>
  <c r="AA75" i="3" s="1"/>
  <c r="CA75" i="3"/>
  <c r="Z75" i="3" s="1"/>
  <c r="BZ75" i="3"/>
  <c r="Y75" i="3" s="1"/>
  <c r="BY75" i="3"/>
  <c r="X75" i="3" s="1"/>
  <c r="BX75" i="3"/>
  <c r="W75" i="3" s="1"/>
  <c r="BW75" i="3"/>
  <c r="BV75" i="3"/>
  <c r="U75" i="3" s="1"/>
  <c r="BU75" i="3"/>
  <c r="T75" i="3" s="1"/>
  <c r="BT75" i="3"/>
  <c r="S75" i="3" s="1"/>
  <c r="BS75" i="3"/>
  <c r="R75" i="3" s="1"/>
  <c r="BR75" i="3"/>
  <c r="Q75" i="3" s="1"/>
  <c r="BQ75" i="3"/>
  <c r="P75" i="3" s="1"/>
  <c r="BP75" i="3"/>
  <c r="BO75" i="3"/>
  <c r="N75" i="3" s="1"/>
  <c r="BN75" i="3"/>
  <c r="M75" i="3" s="1"/>
  <c r="BM75" i="3"/>
  <c r="L75" i="3" s="1"/>
  <c r="BL75" i="3"/>
  <c r="K75" i="3" s="1"/>
  <c r="BK75" i="3"/>
  <c r="J75" i="3" s="1"/>
  <c r="BJ75" i="3"/>
  <c r="I75" i="3" s="1"/>
  <c r="BI75" i="3"/>
  <c r="H75" i="3" s="1"/>
  <c r="BH75" i="3"/>
  <c r="G75" i="3" s="1"/>
  <c r="BG75" i="3"/>
  <c r="F75" i="3" s="1"/>
  <c r="DB18" i="3"/>
  <c r="BA18" i="3" s="1"/>
  <c r="DA18" i="3"/>
  <c r="AZ18" i="3" s="1"/>
  <c r="CZ18" i="3"/>
  <c r="CY18" i="3"/>
  <c r="AX18" i="3" s="1"/>
  <c r="CX18" i="3"/>
  <c r="CW18" i="3"/>
  <c r="AV18" i="3" s="1"/>
  <c r="CV18" i="3"/>
  <c r="AU18" i="3" s="1"/>
  <c r="CU18" i="3"/>
  <c r="AT18" i="3" s="1"/>
  <c r="CT18" i="3"/>
  <c r="AS18" i="3" s="1"/>
  <c r="CS18" i="3"/>
  <c r="AR18" i="3" s="1"/>
  <c r="CR18" i="3"/>
  <c r="AQ18" i="3" s="1"/>
  <c r="CQ18" i="3"/>
  <c r="AP18" i="3" s="1"/>
  <c r="CP18" i="3"/>
  <c r="AO18" i="3" s="1"/>
  <c r="CO18" i="3"/>
  <c r="AN18" i="3" s="1"/>
  <c r="CN18" i="3"/>
  <c r="CM18" i="3"/>
  <c r="AL18" i="3" s="1"/>
  <c r="CL18" i="3"/>
  <c r="AK18" i="3" s="1"/>
  <c r="CK18" i="3"/>
  <c r="AJ18" i="3" s="1"/>
  <c r="CJ18" i="3"/>
  <c r="AI18" i="3" s="1"/>
  <c r="CI18" i="3"/>
  <c r="AH18" i="3" s="1"/>
  <c r="CH18" i="3"/>
  <c r="AG18" i="3" s="1"/>
  <c r="CG18" i="3"/>
  <c r="CF18" i="3"/>
  <c r="AE18" i="3" s="1"/>
  <c r="CE18" i="3"/>
  <c r="AD18" i="3" s="1"/>
  <c r="CD18" i="3"/>
  <c r="AC18" i="3" s="1"/>
  <c r="CC18" i="3"/>
  <c r="AB18" i="3" s="1"/>
  <c r="CB18" i="3"/>
  <c r="CA18" i="3"/>
  <c r="Z18" i="3" s="1"/>
  <c r="BZ18" i="3"/>
  <c r="BY18" i="3"/>
  <c r="X18" i="3" s="1"/>
  <c r="BX18" i="3"/>
  <c r="W18" i="3" s="1"/>
  <c r="BW18" i="3"/>
  <c r="V18" i="3" s="1"/>
  <c r="BV18" i="3"/>
  <c r="BU18" i="3"/>
  <c r="BT18" i="3"/>
  <c r="S18" i="3" s="1"/>
  <c r="BS18" i="3"/>
  <c r="R18" i="3" s="1"/>
  <c r="BR18" i="3"/>
  <c r="Q18" i="3" s="1"/>
  <c r="BQ18" i="3"/>
  <c r="P18" i="3" s="1"/>
  <c r="BP18" i="3"/>
  <c r="BO18" i="3"/>
  <c r="N18" i="3" s="1"/>
  <c r="BN18" i="3"/>
  <c r="M18" i="3" s="1"/>
  <c r="BM18" i="3"/>
  <c r="L18" i="3" s="1"/>
  <c r="BL18" i="3"/>
  <c r="K18" i="3" s="1"/>
  <c r="BK18" i="3"/>
  <c r="J18" i="3" s="1"/>
  <c r="BJ18" i="3"/>
  <c r="I18" i="3" s="1"/>
  <c r="BI18" i="3"/>
  <c r="BH18" i="3"/>
  <c r="G18" i="3" s="1"/>
  <c r="BG18" i="3"/>
  <c r="F18" i="3" s="1"/>
  <c r="DB34" i="3"/>
  <c r="BA34" i="3" s="1"/>
  <c r="DA34" i="3"/>
  <c r="AZ34" i="3" s="1"/>
  <c r="CZ34" i="3"/>
  <c r="AY34" i="3" s="1"/>
  <c r="CY34" i="3"/>
  <c r="AX34" i="3" s="1"/>
  <c r="CX34" i="3"/>
  <c r="AW34" i="3" s="1"/>
  <c r="CW34" i="3"/>
  <c r="AV34" i="3" s="1"/>
  <c r="CV34" i="3"/>
  <c r="AU34" i="3" s="1"/>
  <c r="CU34" i="3"/>
  <c r="AT34" i="3" s="1"/>
  <c r="CT34" i="3"/>
  <c r="AS34" i="3" s="1"/>
  <c r="CS34" i="3"/>
  <c r="CR34" i="3"/>
  <c r="AQ34" i="3" s="1"/>
  <c r="CQ34" i="3"/>
  <c r="CP34" i="3"/>
  <c r="AO34" i="3" s="1"/>
  <c r="CO34" i="3"/>
  <c r="AN34" i="3" s="1"/>
  <c r="CN34" i="3"/>
  <c r="AM34" i="3" s="1"/>
  <c r="CM34" i="3"/>
  <c r="AL34" i="3" s="1"/>
  <c r="CL34" i="3"/>
  <c r="AK34" i="3" s="1"/>
  <c r="CK34" i="3"/>
  <c r="AJ34" i="3" s="1"/>
  <c r="CJ34" i="3"/>
  <c r="AI34" i="3" s="1"/>
  <c r="CI34" i="3"/>
  <c r="CH34" i="3"/>
  <c r="AG34" i="3" s="1"/>
  <c r="CG34" i="3"/>
  <c r="AF34" i="3" s="1"/>
  <c r="CF34" i="3"/>
  <c r="AE34" i="3" s="1"/>
  <c r="CE34" i="3"/>
  <c r="CD34" i="3"/>
  <c r="AC34" i="3" s="1"/>
  <c r="CC34" i="3"/>
  <c r="AB34" i="3" s="1"/>
  <c r="CB34" i="3"/>
  <c r="AA34" i="3" s="1"/>
  <c r="CA34" i="3"/>
  <c r="Z34" i="3" s="1"/>
  <c r="BZ34" i="3"/>
  <c r="Y34" i="3" s="1"/>
  <c r="BY34" i="3"/>
  <c r="X34" i="3" s="1"/>
  <c r="BX34" i="3"/>
  <c r="W34" i="3" s="1"/>
  <c r="BW34" i="3"/>
  <c r="V34" i="3" s="1"/>
  <c r="BV34" i="3"/>
  <c r="U34" i="3" s="1"/>
  <c r="BU34" i="3"/>
  <c r="T34" i="3" s="1"/>
  <c r="BT34" i="3"/>
  <c r="S34" i="3" s="1"/>
  <c r="BS34" i="3"/>
  <c r="R34" i="3" s="1"/>
  <c r="BR34" i="3"/>
  <c r="Q34" i="3" s="1"/>
  <c r="BQ34" i="3"/>
  <c r="P34" i="3" s="1"/>
  <c r="BP34" i="3"/>
  <c r="BO34" i="3"/>
  <c r="N34" i="3" s="1"/>
  <c r="BN34" i="3"/>
  <c r="M34" i="3" s="1"/>
  <c r="BM34" i="3"/>
  <c r="L34" i="3" s="1"/>
  <c r="BL34" i="3"/>
  <c r="K34" i="3" s="1"/>
  <c r="BK34" i="3"/>
  <c r="J34" i="3" s="1"/>
  <c r="BJ34" i="3"/>
  <c r="I34" i="3" s="1"/>
  <c r="BI34" i="3"/>
  <c r="BH34" i="3"/>
  <c r="G34" i="3" s="1"/>
  <c r="BG34" i="3"/>
  <c r="F34" i="3" s="1"/>
  <c r="DB74" i="3"/>
  <c r="BA74" i="3" s="1"/>
  <c r="DA74" i="3"/>
  <c r="AZ74" i="3" s="1"/>
  <c r="CZ74" i="3"/>
  <c r="CY74" i="3"/>
  <c r="AX74" i="3" s="1"/>
  <c r="CX74" i="3"/>
  <c r="AW74" i="3" s="1"/>
  <c r="CW74" i="3"/>
  <c r="CV74" i="3"/>
  <c r="AU74" i="3" s="1"/>
  <c r="CU74" i="3"/>
  <c r="AT74" i="3" s="1"/>
  <c r="CT74" i="3"/>
  <c r="AS74" i="3" s="1"/>
  <c r="CS74" i="3"/>
  <c r="CR74" i="3"/>
  <c r="AQ74" i="3" s="1"/>
  <c r="CQ74" i="3"/>
  <c r="AP74" i="3" s="1"/>
  <c r="CP74" i="3"/>
  <c r="AO74" i="3" s="1"/>
  <c r="CO74" i="3"/>
  <c r="CN74" i="3"/>
  <c r="AM74" i="3" s="1"/>
  <c r="CM74" i="3"/>
  <c r="CL74" i="3"/>
  <c r="CK74" i="3"/>
  <c r="AJ74" i="3" s="1"/>
  <c r="CJ74" i="3"/>
  <c r="AI74" i="3" s="1"/>
  <c r="CI74" i="3"/>
  <c r="AH74" i="3" s="1"/>
  <c r="CH74" i="3"/>
  <c r="AG74" i="3" s="1"/>
  <c r="CG74" i="3"/>
  <c r="AF74" i="3" s="1"/>
  <c r="CF74" i="3"/>
  <c r="CE74" i="3"/>
  <c r="AD74" i="3" s="1"/>
  <c r="CD74" i="3"/>
  <c r="AC74" i="3" s="1"/>
  <c r="CC74" i="3"/>
  <c r="AB74" i="3" s="1"/>
  <c r="CB74" i="3"/>
  <c r="AA74" i="3" s="1"/>
  <c r="CA74" i="3"/>
  <c r="Z74" i="3" s="1"/>
  <c r="BZ74" i="3"/>
  <c r="Y74" i="3" s="1"/>
  <c r="BY74" i="3"/>
  <c r="X74" i="3" s="1"/>
  <c r="BX74" i="3"/>
  <c r="W74" i="3" s="1"/>
  <c r="BW74" i="3"/>
  <c r="V74" i="3" s="1"/>
  <c r="BV74" i="3"/>
  <c r="U74" i="3" s="1"/>
  <c r="BU74" i="3"/>
  <c r="T74" i="3" s="1"/>
  <c r="BT74" i="3"/>
  <c r="S74" i="3" s="1"/>
  <c r="BS74" i="3"/>
  <c r="R74" i="3" s="1"/>
  <c r="BR74" i="3"/>
  <c r="Q74" i="3" s="1"/>
  <c r="BQ74" i="3"/>
  <c r="P74" i="3" s="1"/>
  <c r="BP74" i="3"/>
  <c r="O74" i="3" s="1"/>
  <c r="BO74" i="3"/>
  <c r="N74" i="3" s="1"/>
  <c r="BN74" i="3"/>
  <c r="M74" i="3" s="1"/>
  <c r="BM74" i="3"/>
  <c r="L74" i="3" s="1"/>
  <c r="BL74" i="3"/>
  <c r="BK74" i="3"/>
  <c r="BJ74" i="3"/>
  <c r="BI74" i="3"/>
  <c r="H74" i="3" s="1"/>
  <c r="BH74" i="3"/>
  <c r="G74" i="3" s="1"/>
  <c r="BG74" i="3"/>
  <c r="F74" i="3" s="1"/>
  <c r="DB73" i="3"/>
  <c r="BA73" i="3" s="1"/>
  <c r="DA73" i="3"/>
  <c r="AZ73" i="3" s="1"/>
  <c r="CZ73" i="3"/>
  <c r="AY73" i="3" s="1"/>
  <c r="CY73" i="3"/>
  <c r="CX73" i="3"/>
  <c r="AW73" i="3" s="1"/>
  <c r="CW73" i="3"/>
  <c r="CV73" i="3"/>
  <c r="AU73" i="3" s="1"/>
  <c r="CU73" i="3"/>
  <c r="AT73" i="3" s="1"/>
  <c r="CT73" i="3"/>
  <c r="AS73" i="3" s="1"/>
  <c r="CS73" i="3"/>
  <c r="AR73" i="3" s="1"/>
  <c r="CR73" i="3"/>
  <c r="AQ73" i="3" s="1"/>
  <c r="CQ73" i="3"/>
  <c r="AP73" i="3" s="1"/>
  <c r="CP73" i="3"/>
  <c r="AO73" i="3" s="1"/>
  <c r="CO73" i="3"/>
  <c r="AN73" i="3" s="1"/>
  <c r="CN73" i="3"/>
  <c r="AM73" i="3" s="1"/>
  <c r="CM73" i="3"/>
  <c r="AL73" i="3" s="1"/>
  <c r="CL73" i="3"/>
  <c r="CK73" i="3"/>
  <c r="AJ73" i="3" s="1"/>
  <c r="CJ73" i="3"/>
  <c r="AI73" i="3" s="1"/>
  <c r="CI73" i="3"/>
  <c r="AH73" i="3" s="1"/>
  <c r="CH73" i="3"/>
  <c r="AG73" i="3" s="1"/>
  <c r="CG73" i="3"/>
  <c r="AF73" i="3" s="1"/>
  <c r="CF73" i="3"/>
  <c r="AE73" i="3" s="1"/>
  <c r="CE73" i="3"/>
  <c r="AD73" i="3" s="1"/>
  <c r="CD73" i="3"/>
  <c r="AC73" i="3" s="1"/>
  <c r="CC73" i="3"/>
  <c r="AB73" i="3" s="1"/>
  <c r="CB73" i="3"/>
  <c r="CA73" i="3"/>
  <c r="Z73" i="3" s="1"/>
  <c r="BZ73" i="3"/>
  <c r="Y73" i="3" s="1"/>
  <c r="BY73" i="3"/>
  <c r="X73" i="3" s="1"/>
  <c r="BX73" i="3"/>
  <c r="W73" i="3" s="1"/>
  <c r="BW73" i="3"/>
  <c r="BV73" i="3"/>
  <c r="U73" i="3" s="1"/>
  <c r="BU73" i="3"/>
  <c r="T73" i="3" s="1"/>
  <c r="BT73" i="3"/>
  <c r="S73" i="3" s="1"/>
  <c r="BS73" i="3"/>
  <c r="R73" i="3" s="1"/>
  <c r="BR73" i="3"/>
  <c r="Q73" i="3" s="1"/>
  <c r="BQ73" i="3"/>
  <c r="P73" i="3" s="1"/>
  <c r="BP73" i="3"/>
  <c r="BO73" i="3"/>
  <c r="N73" i="3" s="1"/>
  <c r="BN73" i="3"/>
  <c r="M73" i="3" s="1"/>
  <c r="BM73" i="3"/>
  <c r="L73" i="3" s="1"/>
  <c r="BL73" i="3"/>
  <c r="K73" i="3" s="1"/>
  <c r="BK73" i="3"/>
  <c r="J73" i="3" s="1"/>
  <c r="BJ73" i="3"/>
  <c r="I73" i="3" s="1"/>
  <c r="BI73" i="3"/>
  <c r="H73" i="3" s="1"/>
  <c r="BH73" i="3"/>
  <c r="G73" i="3" s="1"/>
  <c r="BG73" i="3"/>
  <c r="F73" i="3" s="1"/>
  <c r="DB72" i="3"/>
  <c r="BA72" i="3" s="1"/>
  <c r="DA72" i="3"/>
  <c r="AZ72" i="3" s="1"/>
  <c r="CZ72" i="3"/>
  <c r="AY72" i="3" s="1"/>
  <c r="CY72" i="3"/>
  <c r="AX72" i="3" s="1"/>
  <c r="CX72" i="3"/>
  <c r="AW72" i="3" s="1"/>
  <c r="CW72" i="3"/>
  <c r="AV72" i="3" s="1"/>
  <c r="CV72" i="3"/>
  <c r="AU72" i="3" s="1"/>
  <c r="CU72" i="3"/>
  <c r="CT72" i="3"/>
  <c r="AS72" i="3" s="1"/>
  <c r="CS72" i="3"/>
  <c r="AR72" i="3" s="1"/>
  <c r="CR72" i="3"/>
  <c r="AQ72" i="3" s="1"/>
  <c r="CQ72" i="3"/>
  <c r="AP72" i="3" s="1"/>
  <c r="CP72" i="3"/>
  <c r="AO72" i="3" s="1"/>
  <c r="CO72" i="3"/>
  <c r="AN72" i="3" s="1"/>
  <c r="CN72" i="3"/>
  <c r="AM72" i="3" s="1"/>
  <c r="CM72" i="3"/>
  <c r="AL72" i="3" s="1"/>
  <c r="CL72" i="3"/>
  <c r="AK72" i="3" s="1"/>
  <c r="CK72" i="3"/>
  <c r="AJ72" i="3" s="1"/>
  <c r="CJ72" i="3"/>
  <c r="AI72" i="3" s="1"/>
  <c r="CI72" i="3"/>
  <c r="AH72" i="3" s="1"/>
  <c r="CH72" i="3"/>
  <c r="AG72" i="3" s="1"/>
  <c r="CG72" i="3"/>
  <c r="AF72" i="3" s="1"/>
  <c r="CF72" i="3"/>
  <c r="AE72" i="3" s="1"/>
  <c r="CE72" i="3"/>
  <c r="AD72" i="3" s="1"/>
  <c r="CD72" i="3"/>
  <c r="AC72" i="3" s="1"/>
  <c r="CC72" i="3"/>
  <c r="AB72" i="3" s="1"/>
  <c r="CB72" i="3"/>
  <c r="AA72" i="3" s="1"/>
  <c r="CA72" i="3"/>
  <c r="Z72" i="3" s="1"/>
  <c r="BZ72" i="3"/>
  <c r="Y72" i="3" s="1"/>
  <c r="BY72" i="3"/>
  <c r="X72" i="3" s="1"/>
  <c r="BX72" i="3"/>
  <c r="W72" i="3" s="1"/>
  <c r="BW72" i="3"/>
  <c r="V72" i="3" s="1"/>
  <c r="BV72" i="3"/>
  <c r="BU72" i="3"/>
  <c r="T72" i="3" s="1"/>
  <c r="BT72" i="3"/>
  <c r="S72" i="3" s="1"/>
  <c r="BS72" i="3"/>
  <c r="R72" i="3" s="1"/>
  <c r="BR72" i="3"/>
  <c r="BQ72" i="3"/>
  <c r="P72" i="3" s="1"/>
  <c r="BP72" i="3"/>
  <c r="BO72" i="3"/>
  <c r="N72" i="3" s="1"/>
  <c r="BN72" i="3"/>
  <c r="M72" i="3" s="1"/>
  <c r="BM72" i="3"/>
  <c r="L72" i="3" s="1"/>
  <c r="BL72" i="3"/>
  <c r="K72" i="3" s="1"/>
  <c r="BK72" i="3"/>
  <c r="J72" i="3" s="1"/>
  <c r="BJ72" i="3"/>
  <c r="I72" i="3" s="1"/>
  <c r="BI72" i="3"/>
  <c r="H72" i="3" s="1"/>
  <c r="BH72" i="3"/>
  <c r="G72" i="3" s="1"/>
  <c r="BG72" i="3"/>
  <c r="F72" i="3" s="1"/>
  <c r="DB71" i="3"/>
  <c r="BA71" i="3" s="1"/>
  <c r="DA71" i="3"/>
  <c r="AZ71" i="3" s="1"/>
  <c r="CZ71" i="3"/>
  <c r="AY71" i="3" s="1"/>
  <c r="CY71" i="3"/>
  <c r="AX71" i="3" s="1"/>
  <c r="CX71" i="3"/>
  <c r="AW71" i="3" s="1"/>
  <c r="CW71" i="3"/>
  <c r="AV71" i="3" s="1"/>
  <c r="CV71" i="3"/>
  <c r="AU71" i="3" s="1"/>
  <c r="CU71" i="3"/>
  <c r="AT71" i="3" s="1"/>
  <c r="CT71" i="3"/>
  <c r="AS71" i="3" s="1"/>
  <c r="CS71" i="3"/>
  <c r="AR71" i="3" s="1"/>
  <c r="CR71" i="3"/>
  <c r="AQ71" i="3" s="1"/>
  <c r="CQ71" i="3"/>
  <c r="AP71" i="3" s="1"/>
  <c r="CP71" i="3"/>
  <c r="AO71" i="3" s="1"/>
  <c r="CO71" i="3"/>
  <c r="AN71" i="3" s="1"/>
  <c r="CN71" i="3"/>
  <c r="AM71" i="3" s="1"/>
  <c r="CM71" i="3"/>
  <c r="CL71" i="3"/>
  <c r="AK71" i="3" s="1"/>
  <c r="CK71" i="3"/>
  <c r="AJ71" i="3" s="1"/>
  <c r="CJ71" i="3"/>
  <c r="AI71" i="3" s="1"/>
  <c r="CI71" i="3"/>
  <c r="AH71" i="3" s="1"/>
  <c r="CH71" i="3"/>
  <c r="AG71" i="3" s="1"/>
  <c r="CG71" i="3"/>
  <c r="AF71" i="3" s="1"/>
  <c r="CF71" i="3"/>
  <c r="CE71" i="3"/>
  <c r="AD71" i="3" s="1"/>
  <c r="CD71" i="3"/>
  <c r="CC71" i="3"/>
  <c r="AB71" i="3" s="1"/>
  <c r="CB71" i="3"/>
  <c r="AA71" i="3" s="1"/>
  <c r="CA71" i="3"/>
  <c r="Z71" i="3" s="1"/>
  <c r="BZ71" i="3"/>
  <c r="BY71" i="3"/>
  <c r="X71" i="3" s="1"/>
  <c r="BX71" i="3"/>
  <c r="W71" i="3" s="1"/>
  <c r="BW71" i="3"/>
  <c r="V71" i="3" s="1"/>
  <c r="BV71" i="3"/>
  <c r="U71" i="3" s="1"/>
  <c r="BU71" i="3"/>
  <c r="T71" i="3" s="1"/>
  <c r="BT71" i="3"/>
  <c r="S71" i="3" s="1"/>
  <c r="BS71" i="3"/>
  <c r="R71" i="3" s="1"/>
  <c r="BR71" i="3"/>
  <c r="Q71" i="3" s="1"/>
  <c r="BQ71" i="3"/>
  <c r="P71" i="3" s="1"/>
  <c r="BP71" i="3"/>
  <c r="O71" i="3" s="1"/>
  <c r="BO71" i="3"/>
  <c r="N71" i="3" s="1"/>
  <c r="BN71" i="3"/>
  <c r="M71" i="3" s="1"/>
  <c r="BM71" i="3"/>
  <c r="L71" i="3" s="1"/>
  <c r="BL71" i="3"/>
  <c r="K71" i="3" s="1"/>
  <c r="BK71" i="3"/>
  <c r="BJ71" i="3"/>
  <c r="I71" i="3" s="1"/>
  <c r="BI71" i="3"/>
  <c r="H71" i="3" s="1"/>
  <c r="BH71" i="3"/>
  <c r="G71" i="3" s="1"/>
  <c r="BG71" i="3"/>
  <c r="F71" i="3" s="1"/>
  <c r="DB33" i="3"/>
  <c r="BA33" i="3" s="1"/>
  <c r="DA33" i="3"/>
  <c r="AZ33" i="3" s="1"/>
  <c r="CZ33" i="3"/>
  <c r="CY33" i="3"/>
  <c r="AX33" i="3" s="1"/>
  <c r="CX33" i="3"/>
  <c r="AW33" i="3" s="1"/>
  <c r="CW33" i="3"/>
  <c r="AV33" i="3" s="1"/>
  <c r="CV33" i="3"/>
  <c r="AU33" i="3" s="1"/>
  <c r="CU33" i="3"/>
  <c r="AT33" i="3" s="1"/>
  <c r="CT33" i="3"/>
  <c r="AS33" i="3" s="1"/>
  <c r="CS33" i="3"/>
  <c r="AR33" i="3" s="1"/>
  <c r="CR33" i="3"/>
  <c r="AQ33" i="3" s="1"/>
  <c r="CQ33" i="3"/>
  <c r="AP33" i="3" s="1"/>
  <c r="CP33" i="3"/>
  <c r="AO33" i="3" s="1"/>
  <c r="CO33" i="3"/>
  <c r="AN33" i="3" s="1"/>
  <c r="CN33" i="3"/>
  <c r="CM33" i="3"/>
  <c r="AL33" i="3" s="1"/>
  <c r="CL33" i="3"/>
  <c r="AK33" i="3" s="1"/>
  <c r="CK33" i="3"/>
  <c r="AJ33" i="3" s="1"/>
  <c r="CJ33" i="3"/>
  <c r="AI33" i="3" s="1"/>
  <c r="CI33" i="3"/>
  <c r="AH33" i="3" s="1"/>
  <c r="CH33" i="3"/>
  <c r="AG33" i="3" s="1"/>
  <c r="CG33" i="3"/>
  <c r="AF33" i="3" s="1"/>
  <c r="CF33" i="3"/>
  <c r="AE33" i="3" s="1"/>
  <c r="CE33" i="3"/>
  <c r="AD33" i="3" s="1"/>
  <c r="CD33" i="3"/>
  <c r="AC33" i="3" s="1"/>
  <c r="CC33" i="3"/>
  <c r="AB33" i="3" s="1"/>
  <c r="CB33" i="3"/>
  <c r="CA33" i="3"/>
  <c r="Z33" i="3" s="1"/>
  <c r="BZ33" i="3"/>
  <c r="BY33" i="3"/>
  <c r="X33" i="3" s="1"/>
  <c r="BX33" i="3"/>
  <c r="W33" i="3" s="1"/>
  <c r="BW33" i="3"/>
  <c r="V33" i="3" s="1"/>
  <c r="BV33" i="3"/>
  <c r="U33" i="3" s="1"/>
  <c r="BU33" i="3"/>
  <c r="T33" i="3" s="1"/>
  <c r="BT33" i="3"/>
  <c r="S33" i="3" s="1"/>
  <c r="BS33" i="3"/>
  <c r="BR33" i="3"/>
  <c r="Q33" i="3" s="1"/>
  <c r="BQ33" i="3"/>
  <c r="P33" i="3" s="1"/>
  <c r="BP33" i="3"/>
  <c r="O33" i="3" s="1"/>
  <c r="BO33" i="3"/>
  <c r="N33" i="3" s="1"/>
  <c r="BN33" i="3"/>
  <c r="M33" i="3" s="1"/>
  <c r="BM33" i="3"/>
  <c r="L33" i="3" s="1"/>
  <c r="BL33" i="3"/>
  <c r="K33" i="3" s="1"/>
  <c r="BK33" i="3"/>
  <c r="J33" i="3" s="1"/>
  <c r="BJ33" i="3"/>
  <c r="I33" i="3" s="1"/>
  <c r="BI33" i="3"/>
  <c r="BH33" i="3"/>
  <c r="G33" i="3" s="1"/>
  <c r="BG33" i="3"/>
  <c r="F33" i="3" s="1"/>
  <c r="DB70" i="3"/>
  <c r="BA70" i="3" s="1"/>
  <c r="DA70" i="3"/>
  <c r="AZ70" i="3" s="1"/>
  <c r="CZ70" i="3"/>
  <c r="CY70" i="3"/>
  <c r="AX70" i="3" s="1"/>
  <c r="CX70" i="3"/>
  <c r="AW70" i="3" s="1"/>
  <c r="CW70" i="3"/>
  <c r="AV70" i="3" s="1"/>
  <c r="CV70" i="3"/>
  <c r="AU70" i="3" s="1"/>
  <c r="CU70" i="3"/>
  <c r="AT70" i="3" s="1"/>
  <c r="CT70" i="3"/>
  <c r="AS70" i="3" s="1"/>
  <c r="CS70" i="3"/>
  <c r="AR70" i="3" s="1"/>
  <c r="CR70" i="3"/>
  <c r="AQ70" i="3" s="1"/>
  <c r="CQ70" i="3"/>
  <c r="AP70" i="3" s="1"/>
  <c r="CP70" i="3"/>
  <c r="AO70" i="3" s="1"/>
  <c r="CO70" i="3"/>
  <c r="AN70" i="3" s="1"/>
  <c r="CN70" i="3"/>
  <c r="AM70" i="3" s="1"/>
  <c r="CM70" i="3"/>
  <c r="AL70" i="3" s="1"/>
  <c r="CL70" i="3"/>
  <c r="CK70" i="3"/>
  <c r="AJ70" i="3" s="1"/>
  <c r="CJ70" i="3"/>
  <c r="AI70" i="3" s="1"/>
  <c r="CI70" i="3"/>
  <c r="AH70" i="3" s="1"/>
  <c r="CH70" i="3"/>
  <c r="AG70" i="3" s="1"/>
  <c r="CG70" i="3"/>
  <c r="AF70" i="3" s="1"/>
  <c r="CF70" i="3"/>
  <c r="CE70" i="3"/>
  <c r="AD70" i="3" s="1"/>
  <c r="CD70" i="3"/>
  <c r="AC70" i="3" s="1"/>
  <c r="CC70" i="3"/>
  <c r="AB70" i="3" s="1"/>
  <c r="CB70" i="3"/>
  <c r="AA70" i="3" s="1"/>
  <c r="CA70" i="3"/>
  <c r="BZ70" i="3"/>
  <c r="Y70" i="3" s="1"/>
  <c r="BY70" i="3"/>
  <c r="X70" i="3" s="1"/>
  <c r="BX70" i="3"/>
  <c r="W70" i="3" s="1"/>
  <c r="BW70" i="3"/>
  <c r="V70" i="3" s="1"/>
  <c r="BV70" i="3"/>
  <c r="U70" i="3" s="1"/>
  <c r="BU70" i="3"/>
  <c r="T70" i="3" s="1"/>
  <c r="BT70" i="3"/>
  <c r="S70" i="3" s="1"/>
  <c r="BS70" i="3"/>
  <c r="R70" i="3" s="1"/>
  <c r="BR70" i="3"/>
  <c r="Q70" i="3" s="1"/>
  <c r="BQ70" i="3"/>
  <c r="P70" i="3" s="1"/>
  <c r="BP70" i="3"/>
  <c r="BO70" i="3"/>
  <c r="N70" i="3" s="1"/>
  <c r="BN70" i="3"/>
  <c r="M70" i="3" s="1"/>
  <c r="BM70" i="3"/>
  <c r="L70" i="3" s="1"/>
  <c r="BL70" i="3"/>
  <c r="K70" i="3" s="1"/>
  <c r="BK70" i="3"/>
  <c r="J70" i="3" s="1"/>
  <c r="BJ70" i="3"/>
  <c r="I70" i="3" s="1"/>
  <c r="BI70" i="3"/>
  <c r="H70" i="3" s="1"/>
  <c r="BH70" i="3"/>
  <c r="G70" i="3" s="1"/>
  <c r="BG70" i="3"/>
  <c r="F70" i="3" s="1"/>
  <c r="DB69" i="3"/>
  <c r="BA69" i="3" s="1"/>
  <c r="DA69" i="3"/>
  <c r="CZ69" i="3"/>
  <c r="CY69" i="3"/>
  <c r="AX69" i="3" s="1"/>
  <c r="CX69" i="3"/>
  <c r="CW69" i="3"/>
  <c r="AV69" i="3" s="1"/>
  <c r="CV69" i="3"/>
  <c r="AU69" i="3" s="1"/>
  <c r="CU69" i="3"/>
  <c r="AT69" i="3" s="1"/>
  <c r="CT69" i="3"/>
  <c r="AS69" i="3" s="1"/>
  <c r="CS69" i="3"/>
  <c r="AR69" i="3" s="1"/>
  <c r="CR69" i="3"/>
  <c r="AQ69" i="3" s="1"/>
  <c r="CQ69" i="3"/>
  <c r="AP69" i="3" s="1"/>
  <c r="CP69" i="3"/>
  <c r="AO69" i="3" s="1"/>
  <c r="CO69" i="3"/>
  <c r="AN69" i="3" s="1"/>
  <c r="CN69" i="3"/>
  <c r="CM69" i="3"/>
  <c r="AL69" i="3" s="1"/>
  <c r="CL69" i="3"/>
  <c r="AK69" i="3" s="1"/>
  <c r="CK69" i="3"/>
  <c r="AJ69" i="3" s="1"/>
  <c r="CJ69" i="3"/>
  <c r="AI69" i="3" s="1"/>
  <c r="CI69" i="3"/>
  <c r="AH69" i="3" s="1"/>
  <c r="CH69" i="3"/>
  <c r="AG69" i="3" s="1"/>
  <c r="CG69" i="3"/>
  <c r="CF69" i="3"/>
  <c r="AE69" i="3" s="1"/>
  <c r="CE69" i="3"/>
  <c r="AD69" i="3" s="1"/>
  <c r="CD69" i="3"/>
  <c r="AC69" i="3" s="1"/>
  <c r="CC69" i="3"/>
  <c r="AB69" i="3" s="1"/>
  <c r="CB69" i="3"/>
  <c r="AA69" i="3" s="1"/>
  <c r="CA69" i="3"/>
  <c r="BZ69" i="3"/>
  <c r="Y69" i="3" s="1"/>
  <c r="BY69" i="3"/>
  <c r="X69" i="3" s="1"/>
  <c r="BX69" i="3"/>
  <c r="W69" i="3" s="1"/>
  <c r="BW69" i="3"/>
  <c r="V69" i="3" s="1"/>
  <c r="BV69" i="3"/>
  <c r="U69" i="3" s="1"/>
  <c r="BU69" i="3"/>
  <c r="T69" i="3" s="1"/>
  <c r="BT69" i="3"/>
  <c r="S69" i="3" s="1"/>
  <c r="BS69" i="3"/>
  <c r="R69" i="3" s="1"/>
  <c r="BR69" i="3"/>
  <c r="Q69" i="3" s="1"/>
  <c r="BQ69" i="3"/>
  <c r="P69" i="3" s="1"/>
  <c r="BP69" i="3"/>
  <c r="BO69" i="3"/>
  <c r="N69" i="3" s="1"/>
  <c r="BN69" i="3"/>
  <c r="BM69" i="3"/>
  <c r="L69" i="3" s="1"/>
  <c r="BL69" i="3"/>
  <c r="K69" i="3" s="1"/>
  <c r="BK69" i="3"/>
  <c r="J69" i="3" s="1"/>
  <c r="BJ69" i="3"/>
  <c r="BI69" i="3"/>
  <c r="BH69" i="3"/>
  <c r="G69" i="3" s="1"/>
  <c r="BG69" i="3"/>
  <c r="F69" i="3" s="1"/>
  <c r="DB32" i="3"/>
  <c r="BA32" i="3" s="1"/>
  <c r="DA32" i="3"/>
  <c r="AZ32" i="3" s="1"/>
  <c r="CZ32" i="3"/>
  <c r="AY32" i="3" s="1"/>
  <c r="CY32" i="3"/>
  <c r="AX32" i="3" s="1"/>
  <c r="CX32" i="3"/>
  <c r="AW32" i="3" s="1"/>
  <c r="CW32" i="3"/>
  <c r="AV32" i="3" s="1"/>
  <c r="CV32" i="3"/>
  <c r="AU32" i="3" s="1"/>
  <c r="CU32" i="3"/>
  <c r="AT32" i="3" s="1"/>
  <c r="CT32" i="3"/>
  <c r="AS32" i="3" s="1"/>
  <c r="CS32" i="3"/>
  <c r="CR32" i="3"/>
  <c r="AQ32" i="3" s="1"/>
  <c r="CQ32" i="3"/>
  <c r="CP32" i="3"/>
  <c r="AO32" i="3" s="1"/>
  <c r="CO32" i="3"/>
  <c r="AN32" i="3" s="1"/>
  <c r="CN32" i="3"/>
  <c r="CM32" i="3"/>
  <c r="CL32" i="3"/>
  <c r="AK32" i="3" s="1"/>
  <c r="CK32" i="3"/>
  <c r="AJ32" i="3" s="1"/>
  <c r="CJ32" i="3"/>
  <c r="CI32" i="3"/>
  <c r="AH32" i="3" s="1"/>
  <c r="CH32" i="3"/>
  <c r="AG32" i="3" s="1"/>
  <c r="CG32" i="3"/>
  <c r="AF32" i="3" s="1"/>
  <c r="CF32" i="3"/>
  <c r="AE32" i="3" s="1"/>
  <c r="CE32" i="3"/>
  <c r="AD32" i="3" s="1"/>
  <c r="CD32" i="3"/>
  <c r="AC32" i="3" s="1"/>
  <c r="CC32" i="3"/>
  <c r="AB32" i="3" s="1"/>
  <c r="CB32" i="3"/>
  <c r="AA32" i="3" s="1"/>
  <c r="CA32" i="3"/>
  <c r="Z32" i="3" s="1"/>
  <c r="BZ32" i="3"/>
  <c r="BY32" i="3"/>
  <c r="BX32" i="3"/>
  <c r="W32" i="3" s="1"/>
  <c r="BW32" i="3"/>
  <c r="V32" i="3" s="1"/>
  <c r="BV32" i="3"/>
  <c r="U32" i="3" s="1"/>
  <c r="BU32" i="3"/>
  <c r="T32" i="3" s="1"/>
  <c r="BT32" i="3"/>
  <c r="S32" i="3" s="1"/>
  <c r="BS32" i="3"/>
  <c r="R32" i="3" s="1"/>
  <c r="BR32" i="3"/>
  <c r="Q32" i="3" s="1"/>
  <c r="BQ32" i="3"/>
  <c r="P32" i="3" s="1"/>
  <c r="BP32" i="3"/>
  <c r="O32" i="3" s="1"/>
  <c r="BO32" i="3"/>
  <c r="N32" i="3" s="1"/>
  <c r="BN32" i="3"/>
  <c r="M32" i="3" s="1"/>
  <c r="BM32" i="3"/>
  <c r="L32" i="3" s="1"/>
  <c r="BL32" i="3"/>
  <c r="K32" i="3" s="1"/>
  <c r="BK32" i="3"/>
  <c r="J32" i="3" s="1"/>
  <c r="BJ32" i="3"/>
  <c r="I32" i="3" s="1"/>
  <c r="BI32" i="3"/>
  <c r="H32" i="3" s="1"/>
  <c r="BH32" i="3"/>
  <c r="G32" i="3" s="1"/>
  <c r="BG32" i="3"/>
  <c r="DB23" i="3"/>
  <c r="BA23" i="3" s="1"/>
  <c r="DA23" i="3"/>
  <c r="AZ23" i="3" s="1"/>
  <c r="CZ23" i="3"/>
  <c r="AY23" i="3" s="1"/>
  <c r="CY23" i="3"/>
  <c r="AX23" i="3" s="1"/>
  <c r="CX23" i="3"/>
  <c r="AW23" i="3" s="1"/>
  <c r="CW23" i="3"/>
  <c r="CV23" i="3"/>
  <c r="AU23" i="3" s="1"/>
  <c r="CU23" i="3"/>
  <c r="AT23" i="3" s="1"/>
  <c r="CT23" i="3"/>
  <c r="AS23" i="3" s="1"/>
  <c r="CS23" i="3"/>
  <c r="AR23" i="3" s="1"/>
  <c r="CR23" i="3"/>
  <c r="AQ23" i="3" s="1"/>
  <c r="CQ23" i="3"/>
  <c r="CP23" i="3"/>
  <c r="AO23" i="3" s="1"/>
  <c r="CO23" i="3"/>
  <c r="CN23" i="3"/>
  <c r="CM23" i="3"/>
  <c r="AL23" i="3" s="1"/>
  <c r="CL23" i="3"/>
  <c r="AK23" i="3" s="1"/>
  <c r="CK23" i="3"/>
  <c r="AJ23" i="3" s="1"/>
  <c r="CJ23" i="3"/>
  <c r="CI23" i="3"/>
  <c r="AH23" i="3" s="1"/>
  <c r="CH23" i="3"/>
  <c r="AG23" i="3" s="1"/>
  <c r="CG23" i="3"/>
  <c r="AF23" i="3" s="1"/>
  <c r="CF23" i="3"/>
  <c r="AE23" i="3" s="1"/>
  <c r="CE23" i="3"/>
  <c r="AD23" i="3" s="1"/>
  <c r="CD23" i="3"/>
  <c r="AC23" i="3" s="1"/>
  <c r="CC23" i="3"/>
  <c r="AB23" i="3" s="1"/>
  <c r="CB23" i="3"/>
  <c r="AA23" i="3" s="1"/>
  <c r="CA23" i="3"/>
  <c r="Z23" i="3" s="1"/>
  <c r="BZ23" i="3"/>
  <c r="BY23" i="3"/>
  <c r="BX23" i="3"/>
  <c r="W23" i="3" s="1"/>
  <c r="BW23" i="3"/>
  <c r="V23" i="3" s="1"/>
  <c r="BV23" i="3"/>
  <c r="U23" i="3" s="1"/>
  <c r="BU23" i="3"/>
  <c r="T23" i="3" s="1"/>
  <c r="BT23" i="3"/>
  <c r="S23" i="3" s="1"/>
  <c r="BS23" i="3"/>
  <c r="R23" i="3" s="1"/>
  <c r="BR23" i="3"/>
  <c r="Q23" i="3" s="1"/>
  <c r="BQ23" i="3"/>
  <c r="P23" i="3" s="1"/>
  <c r="BP23" i="3"/>
  <c r="O23" i="3" s="1"/>
  <c r="BO23" i="3"/>
  <c r="N23" i="3" s="1"/>
  <c r="BN23" i="3"/>
  <c r="M23" i="3" s="1"/>
  <c r="BM23" i="3"/>
  <c r="L23" i="3" s="1"/>
  <c r="BL23" i="3"/>
  <c r="BK23" i="3"/>
  <c r="J23" i="3" s="1"/>
  <c r="BJ23" i="3"/>
  <c r="I23" i="3" s="1"/>
  <c r="BI23" i="3"/>
  <c r="H23" i="3" s="1"/>
  <c r="BH23" i="3"/>
  <c r="G23" i="3" s="1"/>
  <c r="BG23" i="3"/>
  <c r="DB17" i="3"/>
  <c r="BA17" i="3" s="1"/>
  <c r="DA17" i="3"/>
  <c r="AZ17" i="3" s="1"/>
  <c r="CZ17" i="3"/>
  <c r="AY17" i="3" s="1"/>
  <c r="CY17" i="3"/>
  <c r="AX17" i="3" s="1"/>
  <c r="CX17" i="3"/>
  <c r="CW17" i="3"/>
  <c r="AV17" i="3" s="1"/>
  <c r="CV17" i="3"/>
  <c r="AU17" i="3" s="1"/>
  <c r="CU17" i="3"/>
  <c r="CT17" i="3"/>
  <c r="AS17" i="3" s="1"/>
  <c r="CS17" i="3"/>
  <c r="AR17" i="3" s="1"/>
  <c r="CR17" i="3"/>
  <c r="AQ17" i="3" s="1"/>
  <c r="CQ17" i="3"/>
  <c r="AP17" i="3" s="1"/>
  <c r="CP17" i="3"/>
  <c r="AO17" i="3" s="1"/>
  <c r="CO17" i="3"/>
  <c r="AN17" i="3" s="1"/>
  <c r="CN17" i="3"/>
  <c r="AM17" i="3" s="1"/>
  <c r="CM17" i="3"/>
  <c r="AL17" i="3" s="1"/>
  <c r="CL17" i="3"/>
  <c r="AK17" i="3" s="1"/>
  <c r="CK17" i="3"/>
  <c r="AJ17" i="3" s="1"/>
  <c r="CJ17" i="3"/>
  <c r="AI17" i="3" s="1"/>
  <c r="CI17" i="3"/>
  <c r="AH17" i="3" s="1"/>
  <c r="CH17" i="3"/>
  <c r="AG17" i="3" s="1"/>
  <c r="CG17" i="3"/>
  <c r="AF17" i="3" s="1"/>
  <c r="CF17" i="3"/>
  <c r="AE17" i="3" s="1"/>
  <c r="CE17" i="3"/>
  <c r="AD17" i="3" s="1"/>
  <c r="CD17" i="3"/>
  <c r="AC17" i="3" s="1"/>
  <c r="CC17" i="3"/>
  <c r="AB17" i="3" s="1"/>
  <c r="CB17" i="3"/>
  <c r="CA17" i="3"/>
  <c r="BZ17" i="3"/>
  <c r="Y17" i="3" s="1"/>
  <c r="BY17" i="3"/>
  <c r="X17" i="3" s="1"/>
  <c r="BX17" i="3"/>
  <c r="W17" i="3" s="1"/>
  <c r="BW17" i="3"/>
  <c r="BV17" i="3"/>
  <c r="U17" i="3" s="1"/>
  <c r="BU17" i="3"/>
  <c r="T17" i="3" s="1"/>
  <c r="BT17" i="3"/>
  <c r="S17" i="3" s="1"/>
  <c r="BS17" i="3"/>
  <c r="BR17" i="3"/>
  <c r="Q17" i="3" s="1"/>
  <c r="BQ17" i="3"/>
  <c r="P17" i="3" s="1"/>
  <c r="BP17" i="3"/>
  <c r="BO17" i="3"/>
  <c r="N17" i="3" s="1"/>
  <c r="BN17" i="3"/>
  <c r="M17" i="3" s="1"/>
  <c r="BM17" i="3"/>
  <c r="L17" i="3" s="1"/>
  <c r="BL17" i="3"/>
  <c r="K17" i="3" s="1"/>
  <c r="BK17" i="3"/>
  <c r="J17" i="3" s="1"/>
  <c r="BJ17" i="3"/>
  <c r="I17" i="3" s="1"/>
  <c r="BI17" i="3"/>
  <c r="H17" i="3" s="1"/>
  <c r="BH17" i="3"/>
  <c r="G17" i="3" s="1"/>
  <c r="BG17" i="3"/>
  <c r="F17" i="3" s="1"/>
  <c r="DB68" i="3"/>
  <c r="BA68" i="3" s="1"/>
  <c r="DA68" i="3"/>
  <c r="AZ68" i="3" s="1"/>
  <c r="CZ68" i="3"/>
  <c r="CY68" i="3"/>
  <c r="AX68" i="3" s="1"/>
  <c r="CX68" i="3"/>
  <c r="AW68" i="3" s="1"/>
  <c r="CW68" i="3"/>
  <c r="AV68" i="3" s="1"/>
  <c r="CV68" i="3"/>
  <c r="AU68" i="3" s="1"/>
  <c r="CU68" i="3"/>
  <c r="AT68" i="3" s="1"/>
  <c r="CT68" i="3"/>
  <c r="AS68" i="3" s="1"/>
  <c r="CS68" i="3"/>
  <c r="AR68" i="3" s="1"/>
  <c r="CR68" i="3"/>
  <c r="AQ68" i="3" s="1"/>
  <c r="CQ68" i="3"/>
  <c r="AP68" i="3" s="1"/>
  <c r="CP68" i="3"/>
  <c r="AO68" i="3" s="1"/>
  <c r="CO68" i="3"/>
  <c r="AN68" i="3" s="1"/>
  <c r="CN68" i="3"/>
  <c r="AM68" i="3" s="1"/>
  <c r="CM68" i="3"/>
  <c r="CL68" i="3"/>
  <c r="AK68" i="3" s="1"/>
  <c r="CK68" i="3"/>
  <c r="AJ68" i="3" s="1"/>
  <c r="CJ68" i="3"/>
  <c r="AI68" i="3" s="1"/>
  <c r="CI68" i="3"/>
  <c r="CH68" i="3"/>
  <c r="AG68" i="3" s="1"/>
  <c r="CG68" i="3"/>
  <c r="AF68" i="3" s="1"/>
  <c r="CF68" i="3"/>
  <c r="AE68" i="3" s="1"/>
  <c r="CE68" i="3"/>
  <c r="AD68" i="3" s="1"/>
  <c r="CD68" i="3"/>
  <c r="AC68" i="3" s="1"/>
  <c r="CC68" i="3"/>
  <c r="AB68" i="3" s="1"/>
  <c r="CB68" i="3"/>
  <c r="AA68" i="3" s="1"/>
  <c r="CA68" i="3"/>
  <c r="Z68" i="3" s="1"/>
  <c r="BZ68" i="3"/>
  <c r="Y68" i="3" s="1"/>
  <c r="BY68" i="3"/>
  <c r="X68" i="3" s="1"/>
  <c r="BX68" i="3"/>
  <c r="W68" i="3" s="1"/>
  <c r="BW68" i="3"/>
  <c r="V68" i="3" s="1"/>
  <c r="BV68" i="3"/>
  <c r="U68" i="3" s="1"/>
  <c r="BU68" i="3"/>
  <c r="T68" i="3" s="1"/>
  <c r="BT68" i="3"/>
  <c r="S68" i="3" s="1"/>
  <c r="BS68" i="3"/>
  <c r="R68" i="3" s="1"/>
  <c r="BR68" i="3"/>
  <c r="Q68" i="3" s="1"/>
  <c r="BQ68" i="3"/>
  <c r="P68" i="3" s="1"/>
  <c r="BP68" i="3"/>
  <c r="O68" i="3" s="1"/>
  <c r="BO68" i="3"/>
  <c r="BN68" i="3"/>
  <c r="M68" i="3" s="1"/>
  <c r="BM68" i="3"/>
  <c r="L68" i="3" s="1"/>
  <c r="BL68" i="3"/>
  <c r="K68" i="3" s="1"/>
  <c r="BK68" i="3"/>
  <c r="J68" i="3" s="1"/>
  <c r="BJ68" i="3"/>
  <c r="I68" i="3" s="1"/>
  <c r="BI68" i="3"/>
  <c r="H68" i="3" s="1"/>
  <c r="BH68" i="3"/>
  <c r="G68" i="3" s="1"/>
  <c r="BG68" i="3"/>
  <c r="F68" i="3" s="1"/>
  <c r="DB67" i="3"/>
  <c r="BA67" i="3" s="1"/>
  <c r="DA67" i="3"/>
  <c r="AZ67" i="3" s="1"/>
  <c r="CZ67" i="3"/>
  <c r="AY67" i="3" s="1"/>
  <c r="CY67" i="3"/>
  <c r="AX67" i="3" s="1"/>
  <c r="CX67" i="3"/>
  <c r="AW67" i="3" s="1"/>
  <c r="CW67" i="3"/>
  <c r="AV67" i="3" s="1"/>
  <c r="CV67" i="3"/>
  <c r="AU67" i="3" s="1"/>
  <c r="CU67" i="3"/>
  <c r="AT67" i="3" s="1"/>
  <c r="CT67" i="3"/>
  <c r="AS67" i="3" s="1"/>
  <c r="CS67" i="3"/>
  <c r="AR67" i="3" s="1"/>
  <c r="CR67" i="3"/>
  <c r="AQ67" i="3" s="1"/>
  <c r="CQ67" i="3"/>
  <c r="AP67" i="3" s="1"/>
  <c r="CP67" i="3"/>
  <c r="AO67" i="3" s="1"/>
  <c r="CO67" i="3"/>
  <c r="AN67" i="3" s="1"/>
  <c r="CN67" i="3"/>
  <c r="AM67" i="3" s="1"/>
  <c r="CM67" i="3"/>
  <c r="AL67" i="3" s="1"/>
  <c r="CL67" i="3"/>
  <c r="CK67" i="3"/>
  <c r="AJ67" i="3" s="1"/>
  <c r="CJ67" i="3"/>
  <c r="CI67" i="3"/>
  <c r="CH67" i="3"/>
  <c r="AG67" i="3" s="1"/>
  <c r="CG67" i="3"/>
  <c r="AF67" i="3" s="1"/>
  <c r="CF67" i="3"/>
  <c r="AE67" i="3" s="1"/>
  <c r="CE67" i="3"/>
  <c r="AD67" i="3" s="1"/>
  <c r="CD67" i="3"/>
  <c r="AC67" i="3" s="1"/>
  <c r="CC67" i="3"/>
  <c r="AB67" i="3" s="1"/>
  <c r="CB67" i="3"/>
  <c r="AA67" i="3" s="1"/>
  <c r="CA67" i="3"/>
  <c r="Z67" i="3" s="1"/>
  <c r="BZ67" i="3"/>
  <c r="Y67" i="3" s="1"/>
  <c r="BY67" i="3"/>
  <c r="X67" i="3" s="1"/>
  <c r="BX67" i="3"/>
  <c r="W67" i="3" s="1"/>
  <c r="BW67" i="3"/>
  <c r="V67" i="3" s="1"/>
  <c r="BV67" i="3"/>
  <c r="U67" i="3" s="1"/>
  <c r="BU67" i="3"/>
  <c r="T67" i="3" s="1"/>
  <c r="BT67" i="3"/>
  <c r="S67" i="3" s="1"/>
  <c r="BS67" i="3"/>
  <c r="R67" i="3" s="1"/>
  <c r="BR67" i="3"/>
  <c r="Q67" i="3" s="1"/>
  <c r="BQ67" i="3"/>
  <c r="P67" i="3" s="1"/>
  <c r="BP67" i="3"/>
  <c r="O67" i="3" s="1"/>
  <c r="BO67" i="3"/>
  <c r="N67" i="3" s="1"/>
  <c r="BN67" i="3"/>
  <c r="M67" i="3" s="1"/>
  <c r="BM67" i="3"/>
  <c r="L67" i="3" s="1"/>
  <c r="BL67" i="3"/>
  <c r="K67" i="3" s="1"/>
  <c r="BK67" i="3"/>
  <c r="BJ67" i="3"/>
  <c r="I67" i="3" s="1"/>
  <c r="BI67" i="3"/>
  <c r="H67" i="3" s="1"/>
  <c r="BH67" i="3"/>
  <c r="G67" i="3" s="1"/>
  <c r="BG67" i="3"/>
  <c r="DB66" i="3"/>
  <c r="BA66" i="3" s="1"/>
  <c r="DA66" i="3"/>
  <c r="AZ66" i="3" s="1"/>
  <c r="CZ66" i="3"/>
  <c r="AY66" i="3" s="1"/>
  <c r="CY66" i="3"/>
  <c r="AX66" i="3" s="1"/>
  <c r="CX66" i="3"/>
  <c r="AW66" i="3" s="1"/>
  <c r="CW66" i="3"/>
  <c r="AV66" i="3" s="1"/>
  <c r="CV66" i="3"/>
  <c r="AU66" i="3" s="1"/>
  <c r="CU66" i="3"/>
  <c r="AT66" i="3" s="1"/>
  <c r="CT66" i="3"/>
  <c r="AS66" i="3" s="1"/>
  <c r="CS66" i="3"/>
  <c r="AR66" i="3" s="1"/>
  <c r="CR66" i="3"/>
  <c r="AQ66" i="3" s="1"/>
  <c r="CQ66" i="3"/>
  <c r="AP66" i="3" s="1"/>
  <c r="CP66" i="3"/>
  <c r="AO66" i="3" s="1"/>
  <c r="CO66" i="3"/>
  <c r="AN66" i="3" s="1"/>
  <c r="CN66" i="3"/>
  <c r="AM66" i="3" s="1"/>
  <c r="CM66" i="3"/>
  <c r="CL66" i="3"/>
  <c r="AK66" i="3" s="1"/>
  <c r="CK66" i="3"/>
  <c r="AJ66" i="3" s="1"/>
  <c r="CJ66" i="3"/>
  <c r="AI66" i="3" s="1"/>
  <c r="CI66" i="3"/>
  <c r="AH66" i="3" s="1"/>
  <c r="CH66" i="3"/>
  <c r="CG66" i="3"/>
  <c r="AF66" i="3" s="1"/>
  <c r="CF66" i="3"/>
  <c r="AE66" i="3" s="1"/>
  <c r="CE66" i="3"/>
  <c r="CD66" i="3"/>
  <c r="AC66" i="3" s="1"/>
  <c r="CC66" i="3"/>
  <c r="AB66" i="3" s="1"/>
  <c r="CB66" i="3"/>
  <c r="AA66" i="3" s="1"/>
  <c r="CA66" i="3"/>
  <c r="BZ66" i="3"/>
  <c r="Y66" i="3" s="1"/>
  <c r="BY66" i="3"/>
  <c r="X66" i="3" s="1"/>
  <c r="BX66" i="3"/>
  <c r="W66" i="3" s="1"/>
  <c r="BW66" i="3"/>
  <c r="BV66" i="3"/>
  <c r="U66" i="3" s="1"/>
  <c r="BU66" i="3"/>
  <c r="T66" i="3" s="1"/>
  <c r="BT66" i="3"/>
  <c r="S66" i="3" s="1"/>
  <c r="BS66" i="3"/>
  <c r="R66" i="3" s="1"/>
  <c r="BR66" i="3"/>
  <c r="Q66" i="3" s="1"/>
  <c r="BQ66" i="3"/>
  <c r="P66" i="3" s="1"/>
  <c r="BP66" i="3"/>
  <c r="O66" i="3" s="1"/>
  <c r="BO66" i="3"/>
  <c r="N66" i="3" s="1"/>
  <c r="BN66" i="3"/>
  <c r="M66" i="3" s="1"/>
  <c r="BM66" i="3"/>
  <c r="L66" i="3" s="1"/>
  <c r="BL66" i="3"/>
  <c r="K66" i="3" s="1"/>
  <c r="BK66" i="3"/>
  <c r="J66" i="3" s="1"/>
  <c r="BJ66" i="3"/>
  <c r="I66" i="3" s="1"/>
  <c r="BI66" i="3"/>
  <c r="H66" i="3" s="1"/>
  <c r="BH66" i="3"/>
  <c r="G66" i="3" s="1"/>
  <c r="BG66" i="3"/>
  <c r="F66" i="3" s="1"/>
  <c r="DB65" i="3"/>
  <c r="BA65" i="3" s="1"/>
  <c r="DA65" i="3"/>
  <c r="AZ65" i="3" s="1"/>
  <c r="CZ65" i="3"/>
  <c r="AY65" i="3" s="1"/>
  <c r="CY65" i="3"/>
  <c r="AX65" i="3" s="1"/>
  <c r="CX65" i="3"/>
  <c r="AW65" i="3" s="1"/>
  <c r="CW65" i="3"/>
  <c r="AV65" i="3" s="1"/>
  <c r="CV65" i="3"/>
  <c r="AU65" i="3" s="1"/>
  <c r="CU65" i="3"/>
  <c r="AT65" i="3" s="1"/>
  <c r="CT65" i="3"/>
  <c r="AS65" i="3" s="1"/>
  <c r="CS65" i="3"/>
  <c r="AR65" i="3" s="1"/>
  <c r="CR65" i="3"/>
  <c r="AQ65" i="3" s="1"/>
  <c r="CQ65" i="3"/>
  <c r="AP65" i="3" s="1"/>
  <c r="CP65" i="3"/>
  <c r="AO65" i="3" s="1"/>
  <c r="CO65" i="3"/>
  <c r="AN65" i="3" s="1"/>
  <c r="CN65" i="3"/>
  <c r="AM65" i="3" s="1"/>
  <c r="CM65" i="3"/>
  <c r="CL65" i="3"/>
  <c r="AK65" i="3" s="1"/>
  <c r="CK65" i="3"/>
  <c r="AJ65" i="3" s="1"/>
  <c r="CJ65" i="3"/>
  <c r="AI65" i="3" s="1"/>
  <c r="CI65" i="3"/>
  <c r="CH65" i="3"/>
  <c r="AG65" i="3" s="1"/>
  <c r="CG65" i="3"/>
  <c r="AF65" i="3" s="1"/>
  <c r="CF65" i="3"/>
  <c r="AE65" i="3" s="1"/>
  <c r="CE65" i="3"/>
  <c r="CD65" i="3"/>
  <c r="AC65" i="3" s="1"/>
  <c r="CC65" i="3"/>
  <c r="AB65" i="3" s="1"/>
  <c r="CB65" i="3"/>
  <c r="AA65" i="3" s="1"/>
  <c r="CA65" i="3"/>
  <c r="Z65" i="3" s="1"/>
  <c r="BZ65" i="3"/>
  <c r="Y65" i="3" s="1"/>
  <c r="BY65" i="3"/>
  <c r="X65" i="3" s="1"/>
  <c r="BX65" i="3"/>
  <c r="W65" i="3" s="1"/>
  <c r="BW65" i="3"/>
  <c r="V65" i="3" s="1"/>
  <c r="BV65" i="3"/>
  <c r="U65" i="3" s="1"/>
  <c r="BU65" i="3"/>
  <c r="T65" i="3" s="1"/>
  <c r="BT65" i="3"/>
  <c r="S65" i="3" s="1"/>
  <c r="BS65" i="3"/>
  <c r="R65" i="3" s="1"/>
  <c r="BR65" i="3"/>
  <c r="Q65" i="3" s="1"/>
  <c r="BQ65" i="3"/>
  <c r="P65" i="3" s="1"/>
  <c r="BP65" i="3"/>
  <c r="O65" i="3" s="1"/>
  <c r="BO65" i="3"/>
  <c r="N65" i="3" s="1"/>
  <c r="BN65" i="3"/>
  <c r="M65" i="3" s="1"/>
  <c r="BM65" i="3"/>
  <c r="L65" i="3" s="1"/>
  <c r="BL65" i="3"/>
  <c r="K65" i="3" s="1"/>
  <c r="BK65" i="3"/>
  <c r="J65" i="3" s="1"/>
  <c r="BJ65" i="3"/>
  <c r="I65" i="3" s="1"/>
  <c r="BI65" i="3"/>
  <c r="H65" i="3" s="1"/>
  <c r="BH65" i="3"/>
  <c r="G65" i="3" s="1"/>
  <c r="BG65" i="3"/>
  <c r="F65" i="3" s="1"/>
  <c r="DB16" i="3"/>
  <c r="BA16" i="3" s="1"/>
  <c r="DA16" i="3"/>
  <c r="AZ16" i="3" s="1"/>
  <c r="CZ16" i="3"/>
  <c r="CY16" i="3"/>
  <c r="AX16" i="3" s="1"/>
  <c r="CX16" i="3"/>
  <c r="AW16" i="3" s="1"/>
  <c r="CW16" i="3"/>
  <c r="AV16" i="3" s="1"/>
  <c r="CV16" i="3"/>
  <c r="AU16" i="3" s="1"/>
  <c r="CU16" i="3"/>
  <c r="AT16" i="3" s="1"/>
  <c r="CT16" i="3"/>
  <c r="AS16" i="3" s="1"/>
  <c r="CS16" i="3"/>
  <c r="CR16" i="3"/>
  <c r="AQ16" i="3" s="1"/>
  <c r="CQ16" i="3"/>
  <c r="AP16" i="3" s="1"/>
  <c r="CP16" i="3"/>
  <c r="AO16" i="3" s="1"/>
  <c r="CO16" i="3"/>
  <c r="AN16" i="3" s="1"/>
  <c r="CN16" i="3"/>
  <c r="AM16" i="3" s="1"/>
  <c r="CM16" i="3"/>
  <c r="CL16" i="3"/>
  <c r="AK16" i="3" s="1"/>
  <c r="CK16" i="3"/>
  <c r="AJ16" i="3" s="1"/>
  <c r="CJ16" i="3"/>
  <c r="AI16" i="3" s="1"/>
  <c r="CI16" i="3"/>
  <c r="AH16" i="3" s="1"/>
  <c r="CH16" i="3"/>
  <c r="AG16" i="3" s="1"/>
  <c r="CG16" i="3"/>
  <c r="AF16" i="3" s="1"/>
  <c r="CF16" i="3"/>
  <c r="CE16" i="3"/>
  <c r="AD16" i="3" s="1"/>
  <c r="CD16" i="3"/>
  <c r="AC16" i="3" s="1"/>
  <c r="CC16" i="3"/>
  <c r="AB16" i="3" s="1"/>
  <c r="CB16" i="3"/>
  <c r="CA16" i="3"/>
  <c r="BZ16" i="3"/>
  <c r="Y16" i="3" s="1"/>
  <c r="BY16" i="3"/>
  <c r="X16" i="3" s="1"/>
  <c r="BX16" i="3"/>
  <c r="BW16" i="3"/>
  <c r="V16" i="3" s="1"/>
  <c r="BV16" i="3"/>
  <c r="U16" i="3" s="1"/>
  <c r="BU16" i="3"/>
  <c r="T16" i="3" s="1"/>
  <c r="BT16" i="3"/>
  <c r="S16" i="3" s="1"/>
  <c r="BS16" i="3"/>
  <c r="R16" i="3" s="1"/>
  <c r="BR16" i="3"/>
  <c r="Q16" i="3" s="1"/>
  <c r="BQ16" i="3"/>
  <c r="P16" i="3" s="1"/>
  <c r="BP16" i="3"/>
  <c r="O16" i="3" s="1"/>
  <c r="BO16" i="3"/>
  <c r="N16" i="3" s="1"/>
  <c r="BN16" i="3"/>
  <c r="M16" i="3" s="1"/>
  <c r="BM16" i="3"/>
  <c r="L16" i="3" s="1"/>
  <c r="BL16" i="3"/>
  <c r="BK16" i="3"/>
  <c r="BJ16" i="3"/>
  <c r="I16" i="3" s="1"/>
  <c r="BI16" i="3"/>
  <c r="H16" i="3" s="1"/>
  <c r="BH16" i="3"/>
  <c r="G16" i="3" s="1"/>
  <c r="BG16" i="3"/>
  <c r="DB64" i="3"/>
  <c r="BA64" i="3" s="1"/>
  <c r="DA64" i="3"/>
  <c r="AZ64" i="3" s="1"/>
  <c r="CZ64" i="3"/>
  <c r="AY64" i="3" s="1"/>
  <c r="CY64" i="3"/>
  <c r="CX64" i="3"/>
  <c r="AW64" i="3" s="1"/>
  <c r="CW64" i="3"/>
  <c r="AV64" i="3" s="1"/>
  <c r="CV64" i="3"/>
  <c r="AU64" i="3" s="1"/>
  <c r="CU64" i="3"/>
  <c r="AT64" i="3" s="1"/>
  <c r="CT64" i="3"/>
  <c r="AS64" i="3" s="1"/>
  <c r="CS64" i="3"/>
  <c r="AR64" i="3" s="1"/>
  <c r="CR64" i="3"/>
  <c r="AQ64" i="3" s="1"/>
  <c r="CQ64" i="3"/>
  <c r="AP64" i="3" s="1"/>
  <c r="CP64" i="3"/>
  <c r="AO64" i="3" s="1"/>
  <c r="CO64" i="3"/>
  <c r="AN64" i="3" s="1"/>
  <c r="CN64" i="3"/>
  <c r="AM64" i="3" s="1"/>
  <c r="CM64" i="3"/>
  <c r="AL64" i="3" s="1"/>
  <c r="CL64" i="3"/>
  <c r="AK64" i="3" s="1"/>
  <c r="CK64" i="3"/>
  <c r="AJ64" i="3" s="1"/>
  <c r="CJ64" i="3"/>
  <c r="AI64" i="3" s="1"/>
  <c r="CI64" i="3"/>
  <c r="AH64" i="3" s="1"/>
  <c r="CH64" i="3"/>
  <c r="AG64" i="3" s="1"/>
  <c r="CG64" i="3"/>
  <c r="AF64" i="3" s="1"/>
  <c r="CF64" i="3"/>
  <c r="AE64" i="3" s="1"/>
  <c r="CE64" i="3"/>
  <c r="AD64" i="3" s="1"/>
  <c r="CD64" i="3"/>
  <c r="CC64" i="3"/>
  <c r="AB64" i="3" s="1"/>
  <c r="CB64" i="3"/>
  <c r="AA64" i="3" s="1"/>
  <c r="CA64" i="3"/>
  <c r="Z64" i="3" s="1"/>
  <c r="BZ64" i="3"/>
  <c r="Y64" i="3" s="1"/>
  <c r="BY64" i="3"/>
  <c r="X64" i="3" s="1"/>
  <c r="BX64" i="3"/>
  <c r="W64" i="3" s="1"/>
  <c r="BW64" i="3"/>
  <c r="V64" i="3" s="1"/>
  <c r="BV64" i="3"/>
  <c r="U64" i="3" s="1"/>
  <c r="BU64" i="3"/>
  <c r="T64" i="3" s="1"/>
  <c r="BT64" i="3"/>
  <c r="S64" i="3" s="1"/>
  <c r="BS64" i="3"/>
  <c r="R64" i="3" s="1"/>
  <c r="BR64" i="3"/>
  <c r="Q64" i="3" s="1"/>
  <c r="BQ64" i="3"/>
  <c r="P64" i="3" s="1"/>
  <c r="BP64" i="3"/>
  <c r="O64" i="3" s="1"/>
  <c r="BO64" i="3"/>
  <c r="BN64" i="3"/>
  <c r="M64" i="3" s="1"/>
  <c r="BM64" i="3"/>
  <c r="L64" i="3" s="1"/>
  <c r="BL64" i="3"/>
  <c r="K64" i="3" s="1"/>
  <c r="BK64" i="3"/>
  <c r="J64" i="3" s="1"/>
  <c r="BJ64" i="3"/>
  <c r="I64" i="3" s="1"/>
  <c r="BI64" i="3"/>
  <c r="H64" i="3" s="1"/>
  <c r="BH64" i="3"/>
  <c r="G64" i="3" s="1"/>
  <c r="BG64" i="3"/>
  <c r="F64" i="3" s="1"/>
  <c r="DB63" i="3"/>
  <c r="BA63" i="3" s="1"/>
  <c r="DA63" i="3"/>
  <c r="AZ63" i="3" s="1"/>
  <c r="CZ63" i="3"/>
  <c r="AY63" i="3" s="1"/>
  <c r="CY63" i="3"/>
  <c r="AX63" i="3" s="1"/>
  <c r="CX63" i="3"/>
  <c r="AW63" i="3" s="1"/>
  <c r="CW63" i="3"/>
  <c r="AV63" i="3" s="1"/>
  <c r="CV63" i="3"/>
  <c r="AU63" i="3" s="1"/>
  <c r="CU63" i="3"/>
  <c r="AT63" i="3" s="1"/>
  <c r="CT63" i="3"/>
  <c r="AS63" i="3" s="1"/>
  <c r="CS63" i="3"/>
  <c r="AR63" i="3" s="1"/>
  <c r="CR63" i="3"/>
  <c r="AQ63" i="3" s="1"/>
  <c r="CQ63" i="3"/>
  <c r="CP63" i="3"/>
  <c r="AO63" i="3" s="1"/>
  <c r="CO63" i="3"/>
  <c r="AN63" i="3" s="1"/>
  <c r="CN63" i="3"/>
  <c r="AM63" i="3" s="1"/>
  <c r="CM63" i="3"/>
  <c r="AL63" i="3" s="1"/>
  <c r="CL63" i="3"/>
  <c r="AK63" i="3" s="1"/>
  <c r="CK63" i="3"/>
  <c r="AJ63" i="3" s="1"/>
  <c r="CJ63" i="3"/>
  <c r="AI63" i="3" s="1"/>
  <c r="CI63" i="3"/>
  <c r="AH63" i="3" s="1"/>
  <c r="CH63" i="3"/>
  <c r="AG63" i="3" s="1"/>
  <c r="CG63" i="3"/>
  <c r="AF63" i="3" s="1"/>
  <c r="CF63" i="3"/>
  <c r="AE63" i="3" s="1"/>
  <c r="CE63" i="3"/>
  <c r="CD63" i="3"/>
  <c r="AC63" i="3" s="1"/>
  <c r="CC63" i="3"/>
  <c r="AB63" i="3" s="1"/>
  <c r="CB63" i="3"/>
  <c r="AA63" i="3" s="1"/>
  <c r="CA63" i="3"/>
  <c r="Z63" i="3" s="1"/>
  <c r="BZ63" i="3"/>
  <c r="Y63" i="3" s="1"/>
  <c r="BY63" i="3"/>
  <c r="X63" i="3" s="1"/>
  <c r="BX63" i="3"/>
  <c r="W63" i="3" s="1"/>
  <c r="BW63" i="3"/>
  <c r="V63" i="3" s="1"/>
  <c r="BV63" i="3"/>
  <c r="U63" i="3" s="1"/>
  <c r="BU63" i="3"/>
  <c r="T63" i="3" s="1"/>
  <c r="BT63" i="3"/>
  <c r="BS63" i="3"/>
  <c r="BR63" i="3"/>
  <c r="Q63" i="3" s="1"/>
  <c r="BQ63" i="3"/>
  <c r="P63" i="3" s="1"/>
  <c r="BP63" i="3"/>
  <c r="O63" i="3" s="1"/>
  <c r="BO63" i="3"/>
  <c r="N63" i="3" s="1"/>
  <c r="BN63" i="3"/>
  <c r="M63" i="3" s="1"/>
  <c r="BM63" i="3"/>
  <c r="L63" i="3" s="1"/>
  <c r="BL63" i="3"/>
  <c r="K63" i="3" s="1"/>
  <c r="BK63" i="3"/>
  <c r="J63" i="3" s="1"/>
  <c r="BJ63" i="3"/>
  <c r="I63" i="3" s="1"/>
  <c r="BI63" i="3"/>
  <c r="H63" i="3" s="1"/>
  <c r="BH63" i="3"/>
  <c r="G63" i="3" s="1"/>
  <c r="BG63" i="3"/>
  <c r="F63" i="3" s="1"/>
  <c r="DB62" i="3"/>
  <c r="BA62" i="3" s="1"/>
  <c r="DA62" i="3"/>
  <c r="AZ62" i="3" s="1"/>
  <c r="CZ62" i="3"/>
  <c r="CY62" i="3"/>
  <c r="AX62" i="3" s="1"/>
  <c r="CX62" i="3"/>
  <c r="AW62" i="3" s="1"/>
  <c r="CW62" i="3"/>
  <c r="CV62" i="3"/>
  <c r="AU62" i="3" s="1"/>
  <c r="CU62" i="3"/>
  <c r="AT62" i="3" s="1"/>
  <c r="CT62" i="3"/>
  <c r="AS62" i="3" s="1"/>
  <c r="CS62" i="3"/>
  <c r="AR62" i="3" s="1"/>
  <c r="CR62" i="3"/>
  <c r="AQ62" i="3" s="1"/>
  <c r="CQ62" i="3"/>
  <c r="AP62" i="3" s="1"/>
  <c r="CP62" i="3"/>
  <c r="AO62" i="3" s="1"/>
  <c r="CO62" i="3"/>
  <c r="AN62" i="3" s="1"/>
  <c r="CN62" i="3"/>
  <c r="AM62" i="3" s="1"/>
  <c r="CM62" i="3"/>
  <c r="AL62" i="3" s="1"/>
  <c r="CL62" i="3"/>
  <c r="AK62" i="3" s="1"/>
  <c r="CK62" i="3"/>
  <c r="AJ62" i="3" s="1"/>
  <c r="CJ62" i="3"/>
  <c r="AI62" i="3" s="1"/>
  <c r="CI62" i="3"/>
  <c r="AH62" i="3" s="1"/>
  <c r="CH62" i="3"/>
  <c r="CG62" i="3"/>
  <c r="AF62" i="3" s="1"/>
  <c r="CF62" i="3"/>
  <c r="AE62" i="3" s="1"/>
  <c r="CE62" i="3"/>
  <c r="AD62" i="3" s="1"/>
  <c r="CD62" i="3"/>
  <c r="AC62" i="3" s="1"/>
  <c r="CC62" i="3"/>
  <c r="AB62" i="3" s="1"/>
  <c r="CB62" i="3"/>
  <c r="CA62" i="3"/>
  <c r="BZ62" i="3"/>
  <c r="Y62" i="3" s="1"/>
  <c r="BY62" i="3"/>
  <c r="X62" i="3" s="1"/>
  <c r="BX62" i="3"/>
  <c r="W62" i="3" s="1"/>
  <c r="BW62" i="3"/>
  <c r="V62" i="3" s="1"/>
  <c r="BV62" i="3"/>
  <c r="U62" i="3" s="1"/>
  <c r="BU62" i="3"/>
  <c r="T62" i="3" s="1"/>
  <c r="BT62" i="3"/>
  <c r="S62" i="3" s="1"/>
  <c r="BS62" i="3"/>
  <c r="R62" i="3" s="1"/>
  <c r="BR62" i="3"/>
  <c r="Q62" i="3" s="1"/>
  <c r="BQ62" i="3"/>
  <c r="P62" i="3" s="1"/>
  <c r="BP62" i="3"/>
  <c r="O62" i="3" s="1"/>
  <c r="BO62" i="3"/>
  <c r="N62" i="3" s="1"/>
  <c r="BN62" i="3"/>
  <c r="M62" i="3" s="1"/>
  <c r="BM62" i="3"/>
  <c r="L62" i="3" s="1"/>
  <c r="BL62" i="3"/>
  <c r="K62" i="3" s="1"/>
  <c r="BK62" i="3"/>
  <c r="J62" i="3" s="1"/>
  <c r="BJ62" i="3"/>
  <c r="I62" i="3" s="1"/>
  <c r="BI62" i="3"/>
  <c r="H62" i="3" s="1"/>
  <c r="BH62" i="3"/>
  <c r="G62" i="3" s="1"/>
  <c r="BG62" i="3"/>
  <c r="F62" i="3" s="1"/>
  <c r="DB13" i="3"/>
  <c r="BA13" i="3" s="1"/>
  <c r="DA13" i="3"/>
  <c r="AZ13" i="3" s="1"/>
  <c r="CZ13" i="3"/>
  <c r="AY13" i="3" s="1"/>
  <c r="CY13" i="3"/>
  <c r="AX13" i="3" s="1"/>
  <c r="CX13" i="3"/>
  <c r="AW13" i="3" s="1"/>
  <c r="CW13" i="3"/>
  <c r="CV13" i="3"/>
  <c r="AU13" i="3" s="1"/>
  <c r="CU13" i="3"/>
  <c r="AT13" i="3" s="1"/>
  <c r="CT13" i="3"/>
  <c r="AS13" i="3" s="1"/>
  <c r="CS13" i="3"/>
  <c r="AR13" i="3" s="1"/>
  <c r="CR13" i="3"/>
  <c r="AQ13" i="3" s="1"/>
  <c r="CQ13" i="3"/>
  <c r="AP13" i="3" s="1"/>
  <c r="CP13" i="3"/>
  <c r="AO13" i="3" s="1"/>
  <c r="CO13" i="3"/>
  <c r="AN13" i="3" s="1"/>
  <c r="CN13" i="3"/>
  <c r="AM13" i="3" s="1"/>
  <c r="CM13" i="3"/>
  <c r="AL13" i="3" s="1"/>
  <c r="CL13" i="3"/>
  <c r="AK13" i="3" s="1"/>
  <c r="CK13" i="3"/>
  <c r="AJ13" i="3" s="1"/>
  <c r="CJ13" i="3"/>
  <c r="CI13" i="3"/>
  <c r="CH13" i="3"/>
  <c r="AG13" i="3" s="1"/>
  <c r="CG13" i="3"/>
  <c r="CF13" i="3"/>
  <c r="AE13" i="3" s="1"/>
  <c r="CE13" i="3"/>
  <c r="CD13" i="3"/>
  <c r="AC13" i="3" s="1"/>
  <c r="CC13" i="3"/>
  <c r="CB13" i="3"/>
  <c r="AA13" i="3" s="1"/>
  <c r="CA13" i="3"/>
  <c r="BZ13" i="3"/>
  <c r="Y13" i="3" s="1"/>
  <c r="BY13" i="3"/>
  <c r="X13" i="3" s="1"/>
  <c r="BX13" i="3"/>
  <c r="W13" i="3" s="1"/>
  <c r="BW13" i="3"/>
  <c r="V13" i="3" s="1"/>
  <c r="BV13" i="3"/>
  <c r="U13" i="3" s="1"/>
  <c r="BU13" i="3"/>
  <c r="T13" i="3" s="1"/>
  <c r="BT13" i="3"/>
  <c r="S13" i="3" s="1"/>
  <c r="BS13" i="3"/>
  <c r="BR13" i="3"/>
  <c r="BQ13" i="3"/>
  <c r="P13" i="3" s="1"/>
  <c r="BP13" i="3"/>
  <c r="BO13" i="3"/>
  <c r="N13" i="3" s="1"/>
  <c r="BN13" i="3"/>
  <c r="M13" i="3" s="1"/>
  <c r="BM13" i="3"/>
  <c r="L13" i="3" s="1"/>
  <c r="BL13" i="3"/>
  <c r="K13" i="3" s="1"/>
  <c r="BK13" i="3"/>
  <c r="J13" i="3" s="1"/>
  <c r="BJ13" i="3"/>
  <c r="I13" i="3" s="1"/>
  <c r="BI13" i="3"/>
  <c r="H13" i="3" s="1"/>
  <c r="BH13" i="3"/>
  <c r="G13" i="3" s="1"/>
  <c r="BG13" i="3"/>
  <c r="F13" i="3" s="1"/>
  <c r="DB11" i="3"/>
  <c r="BA11" i="3" s="1"/>
  <c r="DA11" i="3"/>
  <c r="AZ11" i="3" s="1"/>
  <c r="CZ11" i="3"/>
  <c r="AY11" i="3" s="1"/>
  <c r="CY11" i="3"/>
  <c r="AX11" i="3" s="1"/>
  <c r="CX11" i="3"/>
  <c r="AW11" i="3" s="1"/>
  <c r="CW11" i="3"/>
  <c r="AV11" i="3" s="1"/>
  <c r="CV11" i="3"/>
  <c r="AU11" i="3" s="1"/>
  <c r="CU11" i="3"/>
  <c r="AT11" i="3" s="1"/>
  <c r="CT11" i="3"/>
  <c r="AS11" i="3" s="1"/>
  <c r="CS11" i="3"/>
  <c r="AR11" i="3" s="1"/>
  <c r="CR11" i="3"/>
  <c r="AQ11" i="3" s="1"/>
  <c r="CQ11" i="3"/>
  <c r="AP11" i="3" s="1"/>
  <c r="CP11" i="3"/>
  <c r="AO11" i="3" s="1"/>
  <c r="CO11" i="3"/>
  <c r="AN11" i="3" s="1"/>
  <c r="CN11" i="3"/>
  <c r="AM11" i="3" s="1"/>
  <c r="CM11" i="3"/>
  <c r="AL11" i="3" s="1"/>
  <c r="CL11" i="3"/>
  <c r="AK11" i="3" s="1"/>
  <c r="CK11" i="3"/>
  <c r="CJ11" i="3"/>
  <c r="AI11" i="3" s="1"/>
  <c r="CI11" i="3"/>
  <c r="AH11" i="3" s="1"/>
  <c r="CH11" i="3"/>
  <c r="AG11" i="3" s="1"/>
  <c r="CG11" i="3"/>
  <c r="AF11" i="3" s="1"/>
  <c r="CF11" i="3"/>
  <c r="AE11" i="3" s="1"/>
  <c r="CE11" i="3"/>
  <c r="CD11" i="3"/>
  <c r="AC11" i="3" s="1"/>
  <c r="CC11" i="3"/>
  <c r="CB11" i="3"/>
  <c r="AA11" i="3" s="1"/>
  <c r="CA11" i="3"/>
  <c r="Z11" i="3" s="1"/>
  <c r="BZ11" i="3"/>
  <c r="BY11" i="3"/>
  <c r="BX11" i="3"/>
  <c r="W11" i="3" s="1"/>
  <c r="BW11" i="3"/>
  <c r="BV11" i="3"/>
  <c r="U11" i="3" s="1"/>
  <c r="BU11" i="3"/>
  <c r="T11" i="3" s="1"/>
  <c r="BT11" i="3"/>
  <c r="S11" i="3" s="1"/>
  <c r="BS11" i="3"/>
  <c r="BR11" i="3"/>
  <c r="BQ11" i="3"/>
  <c r="P11" i="3" s="1"/>
  <c r="BP11" i="3"/>
  <c r="O11" i="3" s="1"/>
  <c r="BO11" i="3"/>
  <c r="N11" i="3" s="1"/>
  <c r="BN11" i="3"/>
  <c r="M11" i="3" s="1"/>
  <c r="BM11" i="3"/>
  <c r="L11" i="3" s="1"/>
  <c r="BL11" i="3"/>
  <c r="BK11" i="3"/>
  <c r="J11" i="3" s="1"/>
  <c r="BJ11" i="3"/>
  <c r="I11" i="3" s="1"/>
  <c r="BI11" i="3"/>
  <c r="BH11" i="3"/>
  <c r="G11" i="3" s="1"/>
  <c r="BG11" i="3"/>
  <c r="F11" i="3" s="1"/>
  <c r="DB61" i="3"/>
  <c r="BA61" i="3" s="1"/>
  <c r="DA61" i="3"/>
  <c r="AZ61" i="3" s="1"/>
  <c r="CZ61" i="3"/>
  <c r="CY61" i="3"/>
  <c r="AX61" i="3" s="1"/>
  <c r="CX61" i="3"/>
  <c r="AW61" i="3" s="1"/>
  <c r="CW61" i="3"/>
  <c r="AV61" i="3" s="1"/>
  <c r="CV61" i="3"/>
  <c r="AU61" i="3" s="1"/>
  <c r="CU61" i="3"/>
  <c r="CT61" i="3"/>
  <c r="AS61" i="3" s="1"/>
  <c r="CS61" i="3"/>
  <c r="CR61" i="3"/>
  <c r="AQ61" i="3" s="1"/>
  <c r="CQ61" i="3"/>
  <c r="AP61" i="3" s="1"/>
  <c r="CP61" i="3"/>
  <c r="AO61" i="3" s="1"/>
  <c r="CO61" i="3"/>
  <c r="AN61" i="3" s="1"/>
  <c r="CN61" i="3"/>
  <c r="CM61" i="3"/>
  <c r="AL61" i="3" s="1"/>
  <c r="CL61" i="3"/>
  <c r="CK61" i="3"/>
  <c r="AJ61" i="3" s="1"/>
  <c r="CJ61" i="3"/>
  <c r="AI61" i="3" s="1"/>
  <c r="CI61" i="3"/>
  <c r="AH61" i="3" s="1"/>
  <c r="CH61" i="3"/>
  <c r="AG61" i="3" s="1"/>
  <c r="CG61" i="3"/>
  <c r="CF61" i="3"/>
  <c r="AE61" i="3" s="1"/>
  <c r="CE61" i="3"/>
  <c r="AD61" i="3" s="1"/>
  <c r="CD61" i="3"/>
  <c r="AC61" i="3" s="1"/>
  <c r="CC61" i="3"/>
  <c r="AB61" i="3" s="1"/>
  <c r="CB61" i="3"/>
  <c r="AA61" i="3" s="1"/>
  <c r="CA61" i="3"/>
  <c r="Z61" i="3" s="1"/>
  <c r="BZ61" i="3"/>
  <c r="Y61" i="3" s="1"/>
  <c r="BY61" i="3"/>
  <c r="X61" i="3" s="1"/>
  <c r="BX61" i="3"/>
  <c r="W61" i="3" s="1"/>
  <c r="BW61" i="3"/>
  <c r="V61" i="3" s="1"/>
  <c r="BV61" i="3"/>
  <c r="BU61" i="3"/>
  <c r="T61" i="3" s="1"/>
  <c r="BT61" i="3"/>
  <c r="S61" i="3" s="1"/>
  <c r="BS61" i="3"/>
  <c r="R61" i="3" s="1"/>
  <c r="BR61" i="3"/>
  <c r="Q61" i="3" s="1"/>
  <c r="BQ61" i="3"/>
  <c r="P61" i="3" s="1"/>
  <c r="BP61" i="3"/>
  <c r="O61" i="3" s="1"/>
  <c r="BO61" i="3"/>
  <c r="N61" i="3" s="1"/>
  <c r="BN61" i="3"/>
  <c r="M61" i="3" s="1"/>
  <c r="BM61" i="3"/>
  <c r="L61" i="3" s="1"/>
  <c r="BL61" i="3"/>
  <c r="K61" i="3" s="1"/>
  <c r="BK61" i="3"/>
  <c r="J61" i="3" s="1"/>
  <c r="BJ61" i="3"/>
  <c r="I61" i="3" s="1"/>
  <c r="BI61" i="3"/>
  <c r="H61" i="3" s="1"/>
  <c r="BH61" i="3"/>
  <c r="G61" i="3" s="1"/>
  <c r="BG61" i="3"/>
  <c r="F61" i="3" s="1"/>
  <c r="DB60" i="3"/>
  <c r="BA60" i="3" s="1"/>
  <c r="DA60" i="3"/>
  <c r="AZ60" i="3" s="1"/>
  <c r="CZ60" i="3"/>
  <c r="CY60" i="3"/>
  <c r="AX60" i="3" s="1"/>
  <c r="CX60" i="3"/>
  <c r="AW60" i="3" s="1"/>
  <c r="CW60" i="3"/>
  <c r="AV60" i="3" s="1"/>
  <c r="CV60" i="3"/>
  <c r="AU60" i="3" s="1"/>
  <c r="CU60" i="3"/>
  <c r="AT60" i="3" s="1"/>
  <c r="CT60" i="3"/>
  <c r="AS60" i="3" s="1"/>
  <c r="CS60" i="3"/>
  <c r="CR60" i="3"/>
  <c r="AQ60" i="3" s="1"/>
  <c r="CQ60" i="3"/>
  <c r="CP60" i="3"/>
  <c r="AO60" i="3" s="1"/>
  <c r="CO60" i="3"/>
  <c r="AN60" i="3" s="1"/>
  <c r="CN60" i="3"/>
  <c r="CM60" i="3"/>
  <c r="AL60" i="3" s="1"/>
  <c r="CL60" i="3"/>
  <c r="CK60" i="3"/>
  <c r="AJ60" i="3" s="1"/>
  <c r="CJ60" i="3"/>
  <c r="AI60" i="3" s="1"/>
  <c r="CI60" i="3"/>
  <c r="AH60" i="3" s="1"/>
  <c r="CH60" i="3"/>
  <c r="AG60" i="3" s="1"/>
  <c r="CG60" i="3"/>
  <c r="AF60" i="3" s="1"/>
  <c r="CF60" i="3"/>
  <c r="AE60" i="3" s="1"/>
  <c r="CE60" i="3"/>
  <c r="AD60" i="3" s="1"/>
  <c r="CD60" i="3"/>
  <c r="AC60" i="3" s="1"/>
  <c r="CC60" i="3"/>
  <c r="AB60" i="3" s="1"/>
  <c r="CB60" i="3"/>
  <c r="AA60" i="3" s="1"/>
  <c r="CA60" i="3"/>
  <c r="Z60" i="3" s="1"/>
  <c r="BZ60" i="3"/>
  <c r="Y60" i="3" s="1"/>
  <c r="BY60" i="3"/>
  <c r="X60" i="3" s="1"/>
  <c r="BX60" i="3"/>
  <c r="BW60" i="3"/>
  <c r="V60" i="3" s="1"/>
  <c r="BV60" i="3"/>
  <c r="BU60" i="3"/>
  <c r="T60" i="3" s="1"/>
  <c r="BT60" i="3"/>
  <c r="S60" i="3" s="1"/>
  <c r="BS60" i="3"/>
  <c r="R60" i="3" s="1"/>
  <c r="BR60" i="3"/>
  <c r="Q60" i="3" s="1"/>
  <c r="BQ60" i="3"/>
  <c r="P60" i="3" s="1"/>
  <c r="BP60" i="3"/>
  <c r="O60" i="3" s="1"/>
  <c r="BO60" i="3"/>
  <c r="N60" i="3" s="1"/>
  <c r="BN60" i="3"/>
  <c r="M60" i="3" s="1"/>
  <c r="BM60" i="3"/>
  <c r="BL60" i="3"/>
  <c r="K60" i="3" s="1"/>
  <c r="BK60" i="3"/>
  <c r="J60" i="3" s="1"/>
  <c r="BJ60" i="3"/>
  <c r="I60" i="3" s="1"/>
  <c r="BI60" i="3"/>
  <c r="H60" i="3" s="1"/>
  <c r="BH60" i="3"/>
  <c r="G60" i="3" s="1"/>
  <c r="BG60" i="3"/>
  <c r="F60" i="3" s="1"/>
  <c r="DB59" i="3"/>
  <c r="BA59" i="3" s="1"/>
  <c r="DA59" i="3"/>
  <c r="AZ59" i="3" s="1"/>
  <c r="CZ59" i="3"/>
  <c r="AY59" i="3" s="1"/>
  <c r="CY59" i="3"/>
  <c r="AX59" i="3" s="1"/>
  <c r="CX59" i="3"/>
  <c r="AW59" i="3" s="1"/>
  <c r="CW59" i="3"/>
  <c r="AV59" i="3" s="1"/>
  <c r="CV59" i="3"/>
  <c r="AU59" i="3" s="1"/>
  <c r="CU59" i="3"/>
  <c r="AT59" i="3" s="1"/>
  <c r="CT59" i="3"/>
  <c r="AS59" i="3" s="1"/>
  <c r="CS59" i="3"/>
  <c r="CR59" i="3"/>
  <c r="AQ59" i="3" s="1"/>
  <c r="CQ59" i="3"/>
  <c r="CP59" i="3"/>
  <c r="AO59" i="3" s="1"/>
  <c r="CO59" i="3"/>
  <c r="AN59" i="3" s="1"/>
  <c r="CN59" i="3"/>
  <c r="AM59" i="3" s="1"/>
  <c r="CM59" i="3"/>
  <c r="CL59" i="3"/>
  <c r="AK59" i="3" s="1"/>
  <c r="CK59" i="3"/>
  <c r="AJ59" i="3" s="1"/>
  <c r="CJ59" i="3"/>
  <c r="AI59" i="3" s="1"/>
  <c r="CI59" i="3"/>
  <c r="AH59" i="3" s="1"/>
  <c r="CH59" i="3"/>
  <c r="AG59" i="3" s="1"/>
  <c r="CG59" i="3"/>
  <c r="AF59" i="3" s="1"/>
  <c r="CF59" i="3"/>
  <c r="AE59" i="3" s="1"/>
  <c r="CE59" i="3"/>
  <c r="CD59" i="3"/>
  <c r="AC59" i="3" s="1"/>
  <c r="CC59" i="3"/>
  <c r="AB59" i="3" s="1"/>
  <c r="CB59" i="3"/>
  <c r="AA59" i="3" s="1"/>
  <c r="CA59" i="3"/>
  <c r="Z59" i="3" s="1"/>
  <c r="BZ59" i="3"/>
  <c r="Y59" i="3" s="1"/>
  <c r="BY59" i="3"/>
  <c r="X59" i="3" s="1"/>
  <c r="BX59" i="3"/>
  <c r="BW59" i="3"/>
  <c r="V59" i="3" s="1"/>
  <c r="BV59" i="3"/>
  <c r="U59" i="3" s="1"/>
  <c r="BU59" i="3"/>
  <c r="T59" i="3" s="1"/>
  <c r="BT59" i="3"/>
  <c r="S59" i="3" s="1"/>
  <c r="BS59" i="3"/>
  <c r="R59" i="3" s="1"/>
  <c r="BR59" i="3"/>
  <c r="Q59" i="3" s="1"/>
  <c r="BQ59" i="3"/>
  <c r="P59" i="3" s="1"/>
  <c r="BP59" i="3"/>
  <c r="O59" i="3" s="1"/>
  <c r="BO59" i="3"/>
  <c r="N59" i="3" s="1"/>
  <c r="BN59" i="3"/>
  <c r="M59" i="3" s="1"/>
  <c r="BM59" i="3"/>
  <c r="L59" i="3" s="1"/>
  <c r="BL59" i="3"/>
  <c r="K59" i="3" s="1"/>
  <c r="BK59" i="3"/>
  <c r="J59" i="3" s="1"/>
  <c r="BJ59" i="3"/>
  <c r="I59" i="3" s="1"/>
  <c r="BI59" i="3"/>
  <c r="H59" i="3" s="1"/>
  <c r="BH59" i="3"/>
  <c r="G59" i="3" s="1"/>
  <c r="BG59" i="3"/>
  <c r="F59" i="3" s="1"/>
  <c r="DB58" i="3"/>
  <c r="BA58" i="3" s="1"/>
  <c r="DA58" i="3"/>
  <c r="AZ58" i="3" s="1"/>
  <c r="CZ58" i="3"/>
  <c r="CY58" i="3"/>
  <c r="AX58" i="3" s="1"/>
  <c r="CX58" i="3"/>
  <c r="AW58" i="3" s="1"/>
  <c r="CW58" i="3"/>
  <c r="AV58" i="3" s="1"/>
  <c r="CV58" i="3"/>
  <c r="AU58" i="3" s="1"/>
  <c r="CU58" i="3"/>
  <c r="AT58" i="3" s="1"/>
  <c r="CT58" i="3"/>
  <c r="AS58" i="3" s="1"/>
  <c r="CS58" i="3"/>
  <c r="CR58" i="3"/>
  <c r="AQ58" i="3" s="1"/>
  <c r="CQ58" i="3"/>
  <c r="AP58" i="3" s="1"/>
  <c r="CP58" i="3"/>
  <c r="AO58" i="3" s="1"/>
  <c r="CO58" i="3"/>
  <c r="AN58" i="3" s="1"/>
  <c r="CN58" i="3"/>
  <c r="CM58" i="3"/>
  <c r="CL58" i="3"/>
  <c r="CK58" i="3"/>
  <c r="AJ58" i="3" s="1"/>
  <c r="CJ58" i="3"/>
  <c r="AI58" i="3" s="1"/>
  <c r="CI58" i="3"/>
  <c r="AH58" i="3" s="1"/>
  <c r="CH58" i="3"/>
  <c r="AG58" i="3" s="1"/>
  <c r="CG58" i="3"/>
  <c r="CF58" i="3"/>
  <c r="AE58" i="3" s="1"/>
  <c r="CE58" i="3"/>
  <c r="CD58" i="3"/>
  <c r="AC58" i="3" s="1"/>
  <c r="CC58" i="3"/>
  <c r="AB58" i="3" s="1"/>
  <c r="CB58" i="3"/>
  <c r="AA58" i="3" s="1"/>
  <c r="CA58" i="3"/>
  <c r="Z58" i="3" s="1"/>
  <c r="BZ58" i="3"/>
  <c r="Y58" i="3" s="1"/>
  <c r="BY58" i="3"/>
  <c r="X58" i="3" s="1"/>
  <c r="BX58" i="3"/>
  <c r="W58" i="3" s="1"/>
  <c r="BW58" i="3"/>
  <c r="V58" i="3" s="1"/>
  <c r="BV58" i="3"/>
  <c r="U58" i="3" s="1"/>
  <c r="BU58" i="3"/>
  <c r="T58" i="3" s="1"/>
  <c r="BT58" i="3"/>
  <c r="S58" i="3" s="1"/>
  <c r="BS58" i="3"/>
  <c r="R58" i="3" s="1"/>
  <c r="BR58" i="3"/>
  <c r="Q58" i="3" s="1"/>
  <c r="BQ58" i="3"/>
  <c r="P58" i="3" s="1"/>
  <c r="BP58" i="3"/>
  <c r="O58" i="3" s="1"/>
  <c r="BO58" i="3"/>
  <c r="N58" i="3" s="1"/>
  <c r="BN58" i="3"/>
  <c r="M58" i="3" s="1"/>
  <c r="BM58" i="3"/>
  <c r="L58" i="3" s="1"/>
  <c r="BL58" i="3"/>
  <c r="K58" i="3" s="1"/>
  <c r="BK58" i="3"/>
  <c r="J58" i="3" s="1"/>
  <c r="BJ58" i="3"/>
  <c r="I58" i="3" s="1"/>
  <c r="BI58" i="3"/>
  <c r="H58" i="3" s="1"/>
  <c r="BH58" i="3"/>
  <c r="G58" i="3" s="1"/>
  <c r="BG58" i="3"/>
  <c r="F58" i="3" s="1"/>
  <c r="DB57" i="3"/>
  <c r="BA57" i="3" s="1"/>
  <c r="DA57" i="3"/>
  <c r="AZ57" i="3" s="1"/>
  <c r="CZ57" i="3"/>
  <c r="AY57" i="3" s="1"/>
  <c r="CY57" i="3"/>
  <c r="CX57" i="3"/>
  <c r="AW57" i="3" s="1"/>
  <c r="CW57" i="3"/>
  <c r="AV57" i="3" s="1"/>
  <c r="CV57" i="3"/>
  <c r="AU57" i="3" s="1"/>
  <c r="CU57" i="3"/>
  <c r="AT57" i="3" s="1"/>
  <c r="CT57" i="3"/>
  <c r="AS57" i="3" s="1"/>
  <c r="CS57" i="3"/>
  <c r="AR57" i="3" s="1"/>
  <c r="CR57" i="3"/>
  <c r="AQ57" i="3" s="1"/>
  <c r="CQ57" i="3"/>
  <c r="AP57" i="3" s="1"/>
  <c r="CP57" i="3"/>
  <c r="AO57" i="3" s="1"/>
  <c r="CO57" i="3"/>
  <c r="AN57" i="3" s="1"/>
  <c r="CN57" i="3"/>
  <c r="CM57" i="3"/>
  <c r="AL57" i="3" s="1"/>
  <c r="CL57" i="3"/>
  <c r="AK57" i="3" s="1"/>
  <c r="CK57" i="3"/>
  <c r="AJ57" i="3" s="1"/>
  <c r="CJ57" i="3"/>
  <c r="AI57" i="3" s="1"/>
  <c r="CI57" i="3"/>
  <c r="AH57" i="3" s="1"/>
  <c r="CH57" i="3"/>
  <c r="AG57" i="3" s="1"/>
  <c r="CG57" i="3"/>
  <c r="AF57" i="3" s="1"/>
  <c r="CF57" i="3"/>
  <c r="AE57" i="3" s="1"/>
  <c r="CE57" i="3"/>
  <c r="AD57" i="3" s="1"/>
  <c r="CD57" i="3"/>
  <c r="AC57" i="3" s="1"/>
  <c r="CC57" i="3"/>
  <c r="AB57" i="3" s="1"/>
  <c r="CB57" i="3"/>
  <c r="CA57" i="3"/>
  <c r="Z57" i="3" s="1"/>
  <c r="BZ57" i="3"/>
  <c r="Y57" i="3" s="1"/>
  <c r="BY57" i="3"/>
  <c r="X57" i="3" s="1"/>
  <c r="BX57" i="3"/>
  <c r="W57" i="3" s="1"/>
  <c r="BW57" i="3"/>
  <c r="V57" i="3" s="1"/>
  <c r="BV57" i="3"/>
  <c r="U57" i="3" s="1"/>
  <c r="BU57" i="3"/>
  <c r="T57" i="3" s="1"/>
  <c r="BT57" i="3"/>
  <c r="S57" i="3" s="1"/>
  <c r="BS57" i="3"/>
  <c r="BR57" i="3"/>
  <c r="Q57" i="3" s="1"/>
  <c r="BQ57" i="3"/>
  <c r="P57" i="3" s="1"/>
  <c r="BP57" i="3"/>
  <c r="O57" i="3" s="1"/>
  <c r="BO57" i="3"/>
  <c r="N57" i="3" s="1"/>
  <c r="BN57" i="3"/>
  <c r="M57" i="3" s="1"/>
  <c r="BM57" i="3"/>
  <c r="BL57" i="3"/>
  <c r="K57" i="3" s="1"/>
  <c r="BK57" i="3"/>
  <c r="J57" i="3" s="1"/>
  <c r="BJ57" i="3"/>
  <c r="I57" i="3" s="1"/>
  <c r="BI57" i="3"/>
  <c r="H57" i="3" s="1"/>
  <c r="BH57" i="3"/>
  <c r="G57" i="3" s="1"/>
  <c r="BG57" i="3"/>
  <c r="DB56" i="3"/>
  <c r="BA56" i="3" s="1"/>
  <c r="DA56" i="3"/>
  <c r="AZ56" i="3" s="1"/>
  <c r="CZ56" i="3"/>
  <c r="AY56" i="3" s="1"/>
  <c r="CY56" i="3"/>
  <c r="CX56" i="3"/>
  <c r="AW56" i="3" s="1"/>
  <c r="CW56" i="3"/>
  <c r="AV56" i="3" s="1"/>
  <c r="CV56" i="3"/>
  <c r="AU56" i="3" s="1"/>
  <c r="CU56" i="3"/>
  <c r="AT56" i="3" s="1"/>
  <c r="CT56" i="3"/>
  <c r="AS56" i="3" s="1"/>
  <c r="CS56" i="3"/>
  <c r="AR56" i="3" s="1"/>
  <c r="CR56" i="3"/>
  <c r="AQ56" i="3" s="1"/>
  <c r="CQ56" i="3"/>
  <c r="AP56" i="3" s="1"/>
  <c r="CP56" i="3"/>
  <c r="AO56" i="3" s="1"/>
  <c r="CO56" i="3"/>
  <c r="AN56" i="3" s="1"/>
  <c r="CN56" i="3"/>
  <c r="AM56" i="3" s="1"/>
  <c r="CM56" i="3"/>
  <c r="CL56" i="3"/>
  <c r="CK56" i="3"/>
  <c r="AJ56" i="3" s="1"/>
  <c r="CJ56" i="3"/>
  <c r="AI56" i="3" s="1"/>
  <c r="CI56" i="3"/>
  <c r="AH56" i="3" s="1"/>
  <c r="CH56" i="3"/>
  <c r="AG56" i="3" s="1"/>
  <c r="CG56" i="3"/>
  <c r="AF56" i="3" s="1"/>
  <c r="CF56" i="3"/>
  <c r="CE56" i="3"/>
  <c r="AD56" i="3" s="1"/>
  <c r="CD56" i="3"/>
  <c r="AC56" i="3" s="1"/>
  <c r="CC56" i="3"/>
  <c r="AB56" i="3" s="1"/>
  <c r="CB56" i="3"/>
  <c r="AA56" i="3" s="1"/>
  <c r="CA56" i="3"/>
  <c r="Z56" i="3" s="1"/>
  <c r="BZ56" i="3"/>
  <c r="BY56" i="3"/>
  <c r="X56" i="3" s="1"/>
  <c r="BX56" i="3"/>
  <c r="W56" i="3" s="1"/>
  <c r="BW56" i="3"/>
  <c r="V56" i="3" s="1"/>
  <c r="BV56" i="3"/>
  <c r="U56" i="3" s="1"/>
  <c r="BU56" i="3"/>
  <c r="T56" i="3" s="1"/>
  <c r="BT56" i="3"/>
  <c r="S56" i="3" s="1"/>
  <c r="BS56" i="3"/>
  <c r="R56" i="3" s="1"/>
  <c r="BR56" i="3"/>
  <c r="Q56" i="3" s="1"/>
  <c r="BQ56" i="3"/>
  <c r="P56" i="3" s="1"/>
  <c r="BP56" i="3"/>
  <c r="BO56" i="3"/>
  <c r="N56" i="3" s="1"/>
  <c r="BN56" i="3"/>
  <c r="M56" i="3" s="1"/>
  <c r="BM56" i="3"/>
  <c r="L56" i="3" s="1"/>
  <c r="BL56" i="3"/>
  <c r="BK56" i="3"/>
  <c r="J56" i="3" s="1"/>
  <c r="BJ56" i="3"/>
  <c r="I56" i="3" s="1"/>
  <c r="BI56" i="3"/>
  <c r="H56" i="3" s="1"/>
  <c r="BH56" i="3"/>
  <c r="G56" i="3" s="1"/>
  <c r="BG56" i="3"/>
  <c r="F56" i="3" s="1"/>
  <c r="DB55" i="3"/>
  <c r="BA55" i="3" s="1"/>
  <c r="DA55" i="3"/>
  <c r="AZ55" i="3" s="1"/>
  <c r="CZ55" i="3"/>
  <c r="AY55" i="3" s="1"/>
  <c r="CY55" i="3"/>
  <c r="CX55" i="3"/>
  <c r="AW55" i="3" s="1"/>
  <c r="CW55" i="3"/>
  <c r="AV55" i="3" s="1"/>
  <c r="CV55" i="3"/>
  <c r="AU55" i="3" s="1"/>
  <c r="CU55" i="3"/>
  <c r="AT55" i="3" s="1"/>
  <c r="CT55" i="3"/>
  <c r="AS55" i="3" s="1"/>
  <c r="CS55" i="3"/>
  <c r="CR55" i="3"/>
  <c r="AQ55" i="3" s="1"/>
  <c r="CQ55" i="3"/>
  <c r="AP55" i="3" s="1"/>
  <c r="CP55" i="3"/>
  <c r="AO55" i="3" s="1"/>
  <c r="CO55" i="3"/>
  <c r="CN55" i="3"/>
  <c r="AM55" i="3" s="1"/>
  <c r="CM55" i="3"/>
  <c r="CL55" i="3"/>
  <c r="AK55" i="3" s="1"/>
  <c r="CK55" i="3"/>
  <c r="AJ55" i="3" s="1"/>
  <c r="CJ55" i="3"/>
  <c r="AI55" i="3" s="1"/>
  <c r="CI55" i="3"/>
  <c r="AH55" i="3" s="1"/>
  <c r="CH55" i="3"/>
  <c r="AG55" i="3" s="1"/>
  <c r="CG55" i="3"/>
  <c r="AF55" i="3" s="1"/>
  <c r="CF55" i="3"/>
  <c r="AE55" i="3" s="1"/>
  <c r="CE55" i="3"/>
  <c r="AD55" i="3" s="1"/>
  <c r="CD55" i="3"/>
  <c r="AC55" i="3" s="1"/>
  <c r="CC55" i="3"/>
  <c r="AB55" i="3" s="1"/>
  <c r="CB55" i="3"/>
  <c r="CA55" i="3"/>
  <c r="Z55" i="3" s="1"/>
  <c r="BZ55" i="3"/>
  <c r="Y55" i="3" s="1"/>
  <c r="BY55" i="3"/>
  <c r="X55" i="3" s="1"/>
  <c r="BX55" i="3"/>
  <c r="W55" i="3" s="1"/>
  <c r="BW55" i="3"/>
  <c r="V55" i="3" s="1"/>
  <c r="BV55" i="3"/>
  <c r="U55" i="3" s="1"/>
  <c r="BU55" i="3"/>
  <c r="T55" i="3" s="1"/>
  <c r="BT55" i="3"/>
  <c r="S55" i="3" s="1"/>
  <c r="BS55" i="3"/>
  <c r="R55" i="3" s="1"/>
  <c r="BR55" i="3"/>
  <c r="Q55" i="3" s="1"/>
  <c r="BQ55" i="3"/>
  <c r="P55" i="3" s="1"/>
  <c r="BP55" i="3"/>
  <c r="O55" i="3" s="1"/>
  <c r="BO55" i="3"/>
  <c r="N55" i="3" s="1"/>
  <c r="BN55" i="3"/>
  <c r="M55" i="3" s="1"/>
  <c r="BM55" i="3"/>
  <c r="L55" i="3" s="1"/>
  <c r="BL55" i="3"/>
  <c r="K55" i="3" s="1"/>
  <c r="BK55" i="3"/>
  <c r="BJ55" i="3"/>
  <c r="I55" i="3" s="1"/>
  <c r="BI55" i="3"/>
  <c r="H55" i="3" s="1"/>
  <c r="BH55" i="3"/>
  <c r="G55" i="3" s="1"/>
  <c r="BG55" i="3"/>
  <c r="DB22" i="3"/>
  <c r="BA22" i="3" s="1"/>
  <c r="DA22" i="3"/>
  <c r="CZ22" i="3"/>
  <c r="AY22" i="3" s="1"/>
  <c r="CY22" i="3"/>
  <c r="AX22" i="3" s="1"/>
  <c r="CX22" i="3"/>
  <c r="AW22" i="3" s="1"/>
  <c r="CW22" i="3"/>
  <c r="AV22" i="3" s="1"/>
  <c r="CV22" i="3"/>
  <c r="AU22" i="3" s="1"/>
  <c r="CU22" i="3"/>
  <c r="AT22" i="3" s="1"/>
  <c r="CT22" i="3"/>
  <c r="AS22" i="3" s="1"/>
  <c r="CS22" i="3"/>
  <c r="AR22" i="3" s="1"/>
  <c r="CR22" i="3"/>
  <c r="CQ22" i="3"/>
  <c r="AP22" i="3" s="1"/>
  <c r="CP22" i="3"/>
  <c r="AO22" i="3" s="1"/>
  <c r="CO22" i="3"/>
  <c r="AN22" i="3" s="1"/>
  <c r="CN22" i="3"/>
  <c r="AM22" i="3" s="1"/>
  <c r="CM22" i="3"/>
  <c r="AL22" i="3" s="1"/>
  <c r="CL22" i="3"/>
  <c r="AK22" i="3" s="1"/>
  <c r="CK22" i="3"/>
  <c r="CJ22" i="3"/>
  <c r="AI22" i="3" s="1"/>
  <c r="CI22" i="3"/>
  <c r="AH22" i="3" s="1"/>
  <c r="CH22" i="3"/>
  <c r="AG22" i="3" s="1"/>
  <c r="CG22" i="3"/>
  <c r="AF22" i="3" s="1"/>
  <c r="CF22" i="3"/>
  <c r="AE22" i="3" s="1"/>
  <c r="CE22" i="3"/>
  <c r="AD22" i="3" s="1"/>
  <c r="CD22" i="3"/>
  <c r="AC22" i="3" s="1"/>
  <c r="CC22" i="3"/>
  <c r="AB22" i="3" s="1"/>
  <c r="CB22" i="3"/>
  <c r="CA22" i="3"/>
  <c r="Z22" i="3" s="1"/>
  <c r="BZ22" i="3"/>
  <c r="BY22" i="3"/>
  <c r="X22" i="3" s="1"/>
  <c r="BX22" i="3"/>
  <c r="W22" i="3" s="1"/>
  <c r="BW22" i="3"/>
  <c r="V22" i="3" s="1"/>
  <c r="BV22" i="3"/>
  <c r="U22" i="3" s="1"/>
  <c r="BU22" i="3"/>
  <c r="T22" i="3" s="1"/>
  <c r="BT22" i="3"/>
  <c r="S22" i="3" s="1"/>
  <c r="BS22" i="3"/>
  <c r="BR22" i="3"/>
  <c r="Q22" i="3" s="1"/>
  <c r="BQ22" i="3"/>
  <c r="P22" i="3" s="1"/>
  <c r="BP22" i="3"/>
  <c r="O22" i="3" s="1"/>
  <c r="BO22" i="3"/>
  <c r="N22" i="3" s="1"/>
  <c r="BN22" i="3"/>
  <c r="M22" i="3" s="1"/>
  <c r="BM22" i="3"/>
  <c r="L22" i="3" s="1"/>
  <c r="BL22" i="3"/>
  <c r="BK22" i="3"/>
  <c r="BJ22" i="3"/>
  <c r="I22" i="3" s="1"/>
  <c r="BI22" i="3"/>
  <c r="H22" i="3" s="1"/>
  <c r="BH22" i="3"/>
  <c r="G22" i="3" s="1"/>
  <c r="BG22" i="3"/>
  <c r="DB54" i="3"/>
  <c r="BA54" i="3" s="1"/>
  <c r="DA54" i="3"/>
  <c r="AZ54" i="3" s="1"/>
  <c r="CZ54" i="3"/>
  <c r="AY54" i="3" s="1"/>
  <c r="CY54" i="3"/>
  <c r="CX54" i="3"/>
  <c r="AW54" i="3" s="1"/>
  <c r="CW54" i="3"/>
  <c r="CV54" i="3"/>
  <c r="CU54" i="3"/>
  <c r="CT54" i="3"/>
  <c r="AS54" i="3" s="1"/>
  <c r="CS54" i="3"/>
  <c r="AR54" i="3" s="1"/>
  <c r="CR54" i="3"/>
  <c r="AQ54" i="3" s="1"/>
  <c r="CQ54" i="3"/>
  <c r="AP54" i="3" s="1"/>
  <c r="CP54" i="3"/>
  <c r="AO54" i="3" s="1"/>
  <c r="CO54" i="3"/>
  <c r="AN54" i="3" s="1"/>
  <c r="CN54" i="3"/>
  <c r="AM54" i="3" s="1"/>
  <c r="CM54" i="3"/>
  <c r="AL54" i="3" s="1"/>
  <c r="CL54" i="3"/>
  <c r="AK54" i="3" s="1"/>
  <c r="CK54" i="3"/>
  <c r="AJ54" i="3" s="1"/>
  <c r="CJ54" i="3"/>
  <c r="AI54" i="3" s="1"/>
  <c r="CI54" i="3"/>
  <c r="AH54" i="3" s="1"/>
  <c r="CH54" i="3"/>
  <c r="AG54" i="3" s="1"/>
  <c r="CG54" i="3"/>
  <c r="AF54" i="3" s="1"/>
  <c r="CF54" i="3"/>
  <c r="AE54" i="3" s="1"/>
  <c r="CE54" i="3"/>
  <c r="AD54" i="3" s="1"/>
  <c r="CD54" i="3"/>
  <c r="AC54" i="3" s="1"/>
  <c r="CC54" i="3"/>
  <c r="AB54" i="3" s="1"/>
  <c r="CB54" i="3"/>
  <c r="AA54" i="3" s="1"/>
  <c r="CA54" i="3"/>
  <c r="Z54" i="3" s="1"/>
  <c r="BZ54" i="3"/>
  <c r="Y54" i="3" s="1"/>
  <c r="BY54" i="3"/>
  <c r="X54" i="3" s="1"/>
  <c r="BX54" i="3"/>
  <c r="W54" i="3" s="1"/>
  <c r="BW54" i="3"/>
  <c r="BV54" i="3"/>
  <c r="U54" i="3" s="1"/>
  <c r="BU54" i="3"/>
  <c r="T54" i="3" s="1"/>
  <c r="BT54" i="3"/>
  <c r="S54" i="3" s="1"/>
  <c r="BS54" i="3"/>
  <c r="R54" i="3" s="1"/>
  <c r="BR54" i="3"/>
  <c r="BQ54" i="3"/>
  <c r="P54" i="3" s="1"/>
  <c r="BP54" i="3"/>
  <c r="O54" i="3" s="1"/>
  <c r="BO54" i="3"/>
  <c r="N54" i="3" s="1"/>
  <c r="BN54" i="3"/>
  <c r="M54" i="3" s="1"/>
  <c r="BM54" i="3"/>
  <c r="L54" i="3" s="1"/>
  <c r="BL54" i="3"/>
  <c r="K54" i="3" s="1"/>
  <c r="BK54" i="3"/>
  <c r="J54" i="3" s="1"/>
  <c r="BJ54" i="3"/>
  <c r="I54" i="3" s="1"/>
  <c r="BI54" i="3"/>
  <c r="H54" i="3" s="1"/>
  <c r="BH54" i="3"/>
  <c r="BG54" i="3"/>
  <c r="F54" i="3" s="1"/>
  <c r="DB53" i="3"/>
  <c r="BA53" i="3" s="1"/>
  <c r="DA53" i="3"/>
  <c r="CZ53" i="3"/>
  <c r="AY53" i="3" s="1"/>
  <c r="CY53" i="3"/>
  <c r="CX53" i="3"/>
  <c r="CW53" i="3"/>
  <c r="CV53" i="3"/>
  <c r="AU53" i="3" s="1"/>
  <c r="CU53" i="3"/>
  <c r="AT53" i="3" s="1"/>
  <c r="CT53" i="3"/>
  <c r="AS53" i="3" s="1"/>
  <c r="CS53" i="3"/>
  <c r="AR53" i="3" s="1"/>
  <c r="CR53" i="3"/>
  <c r="CQ53" i="3"/>
  <c r="CP53" i="3"/>
  <c r="CO53" i="3"/>
  <c r="CN53" i="3"/>
  <c r="CM53" i="3"/>
  <c r="CL53" i="3"/>
  <c r="CK53" i="3"/>
  <c r="CJ53" i="3"/>
  <c r="CI53" i="3"/>
  <c r="CH53" i="3"/>
  <c r="CG53" i="3"/>
  <c r="AF53" i="3" s="1"/>
  <c r="CF53" i="3"/>
  <c r="AE53" i="3" s="1"/>
  <c r="CE53" i="3"/>
  <c r="AD53" i="3" s="1"/>
  <c r="CD53" i="3"/>
  <c r="CC53" i="3"/>
  <c r="CB53" i="3"/>
  <c r="CA53" i="3"/>
  <c r="BZ53" i="3"/>
  <c r="Y53" i="3" s="1"/>
  <c r="BY53" i="3"/>
  <c r="BX53" i="3"/>
  <c r="BW53" i="3"/>
  <c r="BV53" i="3"/>
  <c r="BU53" i="3"/>
  <c r="BT53" i="3"/>
  <c r="BS53" i="3"/>
  <c r="BR53" i="3"/>
  <c r="Q53" i="3" s="1"/>
  <c r="BQ53" i="3"/>
  <c r="P53" i="3" s="1"/>
  <c r="BP53" i="3"/>
  <c r="BO53" i="3"/>
  <c r="BN53" i="3"/>
  <c r="BM53" i="3"/>
  <c r="BL53" i="3"/>
  <c r="K53" i="3" s="1"/>
  <c r="BK53" i="3"/>
  <c r="BJ53" i="3"/>
  <c r="BI53" i="3"/>
  <c r="BH53" i="3"/>
  <c r="BG53" i="3"/>
  <c r="F53" i="3" s="1"/>
  <c r="DB52" i="3"/>
  <c r="BA52" i="3" s="1"/>
  <c r="DA52" i="3"/>
  <c r="AZ52" i="3" s="1"/>
  <c r="CZ52" i="3"/>
  <c r="CY52" i="3"/>
  <c r="AX52" i="3" s="1"/>
  <c r="CX52" i="3"/>
  <c r="AW52" i="3" s="1"/>
  <c r="CW52" i="3"/>
  <c r="AV52" i="3" s="1"/>
  <c r="CV52" i="3"/>
  <c r="AU52" i="3" s="1"/>
  <c r="CU52" i="3"/>
  <c r="AT52" i="3" s="1"/>
  <c r="CT52" i="3"/>
  <c r="AS52" i="3" s="1"/>
  <c r="CS52" i="3"/>
  <c r="AR52" i="3" s="1"/>
  <c r="CR52" i="3"/>
  <c r="AQ52" i="3" s="1"/>
  <c r="CQ52" i="3"/>
  <c r="AP52" i="3" s="1"/>
  <c r="CP52" i="3"/>
  <c r="AO52" i="3" s="1"/>
  <c r="CO52" i="3"/>
  <c r="AN52" i="3" s="1"/>
  <c r="CN52" i="3"/>
  <c r="CM52" i="3"/>
  <c r="AL52" i="3" s="1"/>
  <c r="CL52" i="3"/>
  <c r="AK52" i="3" s="1"/>
  <c r="CK52" i="3"/>
  <c r="AJ52" i="3" s="1"/>
  <c r="CJ52" i="3"/>
  <c r="AI52" i="3" s="1"/>
  <c r="CI52" i="3"/>
  <c r="AH52" i="3" s="1"/>
  <c r="CH52" i="3"/>
  <c r="AG52" i="3" s="1"/>
  <c r="CG52" i="3"/>
  <c r="CF52" i="3"/>
  <c r="CE52" i="3"/>
  <c r="AD52" i="3" s="1"/>
  <c r="CD52" i="3"/>
  <c r="AC52" i="3" s="1"/>
  <c r="CC52" i="3"/>
  <c r="AB52" i="3" s="1"/>
  <c r="CB52" i="3"/>
  <c r="CA52" i="3"/>
  <c r="Z52" i="3" s="1"/>
  <c r="BZ52" i="3"/>
  <c r="BY52" i="3"/>
  <c r="X52" i="3" s="1"/>
  <c r="BX52" i="3"/>
  <c r="W52" i="3" s="1"/>
  <c r="BW52" i="3"/>
  <c r="V52" i="3" s="1"/>
  <c r="BV52" i="3"/>
  <c r="U52" i="3" s="1"/>
  <c r="BU52" i="3"/>
  <c r="BT52" i="3"/>
  <c r="S52" i="3" s="1"/>
  <c r="BS52" i="3"/>
  <c r="BR52" i="3"/>
  <c r="Q52" i="3" s="1"/>
  <c r="BQ52" i="3"/>
  <c r="P52" i="3" s="1"/>
  <c r="BP52" i="3"/>
  <c r="O52" i="3" s="1"/>
  <c r="BO52" i="3"/>
  <c r="N52" i="3" s="1"/>
  <c r="BN52" i="3"/>
  <c r="M52" i="3" s="1"/>
  <c r="BM52" i="3"/>
  <c r="L52" i="3" s="1"/>
  <c r="BL52" i="3"/>
  <c r="K52" i="3" s="1"/>
  <c r="BK52" i="3"/>
  <c r="BJ52" i="3"/>
  <c r="BI52" i="3"/>
  <c r="H52" i="3" s="1"/>
  <c r="BH52" i="3"/>
  <c r="G52" i="3" s="1"/>
  <c r="BG52" i="3"/>
  <c r="F52" i="3" s="1"/>
  <c r="DB21" i="3"/>
  <c r="BA21" i="3" s="1"/>
  <c r="DA21" i="3"/>
  <c r="AZ21" i="3" s="1"/>
  <c r="CZ21" i="3"/>
  <c r="AY21" i="3" s="1"/>
  <c r="CY21" i="3"/>
  <c r="AX21" i="3" s="1"/>
  <c r="CX21" i="3"/>
  <c r="AW21" i="3" s="1"/>
  <c r="CW21" i="3"/>
  <c r="AV21" i="3" s="1"/>
  <c r="CV21" i="3"/>
  <c r="AU21" i="3" s="1"/>
  <c r="CU21" i="3"/>
  <c r="AT21" i="3" s="1"/>
  <c r="CT21" i="3"/>
  <c r="AS21" i="3" s="1"/>
  <c r="CS21" i="3"/>
  <c r="AR21" i="3" s="1"/>
  <c r="CR21" i="3"/>
  <c r="AQ21" i="3" s="1"/>
  <c r="CQ21" i="3"/>
  <c r="AP21" i="3" s="1"/>
  <c r="CP21" i="3"/>
  <c r="AO21" i="3" s="1"/>
  <c r="CO21" i="3"/>
  <c r="AN21" i="3" s="1"/>
  <c r="CN21" i="3"/>
  <c r="AM21" i="3" s="1"/>
  <c r="CM21" i="3"/>
  <c r="CL21" i="3"/>
  <c r="AK21" i="3" s="1"/>
  <c r="CK21" i="3"/>
  <c r="AJ21" i="3" s="1"/>
  <c r="CJ21" i="3"/>
  <c r="AI21" i="3" s="1"/>
  <c r="CI21" i="3"/>
  <c r="AH21" i="3" s="1"/>
  <c r="CH21" i="3"/>
  <c r="AG21" i="3" s="1"/>
  <c r="CG21" i="3"/>
  <c r="AF21" i="3" s="1"/>
  <c r="CF21" i="3"/>
  <c r="CE21" i="3"/>
  <c r="AD21" i="3" s="1"/>
  <c r="CD21" i="3"/>
  <c r="AC21" i="3" s="1"/>
  <c r="CC21" i="3"/>
  <c r="AB21" i="3" s="1"/>
  <c r="CB21" i="3"/>
  <c r="CA21" i="3"/>
  <c r="Z21" i="3" s="1"/>
  <c r="BZ21" i="3"/>
  <c r="Y21" i="3" s="1"/>
  <c r="BY21" i="3"/>
  <c r="BX21" i="3"/>
  <c r="W21" i="3" s="1"/>
  <c r="BW21" i="3"/>
  <c r="V21" i="3" s="1"/>
  <c r="BV21" i="3"/>
  <c r="U21" i="3" s="1"/>
  <c r="BU21" i="3"/>
  <c r="T21" i="3" s="1"/>
  <c r="BT21" i="3"/>
  <c r="S21" i="3" s="1"/>
  <c r="BS21" i="3"/>
  <c r="BR21" i="3"/>
  <c r="BQ21" i="3"/>
  <c r="P21" i="3" s="1"/>
  <c r="BP21" i="3"/>
  <c r="O21" i="3" s="1"/>
  <c r="BO21" i="3"/>
  <c r="N21" i="3" s="1"/>
  <c r="BN21" i="3"/>
  <c r="M21" i="3" s="1"/>
  <c r="BM21" i="3"/>
  <c r="L21" i="3" s="1"/>
  <c r="BL21" i="3"/>
  <c r="K21" i="3" s="1"/>
  <c r="BK21" i="3"/>
  <c r="J21" i="3" s="1"/>
  <c r="BJ21" i="3"/>
  <c r="I21" i="3" s="1"/>
  <c r="BI21" i="3"/>
  <c r="H21" i="3" s="1"/>
  <c r="BH21" i="3"/>
  <c r="G21" i="3" s="1"/>
  <c r="BG21" i="3"/>
  <c r="F21" i="3" s="1"/>
  <c r="DB20" i="3"/>
  <c r="BA20" i="3" s="1"/>
  <c r="DA20" i="3"/>
  <c r="AZ20" i="3" s="1"/>
  <c r="CZ20" i="3"/>
  <c r="CY20" i="3"/>
  <c r="AX20" i="3" s="1"/>
  <c r="CX20" i="3"/>
  <c r="AW20" i="3" s="1"/>
  <c r="CW20" i="3"/>
  <c r="AV20" i="3" s="1"/>
  <c r="CV20" i="3"/>
  <c r="AU20" i="3" s="1"/>
  <c r="CU20" i="3"/>
  <c r="AT20" i="3" s="1"/>
  <c r="CT20" i="3"/>
  <c r="AS20" i="3" s="1"/>
  <c r="CS20" i="3"/>
  <c r="AR20" i="3" s="1"/>
  <c r="CR20" i="3"/>
  <c r="AQ20" i="3" s="1"/>
  <c r="CQ20" i="3"/>
  <c r="AP20" i="3" s="1"/>
  <c r="CP20" i="3"/>
  <c r="AO20" i="3" s="1"/>
  <c r="CO20" i="3"/>
  <c r="AN20" i="3" s="1"/>
  <c r="CN20" i="3"/>
  <c r="CM20" i="3"/>
  <c r="AL20" i="3" s="1"/>
  <c r="CL20" i="3"/>
  <c r="AK20" i="3" s="1"/>
  <c r="CK20" i="3"/>
  <c r="AJ20" i="3" s="1"/>
  <c r="CJ20" i="3"/>
  <c r="AI20" i="3" s="1"/>
  <c r="CI20" i="3"/>
  <c r="CH20" i="3"/>
  <c r="AG20" i="3" s="1"/>
  <c r="CG20" i="3"/>
  <c r="AF20" i="3" s="1"/>
  <c r="CF20" i="3"/>
  <c r="CE20" i="3"/>
  <c r="AD20" i="3" s="1"/>
  <c r="CD20" i="3"/>
  <c r="AC20" i="3" s="1"/>
  <c r="CC20" i="3"/>
  <c r="AB20" i="3" s="1"/>
  <c r="CB20" i="3"/>
  <c r="CA20" i="3"/>
  <c r="BZ20" i="3"/>
  <c r="Y20" i="3" s="1"/>
  <c r="BY20" i="3"/>
  <c r="X20" i="3" s="1"/>
  <c r="BX20" i="3"/>
  <c r="BW20" i="3"/>
  <c r="V20" i="3" s="1"/>
  <c r="BV20" i="3"/>
  <c r="U20" i="3" s="1"/>
  <c r="BU20" i="3"/>
  <c r="T20" i="3" s="1"/>
  <c r="BT20" i="3"/>
  <c r="S20" i="3" s="1"/>
  <c r="BS20" i="3"/>
  <c r="R20" i="3" s="1"/>
  <c r="BR20" i="3"/>
  <c r="Q20" i="3" s="1"/>
  <c r="BQ20" i="3"/>
  <c r="P20" i="3" s="1"/>
  <c r="BP20" i="3"/>
  <c r="O20" i="3" s="1"/>
  <c r="BO20" i="3"/>
  <c r="N20" i="3" s="1"/>
  <c r="BN20" i="3"/>
  <c r="M20" i="3" s="1"/>
  <c r="BM20" i="3"/>
  <c r="L20" i="3" s="1"/>
  <c r="BL20" i="3"/>
  <c r="BK20" i="3"/>
  <c r="BJ20" i="3"/>
  <c r="I20" i="3" s="1"/>
  <c r="BI20" i="3"/>
  <c r="H20" i="3" s="1"/>
  <c r="BH20" i="3"/>
  <c r="G20" i="3" s="1"/>
  <c r="BG20" i="3"/>
  <c r="DB15" i="3"/>
  <c r="BA15" i="3" s="1"/>
  <c r="DA15" i="3"/>
  <c r="AZ15" i="3" s="1"/>
  <c r="CZ15" i="3"/>
  <c r="CY15" i="3"/>
  <c r="AX15" i="3" s="1"/>
  <c r="CX15" i="3"/>
  <c r="AW15" i="3" s="1"/>
  <c r="CW15" i="3"/>
  <c r="AV15" i="3" s="1"/>
  <c r="CV15" i="3"/>
  <c r="AU15" i="3" s="1"/>
  <c r="CU15" i="3"/>
  <c r="AT15" i="3" s="1"/>
  <c r="CT15" i="3"/>
  <c r="AS15" i="3" s="1"/>
  <c r="CS15" i="3"/>
  <c r="CR15" i="3"/>
  <c r="AQ15" i="3" s="1"/>
  <c r="CQ15" i="3"/>
  <c r="AP15" i="3" s="1"/>
  <c r="CP15" i="3"/>
  <c r="AO15" i="3" s="1"/>
  <c r="CO15" i="3"/>
  <c r="AN15" i="3" s="1"/>
  <c r="CN15" i="3"/>
  <c r="AM15" i="3" s="1"/>
  <c r="CM15" i="3"/>
  <c r="CL15" i="3"/>
  <c r="AK15" i="3" s="1"/>
  <c r="CK15" i="3"/>
  <c r="AJ15" i="3" s="1"/>
  <c r="CJ15" i="3"/>
  <c r="AI15" i="3" s="1"/>
  <c r="CI15" i="3"/>
  <c r="AH15" i="3" s="1"/>
  <c r="CH15" i="3"/>
  <c r="AG15" i="3" s="1"/>
  <c r="CG15" i="3"/>
  <c r="AF15" i="3" s="1"/>
  <c r="CF15" i="3"/>
  <c r="CE15" i="3"/>
  <c r="AD15" i="3" s="1"/>
  <c r="CD15" i="3"/>
  <c r="AC15" i="3" s="1"/>
  <c r="CC15" i="3"/>
  <c r="AB15" i="3" s="1"/>
  <c r="CB15" i="3"/>
  <c r="CA15" i="3"/>
  <c r="BZ15" i="3"/>
  <c r="Y15" i="3" s="1"/>
  <c r="BY15" i="3"/>
  <c r="X15" i="3" s="1"/>
  <c r="BX15" i="3"/>
  <c r="BW15" i="3"/>
  <c r="V15" i="3" s="1"/>
  <c r="BV15" i="3"/>
  <c r="U15" i="3" s="1"/>
  <c r="BU15" i="3"/>
  <c r="T15" i="3" s="1"/>
  <c r="BT15" i="3"/>
  <c r="S15" i="3" s="1"/>
  <c r="BS15" i="3"/>
  <c r="R15" i="3" s="1"/>
  <c r="BR15" i="3"/>
  <c r="Q15" i="3" s="1"/>
  <c r="BQ15" i="3"/>
  <c r="P15" i="3" s="1"/>
  <c r="BP15" i="3"/>
  <c r="O15" i="3" s="1"/>
  <c r="BO15" i="3"/>
  <c r="N15" i="3" s="1"/>
  <c r="BN15" i="3"/>
  <c r="M15" i="3" s="1"/>
  <c r="BM15" i="3"/>
  <c r="L15" i="3" s="1"/>
  <c r="BL15" i="3"/>
  <c r="BK15" i="3"/>
  <c r="BJ15" i="3"/>
  <c r="I15" i="3" s="1"/>
  <c r="BI15" i="3"/>
  <c r="H15" i="3" s="1"/>
  <c r="BH15" i="3"/>
  <c r="G15" i="3" s="1"/>
  <c r="BG15" i="3"/>
  <c r="DB51" i="3"/>
  <c r="DA51" i="3"/>
  <c r="AZ51" i="3" s="1"/>
  <c r="CZ51" i="3"/>
  <c r="AY51" i="3" s="1"/>
  <c r="CY51" i="3"/>
  <c r="AX51" i="3" s="1"/>
  <c r="CX51" i="3"/>
  <c r="AW51" i="3" s="1"/>
  <c r="CW51" i="3"/>
  <c r="AV51" i="3" s="1"/>
  <c r="CV51" i="3"/>
  <c r="AU51" i="3" s="1"/>
  <c r="CU51" i="3"/>
  <c r="CT51" i="3"/>
  <c r="AS51" i="3" s="1"/>
  <c r="CS51" i="3"/>
  <c r="AR51" i="3" s="1"/>
  <c r="CR51" i="3"/>
  <c r="AQ51" i="3" s="1"/>
  <c r="CQ51" i="3"/>
  <c r="AP51" i="3" s="1"/>
  <c r="CP51" i="3"/>
  <c r="AO51" i="3" s="1"/>
  <c r="CO51" i="3"/>
  <c r="AN51" i="3" s="1"/>
  <c r="CN51" i="3"/>
  <c r="CM51" i="3"/>
  <c r="AL51" i="3" s="1"/>
  <c r="CL51" i="3"/>
  <c r="AK51" i="3" s="1"/>
  <c r="CK51" i="3"/>
  <c r="AJ51" i="3" s="1"/>
  <c r="CJ51" i="3"/>
  <c r="AI51" i="3" s="1"/>
  <c r="CI51" i="3"/>
  <c r="AH51" i="3" s="1"/>
  <c r="CH51" i="3"/>
  <c r="AG51" i="3" s="1"/>
  <c r="CG51" i="3"/>
  <c r="AF51" i="3" s="1"/>
  <c r="CF51" i="3"/>
  <c r="CE51" i="3"/>
  <c r="AD51" i="3" s="1"/>
  <c r="CD51" i="3"/>
  <c r="AC51" i="3" s="1"/>
  <c r="CC51" i="3"/>
  <c r="CB51" i="3"/>
  <c r="AA51" i="3" s="1"/>
  <c r="CA51" i="3"/>
  <c r="Z51" i="3" s="1"/>
  <c r="BZ51" i="3"/>
  <c r="Y51" i="3" s="1"/>
  <c r="BY51" i="3"/>
  <c r="X51" i="3" s="1"/>
  <c r="BX51" i="3"/>
  <c r="W51" i="3" s="1"/>
  <c r="BW51" i="3"/>
  <c r="BV51" i="3"/>
  <c r="U51" i="3" s="1"/>
  <c r="BU51" i="3"/>
  <c r="BT51" i="3"/>
  <c r="S51" i="3" s="1"/>
  <c r="BS51" i="3"/>
  <c r="R51" i="3" s="1"/>
  <c r="BR51" i="3"/>
  <c r="Q51" i="3" s="1"/>
  <c r="BQ51" i="3"/>
  <c r="P51" i="3" s="1"/>
  <c r="BP51" i="3"/>
  <c r="O51" i="3" s="1"/>
  <c r="BO51" i="3"/>
  <c r="N51" i="3" s="1"/>
  <c r="BN51" i="3"/>
  <c r="M51" i="3" s="1"/>
  <c r="BM51" i="3"/>
  <c r="L51" i="3" s="1"/>
  <c r="BL51" i="3"/>
  <c r="BK51" i="3"/>
  <c r="J51" i="3" s="1"/>
  <c r="BJ51" i="3"/>
  <c r="I51" i="3" s="1"/>
  <c r="BI51" i="3"/>
  <c r="H51" i="3" s="1"/>
  <c r="BH51" i="3"/>
  <c r="G51" i="3" s="1"/>
  <c r="BG51" i="3"/>
  <c r="DB50" i="3"/>
  <c r="BA50" i="3" s="1"/>
  <c r="DA50" i="3"/>
  <c r="AZ50" i="3" s="1"/>
  <c r="CZ50" i="3"/>
  <c r="AY50" i="3" s="1"/>
  <c r="CY50" i="3"/>
  <c r="AX50" i="3" s="1"/>
  <c r="CX50" i="3"/>
  <c r="AW50" i="3" s="1"/>
  <c r="CW50" i="3"/>
  <c r="AV50" i="3" s="1"/>
  <c r="CV50" i="3"/>
  <c r="AU50" i="3" s="1"/>
  <c r="CU50" i="3"/>
  <c r="AT50" i="3" s="1"/>
  <c r="CT50" i="3"/>
  <c r="AS50" i="3" s="1"/>
  <c r="CS50" i="3"/>
  <c r="AR50" i="3" s="1"/>
  <c r="CR50" i="3"/>
  <c r="AQ50" i="3" s="1"/>
  <c r="CQ50" i="3"/>
  <c r="CP50" i="3"/>
  <c r="AO50" i="3" s="1"/>
  <c r="CO50" i="3"/>
  <c r="AN50" i="3" s="1"/>
  <c r="CN50" i="3"/>
  <c r="AM50" i="3" s="1"/>
  <c r="CM50" i="3"/>
  <c r="CL50" i="3"/>
  <c r="AK50" i="3" s="1"/>
  <c r="CK50" i="3"/>
  <c r="AJ50" i="3" s="1"/>
  <c r="CJ50" i="3"/>
  <c r="AI50" i="3" s="1"/>
  <c r="CI50" i="3"/>
  <c r="AH50" i="3" s="1"/>
  <c r="CH50" i="3"/>
  <c r="AG50" i="3" s="1"/>
  <c r="CG50" i="3"/>
  <c r="AF50" i="3" s="1"/>
  <c r="CF50" i="3"/>
  <c r="AE50" i="3" s="1"/>
  <c r="CE50" i="3"/>
  <c r="CD50" i="3"/>
  <c r="AC50" i="3" s="1"/>
  <c r="CC50" i="3"/>
  <c r="AB50" i="3" s="1"/>
  <c r="CB50" i="3"/>
  <c r="AA50" i="3" s="1"/>
  <c r="CA50" i="3"/>
  <c r="Z50" i="3" s="1"/>
  <c r="BZ50" i="3"/>
  <c r="Y50" i="3" s="1"/>
  <c r="BY50" i="3"/>
  <c r="X50" i="3" s="1"/>
  <c r="BX50" i="3"/>
  <c r="W50" i="3" s="1"/>
  <c r="BW50" i="3"/>
  <c r="BV50" i="3"/>
  <c r="U50" i="3" s="1"/>
  <c r="BU50" i="3"/>
  <c r="T50" i="3" s="1"/>
  <c r="BT50" i="3"/>
  <c r="S50" i="3" s="1"/>
  <c r="BS50" i="3"/>
  <c r="R50" i="3" s="1"/>
  <c r="BR50" i="3"/>
  <c r="Q50" i="3" s="1"/>
  <c r="BQ50" i="3"/>
  <c r="P50" i="3" s="1"/>
  <c r="BP50" i="3"/>
  <c r="O50" i="3" s="1"/>
  <c r="BO50" i="3"/>
  <c r="N50" i="3" s="1"/>
  <c r="BN50" i="3"/>
  <c r="M50" i="3" s="1"/>
  <c r="BM50" i="3"/>
  <c r="L50" i="3" s="1"/>
  <c r="BL50" i="3"/>
  <c r="K50" i="3" s="1"/>
  <c r="BK50" i="3"/>
  <c r="J50" i="3" s="1"/>
  <c r="BJ50" i="3"/>
  <c r="I50" i="3" s="1"/>
  <c r="BI50" i="3"/>
  <c r="H50" i="3" s="1"/>
  <c r="BH50" i="3"/>
  <c r="G50" i="3" s="1"/>
  <c r="BG50" i="3"/>
  <c r="F50" i="3" s="1"/>
  <c r="DB44" i="3"/>
  <c r="BA44" i="3" s="1"/>
  <c r="DA44" i="3"/>
  <c r="AZ44" i="3" s="1"/>
  <c r="CZ44" i="3"/>
  <c r="AY44" i="3" s="1"/>
  <c r="CY44" i="3"/>
  <c r="AX44" i="3" s="1"/>
  <c r="CX44" i="3"/>
  <c r="AW44" i="3" s="1"/>
  <c r="CW44" i="3"/>
  <c r="AV44" i="3" s="1"/>
  <c r="CV44" i="3"/>
  <c r="AU44" i="3" s="1"/>
  <c r="CU44" i="3"/>
  <c r="AT44" i="3" s="1"/>
  <c r="CT44" i="3"/>
  <c r="AS44" i="3" s="1"/>
  <c r="CS44" i="3"/>
  <c r="AR44" i="3" s="1"/>
  <c r="CR44" i="3"/>
  <c r="AQ44" i="3" s="1"/>
  <c r="CQ44" i="3"/>
  <c r="AP44" i="3" s="1"/>
  <c r="CP44" i="3"/>
  <c r="AO44" i="3" s="1"/>
  <c r="CO44" i="3"/>
  <c r="CN44" i="3"/>
  <c r="AM44" i="3" s="1"/>
  <c r="CM44" i="3"/>
  <c r="AL44" i="3" s="1"/>
  <c r="CL44" i="3"/>
  <c r="AK44" i="3" s="1"/>
  <c r="CK44" i="3"/>
  <c r="AJ44" i="3" s="1"/>
  <c r="CJ44" i="3"/>
  <c r="AI44" i="3" s="1"/>
  <c r="CI44" i="3"/>
  <c r="AH44" i="3" s="1"/>
  <c r="CH44" i="3"/>
  <c r="AG44" i="3" s="1"/>
  <c r="CG44" i="3"/>
  <c r="AF44" i="3" s="1"/>
  <c r="CF44" i="3"/>
  <c r="AE44" i="3" s="1"/>
  <c r="CE44" i="3"/>
  <c r="CD44" i="3"/>
  <c r="AC44" i="3" s="1"/>
  <c r="CC44" i="3"/>
  <c r="AB44" i="3" s="1"/>
  <c r="CB44" i="3"/>
  <c r="AA44" i="3" s="1"/>
  <c r="CA44" i="3"/>
  <c r="Z44" i="3" s="1"/>
  <c r="BZ44" i="3"/>
  <c r="Y44" i="3" s="1"/>
  <c r="BY44" i="3"/>
  <c r="X44" i="3" s="1"/>
  <c r="BX44" i="3"/>
  <c r="W44" i="3" s="1"/>
  <c r="BW44" i="3"/>
  <c r="BV44" i="3"/>
  <c r="BU44" i="3"/>
  <c r="T44" i="3" s="1"/>
  <c r="BT44" i="3"/>
  <c r="S44" i="3" s="1"/>
  <c r="BS44" i="3"/>
  <c r="R44" i="3" s="1"/>
  <c r="BR44" i="3"/>
  <c r="Q44" i="3" s="1"/>
  <c r="BQ44" i="3"/>
  <c r="P44" i="3" s="1"/>
  <c r="BP44" i="3"/>
  <c r="O44" i="3" s="1"/>
  <c r="BO44" i="3"/>
  <c r="N44" i="3" s="1"/>
  <c r="BN44" i="3"/>
  <c r="M44" i="3" s="1"/>
  <c r="BM44" i="3"/>
  <c r="L44" i="3" s="1"/>
  <c r="BL44" i="3"/>
  <c r="BK44" i="3"/>
  <c r="J44" i="3" s="1"/>
  <c r="BJ44" i="3"/>
  <c r="I44" i="3" s="1"/>
  <c r="BI44" i="3"/>
  <c r="H44" i="3" s="1"/>
  <c r="BH44" i="3"/>
  <c r="G44" i="3" s="1"/>
  <c r="BG44" i="3"/>
  <c r="F44" i="3" s="1"/>
  <c r="DB31" i="3"/>
  <c r="BA31" i="3" s="1"/>
  <c r="DA31" i="3"/>
  <c r="AZ31" i="3" s="1"/>
  <c r="CZ31" i="3"/>
  <c r="CY31" i="3"/>
  <c r="AX31" i="3" s="1"/>
  <c r="CX31" i="3"/>
  <c r="AW31" i="3" s="1"/>
  <c r="CW31" i="3"/>
  <c r="CV31" i="3"/>
  <c r="AU31" i="3" s="1"/>
  <c r="CU31" i="3"/>
  <c r="AT31" i="3" s="1"/>
  <c r="CT31" i="3"/>
  <c r="AS31" i="3" s="1"/>
  <c r="CS31" i="3"/>
  <c r="AR31" i="3" s="1"/>
  <c r="CR31" i="3"/>
  <c r="AQ31" i="3" s="1"/>
  <c r="CQ31" i="3"/>
  <c r="AP31" i="3" s="1"/>
  <c r="CP31" i="3"/>
  <c r="AO31" i="3" s="1"/>
  <c r="CO31" i="3"/>
  <c r="AN31" i="3" s="1"/>
  <c r="CN31" i="3"/>
  <c r="AM31" i="3" s="1"/>
  <c r="CM31" i="3"/>
  <c r="AL31" i="3" s="1"/>
  <c r="CL31" i="3"/>
  <c r="AK31" i="3" s="1"/>
  <c r="CK31" i="3"/>
  <c r="AJ31" i="3" s="1"/>
  <c r="CJ31" i="3"/>
  <c r="AI31" i="3" s="1"/>
  <c r="CI31" i="3"/>
  <c r="AH31" i="3" s="1"/>
  <c r="CH31" i="3"/>
  <c r="AG31" i="3" s="1"/>
  <c r="CG31" i="3"/>
  <c r="AF31" i="3" s="1"/>
  <c r="CF31" i="3"/>
  <c r="AE31" i="3" s="1"/>
  <c r="CE31" i="3"/>
  <c r="AD31" i="3" s="1"/>
  <c r="CD31" i="3"/>
  <c r="CC31" i="3"/>
  <c r="AB31" i="3" s="1"/>
  <c r="CB31" i="3"/>
  <c r="AA31" i="3" s="1"/>
  <c r="CA31" i="3"/>
  <c r="BZ31" i="3"/>
  <c r="BY31" i="3"/>
  <c r="X31" i="3" s="1"/>
  <c r="BX31" i="3"/>
  <c r="W31" i="3" s="1"/>
  <c r="BW31" i="3"/>
  <c r="V31" i="3" s="1"/>
  <c r="BV31" i="3"/>
  <c r="U31" i="3" s="1"/>
  <c r="BU31" i="3"/>
  <c r="T31" i="3" s="1"/>
  <c r="BT31" i="3"/>
  <c r="S31" i="3" s="1"/>
  <c r="BS31" i="3"/>
  <c r="BR31" i="3"/>
  <c r="Q31" i="3" s="1"/>
  <c r="BQ31" i="3"/>
  <c r="P31" i="3" s="1"/>
  <c r="BP31" i="3"/>
  <c r="BO31" i="3"/>
  <c r="N31" i="3" s="1"/>
  <c r="BN31" i="3"/>
  <c r="M31" i="3" s="1"/>
  <c r="BM31" i="3"/>
  <c r="L31" i="3" s="1"/>
  <c r="BL31" i="3"/>
  <c r="K31" i="3" s="1"/>
  <c r="BK31" i="3"/>
  <c r="BJ31" i="3"/>
  <c r="I31" i="3" s="1"/>
  <c r="BI31" i="3"/>
  <c r="H31" i="3" s="1"/>
  <c r="BH31" i="3"/>
  <c r="G31" i="3" s="1"/>
  <c r="BG31" i="3"/>
  <c r="F31" i="3" s="1"/>
  <c r="DB12" i="3"/>
  <c r="BA12" i="3" s="1"/>
  <c r="DA12" i="3"/>
  <c r="AZ12" i="3" s="1"/>
  <c r="CZ12" i="3"/>
  <c r="AY12" i="3" s="1"/>
  <c r="CY12" i="3"/>
  <c r="AX12" i="3" s="1"/>
  <c r="CX12" i="3"/>
  <c r="AW12" i="3" s="1"/>
  <c r="CW12" i="3"/>
  <c r="AV12" i="3" s="1"/>
  <c r="CV12" i="3"/>
  <c r="AU12" i="3" s="1"/>
  <c r="CU12" i="3"/>
  <c r="AT12" i="3" s="1"/>
  <c r="CT12" i="3"/>
  <c r="AS12" i="3" s="1"/>
  <c r="CS12" i="3"/>
  <c r="AR12" i="3" s="1"/>
  <c r="CR12" i="3"/>
  <c r="CQ12" i="3"/>
  <c r="AP12" i="3" s="1"/>
  <c r="CP12" i="3"/>
  <c r="AO12" i="3" s="1"/>
  <c r="CO12" i="3"/>
  <c r="AN12" i="3" s="1"/>
  <c r="CN12" i="3"/>
  <c r="AM12" i="3" s="1"/>
  <c r="CM12" i="3"/>
  <c r="CL12" i="3"/>
  <c r="AK12" i="3" s="1"/>
  <c r="CK12" i="3"/>
  <c r="AJ12" i="3" s="1"/>
  <c r="CJ12" i="3"/>
  <c r="AI12" i="3" s="1"/>
  <c r="CI12" i="3"/>
  <c r="AH12" i="3" s="1"/>
  <c r="CH12" i="3"/>
  <c r="AG12" i="3" s="1"/>
  <c r="CG12" i="3"/>
  <c r="AF12" i="3" s="1"/>
  <c r="CF12" i="3"/>
  <c r="CE12" i="3"/>
  <c r="AD12" i="3" s="1"/>
  <c r="CD12" i="3"/>
  <c r="AC12" i="3" s="1"/>
  <c r="CC12" i="3"/>
  <c r="AB12" i="3" s="1"/>
  <c r="CB12" i="3"/>
  <c r="AA12" i="3" s="1"/>
  <c r="CA12" i="3"/>
  <c r="Z12" i="3" s="1"/>
  <c r="BZ12" i="3"/>
  <c r="BY12" i="3"/>
  <c r="X12" i="3" s="1"/>
  <c r="BX12" i="3"/>
  <c r="W12" i="3" s="1"/>
  <c r="BW12" i="3"/>
  <c r="BV12" i="3"/>
  <c r="U12" i="3" s="1"/>
  <c r="BU12" i="3"/>
  <c r="BT12" i="3"/>
  <c r="S12" i="3" s="1"/>
  <c r="BS12" i="3"/>
  <c r="R12" i="3" s="1"/>
  <c r="BR12" i="3"/>
  <c r="Q12" i="3" s="1"/>
  <c r="BQ12" i="3"/>
  <c r="P12" i="3" s="1"/>
  <c r="BP12" i="3"/>
  <c r="O12" i="3" s="1"/>
  <c r="BO12" i="3"/>
  <c r="BN12" i="3"/>
  <c r="M12" i="3" s="1"/>
  <c r="BM12" i="3"/>
  <c r="L12" i="3" s="1"/>
  <c r="BL12" i="3"/>
  <c r="K12" i="3" s="1"/>
  <c r="BK12" i="3"/>
  <c r="J12" i="3" s="1"/>
  <c r="BJ12" i="3"/>
  <c r="I12" i="3" s="1"/>
  <c r="BI12" i="3"/>
  <c r="H12" i="3" s="1"/>
  <c r="BH12" i="3"/>
  <c r="G12" i="3" s="1"/>
  <c r="BG12" i="3"/>
  <c r="DB30" i="3"/>
  <c r="DA30" i="3"/>
  <c r="AZ30" i="3" s="1"/>
  <c r="CZ30" i="3"/>
  <c r="AY30" i="3" s="1"/>
  <c r="CY30" i="3"/>
  <c r="AX30" i="3" s="1"/>
  <c r="CX30" i="3"/>
  <c r="AW30" i="3" s="1"/>
  <c r="CW30" i="3"/>
  <c r="AV30" i="3" s="1"/>
  <c r="CV30" i="3"/>
  <c r="AU30" i="3" s="1"/>
  <c r="CU30" i="3"/>
  <c r="AT30" i="3" s="1"/>
  <c r="CT30" i="3"/>
  <c r="AS30" i="3" s="1"/>
  <c r="CS30" i="3"/>
  <c r="AR30" i="3" s="1"/>
  <c r="CR30" i="3"/>
  <c r="AQ30" i="3" s="1"/>
  <c r="CQ30" i="3"/>
  <c r="CP30" i="3"/>
  <c r="AO30" i="3" s="1"/>
  <c r="CO30" i="3"/>
  <c r="AN30" i="3" s="1"/>
  <c r="CN30" i="3"/>
  <c r="AM30" i="3" s="1"/>
  <c r="CM30" i="3"/>
  <c r="AL30" i="3" s="1"/>
  <c r="CL30" i="3"/>
  <c r="CK30" i="3"/>
  <c r="AJ30" i="3" s="1"/>
  <c r="CJ30" i="3"/>
  <c r="AI30" i="3" s="1"/>
  <c r="CI30" i="3"/>
  <c r="CH30" i="3"/>
  <c r="AG30" i="3" s="1"/>
  <c r="CG30" i="3"/>
  <c r="AF30" i="3" s="1"/>
  <c r="CF30" i="3"/>
  <c r="AE30" i="3" s="1"/>
  <c r="CE30" i="3"/>
  <c r="AD30" i="3" s="1"/>
  <c r="CD30" i="3"/>
  <c r="AC30" i="3" s="1"/>
  <c r="CC30" i="3"/>
  <c r="AB30" i="3" s="1"/>
  <c r="CB30" i="3"/>
  <c r="AA30" i="3" s="1"/>
  <c r="CA30" i="3"/>
  <c r="Z30" i="3" s="1"/>
  <c r="BZ30" i="3"/>
  <c r="BY30" i="3"/>
  <c r="X30" i="3" s="1"/>
  <c r="BX30" i="3"/>
  <c r="W30" i="3" s="1"/>
  <c r="BW30" i="3"/>
  <c r="V30" i="3" s="1"/>
  <c r="BV30" i="3"/>
  <c r="BU30" i="3"/>
  <c r="T30" i="3" s="1"/>
  <c r="BT30" i="3"/>
  <c r="S30" i="3" s="1"/>
  <c r="BS30" i="3"/>
  <c r="R30" i="3" s="1"/>
  <c r="BR30" i="3"/>
  <c r="BQ30" i="3"/>
  <c r="P30" i="3" s="1"/>
  <c r="BP30" i="3"/>
  <c r="O30" i="3" s="1"/>
  <c r="BO30" i="3"/>
  <c r="N30" i="3" s="1"/>
  <c r="BN30" i="3"/>
  <c r="M30" i="3" s="1"/>
  <c r="BM30" i="3"/>
  <c r="L30" i="3" s="1"/>
  <c r="BL30" i="3"/>
  <c r="K30" i="3" s="1"/>
  <c r="BK30" i="3"/>
  <c r="BJ30" i="3"/>
  <c r="I30" i="3" s="1"/>
  <c r="BI30" i="3"/>
  <c r="H30" i="3" s="1"/>
  <c r="BH30" i="3"/>
  <c r="G30" i="3" s="1"/>
  <c r="BG30" i="3"/>
  <c r="DB49" i="3"/>
  <c r="BA49" i="3" s="1"/>
  <c r="DA49" i="3"/>
  <c r="CZ49" i="3"/>
  <c r="CY49" i="3"/>
  <c r="CX49" i="3"/>
  <c r="AW49" i="3" s="1"/>
  <c r="CW49" i="3"/>
  <c r="AV49" i="3" s="1"/>
  <c r="CV49" i="3"/>
  <c r="AU49" i="3" s="1"/>
  <c r="CU49" i="3"/>
  <c r="AT49" i="3" s="1"/>
  <c r="CT49" i="3"/>
  <c r="AS49" i="3" s="1"/>
  <c r="CS49" i="3"/>
  <c r="AR49" i="3" s="1"/>
  <c r="CR49" i="3"/>
  <c r="AQ49" i="3" s="1"/>
  <c r="CQ49" i="3"/>
  <c r="AP49" i="3" s="1"/>
  <c r="CP49" i="3"/>
  <c r="AO49" i="3" s="1"/>
  <c r="CO49" i="3"/>
  <c r="AN49" i="3" s="1"/>
  <c r="CN49" i="3"/>
  <c r="CM49" i="3"/>
  <c r="CL49" i="3"/>
  <c r="AK49" i="3" s="1"/>
  <c r="CK49" i="3"/>
  <c r="AJ49" i="3" s="1"/>
  <c r="CJ49" i="3"/>
  <c r="AI49" i="3" s="1"/>
  <c r="CI49" i="3"/>
  <c r="AH49" i="3" s="1"/>
  <c r="CH49" i="3"/>
  <c r="AG49" i="3" s="1"/>
  <c r="CG49" i="3"/>
  <c r="AF49" i="3" s="1"/>
  <c r="CF49" i="3"/>
  <c r="AE49" i="3" s="1"/>
  <c r="CE49" i="3"/>
  <c r="AD49" i="3" s="1"/>
  <c r="CD49" i="3"/>
  <c r="AC49" i="3" s="1"/>
  <c r="CC49" i="3"/>
  <c r="AB49" i="3" s="1"/>
  <c r="CB49" i="3"/>
  <c r="CA49" i="3"/>
  <c r="Z49" i="3" s="1"/>
  <c r="BZ49" i="3"/>
  <c r="Y49" i="3" s="1"/>
  <c r="BY49" i="3"/>
  <c r="X49" i="3" s="1"/>
  <c r="BX49" i="3"/>
  <c r="W49" i="3" s="1"/>
  <c r="BW49" i="3"/>
  <c r="V49" i="3" s="1"/>
  <c r="BV49" i="3"/>
  <c r="U49" i="3" s="1"/>
  <c r="BU49" i="3"/>
  <c r="T49" i="3" s="1"/>
  <c r="BT49" i="3"/>
  <c r="S49" i="3" s="1"/>
  <c r="BS49" i="3"/>
  <c r="BR49" i="3"/>
  <c r="Q49" i="3" s="1"/>
  <c r="BQ49" i="3"/>
  <c r="P49" i="3" s="1"/>
  <c r="BP49" i="3"/>
  <c r="O49" i="3" s="1"/>
  <c r="BO49" i="3"/>
  <c r="N49" i="3" s="1"/>
  <c r="BN49" i="3"/>
  <c r="M49" i="3" s="1"/>
  <c r="BM49" i="3"/>
  <c r="L49" i="3" s="1"/>
  <c r="BL49" i="3"/>
  <c r="K49" i="3" s="1"/>
  <c r="BK49" i="3"/>
  <c r="J49" i="3" s="1"/>
  <c r="BJ49" i="3"/>
  <c r="BI49" i="3"/>
  <c r="H49" i="3" s="1"/>
  <c r="BH49" i="3"/>
  <c r="G49" i="3" s="1"/>
  <c r="BG49" i="3"/>
  <c r="F49" i="3" s="1"/>
  <c r="DB48" i="3"/>
  <c r="DA48" i="3"/>
  <c r="AZ48" i="3" s="1"/>
  <c r="CZ48" i="3"/>
  <c r="AY48" i="3" s="1"/>
  <c r="CY48" i="3"/>
  <c r="AX48" i="3" s="1"/>
  <c r="CX48" i="3"/>
  <c r="AW48" i="3" s="1"/>
  <c r="CW48" i="3"/>
  <c r="AV48" i="3" s="1"/>
  <c r="CV48" i="3"/>
  <c r="AU48" i="3" s="1"/>
  <c r="CU48" i="3"/>
  <c r="CT48" i="3"/>
  <c r="AS48" i="3" s="1"/>
  <c r="CS48" i="3"/>
  <c r="AR48" i="3" s="1"/>
  <c r="CR48" i="3"/>
  <c r="AQ48" i="3" s="1"/>
  <c r="CQ48" i="3"/>
  <c r="CP48" i="3"/>
  <c r="AO48" i="3" s="1"/>
  <c r="CO48" i="3"/>
  <c r="AN48" i="3" s="1"/>
  <c r="CN48" i="3"/>
  <c r="AM48" i="3" s="1"/>
  <c r="CM48" i="3"/>
  <c r="AL48" i="3" s="1"/>
  <c r="CL48" i="3"/>
  <c r="AK48" i="3" s="1"/>
  <c r="CK48" i="3"/>
  <c r="AJ48" i="3" s="1"/>
  <c r="CJ48" i="3"/>
  <c r="AI48" i="3" s="1"/>
  <c r="CI48" i="3"/>
  <c r="AH48" i="3" s="1"/>
  <c r="CH48" i="3"/>
  <c r="AG48" i="3" s="1"/>
  <c r="CG48" i="3"/>
  <c r="AF48" i="3" s="1"/>
  <c r="CF48" i="3"/>
  <c r="AE48" i="3" s="1"/>
  <c r="CE48" i="3"/>
  <c r="AD48" i="3" s="1"/>
  <c r="CD48" i="3"/>
  <c r="AC48" i="3" s="1"/>
  <c r="CC48" i="3"/>
  <c r="AB48" i="3" s="1"/>
  <c r="CB48" i="3"/>
  <c r="CA48" i="3"/>
  <c r="Z48" i="3" s="1"/>
  <c r="BZ48" i="3"/>
  <c r="Y48" i="3" s="1"/>
  <c r="BY48" i="3"/>
  <c r="X48" i="3" s="1"/>
  <c r="BX48" i="3"/>
  <c r="W48" i="3" s="1"/>
  <c r="BW48" i="3"/>
  <c r="V48" i="3" s="1"/>
  <c r="BV48" i="3"/>
  <c r="U48" i="3" s="1"/>
  <c r="BU48" i="3"/>
  <c r="T48" i="3" s="1"/>
  <c r="BT48" i="3"/>
  <c r="S48" i="3" s="1"/>
  <c r="BS48" i="3"/>
  <c r="R48" i="3" s="1"/>
  <c r="BR48" i="3"/>
  <c r="Q48" i="3" s="1"/>
  <c r="BQ48" i="3"/>
  <c r="BP48" i="3"/>
  <c r="BO48" i="3"/>
  <c r="BN48" i="3"/>
  <c r="M48" i="3" s="1"/>
  <c r="BM48" i="3"/>
  <c r="L48" i="3" s="1"/>
  <c r="BL48" i="3"/>
  <c r="K48" i="3" s="1"/>
  <c r="BK48" i="3"/>
  <c r="J48" i="3" s="1"/>
  <c r="BJ48" i="3"/>
  <c r="I48" i="3" s="1"/>
  <c r="BI48" i="3"/>
  <c r="H48" i="3" s="1"/>
  <c r="BH48" i="3"/>
  <c r="G48" i="3" s="1"/>
  <c r="BG48" i="3"/>
  <c r="F48" i="3" s="1"/>
  <c r="DB43" i="3"/>
  <c r="DA43" i="3"/>
  <c r="AZ43" i="3" s="1"/>
  <c r="CZ43" i="3"/>
  <c r="CY43" i="3"/>
  <c r="CX43" i="3"/>
  <c r="CW43" i="3"/>
  <c r="AV43" i="3" s="1"/>
  <c r="CV43" i="3"/>
  <c r="AU43" i="3" s="1"/>
  <c r="CU43" i="3"/>
  <c r="AT43" i="3" s="1"/>
  <c r="CT43" i="3"/>
  <c r="AS43" i="3" s="1"/>
  <c r="CS43" i="3"/>
  <c r="AR43" i="3" s="1"/>
  <c r="CR43" i="3"/>
  <c r="AQ43" i="3" s="1"/>
  <c r="CQ43" i="3"/>
  <c r="AP43" i="3" s="1"/>
  <c r="CP43" i="3"/>
  <c r="AO43" i="3" s="1"/>
  <c r="CO43" i="3"/>
  <c r="AN43" i="3" s="1"/>
  <c r="CN43" i="3"/>
  <c r="CM43" i="3"/>
  <c r="CL43" i="3"/>
  <c r="AK43" i="3" s="1"/>
  <c r="CK43" i="3"/>
  <c r="CJ43" i="3"/>
  <c r="CI43" i="3"/>
  <c r="CH43" i="3"/>
  <c r="AG43" i="3" s="1"/>
  <c r="CG43" i="3"/>
  <c r="AF43" i="3" s="1"/>
  <c r="CF43" i="3"/>
  <c r="AE43" i="3" s="1"/>
  <c r="CE43" i="3"/>
  <c r="AD43" i="3" s="1"/>
  <c r="CD43" i="3"/>
  <c r="AC43" i="3" s="1"/>
  <c r="CC43" i="3"/>
  <c r="AB43" i="3" s="1"/>
  <c r="CB43" i="3"/>
  <c r="AA43" i="3" s="1"/>
  <c r="CA43" i="3"/>
  <c r="Z43" i="3" s="1"/>
  <c r="BZ43" i="3"/>
  <c r="BY43" i="3"/>
  <c r="X43" i="3" s="1"/>
  <c r="BX43" i="3"/>
  <c r="W43" i="3" s="1"/>
  <c r="BW43" i="3"/>
  <c r="BV43" i="3"/>
  <c r="BU43" i="3"/>
  <c r="T43" i="3" s="1"/>
  <c r="BT43" i="3"/>
  <c r="S43" i="3" s="1"/>
  <c r="BS43" i="3"/>
  <c r="R43" i="3" s="1"/>
  <c r="BR43" i="3"/>
  <c r="Q43" i="3" s="1"/>
  <c r="BQ43" i="3"/>
  <c r="P43" i="3" s="1"/>
  <c r="BP43" i="3"/>
  <c r="O43" i="3" s="1"/>
  <c r="BO43" i="3"/>
  <c r="N43" i="3" s="1"/>
  <c r="BN43" i="3"/>
  <c r="M43" i="3" s="1"/>
  <c r="BM43" i="3"/>
  <c r="L43" i="3" s="1"/>
  <c r="BL43" i="3"/>
  <c r="BK43" i="3"/>
  <c r="J43" i="3" s="1"/>
  <c r="BJ43" i="3"/>
  <c r="I43" i="3" s="1"/>
  <c r="BI43" i="3"/>
  <c r="BH43" i="3"/>
  <c r="BG43" i="3"/>
  <c r="DB42" i="3"/>
  <c r="BA42" i="3" s="1"/>
  <c r="DA42" i="3"/>
  <c r="AZ42" i="3" s="1"/>
  <c r="CZ42" i="3"/>
  <c r="AY42" i="3" s="1"/>
  <c r="CY42" i="3"/>
  <c r="CX42" i="3"/>
  <c r="AW42" i="3" s="1"/>
  <c r="CW42" i="3"/>
  <c r="AV42" i="3" s="1"/>
  <c r="CV42" i="3"/>
  <c r="AU42" i="3" s="1"/>
  <c r="CU42" i="3"/>
  <c r="AT42" i="3" s="1"/>
  <c r="CT42" i="3"/>
  <c r="AS42" i="3" s="1"/>
  <c r="CS42" i="3"/>
  <c r="AR42" i="3" s="1"/>
  <c r="CR42" i="3"/>
  <c r="AQ42" i="3" s="1"/>
  <c r="CQ42" i="3"/>
  <c r="CP42" i="3"/>
  <c r="AO42" i="3" s="1"/>
  <c r="CO42" i="3"/>
  <c r="AN42" i="3" s="1"/>
  <c r="CN42" i="3"/>
  <c r="AM42" i="3" s="1"/>
  <c r="CM42" i="3"/>
  <c r="CL42" i="3"/>
  <c r="AK42" i="3" s="1"/>
  <c r="CK42" i="3"/>
  <c r="AJ42" i="3" s="1"/>
  <c r="CJ42" i="3"/>
  <c r="AI42" i="3" s="1"/>
  <c r="CI42" i="3"/>
  <c r="AH42" i="3" s="1"/>
  <c r="CH42" i="3"/>
  <c r="CG42" i="3"/>
  <c r="AF42" i="3" s="1"/>
  <c r="CF42" i="3"/>
  <c r="AE42" i="3" s="1"/>
  <c r="CE42" i="3"/>
  <c r="AD42" i="3" s="1"/>
  <c r="CD42" i="3"/>
  <c r="CC42" i="3"/>
  <c r="AB42" i="3" s="1"/>
  <c r="CB42" i="3"/>
  <c r="AA42" i="3" s="1"/>
  <c r="CA42" i="3"/>
  <c r="Z42" i="3" s="1"/>
  <c r="BZ42" i="3"/>
  <c r="Y42" i="3" s="1"/>
  <c r="BY42" i="3"/>
  <c r="X42" i="3" s="1"/>
  <c r="BX42" i="3"/>
  <c r="W42" i="3" s="1"/>
  <c r="BW42" i="3"/>
  <c r="V42" i="3" s="1"/>
  <c r="BV42" i="3"/>
  <c r="U42" i="3" s="1"/>
  <c r="BU42" i="3"/>
  <c r="T42" i="3" s="1"/>
  <c r="BT42" i="3"/>
  <c r="S42" i="3" s="1"/>
  <c r="BS42" i="3"/>
  <c r="R42" i="3" s="1"/>
  <c r="BR42" i="3"/>
  <c r="Q42" i="3" s="1"/>
  <c r="BQ42" i="3"/>
  <c r="P42" i="3" s="1"/>
  <c r="BP42" i="3"/>
  <c r="O42" i="3" s="1"/>
  <c r="BO42" i="3"/>
  <c r="N42" i="3" s="1"/>
  <c r="BN42" i="3"/>
  <c r="M42" i="3" s="1"/>
  <c r="BM42" i="3"/>
  <c r="BL42" i="3"/>
  <c r="K42" i="3" s="1"/>
  <c r="BK42" i="3"/>
  <c r="J42" i="3" s="1"/>
  <c r="BJ42" i="3"/>
  <c r="I42" i="3" s="1"/>
  <c r="BI42" i="3"/>
  <c r="H42" i="3" s="1"/>
  <c r="BH42" i="3"/>
  <c r="G42" i="3" s="1"/>
  <c r="BG42" i="3"/>
  <c r="F42" i="3" s="1"/>
  <c r="DB47" i="3"/>
  <c r="BA47" i="3" s="1"/>
  <c r="DA47" i="3"/>
  <c r="AZ47" i="3" s="1"/>
  <c r="CZ47" i="3"/>
  <c r="CY47" i="3"/>
  <c r="AX47" i="3" s="1"/>
  <c r="CX47" i="3"/>
  <c r="AW47" i="3" s="1"/>
  <c r="CW47" i="3"/>
  <c r="AV47" i="3" s="1"/>
  <c r="CV47" i="3"/>
  <c r="AU47" i="3" s="1"/>
  <c r="CU47" i="3"/>
  <c r="AT47" i="3" s="1"/>
  <c r="CT47" i="3"/>
  <c r="AS47" i="3" s="1"/>
  <c r="CS47" i="3"/>
  <c r="AR47" i="3" s="1"/>
  <c r="CR47" i="3"/>
  <c r="AQ47" i="3" s="1"/>
  <c r="CQ47" i="3"/>
  <c r="AP47" i="3" s="1"/>
  <c r="CP47" i="3"/>
  <c r="AO47" i="3" s="1"/>
  <c r="CO47" i="3"/>
  <c r="AN47" i="3" s="1"/>
  <c r="CN47" i="3"/>
  <c r="AM47" i="3" s="1"/>
  <c r="CM47" i="3"/>
  <c r="AL47" i="3" s="1"/>
  <c r="CL47" i="3"/>
  <c r="AK47" i="3" s="1"/>
  <c r="CK47" i="3"/>
  <c r="AJ47" i="3" s="1"/>
  <c r="CJ47" i="3"/>
  <c r="AI47" i="3" s="1"/>
  <c r="CI47" i="3"/>
  <c r="AH47" i="3" s="1"/>
  <c r="CH47" i="3"/>
  <c r="AG47" i="3" s="1"/>
  <c r="CG47" i="3"/>
  <c r="AF47" i="3" s="1"/>
  <c r="CF47" i="3"/>
  <c r="AE47" i="3" s="1"/>
  <c r="CE47" i="3"/>
  <c r="AD47" i="3" s="1"/>
  <c r="CD47" i="3"/>
  <c r="AC47" i="3" s="1"/>
  <c r="CC47" i="3"/>
  <c r="AB47" i="3" s="1"/>
  <c r="CB47" i="3"/>
  <c r="AA47" i="3" s="1"/>
  <c r="CA47" i="3"/>
  <c r="BZ47" i="3"/>
  <c r="BY47" i="3"/>
  <c r="X47" i="3" s="1"/>
  <c r="BX47" i="3"/>
  <c r="W47" i="3" s="1"/>
  <c r="BW47" i="3"/>
  <c r="V47" i="3" s="1"/>
  <c r="BV47" i="3"/>
  <c r="BU47" i="3"/>
  <c r="T47" i="3" s="1"/>
  <c r="BT47" i="3"/>
  <c r="S47" i="3" s="1"/>
  <c r="BS47" i="3"/>
  <c r="R47" i="3" s="1"/>
  <c r="BR47" i="3"/>
  <c r="Q47" i="3" s="1"/>
  <c r="BQ47" i="3"/>
  <c r="P47" i="3" s="1"/>
  <c r="BP47" i="3"/>
  <c r="O47" i="3" s="1"/>
  <c r="BO47" i="3"/>
  <c r="N47" i="3" s="1"/>
  <c r="BN47" i="3"/>
  <c r="M47" i="3" s="1"/>
  <c r="BM47" i="3"/>
  <c r="L47" i="3" s="1"/>
  <c r="BL47" i="3"/>
  <c r="K47" i="3" s="1"/>
  <c r="BK47" i="3"/>
  <c r="J47" i="3" s="1"/>
  <c r="BJ47" i="3"/>
  <c r="BI47" i="3"/>
  <c r="H47" i="3" s="1"/>
  <c r="BH47" i="3"/>
  <c r="G47" i="3" s="1"/>
  <c r="BG47" i="3"/>
  <c r="F47" i="3" s="1"/>
  <c r="DB46" i="3"/>
  <c r="BA46" i="3" s="1"/>
  <c r="DA46" i="3"/>
  <c r="AZ46" i="3" s="1"/>
  <c r="CZ46" i="3"/>
  <c r="AY46" i="3" s="1"/>
  <c r="CY46" i="3"/>
  <c r="AX46" i="3" s="1"/>
  <c r="CX46" i="3"/>
  <c r="AW46" i="3" s="1"/>
  <c r="CW46" i="3"/>
  <c r="AV46" i="3" s="1"/>
  <c r="CV46" i="3"/>
  <c r="AU46" i="3" s="1"/>
  <c r="CU46" i="3"/>
  <c r="AT46" i="3" s="1"/>
  <c r="CT46" i="3"/>
  <c r="AS46" i="3" s="1"/>
  <c r="CS46" i="3"/>
  <c r="AR46" i="3" s="1"/>
  <c r="CR46" i="3"/>
  <c r="AQ46" i="3" s="1"/>
  <c r="CQ46" i="3"/>
  <c r="CP46" i="3"/>
  <c r="AO46" i="3" s="1"/>
  <c r="CO46" i="3"/>
  <c r="CN46" i="3"/>
  <c r="AM46" i="3" s="1"/>
  <c r="CM46" i="3"/>
  <c r="AL46" i="3" s="1"/>
  <c r="CL46" i="3"/>
  <c r="AK46" i="3" s="1"/>
  <c r="CK46" i="3"/>
  <c r="AJ46" i="3" s="1"/>
  <c r="CJ46" i="3"/>
  <c r="AI46" i="3" s="1"/>
  <c r="CI46" i="3"/>
  <c r="CH46" i="3"/>
  <c r="AG46" i="3" s="1"/>
  <c r="CG46" i="3"/>
  <c r="AF46" i="3" s="1"/>
  <c r="CF46" i="3"/>
  <c r="AE46" i="3" s="1"/>
  <c r="CE46" i="3"/>
  <c r="AD46" i="3" s="1"/>
  <c r="CD46" i="3"/>
  <c r="AC46" i="3" s="1"/>
  <c r="CC46" i="3"/>
  <c r="AB46" i="3" s="1"/>
  <c r="CB46" i="3"/>
  <c r="AA46" i="3" s="1"/>
  <c r="CA46" i="3"/>
  <c r="Z46" i="3" s="1"/>
  <c r="BZ46" i="3"/>
  <c r="Y46" i="3" s="1"/>
  <c r="BY46" i="3"/>
  <c r="X46" i="3" s="1"/>
  <c r="BX46" i="3"/>
  <c r="W46" i="3" s="1"/>
  <c r="BW46" i="3"/>
  <c r="V46" i="3" s="1"/>
  <c r="BV46" i="3"/>
  <c r="U46" i="3" s="1"/>
  <c r="BU46" i="3"/>
  <c r="T46" i="3" s="1"/>
  <c r="BT46" i="3"/>
  <c r="S46" i="3" s="1"/>
  <c r="BS46" i="3"/>
  <c r="R46" i="3" s="1"/>
  <c r="BR46" i="3"/>
  <c r="Q46" i="3" s="1"/>
  <c r="BQ46" i="3"/>
  <c r="P46" i="3" s="1"/>
  <c r="BP46" i="3"/>
  <c r="O46" i="3" s="1"/>
  <c r="BO46" i="3"/>
  <c r="BN46" i="3"/>
  <c r="M46" i="3" s="1"/>
  <c r="BM46" i="3"/>
  <c r="L46" i="3" s="1"/>
  <c r="BL46" i="3"/>
  <c r="K46" i="3" s="1"/>
  <c r="BK46" i="3"/>
  <c r="J46" i="3" s="1"/>
  <c r="BJ46" i="3"/>
  <c r="I46" i="3" s="1"/>
  <c r="BI46" i="3"/>
  <c r="H46" i="3" s="1"/>
  <c r="BH46" i="3"/>
  <c r="G46" i="3" s="1"/>
  <c r="BG46" i="3"/>
  <c r="F46" i="3" s="1"/>
  <c r="DB41" i="3"/>
  <c r="BA41" i="3" s="1"/>
  <c r="DA41" i="3"/>
  <c r="AZ41" i="3" s="1"/>
  <c r="CZ41" i="3"/>
  <c r="CY41" i="3"/>
  <c r="CX41" i="3"/>
  <c r="AW41" i="3" s="1"/>
  <c r="CW41" i="3"/>
  <c r="AV41" i="3" s="1"/>
  <c r="CV41" i="3"/>
  <c r="AU41" i="3" s="1"/>
  <c r="CU41" i="3"/>
  <c r="AT41" i="3" s="1"/>
  <c r="CT41" i="3"/>
  <c r="AS41" i="3" s="1"/>
  <c r="CS41" i="3"/>
  <c r="CR41" i="3"/>
  <c r="AQ41" i="3" s="1"/>
  <c r="CQ41" i="3"/>
  <c r="AP41" i="3" s="1"/>
  <c r="CP41" i="3"/>
  <c r="AO41" i="3" s="1"/>
  <c r="CO41" i="3"/>
  <c r="AN41" i="3" s="1"/>
  <c r="CN41" i="3"/>
  <c r="AM41" i="3" s="1"/>
  <c r="CM41" i="3"/>
  <c r="AL41" i="3" s="1"/>
  <c r="CL41" i="3"/>
  <c r="AK41" i="3" s="1"/>
  <c r="CK41" i="3"/>
  <c r="AJ41" i="3" s="1"/>
  <c r="CJ41" i="3"/>
  <c r="AI41" i="3" s="1"/>
  <c r="CI41" i="3"/>
  <c r="CH41" i="3"/>
  <c r="AG41" i="3" s="1"/>
  <c r="CG41" i="3"/>
  <c r="AF41" i="3" s="1"/>
  <c r="CF41" i="3"/>
  <c r="AE41" i="3" s="1"/>
  <c r="CE41" i="3"/>
  <c r="CD41" i="3"/>
  <c r="AC41" i="3" s="1"/>
  <c r="CC41" i="3"/>
  <c r="AB41" i="3" s="1"/>
  <c r="CB41" i="3"/>
  <c r="AA41" i="3" s="1"/>
  <c r="CA41" i="3"/>
  <c r="Z41" i="3" s="1"/>
  <c r="BZ41" i="3"/>
  <c r="Y41" i="3" s="1"/>
  <c r="BY41" i="3"/>
  <c r="X41" i="3" s="1"/>
  <c r="BX41" i="3"/>
  <c r="W41" i="3" s="1"/>
  <c r="BW41" i="3"/>
  <c r="V41" i="3" s="1"/>
  <c r="BV41" i="3"/>
  <c r="U41" i="3" s="1"/>
  <c r="BU41" i="3"/>
  <c r="T41" i="3" s="1"/>
  <c r="BT41" i="3"/>
  <c r="S41" i="3" s="1"/>
  <c r="BS41" i="3"/>
  <c r="BR41" i="3"/>
  <c r="Q41" i="3" s="1"/>
  <c r="BQ41" i="3"/>
  <c r="P41" i="3" s="1"/>
  <c r="BP41" i="3"/>
  <c r="O41" i="3" s="1"/>
  <c r="BO41" i="3"/>
  <c r="N41" i="3" s="1"/>
  <c r="BN41" i="3"/>
  <c r="M41" i="3" s="1"/>
  <c r="BM41" i="3"/>
  <c r="L41" i="3" s="1"/>
  <c r="BL41" i="3"/>
  <c r="K41" i="3" s="1"/>
  <c r="BK41" i="3"/>
  <c r="J41" i="3" s="1"/>
  <c r="BJ41" i="3"/>
  <c r="I41" i="3" s="1"/>
  <c r="BI41" i="3"/>
  <c r="H41" i="3" s="1"/>
  <c r="BH41" i="3"/>
  <c r="G41" i="3" s="1"/>
  <c r="BG41" i="3"/>
  <c r="F41" i="3" s="1"/>
  <c r="DB45" i="3"/>
  <c r="BA45" i="3" s="1"/>
  <c r="DA45" i="3"/>
  <c r="AZ45" i="3" s="1"/>
  <c r="CZ45" i="3"/>
  <c r="AY45" i="3" s="1"/>
  <c r="CY45" i="3"/>
  <c r="CX45" i="3"/>
  <c r="AW45" i="3" s="1"/>
  <c r="CW45" i="3"/>
  <c r="AV45" i="3" s="1"/>
  <c r="CV45" i="3"/>
  <c r="AU45" i="3" s="1"/>
  <c r="CU45" i="3"/>
  <c r="AT45" i="3" s="1"/>
  <c r="CT45" i="3"/>
  <c r="AS45" i="3" s="1"/>
  <c r="CS45" i="3"/>
  <c r="AR45" i="3" s="1"/>
  <c r="CR45" i="3"/>
  <c r="CQ45" i="3"/>
  <c r="AP45" i="3" s="1"/>
  <c r="CP45" i="3"/>
  <c r="AO45" i="3" s="1"/>
  <c r="CO45" i="3"/>
  <c r="AN45" i="3" s="1"/>
  <c r="CN45" i="3"/>
  <c r="AM45" i="3" s="1"/>
  <c r="CM45" i="3"/>
  <c r="AL45" i="3" s="1"/>
  <c r="CL45" i="3"/>
  <c r="AK45" i="3" s="1"/>
  <c r="CK45" i="3"/>
  <c r="AJ45" i="3" s="1"/>
  <c r="CJ45" i="3"/>
  <c r="AI45" i="3" s="1"/>
  <c r="CI45" i="3"/>
  <c r="CH45" i="3"/>
  <c r="AG45" i="3" s="1"/>
  <c r="CG45" i="3"/>
  <c r="AF45" i="3" s="1"/>
  <c r="CF45" i="3"/>
  <c r="AE45" i="3" s="1"/>
  <c r="CE45" i="3"/>
  <c r="CD45" i="3"/>
  <c r="AC45" i="3" s="1"/>
  <c r="CC45" i="3"/>
  <c r="AB45" i="3" s="1"/>
  <c r="CB45" i="3"/>
  <c r="AA45" i="3" s="1"/>
  <c r="CA45" i="3"/>
  <c r="Z45" i="3" s="1"/>
  <c r="BZ45" i="3"/>
  <c r="Y45" i="3" s="1"/>
  <c r="BY45" i="3"/>
  <c r="X45" i="3" s="1"/>
  <c r="BX45" i="3"/>
  <c r="W45" i="3" s="1"/>
  <c r="BW45" i="3"/>
  <c r="V45" i="3" s="1"/>
  <c r="BV45" i="3"/>
  <c r="U45" i="3" s="1"/>
  <c r="BU45" i="3"/>
  <c r="T45" i="3" s="1"/>
  <c r="BT45" i="3"/>
  <c r="S45" i="3" s="1"/>
  <c r="BS45" i="3"/>
  <c r="R45" i="3" s="1"/>
  <c r="BR45" i="3"/>
  <c r="Q45" i="3" s="1"/>
  <c r="BQ45" i="3"/>
  <c r="P45" i="3" s="1"/>
  <c r="BP45" i="3"/>
  <c r="O45" i="3" s="1"/>
  <c r="BO45" i="3"/>
  <c r="N45" i="3" s="1"/>
  <c r="BN45" i="3"/>
  <c r="M45" i="3" s="1"/>
  <c r="BM45" i="3"/>
  <c r="L45" i="3" s="1"/>
  <c r="BL45" i="3"/>
  <c r="K45" i="3" s="1"/>
  <c r="BK45" i="3"/>
  <c r="J45" i="3" s="1"/>
  <c r="BJ45" i="3"/>
  <c r="I45" i="3" s="1"/>
  <c r="BI45" i="3"/>
  <c r="H45" i="3" s="1"/>
  <c r="BH45" i="3"/>
  <c r="G45" i="3" s="1"/>
  <c r="BG45" i="3"/>
  <c r="F45" i="3" s="1"/>
  <c r="DB14" i="3"/>
  <c r="BA14" i="3" s="1"/>
  <c r="DA14" i="3"/>
  <c r="AZ14" i="3" s="1"/>
  <c r="CZ14" i="3"/>
  <c r="AY14" i="3" s="1"/>
  <c r="CY14" i="3"/>
  <c r="CX14" i="3"/>
  <c r="AW14" i="3" s="1"/>
  <c r="CW14" i="3"/>
  <c r="AV14" i="3" s="1"/>
  <c r="CV14" i="3"/>
  <c r="AU14" i="3" s="1"/>
  <c r="CU14" i="3"/>
  <c r="AT14" i="3" s="1"/>
  <c r="CT14" i="3"/>
  <c r="AS14" i="3" s="1"/>
  <c r="CS14" i="3"/>
  <c r="AR14" i="3" s="1"/>
  <c r="CR14" i="3"/>
  <c r="AQ14" i="3" s="1"/>
  <c r="CQ14" i="3"/>
  <c r="AP14" i="3" s="1"/>
  <c r="CP14" i="3"/>
  <c r="AO14" i="3" s="1"/>
  <c r="CO14" i="3"/>
  <c r="CN14" i="3"/>
  <c r="AM14" i="3" s="1"/>
  <c r="CM14" i="3"/>
  <c r="AL14" i="3" s="1"/>
  <c r="CL14" i="3"/>
  <c r="AK14" i="3" s="1"/>
  <c r="CK14" i="3"/>
  <c r="AJ14" i="3" s="1"/>
  <c r="CJ14" i="3"/>
  <c r="AI14" i="3" s="1"/>
  <c r="CI14" i="3"/>
  <c r="AH14" i="3" s="1"/>
  <c r="CH14" i="3"/>
  <c r="AG14" i="3" s="1"/>
  <c r="CG14" i="3"/>
  <c r="AF14" i="3" s="1"/>
  <c r="CF14" i="3"/>
  <c r="AE14" i="3" s="1"/>
  <c r="CE14" i="3"/>
  <c r="AD14" i="3" s="1"/>
  <c r="CD14" i="3"/>
  <c r="AC14" i="3" s="1"/>
  <c r="CC14" i="3"/>
  <c r="AB14" i="3" s="1"/>
  <c r="CB14" i="3"/>
  <c r="CA14" i="3"/>
  <c r="BZ14" i="3"/>
  <c r="Y14" i="3" s="1"/>
  <c r="BY14" i="3"/>
  <c r="X14" i="3" s="1"/>
  <c r="BX14" i="3"/>
  <c r="W14" i="3" s="1"/>
  <c r="BW14" i="3"/>
  <c r="BV14" i="3"/>
  <c r="U14" i="3" s="1"/>
  <c r="BU14" i="3"/>
  <c r="T14" i="3" s="1"/>
  <c r="BT14" i="3"/>
  <c r="S14" i="3" s="1"/>
  <c r="BS14" i="3"/>
  <c r="R14" i="3" s="1"/>
  <c r="BR14" i="3"/>
  <c r="Q14" i="3" s="1"/>
  <c r="BQ14" i="3"/>
  <c r="P14" i="3" s="1"/>
  <c r="BP14" i="3"/>
  <c r="O14" i="3" s="1"/>
  <c r="BO14" i="3"/>
  <c r="N14" i="3" s="1"/>
  <c r="BN14" i="3"/>
  <c r="M14" i="3" s="1"/>
  <c r="BM14" i="3"/>
  <c r="BL14" i="3"/>
  <c r="K14" i="3" s="1"/>
  <c r="BK14" i="3"/>
  <c r="J14" i="3" s="1"/>
  <c r="BJ14" i="3"/>
  <c r="I14" i="3" s="1"/>
  <c r="BI14" i="3"/>
  <c r="H14" i="3" s="1"/>
  <c r="BH14" i="3"/>
  <c r="G14" i="3" s="1"/>
  <c r="BG14" i="3"/>
  <c r="W75" i="1"/>
  <c r="V75" i="1"/>
  <c r="U75" i="1"/>
  <c r="T75" i="1"/>
  <c r="S75" i="1"/>
  <c r="R75" i="1"/>
  <c r="Q75" i="1"/>
  <c r="P75" i="1"/>
  <c r="O75" i="1"/>
  <c r="N75" i="1"/>
  <c r="W74" i="1"/>
  <c r="V74" i="1"/>
  <c r="U74" i="1"/>
  <c r="T74" i="1"/>
  <c r="S74" i="1"/>
  <c r="R74" i="1"/>
  <c r="Q74" i="1"/>
  <c r="P74" i="1"/>
  <c r="O74" i="1"/>
  <c r="N74" i="1"/>
  <c r="W73" i="1"/>
  <c r="V73" i="1"/>
  <c r="U73" i="1"/>
  <c r="T73" i="1"/>
  <c r="S73" i="1"/>
  <c r="R73" i="1"/>
  <c r="Q73" i="1"/>
  <c r="P73" i="1"/>
  <c r="O73" i="1"/>
  <c r="N73" i="1"/>
  <c r="W72" i="1"/>
  <c r="V72" i="1"/>
  <c r="U72" i="1"/>
  <c r="T72" i="1"/>
  <c r="S72" i="1"/>
  <c r="R72" i="1"/>
  <c r="Q72" i="1"/>
  <c r="P72" i="1"/>
  <c r="O72" i="1"/>
  <c r="N72" i="1"/>
  <c r="W71" i="1"/>
  <c r="V71" i="1"/>
  <c r="U71" i="1"/>
  <c r="T71" i="1"/>
  <c r="S71" i="1"/>
  <c r="R71" i="1"/>
  <c r="Q71" i="1"/>
  <c r="P71" i="1"/>
  <c r="O71" i="1"/>
  <c r="N71" i="1"/>
  <c r="W70" i="1"/>
  <c r="V70" i="1"/>
  <c r="U70" i="1"/>
  <c r="T70" i="1"/>
  <c r="S70" i="1"/>
  <c r="R70" i="1"/>
  <c r="Q70" i="1"/>
  <c r="P70" i="1"/>
  <c r="O70" i="1"/>
  <c r="N70" i="1"/>
  <c r="W69" i="1"/>
  <c r="V69" i="1"/>
  <c r="U69" i="1"/>
  <c r="T69" i="1"/>
  <c r="S69" i="1"/>
  <c r="R69" i="1"/>
  <c r="Q69" i="1"/>
  <c r="P69" i="1"/>
  <c r="O69" i="1"/>
  <c r="N69" i="1"/>
  <c r="W68" i="1"/>
  <c r="V68" i="1"/>
  <c r="U68" i="1"/>
  <c r="T68" i="1"/>
  <c r="S68" i="1"/>
  <c r="R68" i="1"/>
  <c r="Q68" i="1"/>
  <c r="P68" i="1"/>
  <c r="O68" i="1"/>
  <c r="N68" i="1"/>
  <c r="W67" i="1"/>
  <c r="V67" i="1"/>
  <c r="U67" i="1"/>
  <c r="T67" i="1"/>
  <c r="S67" i="1"/>
  <c r="R67" i="1"/>
  <c r="Q67" i="1"/>
  <c r="P67" i="1"/>
  <c r="O67" i="1"/>
  <c r="N67" i="1"/>
  <c r="W66" i="1"/>
  <c r="V66" i="1"/>
  <c r="U66" i="1"/>
  <c r="T66" i="1"/>
  <c r="S66" i="1"/>
  <c r="R66" i="1"/>
  <c r="Q66" i="1"/>
  <c r="P66" i="1"/>
  <c r="O66" i="1"/>
  <c r="N66" i="1"/>
  <c r="W65" i="1"/>
  <c r="V65" i="1"/>
  <c r="U65" i="1"/>
  <c r="T65" i="1"/>
  <c r="S65" i="1"/>
  <c r="R65" i="1"/>
  <c r="Q65" i="1"/>
  <c r="P65" i="1"/>
  <c r="O65" i="1"/>
  <c r="N65" i="1"/>
  <c r="W64" i="1"/>
  <c r="V64" i="1"/>
  <c r="U64" i="1"/>
  <c r="T64" i="1"/>
  <c r="S64" i="1"/>
  <c r="R64" i="1"/>
  <c r="Q64" i="1"/>
  <c r="P64" i="1"/>
  <c r="O64" i="1"/>
  <c r="N64" i="1"/>
  <c r="W63" i="1"/>
  <c r="V63" i="1"/>
  <c r="U63" i="1"/>
  <c r="T63" i="1"/>
  <c r="S63" i="1"/>
  <c r="R63" i="1"/>
  <c r="Q63" i="1"/>
  <c r="P63" i="1"/>
  <c r="O63" i="1"/>
  <c r="N63" i="1"/>
  <c r="W62" i="1"/>
  <c r="V62" i="1"/>
  <c r="U62" i="1"/>
  <c r="T62" i="1"/>
  <c r="S62" i="1"/>
  <c r="R62" i="1"/>
  <c r="Q62" i="1"/>
  <c r="P62" i="1"/>
  <c r="O62" i="1"/>
  <c r="N62" i="1"/>
  <c r="W61" i="1"/>
  <c r="V61" i="1"/>
  <c r="U61" i="1"/>
  <c r="T61" i="1"/>
  <c r="S61" i="1"/>
  <c r="R61" i="1"/>
  <c r="Q61" i="1"/>
  <c r="P61" i="1"/>
  <c r="O61" i="1"/>
  <c r="N61" i="1"/>
  <c r="W60" i="1"/>
  <c r="V60" i="1"/>
  <c r="U60" i="1"/>
  <c r="T60" i="1"/>
  <c r="S60" i="1"/>
  <c r="R60" i="1"/>
  <c r="Q60" i="1"/>
  <c r="P60" i="1"/>
  <c r="O60" i="1"/>
  <c r="N60" i="1"/>
  <c r="W59" i="1"/>
  <c r="V59" i="1"/>
  <c r="U59" i="1"/>
  <c r="T59" i="1"/>
  <c r="S59" i="1"/>
  <c r="R59" i="1"/>
  <c r="Q59" i="1"/>
  <c r="P59" i="1"/>
  <c r="O59" i="1"/>
  <c r="N59" i="1"/>
  <c r="W58" i="1"/>
  <c r="V58" i="1"/>
  <c r="U58" i="1"/>
  <c r="T58" i="1"/>
  <c r="S58" i="1"/>
  <c r="R58" i="1"/>
  <c r="Q58" i="1"/>
  <c r="P58" i="1"/>
  <c r="O58" i="1"/>
  <c r="N58" i="1"/>
  <c r="W57" i="1"/>
  <c r="V57" i="1"/>
  <c r="U57" i="1"/>
  <c r="T57" i="1"/>
  <c r="S57" i="1"/>
  <c r="R57" i="1"/>
  <c r="Q57" i="1"/>
  <c r="P57" i="1"/>
  <c r="O57" i="1"/>
  <c r="N57" i="1"/>
  <c r="W56" i="1"/>
  <c r="V56" i="1"/>
  <c r="U56" i="1"/>
  <c r="T56" i="1"/>
  <c r="S56" i="1"/>
  <c r="R56" i="1"/>
  <c r="Q56" i="1"/>
  <c r="P56" i="1"/>
  <c r="O56" i="1"/>
  <c r="N56" i="1"/>
  <c r="W55" i="1"/>
  <c r="V55" i="1"/>
  <c r="U55" i="1"/>
  <c r="T55" i="1"/>
  <c r="S55" i="1"/>
  <c r="R55" i="1"/>
  <c r="Q55" i="1"/>
  <c r="P55" i="1"/>
  <c r="O55" i="1"/>
  <c r="N55" i="1"/>
  <c r="W54" i="1"/>
  <c r="V54" i="1"/>
  <c r="U54" i="1"/>
  <c r="T54" i="1"/>
  <c r="S54" i="1"/>
  <c r="R54" i="1"/>
  <c r="Q54" i="1"/>
  <c r="P54" i="1"/>
  <c r="O54" i="1"/>
  <c r="N54" i="1"/>
  <c r="W53" i="1"/>
  <c r="V53" i="1"/>
  <c r="U53" i="1"/>
  <c r="T53" i="1"/>
  <c r="S53" i="1"/>
  <c r="R53" i="1"/>
  <c r="Q53" i="1"/>
  <c r="P53" i="1"/>
  <c r="O53" i="1"/>
  <c r="N53" i="1"/>
  <c r="W52" i="1"/>
  <c r="V52" i="1"/>
  <c r="U52" i="1"/>
  <c r="T52" i="1"/>
  <c r="S52" i="1"/>
  <c r="R52" i="1"/>
  <c r="Q52" i="1"/>
  <c r="P52" i="1"/>
  <c r="O52" i="1"/>
  <c r="N52" i="1"/>
  <c r="W51" i="1"/>
  <c r="V51" i="1"/>
  <c r="U51" i="1"/>
  <c r="T51" i="1"/>
  <c r="S51" i="1"/>
  <c r="R51" i="1"/>
  <c r="Q51" i="1"/>
  <c r="P51" i="1"/>
  <c r="O51" i="1"/>
  <c r="N51" i="1"/>
  <c r="W50" i="1"/>
  <c r="V50" i="1"/>
  <c r="U50" i="1"/>
  <c r="T50" i="1"/>
  <c r="S50" i="1"/>
  <c r="R50" i="1"/>
  <c r="Q50" i="1"/>
  <c r="P50" i="1"/>
  <c r="O50" i="1"/>
  <c r="N50" i="1"/>
  <c r="W49" i="1"/>
  <c r="V49" i="1"/>
  <c r="U49" i="1"/>
  <c r="T49" i="1"/>
  <c r="S49" i="1"/>
  <c r="R49" i="1"/>
  <c r="Q49" i="1"/>
  <c r="P49" i="1"/>
  <c r="O49" i="1"/>
  <c r="N49" i="1"/>
  <c r="W48" i="1"/>
  <c r="V48" i="1"/>
  <c r="U48" i="1"/>
  <c r="T48" i="1"/>
  <c r="S48" i="1"/>
  <c r="R48" i="1"/>
  <c r="Q48" i="1"/>
  <c r="P48" i="1"/>
  <c r="O48" i="1"/>
  <c r="N48" i="1"/>
  <c r="W47" i="1"/>
  <c r="V47" i="1"/>
  <c r="U47" i="1"/>
  <c r="T47" i="1"/>
  <c r="S47" i="1"/>
  <c r="R47" i="1"/>
  <c r="Q47" i="1"/>
  <c r="P47" i="1"/>
  <c r="O47" i="1"/>
  <c r="N47" i="1"/>
  <c r="W46" i="1"/>
  <c r="V46" i="1"/>
  <c r="U46" i="1"/>
  <c r="T46" i="1"/>
  <c r="S46" i="1"/>
  <c r="R46" i="1"/>
  <c r="Q46" i="1"/>
  <c r="P46" i="1"/>
  <c r="O46" i="1"/>
  <c r="N46" i="1"/>
  <c r="W45" i="1"/>
  <c r="V45" i="1"/>
  <c r="U45" i="1"/>
  <c r="T45" i="1"/>
  <c r="S45" i="1"/>
  <c r="R45" i="1"/>
  <c r="Q45" i="1"/>
  <c r="P45" i="1"/>
  <c r="O45" i="1"/>
  <c r="N45" i="1"/>
  <c r="W44" i="1"/>
  <c r="V44" i="1"/>
  <c r="U44" i="1"/>
  <c r="T44" i="1"/>
  <c r="S44" i="1"/>
  <c r="R44" i="1"/>
  <c r="Q44" i="1"/>
  <c r="P44" i="1"/>
  <c r="O44" i="1"/>
  <c r="N44" i="1"/>
  <c r="W43" i="1"/>
  <c r="V43" i="1"/>
  <c r="U43" i="1"/>
  <c r="T43" i="1"/>
  <c r="S43" i="1"/>
  <c r="R43" i="1"/>
  <c r="Q43" i="1"/>
  <c r="P43" i="1"/>
  <c r="O43" i="1"/>
  <c r="N43" i="1"/>
  <c r="W42" i="1"/>
  <c r="V42" i="1"/>
  <c r="U42" i="1"/>
  <c r="T42" i="1"/>
  <c r="S42" i="1"/>
  <c r="R42" i="1"/>
  <c r="Q42" i="1"/>
  <c r="P42" i="1"/>
  <c r="O42" i="1"/>
  <c r="N42" i="1"/>
  <c r="W41" i="1"/>
  <c r="V41" i="1"/>
  <c r="U41" i="1"/>
  <c r="T41" i="1"/>
  <c r="S41" i="1"/>
  <c r="R41" i="1"/>
  <c r="Q41" i="1"/>
  <c r="P41" i="1"/>
  <c r="O41" i="1"/>
  <c r="N41" i="1"/>
  <c r="W40" i="1"/>
  <c r="V40" i="1"/>
  <c r="U40" i="1"/>
  <c r="T40" i="1"/>
  <c r="S40" i="1"/>
  <c r="R40" i="1"/>
  <c r="Q40" i="1"/>
  <c r="P40" i="1"/>
  <c r="O40" i="1"/>
  <c r="N40" i="1"/>
  <c r="W39" i="1"/>
  <c r="V39" i="1"/>
  <c r="U39" i="1"/>
  <c r="T39" i="1"/>
  <c r="S39" i="1"/>
  <c r="R39" i="1"/>
  <c r="Q39" i="1"/>
  <c r="P39" i="1"/>
  <c r="O39" i="1"/>
  <c r="N39" i="1"/>
  <c r="W38" i="1"/>
  <c r="V38" i="1"/>
  <c r="U38" i="1"/>
  <c r="T38" i="1"/>
  <c r="S38" i="1"/>
  <c r="R38" i="1"/>
  <c r="Q38" i="1"/>
  <c r="P38" i="1"/>
  <c r="O38" i="1"/>
  <c r="N38" i="1"/>
  <c r="W37" i="1"/>
  <c r="V37" i="1"/>
  <c r="U37" i="1"/>
  <c r="T37" i="1"/>
  <c r="S37" i="1"/>
  <c r="R37" i="1"/>
  <c r="Q37" i="1"/>
  <c r="P37" i="1"/>
  <c r="O37" i="1"/>
  <c r="N37" i="1"/>
  <c r="W36" i="1"/>
  <c r="V36" i="1"/>
  <c r="U36" i="1"/>
  <c r="T36" i="1"/>
  <c r="S36" i="1"/>
  <c r="R36" i="1"/>
  <c r="Q36" i="1"/>
  <c r="P36" i="1"/>
  <c r="O36" i="1"/>
  <c r="N36" i="1"/>
  <c r="W35" i="1"/>
  <c r="V35" i="1"/>
  <c r="U35" i="1"/>
  <c r="T35" i="1"/>
  <c r="S35" i="1"/>
  <c r="R35" i="1"/>
  <c r="Q35" i="1"/>
  <c r="P35" i="1"/>
  <c r="O35" i="1"/>
  <c r="N35" i="1"/>
  <c r="W34" i="1"/>
  <c r="V34" i="1"/>
  <c r="U34" i="1"/>
  <c r="T34" i="1"/>
  <c r="S34" i="1"/>
  <c r="R34" i="1"/>
  <c r="Q34" i="1"/>
  <c r="P34" i="1"/>
  <c r="O34" i="1"/>
  <c r="N34" i="1"/>
  <c r="W33" i="1"/>
  <c r="V33" i="1"/>
  <c r="U33" i="1"/>
  <c r="T33" i="1"/>
  <c r="S33" i="1"/>
  <c r="R33" i="1"/>
  <c r="Q33" i="1"/>
  <c r="P33" i="1"/>
  <c r="O33" i="1"/>
  <c r="N33" i="1"/>
  <c r="W32" i="1"/>
  <c r="V32" i="1"/>
  <c r="U32" i="1"/>
  <c r="T32" i="1"/>
  <c r="S32" i="1"/>
  <c r="R32" i="1"/>
  <c r="Q32" i="1"/>
  <c r="P32" i="1"/>
  <c r="O32" i="1"/>
  <c r="N32" i="1"/>
  <c r="W31" i="1"/>
  <c r="V31" i="1"/>
  <c r="U31" i="1"/>
  <c r="T31" i="1"/>
  <c r="S31" i="1"/>
  <c r="R31" i="1"/>
  <c r="Q31" i="1"/>
  <c r="P31" i="1"/>
  <c r="O31" i="1"/>
  <c r="N31" i="1"/>
  <c r="W30" i="1"/>
  <c r="V30" i="1"/>
  <c r="U30" i="1"/>
  <c r="T30" i="1"/>
  <c r="S30" i="1"/>
  <c r="R30" i="1"/>
  <c r="Q30" i="1"/>
  <c r="P30" i="1"/>
  <c r="O30" i="1"/>
  <c r="N30" i="1"/>
  <c r="W29" i="1"/>
  <c r="V29" i="1"/>
  <c r="U29" i="1"/>
  <c r="T29" i="1"/>
  <c r="S29" i="1"/>
  <c r="R29" i="1"/>
  <c r="Q29" i="1"/>
  <c r="P29" i="1"/>
  <c r="O29" i="1"/>
  <c r="N29" i="1"/>
  <c r="W28" i="1"/>
  <c r="V28" i="1"/>
  <c r="U28" i="1"/>
  <c r="T28" i="1"/>
  <c r="S28" i="1"/>
  <c r="R28" i="1"/>
  <c r="Q28" i="1"/>
  <c r="P28" i="1"/>
  <c r="O28" i="1"/>
  <c r="N28" i="1"/>
  <c r="W27" i="1"/>
  <c r="V27" i="1"/>
  <c r="U27" i="1"/>
  <c r="T27" i="1"/>
  <c r="S27" i="1"/>
  <c r="R27" i="1"/>
  <c r="Q27" i="1"/>
  <c r="P27" i="1"/>
  <c r="O27" i="1"/>
  <c r="N27" i="1"/>
  <c r="W26" i="1"/>
  <c r="V26" i="1"/>
  <c r="U26" i="1"/>
  <c r="T26" i="1"/>
  <c r="S26" i="1"/>
  <c r="R26" i="1"/>
  <c r="Q26" i="1"/>
  <c r="P26" i="1"/>
  <c r="O26" i="1"/>
  <c r="N26" i="1"/>
  <c r="W25" i="1"/>
  <c r="V25" i="1"/>
  <c r="U25" i="1"/>
  <c r="T25" i="1"/>
  <c r="S25" i="1"/>
  <c r="R25" i="1"/>
  <c r="Q25" i="1"/>
  <c r="P25" i="1"/>
  <c r="O25" i="1"/>
  <c r="N25" i="1"/>
  <c r="W24" i="1"/>
  <c r="V24" i="1"/>
  <c r="U24" i="1"/>
  <c r="T24" i="1"/>
  <c r="S24" i="1"/>
  <c r="R24" i="1"/>
  <c r="Q24" i="1"/>
  <c r="P24" i="1"/>
  <c r="O24" i="1"/>
  <c r="N24" i="1"/>
  <c r="W23" i="1"/>
  <c r="V23" i="1"/>
  <c r="U23" i="1"/>
  <c r="T23" i="1"/>
  <c r="S23" i="1"/>
  <c r="R23" i="1"/>
  <c r="Q23" i="1"/>
  <c r="P23" i="1"/>
  <c r="O23" i="1"/>
  <c r="N23" i="1"/>
  <c r="W22" i="1"/>
  <c r="V22" i="1"/>
  <c r="U22" i="1"/>
  <c r="T22" i="1"/>
  <c r="S22" i="1"/>
  <c r="R22" i="1"/>
  <c r="Q22" i="1"/>
  <c r="P22" i="1"/>
  <c r="O22" i="1"/>
  <c r="N22" i="1"/>
  <c r="W21" i="1"/>
  <c r="V21" i="1"/>
  <c r="U21" i="1"/>
  <c r="T21" i="1"/>
  <c r="S21" i="1"/>
  <c r="R21" i="1"/>
  <c r="Q21" i="1"/>
  <c r="P21" i="1"/>
  <c r="O21" i="1"/>
  <c r="N21" i="1"/>
  <c r="W20" i="1"/>
  <c r="V20" i="1"/>
  <c r="U20" i="1"/>
  <c r="T20" i="1"/>
  <c r="S20" i="1"/>
  <c r="R20" i="1"/>
  <c r="Q20" i="1"/>
  <c r="P20" i="1"/>
  <c r="O20" i="1"/>
  <c r="N20" i="1"/>
  <c r="W19" i="1"/>
  <c r="V19" i="1"/>
  <c r="U19" i="1"/>
  <c r="T19" i="1"/>
  <c r="S19" i="1"/>
  <c r="R19" i="1"/>
  <c r="Q19" i="1"/>
  <c r="P19" i="1"/>
  <c r="O19" i="1"/>
  <c r="N19" i="1"/>
  <c r="W18" i="1"/>
  <c r="V18" i="1"/>
  <c r="U18" i="1"/>
  <c r="T18" i="1"/>
  <c r="S18" i="1"/>
  <c r="R18" i="1"/>
  <c r="Q18" i="1"/>
  <c r="P18" i="1"/>
  <c r="O18" i="1"/>
  <c r="N18" i="1"/>
  <c r="W17" i="1"/>
  <c r="V17" i="1"/>
  <c r="U17" i="1"/>
  <c r="T17" i="1"/>
  <c r="S17" i="1"/>
  <c r="R17" i="1"/>
  <c r="Q17" i="1"/>
  <c r="P17" i="1"/>
  <c r="O17" i="1"/>
  <c r="N17" i="1"/>
  <c r="W16" i="1"/>
  <c r="V16" i="1"/>
  <c r="U16" i="1"/>
  <c r="T16" i="1"/>
  <c r="S16" i="1"/>
  <c r="R16" i="1"/>
  <c r="Q16" i="1"/>
  <c r="P16" i="1"/>
  <c r="O16" i="1"/>
  <c r="N16" i="1"/>
  <c r="W15" i="1"/>
  <c r="V15" i="1"/>
  <c r="U15" i="1"/>
  <c r="T15" i="1"/>
  <c r="S15" i="1"/>
  <c r="R15" i="1"/>
  <c r="Q15" i="1"/>
  <c r="P15" i="1"/>
  <c r="O15" i="1"/>
  <c r="N15" i="1"/>
  <c r="W14" i="1"/>
  <c r="V14" i="1"/>
  <c r="U14" i="1"/>
  <c r="T14" i="1"/>
  <c r="S14" i="1"/>
  <c r="R14" i="1"/>
  <c r="Q14" i="1"/>
  <c r="P14" i="1"/>
  <c r="O14" i="1"/>
  <c r="N14" i="1"/>
  <c r="W13" i="1"/>
  <c r="V13" i="1"/>
  <c r="U13" i="1"/>
  <c r="T13" i="1"/>
  <c r="S13" i="1"/>
  <c r="R13" i="1"/>
  <c r="Q13" i="1"/>
  <c r="P13" i="1"/>
  <c r="O13" i="1"/>
  <c r="N13" i="1"/>
  <c r="W12" i="1"/>
  <c r="V12" i="1"/>
  <c r="U12" i="1"/>
  <c r="T12" i="1"/>
  <c r="S12" i="1"/>
  <c r="R12" i="1"/>
  <c r="Q12" i="1"/>
  <c r="P12" i="1"/>
  <c r="O12" i="1"/>
  <c r="N12" i="1"/>
  <c r="W11" i="1"/>
  <c r="V11" i="1"/>
  <c r="U11" i="1"/>
  <c r="T11" i="1"/>
  <c r="S11" i="1"/>
  <c r="R11" i="1"/>
  <c r="Q11" i="1"/>
  <c r="P11" i="1"/>
  <c r="O11" i="1"/>
  <c r="N11" i="1"/>
  <c r="W10" i="1"/>
  <c r="V10" i="1"/>
  <c r="U10" i="1"/>
  <c r="T10" i="1"/>
  <c r="S10" i="1"/>
  <c r="R10" i="1"/>
  <c r="Q10" i="1"/>
  <c r="P10" i="1"/>
  <c r="O10" i="1"/>
  <c r="N10" i="1"/>
  <c r="W9" i="1"/>
  <c r="V9" i="1"/>
  <c r="U9" i="1"/>
  <c r="T9" i="1"/>
  <c r="S9" i="1"/>
  <c r="R9" i="1"/>
  <c r="Q9" i="1"/>
  <c r="P9" i="1"/>
  <c r="O9" i="1"/>
  <c r="N9" i="1"/>
  <c r="W8" i="1"/>
  <c r="V8" i="1"/>
  <c r="U8" i="1"/>
  <c r="T8" i="1"/>
  <c r="S8" i="1"/>
  <c r="R8" i="1"/>
  <c r="Q8" i="1"/>
  <c r="P8" i="1"/>
  <c r="O8" i="1"/>
  <c r="N8" i="1"/>
  <c r="W7" i="1"/>
  <c r="V7" i="1"/>
  <c r="U7" i="1"/>
  <c r="T7" i="1"/>
  <c r="S7" i="1"/>
  <c r="R7" i="1"/>
  <c r="Q7" i="1"/>
  <c r="P7" i="1"/>
  <c r="O7" i="1"/>
  <c r="N7" i="1"/>
  <c r="W6" i="1"/>
  <c r="V6" i="1"/>
  <c r="U6" i="1"/>
  <c r="T6" i="1"/>
  <c r="S6" i="1"/>
  <c r="R6" i="1"/>
  <c r="Q6" i="1"/>
  <c r="P6" i="1"/>
  <c r="O6" i="1"/>
  <c r="N6" i="1"/>
  <c r="W5" i="1"/>
  <c r="V5" i="1"/>
  <c r="U5" i="1"/>
  <c r="T5" i="1"/>
  <c r="S5" i="1"/>
  <c r="R5" i="1"/>
  <c r="Q5" i="1"/>
  <c r="P5" i="1"/>
  <c r="O5" i="1"/>
  <c r="N5" i="1"/>
  <c r="W4" i="1"/>
  <c r="V4" i="1"/>
  <c r="U4" i="1"/>
  <c r="T4" i="1"/>
  <c r="S4" i="1"/>
  <c r="R4" i="1"/>
  <c r="Q4" i="1"/>
  <c r="P4" i="1"/>
  <c r="O4" i="1"/>
  <c r="N4" i="1"/>
  <c r="W3" i="1"/>
  <c r="V3" i="1"/>
  <c r="U3" i="1"/>
  <c r="T3" i="1"/>
  <c r="S3" i="1"/>
  <c r="R3" i="1"/>
  <c r="Q3" i="1"/>
  <c r="P3" i="1"/>
  <c r="O3" i="1"/>
  <c r="N3" i="1"/>
  <c r="W2" i="1"/>
  <c r="V2" i="1"/>
  <c r="U2" i="1"/>
  <c r="T2" i="1"/>
  <c r="S2" i="1"/>
  <c r="R2" i="1"/>
  <c r="Q2" i="1"/>
  <c r="P2" i="1"/>
  <c r="O2" i="1"/>
  <c r="N2" i="1"/>
  <c r="AW13" i="5"/>
  <c r="AR13" i="5"/>
  <c r="AK13" i="5"/>
  <c r="AJ13" i="5"/>
  <c r="AI13" i="5"/>
  <c r="AG13" i="5"/>
  <c r="AF13" i="5"/>
  <c r="AE13" i="5"/>
  <c r="AD13" i="5"/>
  <c r="U13" i="5"/>
  <c r="S13" i="5"/>
  <c r="R13" i="5"/>
  <c r="E13" i="5"/>
  <c r="D13" i="5"/>
  <c r="C13" i="5"/>
  <c r="B13" i="5"/>
  <c r="AW10" i="5"/>
  <c r="AV10" i="5"/>
  <c r="R6" i="3" s="1"/>
  <c r="R40" i="3" s="1"/>
  <c r="AU10" i="5"/>
  <c r="AK6" i="3" s="1"/>
  <c r="AK104" i="3" s="1"/>
  <c r="AT10" i="5"/>
  <c r="U6" i="3" s="1"/>
  <c r="U106" i="3" s="1"/>
  <c r="AS10" i="5"/>
  <c r="AB6" i="3" s="1"/>
  <c r="AB9" i="3" s="1"/>
  <c r="AR10" i="5"/>
  <c r="K6" i="3" s="1"/>
  <c r="AQ10" i="5"/>
  <c r="AP10" i="5"/>
  <c r="AO10" i="5"/>
  <c r="AN10" i="5"/>
  <c r="AM10" i="5"/>
  <c r="AM13" i="5" s="1"/>
  <c r="AL10" i="5"/>
  <c r="AK10" i="5"/>
  <c r="AJ6" i="3" s="1"/>
  <c r="AJ9" i="3" s="1"/>
  <c r="AJ10" i="5"/>
  <c r="L6" i="3" s="1"/>
  <c r="L10" i="3" s="1"/>
  <c r="AI10" i="5"/>
  <c r="AH10" i="5"/>
  <c r="S6" i="3" s="1"/>
  <c r="S106" i="3" s="1"/>
  <c r="AG10" i="5"/>
  <c r="AF10" i="5"/>
  <c r="AE10" i="5"/>
  <c r="AG6" i="3" s="1"/>
  <c r="AG100" i="3" s="1"/>
  <c r="AD10" i="5"/>
  <c r="Z6" i="3" s="1"/>
  <c r="AC10" i="5"/>
  <c r="AB10" i="5"/>
  <c r="AA10" i="5"/>
  <c r="AA13" i="5" s="1"/>
  <c r="Z10" i="5"/>
  <c r="Y10" i="5"/>
  <c r="X10" i="5"/>
  <c r="X13" i="5" s="1"/>
  <c r="W10" i="5"/>
  <c r="V10" i="5"/>
  <c r="P6" i="3" s="1"/>
  <c r="P9" i="3" s="1"/>
  <c r="U10" i="5"/>
  <c r="T10" i="5"/>
  <c r="V6" i="3" s="1"/>
  <c r="V104" i="3" s="1"/>
  <c r="S10" i="5"/>
  <c r="R10" i="5"/>
  <c r="Q10" i="5"/>
  <c r="AE6" i="3" s="1"/>
  <c r="AE106" i="3" s="1"/>
  <c r="P10" i="5"/>
  <c r="Y6" i="3" s="1"/>
  <c r="Y106" i="3" s="1"/>
  <c r="O10" i="5"/>
  <c r="O13" i="5" s="1"/>
  <c r="N10" i="5"/>
  <c r="M10" i="5"/>
  <c r="L10" i="5"/>
  <c r="L13" i="5" s="1"/>
  <c r="K10" i="5"/>
  <c r="K13" i="5" s="1"/>
  <c r="J10" i="5"/>
  <c r="I10" i="5"/>
  <c r="J6" i="3" s="1"/>
  <c r="J19" i="3" s="1"/>
  <c r="H10" i="5"/>
  <c r="G10" i="5"/>
  <c r="M6" i="3" s="1"/>
  <c r="M10" i="3" s="1"/>
  <c r="F10" i="5"/>
  <c r="AD6" i="3" s="1"/>
  <c r="AD40" i="3" s="1"/>
  <c r="E10" i="5"/>
  <c r="D10" i="5"/>
  <c r="T6" i="3" s="1"/>
  <c r="C10" i="5"/>
  <c r="B10" i="5"/>
  <c r="AY8" i="5"/>
  <c r="AY7" i="5"/>
  <c r="AY6" i="5"/>
  <c r="AY5" i="5"/>
  <c r="AY4" i="5"/>
  <c r="AY3" i="5"/>
  <c r="AY2" i="5"/>
  <c r="AN9" i="3"/>
  <c r="AZ9" i="3"/>
  <c r="AX105" i="3"/>
  <c r="AW93" i="3"/>
  <c r="AV105" i="3"/>
  <c r="AU9" i="3"/>
  <c r="AT105" i="3"/>
  <c r="AO9" i="3"/>
  <c r="AN29" i="3"/>
  <c r="AL10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W13" i="5" l="1"/>
  <c r="AF6" i="3"/>
  <c r="AF40" i="3" s="1"/>
  <c r="AU13" i="5"/>
  <c r="F13" i="5"/>
  <c r="Q13" i="5"/>
  <c r="AP13" i="5"/>
  <c r="AH6" i="3"/>
  <c r="AH107" i="3" s="1"/>
  <c r="J13" i="5"/>
  <c r="AI6" i="3"/>
  <c r="AI9" i="3" s="1"/>
  <c r="AS13" i="5"/>
  <c r="AQ13" i="5"/>
  <c r="AC6" i="3"/>
  <c r="AC104" i="3" s="1"/>
  <c r="P13" i="5"/>
  <c r="Y13" i="5"/>
  <c r="X6" i="3"/>
  <c r="X19" i="3" s="1"/>
  <c r="Z13" i="5"/>
  <c r="AA6" i="3"/>
  <c r="AA93" i="3" s="1"/>
  <c r="M13" i="5"/>
  <c r="W6" i="3"/>
  <c r="W9" i="3" s="1"/>
  <c r="T13" i="5"/>
  <c r="AT13" i="5"/>
  <c r="AL13" i="5"/>
  <c r="Q6" i="3"/>
  <c r="Q96" i="3" s="1"/>
  <c r="V13" i="5"/>
  <c r="AC13" i="5"/>
  <c r="O6" i="3"/>
  <c r="O48" i="3" s="1"/>
  <c r="H13" i="5"/>
  <c r="N6" i="3"/>
  <c r="N99" i="3" s="1"/>
  <c r="J29" i="3"/>
  <c r="I13" i="5"/>
  <c r="G13" i="5"/>
  <c r="M69" i="3"/>
  <c r="AH13" i="5"/>
  <c r="AV13" i="5"/>
  <c r="R19" i="3"/>
  <c r="R108" i="3"/>
  <c r="E108" i="3" s="1"/>
  <c r="N13" i="5"/>
  <c r="I6" i="3"/>
  <c r="I80" i="3" s="1"/>
  <c r="AO13" i="5"/>
  <c r="H6" i="3"/>
  <c r="H9" i="3" s="1"/>
  <c r="AN13" i="5"/>
  <c r="G6" i="3"/>
  <c r="G9" i="3" s="1"/>
  <c r="AB13" i="5"/>
  <c r="F6" i="3"/>
  <c r="F29" i="3" s="1"/>
  <c r="AY29" i="3"/>
  <c r="AE29" i="3"/>
  <c r="K29" i="3"/>
  <c r="K105" i="3"/>
  <c r="AA40" i="3"/>
  <c r="U103" i="3"/>
  <c r="BA9" i="3"/>
  <c r="Y101" i="3"/>
  <c r="Y105" i="3"/>
  <c r="AR29" i="3"/>
  <c r="AM103" i="3"/>
  <c r="AP46" i="3"/>
  <c r="AD101" i="3"/>
  <c r="AT102" i="3"/>
  <c r="AT101" i="3"/>
  <c r="L14" i="3"/>
  <c r="M79" i="3"/>
  <c r="AS36" i="3"/>
  <c r="AV103" i="3"/>
  <c r="AV101" i="3"/>
  <c r="AT87" i="3"/>
  <c r="J10" i="3"/>
  <c r="J100" i="3"/>
  <c r="K101" i="3"/>
  <c r="K10" i="3"/>
  <c r="K102" i="3"/>
  <c r="K103" i="3"/>
  <c r="AX104" i="3"/>
  <c r="AX100" i="3"/>
  <c r="R104" i="3"/>
  <c r="R100" i="3"/>
  <c r="AN102" i="3"/>
  <c r="AN104" i="3"/>
  <c r="U9" i="3"/>
  <c r="U98" i="3"/>
  <c r="K9" i="3"/>
  <c r="AD90" i="3"/>
  <c r="AD96" i="3"/>
  <c r="AD39" i="3"/>
  <c r="AD28" i="3"/>
  <c r="AT9" i="3"/>
  <c r="AT97" i="3"/>
  <c r="AT98" i="3"/>
  <c r="AT27" i="3"/>
  <c r="AG93" i="3"/>
  <c r="R9" i="3"/>
  <c r="R39" i="3"/>
  <c r="R94" i="3"/>
  <c r="AX94" i="3"/>
  <c r="AX93" i="3"/>
  <c r="AX41" i="3"/>
  <c r="S9" i="3"/>
  <c r="S93" i="3"/>
  <c r="AK9" i="3"/>
  <c r="AK93" i="3"/>
  <c r="AK96" i="3"/>
  <c r="V9" i="3"/>
  <c r="V92" i="3"/>
  <c r="V94" i="3"/>
  <c r="V28" i="3"/>
  <c r="AL9" i="3"/>
  <c r="AL27" i="3"/>
  <c r="AL99" i="3"/>
  <c r="AL94" i="3"/>
  <c r="AL28" i="3"/>
  <c r="AE9" i="3"/>
  <c r="AE27" i="3"/>
  <c r="AM9" i="3"/>
  <c r="AM91" i="3"/>
  <c r="AM97" i="3"/>
  <c r="AM98" i="3"/>
  <c r="AM92" i="3"/>
  <c r="AN96" i="3"/>
  <c r="AN97" i="3"/>
  <c r="AN39" i="3"/>
  <c r="AN93" i="3"/>
  <c r="AL42" i="3"/>
  <c r="AL38" i="3"/>
  <c r="AV9" i="3"/>
  <c r="AV90" i="3"/>
  <c r="AV28" i="3"/>
  <c r="AV96" i="3"/>
  <c r="AV92" i="3"/>
  <c r="AY9" i="3"/>
  <c r="AY94" i="3"/>
  <c r="AY27" i="3"/>
  <c r="AY99" i="3"/>
  <c r="Y96" i="3"/>
  <c r="Y93" i="3"/>
  <c r="Z97" i="3"/>
  <c r="Z98" i="3"/>
  <c r="Z92" i="3"/>
  <c r="Z95" i="3"/>
  <c r="Z90" i="3"/>
  <c r="AP98" i="3"/>
  <c r="AP90" i="3"/>
  <c r="AP93" i="3"/>
  <c r="AP95" i="3"/>
  <c r="AG9" i="3"/>
  <c r="AN14" i="3"/>
  <c r="AN46" i="3"/>
  <c r="AN44" i="3"/>
  <c r="AN55" i="3"/>
  <c r="AN23" i="3"/>
  <c r="AN74" i="3"/>
  <c r="AN24" i="3"/>
  <c r="AN80" i="3"/>
  <c r="AN81" i="3"/>
  <c r="AN84" i="3"/>
  <c r="AN37" i="3"/>
  <c r="Y47" i="3"/>
  <c r="Y30" i="3"/>
  <c r="Y12" i="3"/>
  <c r="Y31" i="3"/>
  <c r="Y52" i="3"/>
  <c r="Y22" i="3"/>
  <c r="Y56" i="3"/>
  <c r="Y11" i="3"/>
  <c r="Y23" i="3"/>
  <c r="Y32" i="3"/>
  <c r="Y33" i="3"/>
  <c r="Y71" i="3"/>
  <c r="Y18" i="3"/>
  <c r="Y77" i="3"/>
  <c r="Y24" i="3"/>
  <c r="AR96" i="3"/>
  <c r="AR28" i="3"/>
  <c r="AR27" i="3"/>
  <c r="AW9" i="3"/>
  <c r="Z14" i="3"/>
  <c r="AQ9" i="3"/>
  <c r="AQ94" i="3"/>
  <c r="AQ92" i="3"/>
  <c r="M9" i="3"/>
  <c r="AS9" i="3"/>
  <c r="AS91" i="3"/>
  <c r="AX9" i="3"/>
  <c r="AQ45" i="3"/>
  <c r="AQ12" i="3"/>
  <c r="K44" i="3"/>
  <c r="K51" i="3"/>
  <c r="K15" i="3"/>
  <c r="K20" i="3"/>
  <c r="K22" i="3"/>
  <c r="AQ22" i="3"/>
  <c r="K56" i="3"/>
  <c r="K11" i="3"/>
  <c r="K16" i="3"/>
  <c r="K23" i="3"/>
  <c r="K74" i="3"/>
  <c r="Y38" i="3"/>
  <c r="Y85" i="3"/>
  <c r="Y86" i="3"/>
  <c r="Z47" i="3"/>
  <c r="AP42" i="3"/>
  <c r="AP48" i="3"/>
  <c r="J30" i="3"/>
  <c r="AP30" i="3"/>
  <c r="J31" i="3"/>
  <c r="Z31" i="3"/>
  <c r="AP50" i="3"/>
  <c r="J15" i="3"/>
  <c r="Z15" i="3"/>
  <c r="J20" i="3"/>
  <c r="Z20" i="3"/>
  <c r="J52" i="3"/>
  <c r="J22" i="3"/>
  <c r="J55" i="3"/>
  <c r="AP59" i="3"/>
  <c r="AP60" i="3"/>
  <c r="Z13" i="3"/>
  <c r="Z62" i="3"/>
  <c r="AP63" i="3"/>
  <c r="J16" i="3"/>
  <c r="Z16" i="3"/>
  <c r="Z66" i="3"/>
  <c r="J67" i="3"/>
  <c r="Z17" i="3"/>
  <c r="AP23" i="3"/>
  <c r="AP32" i="3"/>
  <c r="Z69" i="3"/>
  <c r="Z70" i="3"/>
  <c r="J71" i="3"/>
  <c r="J74" i="3"/>
  <c r="AP34" i="3"/>
  <c r="AP75" i="3"/>
  <c r="J76" i="3"/>
  <c r="Z76" i="3"/>
  <c r="Z77" i="3"/>
  <c r="Z24" i="3"/>
  <c r="AP78" i="3"/>
  <c r="Z79" i="3"/>
  <c r="J35" i="3"/>
  <c r="AP82" i="3"/>
  <c r="Z36" i="3"/>
  <c r="Z25" i="3"/>
  <c r="J26" i="3"/>
  <c r="AP37" i="3"/>
  <c r="Z85" i="3"/>
  <c r="AP87" i="3"/>
  <c r="K38" i="3"/>
  <c r="AR41" i="3"/>
  <c r="L42" i="3"/>
  <c r="AB51" i="3"/>
  <c r="AR15" i="3"/>
  <c r="AR55" i="3"/>
  <c r="L57" i="3"/>
  <c r="AR58" i="3"/>
  <c r="AR59" i="3"/>
  <c r="L60" i="3"/>
  <c r="AR60" i="3"/>
  <c r="AR61" i="3"/>
  <c r="AB11" i="3"/>
  <c r="AB13" i="3"/>
  <c r="AR16" i="3"/>
  <c r="AR32" i="3"/>
  <c r="AR74" i="3"/>
  <c r="AR34" i="3"/>
  <c r="AR75" i="3"/>
  <c r="AR76" i="3"/>
  <c r="AR77" i="3"/>
  <c r="L83" i="3"/>
  <c r="AR83" i="3"/>
  <c r="AB25" i="3"/>
  <c r="AR25" i="3"/>
  <c r="L84" i="3"/>
  <c r="AB88" i="3"/>
  <c r="AD45" i="3"/>
  <c r="AD41" i="3"/>
  <c r="AT48" i="3"/>
  <c r="AD44" i="3"/>
  <c r="AD50" i="3"/>
  <c r="AT51" i="3"/>
  <c r="AT54" i="3"/>
  <c r="AD58" i="3"/>
  <c r="AD59" i="3"/>
  <c r="AT61" i="3"/>
  <c r="AD11" i="3"/>
  <c r="AD13" i="3"/>
  <c r="AD63" i="3"/>
  <c r="AD65" i="3"/>
  <c r="AD66" i="3"/>
  <c r="AT17" i="3"/>
  <c r="AT72" i="3"/>
  <c r="AD34" i="3"/>
  <c r="AD24" i="3"/>
  <c r="AT79" i="3"/>
  <c r="AD80" i="3"/>
  <c r="AT35" i="3"/>
  <c r="AD82" i="3"/>
  <c r="AD84" i="3"/>
  <c r="AT26" i="3"/>
  <c r="AD38" i="3"/>
  <c r="AT38" i="3"/>
  <c r="AD85" i="3"/>
  <c r="AT85" i="3"/>
  <c r="AT86" i="3"/>
  <c r="AE12" i="3"/>
  <c r="AE51" i="3"/>
  <c r="AE15" i="3"/>
  <c r="AE20" i="3"/>
  <c r="AE21" i="3"/>
  <c r="AE52" i="3"/>
  <c r="AU54" i="3"/>
  <c r="AE56" i="3"/>
  <c r="AE16" i="3"/>
  <c r="AE70" i="3"/>
  <c r="AE71" i="3"/>
  <c r="AE74" i="3"/>
  <c r="AE26" i="3"/>
  <c r="AE37" i="3"/>
  <c r="AE38" i="3"/>
  <c r="AE89" i="3"/>
  <c r="P48" i="3"/>
  <c r="AV31" i="3"/>
  <c r="AV54" i="3"/>
  <c r="AV13" i="3"/>
  <c r="AV62" i="3"/>
  <c r="AV23" i="3"/>
  <c r="AV73" i="3"/>
  <c r="AV74" i="3"/>
  <c r="AV76" i="3"/>
  <c r="AV79" i="3"/>
  <c r="AV83" i="3"/>
  <c r="AG42" i="3"/>
  <c r="AG62" i="3"/>
  <c r="AG66" i="3"/>
  <c r="AW17" i="3"/>
  <c r="AW69" i="3"/>
  <c r="AW18" i="3"/>
  <c r="AG81" i="3"/>
  <c r="AW25" i="3"/>
  <c r="AG89" i="3"/>
  <c r="AX14" i="3"/>
  <c r="AX45" i="3"/>
  <c r="R41" i="3"/>
  <c r="AX42" i="3"/>
  <c r="R49" i="3"/>
  <c r="AX49" i="3"/>
  <c r="R31" i="3"/>
  <c r="R21" i="3"/>
  <c r="R52" i="3"/>
  <c r="AX54" i="3"/>
  <c r="R22" i="3"/>
  <c r="AX55" i="3"/>
  <c r="AX56" i="3"/>
  <c r="R57" i="3"/>
  <c r="AX57" i="3"/>
  <c r="R11" i="3"/>
  <c r="R13" i="3"/>
  <c r="R63" i="3"/>
  <c r="AX64" i="3"/>
  <c r="R17" i="3"/>
  <c r="R33" i="3"/>
  <c r="AX73" i="3"/>
  <c r="AX75" i="3"/>
  <c r="R76" i="3"/>
  <c r="AX77" i="3"/>
  <c r="R80" i="3"/>
  <c r="R35" i="3"/>
  <c r="AX81" i="3"/>
  <c r="R36" i="3"/>
  <c r="AX84" i="3"/>
  <c r="R37" i="3"/>
  <c r="R88" i="3"/>
  <c r="AY41" i="3"/>
  <c r="AY47" i="3"/>
  <c r="AY49" i="3"/>
  <c r="AY31" i="3"/>
  <c r="AY15" i="3"/>
  <c r="AY20" i="3"/>
  <c r="AY52" i="3"/>
  <c r="AY58" i="3"/>
  <c r="AY60" i="3"/>
  <c r="AY61" i="3"/>
  <c r="AY62" i="3"/>
  <c r="S63" i="3"/>
  <c r="AY16" i="3"/>
  <c r="AY68" i="3"/>
  <c r="AY69" i="3"/>
  <c r="AY70" i="3"/>
  <c r="AY33" i="3"/>
  <c r="AY74" i="3"/>
  <c r="AY18" i="3"/>
  <c r="AY76" i="3"/>
  <c r="AY83" i="3"/>
  <c r="S25" i="3"/>
  <c r="AY38" i="3"/>
  <c r="AY85" i="3"/>
  <c r="AY87" i="3"/>
  <c r="AY88" i="3"/>
  <c r="AZ49" i="3"/>
  <c r="T12" i="3"/>
  <c r="T51" i="3"/>
  <c r="T52" i="3"/>
  <c r="AJ22" i="3"/>
  <c r="AZ22" i="3"/>
  <c r="AJ11" i="3"/>
  <c r="AZ69" i="3"/>
  <c r="T18" i="3"/>
  <c r="T25" i="3"/>
  <c r="T87" i="3"/>
  <c r="T89" i="3"/>
  <c r="U47" i="3"/>
  <c r="BA48" i="3"/>
  <c r="U30" i="3"/>
  <c r="AK30" i="3"/>
  <c r="BA30" i="3"/>
  <c r="U44" i="3"/>
  <c r="BA51" i="3"/>
  <c r="AK56" i="3"/>
  <c r="AK58" i="3"/>
  <c r="U60" i="3"/>
  <c r="AK60" i="3"/>
  <c r="U61" i="3"/>
  <c r="AK61" i="3"/>
  <c r="AK67" i="3"/>
  <c r="AK70" i="3"/>
  <c r="U72" i="3"/>
  <c r="AK73" i="3"/>
  <c r="AK74" i="3"/>
  <c r="U18" i="3"/>
  <c r="U35" i="3"/>
  <c r="AK83" i="3"/>
  <c r="U86" i="3"/>
  <c r="V14" i="3"/>
  <c r="AL43" i="3"/>
  <c r="AL49" i="3"/>
  <c r="V12" i="3"/>
  <c r="AL12" i="3"/>
  <c r="V44" i="3"/>
  <c r="V50" i="3"/>
  <c r="AL50" i="3"/>
  <c r="V51" i="3"/>
  <c r="AL15" i="3"/>
  <c r="AL21" i="3"/>
  <c r="V54" i="3"/>
  <c r="AL55" i="3"/>
  <c r="AL56" i="3"/>
  <c r="AL58" i="3"/>
  <c r="AL59" i="3"/>
  <c r="V11" i="3"/>
  <c r="AL16" i="3"/>
  <c r="AL65" i="3"/>
  <c r="V66" i="3"/>
  <c r="AL66" i="3"/>
  <c r="AL68" i="3"/>
  <c r="V17" i="3"/>
  <c r="AL32" i="3"/>
  <c r="AL71" i="3"/>
  <c r="V73" i="3"/>
  <c r="AL74" i="3"/>
  <c r="V75" i="3"/>
  <c r="V36" i="3"/>
  <c r="V25" i="3"/>
  <c r="AL84" i="3"/>
  <c r="V26" i="3"/>
  <c r="V37" i="3"/>
  <c r="AL85" i="3"/>
  <c r="AL86" i="3"/>
  <c r="AL87" i="3"/>
  <c r="V89" i="3"/>
  <c r="AM49" i="3"/>
  <c r="AM51" i="3"/>
  <c r="AM20" i="3"/>
  <c r="AM52" i="3"/>
  <c r="AM57" i="3"/>
  <c r="AM58" i="3"/>
  <c r="AM60" i="3"/>
  <c r="AM61" i="3"/>
  <c r="AM23" i="3"/>
  <c r="AM32" i="3"/>
  <c r="AM69" i="3"/>
  <c r="AM33" i="3"/>
  <c r="AM18" i="3"/>
  <c r="AM76" i="3"/>
  <c r="AM78" i="3"/>
  <c r="AM82" i="3"/>
  <c r="AM25" i="3"/>
  <c r="X2" i="1"/>
  <c r="X51" i="1"/>
  <c r="X6" i="1"/>
  <c r="X48" i="1"/>
  <c r="X53" i="1"/>
  <c r="X62" i="1"/>
  <c r="X63" i="1"/>
  <c r="X66" i="1"/>
  <c r="X67" i="1"/>
  <c r="X5" i="1"/>
  <c r="X34" i="1"/>
  <c r="U7" i="3"/>
  <c r="X20" i="1"/>
  <c r="V7" i="3"/>
  <c r="AY8" i="3"/>
  <c r="AY43" i="3"/>
  <c r="K8" i="3"/>
  <c r="K43" i="3"/>
  <c r="X24" i="1"/>
  <c r="AQ7" i="3"/>
  <c r="AM8" i="3"/>
  <c r="AM43" i="3"/>
  <c r="AC7" i="3"/>
  <c r="R8" i="3"/>
  <c r="AO8" i="3"/>
  <c r="O7" i="3"/>
  <c r="X49" i="1"/>
  <c r="Y8" i="3"/>
  <c r="Y43" i="3"/>
  <c r="S8" i="3"/>
  <c r="BA8" i="3"/>
  <c r="BA43" i="3"/>
  <c r="X35" i="1"/>
  <c r="AG8" i="3"/>
  <c r="G7" i="3"/>
  <c r="AI7" i="3"/>
  <c r="AW7" i="3"/>
  <c r="M7" i="3"/>
  <c r="AA7" i="3"/>
  <c r="AO7" i="3"/>
  <c r="H7" i="3"/>
  <c r="AJ7" i="3"/>
  <c r="AX7" i="3"/>
  <c r="N7" i="3"/>
  <c r="AB7" i="3"/>
  <c r="AP7" i="3"/>
  <c r="AP8" i="3"/>
  <c r="T8" i="3"/>
  <c r="AH8" i="3"/>
  <c r="AV8" i="3"/>
  <c r="G8" i="3"/>
  <c r="U8" i="3"/>
  <c r="AI8" i="3"/>
  <c r="AW8" i="3"/>
  <c r="P7" i="3"/>
  <c r="P8" i="3"/>
  <c r="AD8" i="3"/>
  <c r="AD7" i="3"/>
  <c r="AR7" i="3"/>
  <c r="AR8" i="3"/>
  <c r="H8" i="3"/>
  <c r="V8" i="3"/>
  <c r="AJ8" i="3"/>
  <c r="AX8" i="3"/>
  <c r="Q8" i="3"/>
  <c r="Q7" i="3"/>
  <c r="AE8" i="3"/>
  <c r="AS7" i="3"/>
  <c r="AS8" i="3"/>
  <c r="I8" i="3"/>
  <c r="W8" i="3"/>
  <c r="AK8" i="3"/>
  <c r="G43" i="3"/>
  <c r="U43" i="3"/>
  <c r="AI43" i="3"/>
  <c r="AW43" i="3"/>
  <c r="X36" i="1"/>
  <c r="AT8" i="3"/>
  <c r="J8" i="3"/>
  <c r="X8" i="3"/>
  <c r="AL8" i="3"/>
  <c r="AZ8" i="3"/>
  <c r="H43" i="3"/>
  <c r="V43" i="3"/>
  <c r="AJ43" i="3"/>
  <c r="AX43" i="3"/>
  <c r="AU8" i="3"/>
  <c r="K7" i="3"/>
  <c r="Y7" i="3"/>
  <c r="AM7" i="3"/>
  <c r="AM53" i="3"/>
  <c r="BA7" i="3"/>
  <c r="X39" i="1"/>
  <c r="L7" i="3"/>
  <c r="Z7" i="3"/>
  <c r="AN7" i="3"/>
  <c r="AE7" i="3"/>
  <c r="L53" i="3"/>
  <c r="Z53" i="3"/>
  <c r="AN53" i="3"/>
  <c r="L8" i="3"/>
  <c r="Z8" i="3"/>
  <c r="AN8" i="3"/>
  <c r="M53" i="3"/>
  <c r="AO53" i="3"/>
  <c r="R7" i="3"/>
  <c r="AF7" i="3"/>
  <c r="AT7" i="3"/>
  <c r="M8" i="3"/>
  <c r="AA8" i="3"/>
  <c r="N53" i="3"/>
  <c r="AB53" i="3"/>
  <c r="AP53" i="3"/>
  <c r="F7" i="3"/>
  <c r="S7" i="3"/>
  <c r="AG7" i="3"/>
  <c r="AU7" i="3"/>
  <c r="N8" i="3"/>
  <c r="AB8" i="3"/>
  <c r="AC53" i="3"/>
  <c r="AQ53" i="3"/>
  <c r="F8" i="3"/>
  <c r="T7" i="3"/>
  <c r="AH7" i="3"/>
  <c r="AV7" i="3"/>
  <c r="O8" i="3"/>
  <c r="AC8" i="3"/>
  <c r="AQ8" i="3"/>
  <c r="I7" i="3"/>
  <c r="W7" i="3"/>
  <c r="AK7" i="3"/>
  <c r="AY7" i="3"/>
  <c r="AF8" i="3"/>
  <c r="S53" i="3"/>
  <c r="AG53" i="3"/>
  <c r="J7" i="3"/>
  <c r="X7" i="3"/>
  <c r="AL7" i="3"/>
  <c r="AZ7" i="3"/>
  <c r="T53" i="3"/>
  <c r="AH53" i="3"/>
  <c r="AV53" i="3"/>
  <c r="R53" i="3"/>
  <c r="G53" i="3"/>
  <c r="U53" i="3"/>
  <c r="AI53" i="3"/>
  <c r="AW53" i="3"/>
  <c r="X21" i="1"/>
  <c r="H53" i="3"/>
  <c r="V53" i="3"/>
  <c r="AJ53" i="3"/>
  <c r="AX53" i="3"/>
  <c r="I53" i="3"/>
  <c r="W53" i="3"/>
  <c r="AK53" i="3"/>
  <c r="J53" i="3"/>
  <c r="X53" i="3"/>
  <c r="AL53" i="3"/>
  <c r="AZ53" i="3"/>
  <c r="X32" i="1"/>
  <c r="X15" i="1"/>
  <c r="X16" i="1"/>
  <c r="X44" i="1"/>
  <c r="X58" i="1"/>
  <c r="X71" i="1"/>
  <c r="X47" i="1"/>
  <c r="X61" i="1"/>
  <c r="X17" i="1"/>
  <c r="X31" i="1"/>
  <c r="X14" i="1"/>
  <c r="X73" i="1"/>
  <c r="X69" i="1"/>
  <c r="X11" i="1"/>
  <c r="X54" i="1"/>
  <c r="X18" i="1"/>
  <c r="X50" i="1"/>
  <c r="X65" i="1"/>
  <c r="X33" i="1"/>
  <c r="X12" i="1"/>
  <c r="X43" i="1"/>
  <c r="X10" i="1"/>
  <c r="X72" i="1"/>
  <c r="X68" i="1"/>
  <c r="X19" i="1"/>
  <c r="X13" i="1"/>
  <c r="X29" i="1"/>
  <c r="X57" i="1"/>
  <c r="X70" i="1"/>
  <c r="X25" i="1"/>
  <c r="X37" i="1"/>
  <c r="X38" i="1"/>
  <c r="X52" i="1"/>
  <c r="X22" i="1"/>
  <c r="X40" i="1"/>
  <c r="X75" i="1"/>
  <c r="X56" i="1"/>
  <c r="L9" i="3"/>
  <c r="Z9" i="3"/>
  <c r="X9" i="1"/>
  <c r="X64" i="1"/>
  <c r="X28" i="1"/>
  <c r="X46" i="1"/>
  <c r="X8" i="1"/>
  <c r="X27" i="1"/>
  <c r="X30" i="1"/>
  <c r="X45" i="1"/>
  <c r="Y9" i="3"/>
  <c r="X60" i="1"/>
  <c r="X26" i="1"/>
  <c r="X74" i="1"/>
  <c r="X4" i="1"/>
  <c r="X7" i="1"/>
  <c r="X42" i="1"/>
  <c r="X3" i="1"/>
  <c r="X23" i="1"/>
  <c r="X41" i="1"/>
  <c r="X55" i="1"/>
  <c r="X59" i="1"/>
  <c r="J9" i="3"/>
  <c r="T9" i="3"/>
  <c r="AP9" i="3"/>
  <c r="AR9" i="3"/>
  <c r="AD9" i="3"/>
  <c r="AF18" i="3" l="1"/>
  <c r="AL14" i="5"/>
  <c r="AF13" i="3"/>
  <c r="AH91" i="3"/>
  <c r="AH13" i="3"/>
  <c r="AH96" i="3"/>
  <c r="AH43" i="3"/>
  <c r="AF69" i="3"/>
  <c r="AF95" i="3"/>
  <c r="AF61" i="3"/>
  <c r="E61" i="3" s="1"/>
  <c r="AF58" i="3"/>
  <c r="E58" i="3" s="1"/>
  <c r="AF52" i="3"/>
  <c r="AF9" i="3"/>
  <c r="F14" i="5"/>
  <c r="O14" i="5"/>
  <c r="V14" i="5"/>
  <c r="I14" i="5"/>
  <c r="AK14" i="5"/>
  <c r="AW14" i="5"/>
  <c r="AI14" i="5"/>
  <c r="AH34" i="3"/>
  <c r="AI23" i="3"/>
  <c r="AH89" i="3"/>
  <c r="AH68" i="3"/>
  <c r="AH20" i="3"/>
  <c r="AI32" i="3"/>
  <c r="AH67" i="3"/>
  <c r="AI67" i="3"/>
  <c r="AH86" i="3"/>
  <c r="AH65" i="3"/>
  <c r="AH30" i="3"/>
  <c r="AA29" i="3"/>
  <c r="E29" i="3" s="1"/>
  <c r="AH45" i="3"/>
  <c r="E45" i="3" s="1"/>
  <c r="AH41" i="3"/>
  <c r="E41" i="3" s="1"/>
  <c r="AH95" i="3"/>
  <c r="AH9" i="3"/>
  <c r="AH46" i="3"/>
  <c r="AI13" i="3"/>
  <c r="X9" i="3"/>
  <c r="X27" i="3"/>
  <c r="X21" i="3"/>
  <c r="X39" i="3"/>
  <c r="E39" i="3" s="1"/>
  <c r="AC82" i="3"/>
  <c r="AC81" i="3"/>
  <c r="AH99" i="3"/>
  <c r="E99" i="3" s="1"/>
  <c r="AA105" i="3"/>
  <c r="AA20" i="3"/>
  <c r="AA21" i="3"/>
  <c r="AA18" i="3"/>
  <c r="AA62" i="3"/>
  <c r="E62" i="3" s="1"/>
  <c r="X32" i="3"/>
  <c r="AA9" i="3"/>
  <c r="X23" i="3"/>
  <c r="X11" i="3"/>
  <c r="AC24" i="3"/>
  <c r="AA15" i="3"/>
  <c r="AA48" i="3"/>
  <c r="AA78" i="3"/>
  <c r="AA53" i="3"/>
  <c r="AA73" i="3"/>
  <c r="AA33" i="3"/>
  <c r="AA49" i="3"/>
  <c r="AA16" i="3"/>
  <c r="AA17" i="3"/>
  <c r="E104" i="3"/>
  <c r="AC31" i="3"/>
  <c r="AA57" i="3"/>
  <c r="AC64" i="3"/>
  <c r="AA26" i="3"/>
  <c r="AC27" i="3"/>
  <c r="AC71" i="3"/>
  <c r="E71" i="3" s="1"/>
  <c r="AA52" i="3"/>
  <c r="AC9" i="3"/>
  <c r="AC42" i="3"/>
  <c r="E42" i="3" s="1"/>
  <c r="W20" i="3"/>
  <c r="W15" i="3"/>
  <c r="O103" i="3"/>
  <c r="AA81" i="3"/>
  <c r="AA55" i="3"/>
  <c r="AA14" i="3"/>
  <c r="AA91" i="3"/>
  <c r="AA83" i="3"/>
  <c r="AA96" i="3"/>
  <c r="AA101" i="3"/>
  <c r="E101" i="3" s="1"/>
  <c r="W16" i="3"/>
  <c r="W60" i="3"/>
  <c r="E60" i="3" s="1"/>
  <c r="AA22" i="3"/>
  <c r="AA103" i="3"/>
  <c r="W59" i="3"/>
  <c r="E59" i="3" s="1"/>
  <c r="O28" i="3"/>
  <c r="Q24" i="3"/>
  <c r="Q77" i="3"/>
  <c r="Q9" i="3"/>
  <c r="Q72" i="3"/>
  <c r="AA19" i="3"/>
  <c r="AA106" i="3"/>
  <c r="E106" i="3" s="1"/>
  <c r="AA107" i="3"/>
  <c r="E107" i="3" s="1"/>
  <c r="O27" i="3"/>
  <c r="O70" i="3"/>
  <c r="E70" i="3" s="1"/>
  <c r="Q54" i="3"/>
  <c r="N102" i="3"/>
  <c r="E102" i="3" s="1"/>
  <c r="O17" i="3"/>
  <c r="O97" i="3"/>
  <c r="N10" i="3"/>
  <c r="O105" i="3"/>
  <c r="N95" i="3"/>
  <c r="O53" i="3"/>
  <c r="O75" i="3"/>
  <c r="E75" i="3" s="1"/>
  <c r="O18" i="3"/>
  <c r="O31" i="3"/>
  <c r="O34" i="3"/>
  <c r="N78" i="3"/>
  <c r="O73" i="3"/>
  <c r="N12" i="3"/>
  <c r="O72" i="3"/>
  <c r="N77" i="3"/>
  <c r="Q13" i="3"/>
  <c r="N89" i="3"/>
  <c r="Q11" i="3"/>
  <c r="N88" i="3"/>
  <c r="E88" i="3" s="1"/>
  <c r="Q21" i="3"/>
  <c r="Q30" i="3"/>
  <c r="O69" i="3"/>
  <c r="O95" i="3"/>
  <c r="N68" i="3"/>
  <c r="O84" i="3"/>
  <c r="E84" i="3" s="1"/>
  <c r="O13" i="3"/>
  <c r="O9" i="3"/>
  <c r="O25" i="3"/>
  <c r="N48" i="3"/>
  <c r="O80" i="3"/>
  <c r="E80" i="3" s="1"/>
  <c r="O56" i="3"/>
  <c r="E56" i="3" s="1"/>
  <c r="O77" i="3"/>
  <c r="N26" i="3"/>
  <c r="N9" i="3"/>
  <c r="N46" i="3"/>
  <c r="N64" i="3"/>
  <c r="O19" i="3"/>
  <c r="O109" i="3"/>
  <c r="E109" i="3" s="1"/>
  <c r="AU14" i="5"/>
  <c r="G10" i="3"/>
  <c r="F51" i="3"/>
  <c r="E51" i="3" s="1"/>
  <c r="H83" i="3"/>
  <c r="H34" i="3"/>
  <c r="G54" i="3"/>
  <c r="H18" i="3"/>
  <c r="H69" i="3"/>
  <c r="F35" i="3"/>
  <c r="E35" i="3" s="1"/>
  <c r="G100" i="3"/>
  <c r="E100" i="3" s="1"/>
  <c r="Z14" i="5"/>
  <c r="I49" i="3"/>
  <c r="H33" i="3"/>
  <c r="D14" i="5"/>
  <c r="I47" i="3"/>
  <c r="E47" i="3" s="1"/>
  <c r="I74" i="3"/>
  <c r="E74" i="3" s="1"/>
  <c r="H87" i="3"/>
  <c r="E87" i="3" s="1"/>
  <c r="H86" i="3"/>
  <c r="E86" i="3" s="1"/>
  <c r="X14" i="5"/>
  <c r="G14" i="5"/>
  <c r="B14" i="5"/>
  <c r="H85" i="3"/>
  <c r="E85" i="3" s="1"/>
  <c r="AO14" i="5"/>
  <c r="AV14" i="5"/>
  <c r="I69" i="3"/>
  <c r="H38" i="3"/>
  <c r="E38" i="3" s="1"/>
  <c r="AB14" i="5"/>
  <c r="AA14" i="5"/>
  <c r="I9" i="3"/>
  <c r="AP14" i="5"/>
  <c r="M14" i="5"/>
  <c r="F76" i="3"/>
  <c r="E76" i="3" s="1"/>
  <c r="F57" i="3"/>
  <c r="F12" i="3"/>
  <c r="F30" i="3"/>
  <c r="F32" i="3"/>
  <c r="F55" i="3"/>
  <c r="F22" i="3"/>
  <c r="F43" i="3"/>
  <c r="H11" i="3"/>
  <c r="F40" i="3"/>
  <c r="E40" i="3" s="1"/>
  <c r="F23" i="3"/>
  <c r="F67" i="3"/>
  <c r="F20" i="3"/>
  <c r="H25" i="3"/>
  <c r="F15" i="3"/>
  <c r="H82" i="3"/>
  <c r="H97" i="3"/>
  <c r="I81" i="3"/>
  <c r="F24" i="3"/>
  <c r="F16" i="3"/>
  <c r="F9" i="3"/>
  <c r="F14" i="3"/>
  <c r="E14" i="3" s="1"/>
  <c r="I52" i="3"/>
  <c r="F10" i="3"/>
  <c r="F28" i="3"/>
  <c r="H10" i="3"/>
  <c r="I19" i="3"/>
  <c r="I10" i="3"/>
  <c r="C14" i="5"/>
  <c r="Q14" i="5"/>
  <c r="AE14" i="5"/>
  <c r="H14" i="5"/>
  <c r="AN14" i="5"/>
  <c r="W14" i="5"/>
  <c r="T14" i="5"/>
  <c r="L14" i="5"/>
  <c r="AT14" i="5"/>
  <c r="P14" i="5"/>
  <c r="E14" i="5"/>
  <c r="S14" i="5"/>
  <c r="AS14" i="5"/>
  <c r="AM14" i="5"/>
  <c r="U14" i="5"/>
  <c r="AH14" i="5"/>
  <c r="R14" i="5"/>
  <c r="Y14" i="5"/>
  <c r="E37" i="3"/>
  <c r="AC14" i="5"/>
  <c r="AR14" i="5"/>
  <c r="K14" i="5"/>
  <c r="AQ14" i="5"/>
  <c r="AF14" i="5"/>
  <c r="E50" i="3"/>
  <c r="E92" i="3"/>
  <c r="J14" i="5"/>
  <c r="N14" i="5"/>
  <c r="AG14" i="5"/>
  <c r="AJ14" i="5"/>
  <c r="AD14" i="5"/>
  <c r="E79" i="3"/>
  <c r="E44" i="3"/>
  <c r="E66" i="3"/>
  <c r="E63" i="3"/>
  <c r="E36" i="3"/>
  <c r="E90" i="3"/>
  <c r="E94" i="3"/>
  <c r="E98" i="3"/>
  <c r="E65" i="3"/>
  <c r="E93" i="3"/>
  <c r="E91" i="3" l="1"/>
  <c r="E53" i="3"/>
  <c r="E96" i="3"/>
  <c r="E43" i="3"/>
  <c r="E23" i="3"/>
  <c r="E24" i="3"/>
  <c r="E68" i="3"/>
  <c r="E103" i="3"/>
  <c r="E89" i="3"/>
  <c r="E46" i="3"/>
  <c r="E67" i="3"/>
  <c r="E82" i="3"/>
  <c r="E26" i="3"/>
  <c r="E57" i="3"/>
  <c r="E105" i="3"/>
  <c r="E64" i="3"/>
  <c r="E21" i="3"/>
  <c r="E48" i="3"/>
  <c r="E32" i="3"/>
  <c r="E31" i="3"/>
  <c r="E78" i="3"/>
  <c r="E15" i="3"/>
  <c r="E20" i="3"/>
  <c r="E33" i="3"/>
  <c r="E49" i="3"/>
  <c r="E17" i="3"/>
  <c r="E73" i="3"/>
  <c r="E81" i="3"/>
  <c r="E72" i="3"/>
  <c r="E27" i="3"/>
  <c r="E52" i="3"/>
  <c r="E55" i="3"/>
  <c r="E95" i="3"/>
  <c r="E28" i="3"/>
  <c r="E22" i="3"/>
  <c r="E83" i="3"/>
  <c r="E16" i="3"/>
  <c r="E97" i="3"/>
  <c r="E54" i="3"/>
  <c r="E18" i="3"/>
  <c r="E34" i="3"/>
  <c r="E77" i="3"/>
  <c r="E13" i="3"/>
  <c r="E12" i="3"/>
  <c r="E30" i="3"/>
  <c r="E25" i="3"/>
  <c r="E69" i="3"/>
  <c r="E11" i="3"/>
  <c r="E19" i="3"/>
  <c r="E10" i="3"/>
  <c r="D98" i="3" l="1"/>
  <c r="D87" i="3"/>
  <c r="D20" i="3"/>
  <c r="D69" i="3"/>
  <c r="D25" i="3"/>
  <c r="D100" i="3"/>
  <c r="D81" i="3"/>
  <c r="D73" i="3"/>
  <c r="D71" i="3"/>
  <c r="D34" i="3"/>
  <c r="D103" i="3"/>
  <c r="D37" i="3"/>
  <c r="D94" i="3"/>
  <c r="D15" i="3"/>
  <c r="D83" i="3"/>
  <c r="D52" i="3"/>
  <c r="D14" i="3"/>
  <c r="D102" i="3"/>
  <c r="D57" i="3"/>
  <c r="D30" i="3"/>
  <c r="D26" i="3"/>
  <c r="D12" i="3"/>
  <c r="D43" i="3"/>
  <c r="D51" i="3"/>
  <c r="D79" i="3"/>
  <c r="D96" i="3"/>
  <c r="D50" i="3"/>
  <c r="D17" i="3"/>
  <c r="D70" i="3"/>
  <c r="D29" i="3"/>
  <c r="D89" i="3"/>
  <c r="D106" i="3"/>
  <c r="D18" i="3"/>
  <c r="D60" i="3"/>
  <c r="D54" i="3"/>
  <c r="D74" i="3"/>
  <c r="D97" i="3"/>
  <c r="D88" i="3"/>
  <c r="D16" i="3"/>
  <c r="D23" i="3"/>
  <c r="D31" i="3"/>
  <c r="D39" i="3"/>
  <c r="D22" i="3"/>
  <c r="D104" i="3"/>
  <c r="D101" i="3"/>
  <c r="D10" i="3"/>
  <c r="D108" i="3"/>
  <c r="D84" i="3"/>
  <c r="D105" i="3"/>
  <c r="D76" i="3"/>
  <c r="D27" i="3"/>
  <c r="D41" i="3"/>
  <c r="D75" i="3"/>
  <c r="D72" i="3"/>
  <c r="D62" i="3"/>
  <c r="D99" i="3"/>
  <c r="D38" i="3"/>
  <c r="D82" i="3"/>
  <c r="D13" i="3"/>
  <c r="D67" i="3"/>
  <c r="D77" i="3"/>
  <c r="D46" i="3"/>
  <c r="D66" i="3"/>
  <c r="D49" i="3"/>
  <c r="D80" i="3"/>
  <c r="D59" i="3"/>
  <c r="D33" i="3"/>
  <c r="D36" i="3"/>
  <c r="D68" i="3"/>
  <c r="D44" i="3"/>
  <c r="D61" i="3"/>
  <c r="D24" i="3"/>
  <c r="D109" i="3"/>
  <c r="D78" i="3"/>
  <c r="D63" i="3"/>
  <c r="D65" i="3"/>
  <c r="D90" i="3"/>
  <c r="D45" i="3"/>
  <c r="D93" i="3"/>
  <c r="D32" i="3"/>
  <c r="D42" i="3"/>
  <c r="D86" i="3"/>
  <c r="D28" i="3"/>
  <c r="D48" i="3"/>
  <c r="D91" i="3"/>
  <c r="D47" i="3"/>
  <c r="D56" i="3"/>
  <c r="D19" i="3"/>
  <c r="D95" i="3"/>
  <c r="D21" i="3"/>
  <c r="D107" i="3"/>
  <c r="D58" i="3"/>
  <c r="D35" i="3"/>
  <c r="D11" i="3"/>
  <c r="D55" i="3"/>
  <c r="D64" i="3"/>
  <c r="D85" i="3"/>
  <c r="D53" i="3"/>
  <c r="D40" i="3"/>
  <c r="D92" i="3"/>
  <c r="F2" i="4" l="1"/>
  <c r="C19" i="4" s="1"/>
  <c r="BC113" i="3"/>
  <c r="D6" i="4" l="1"/>
  <c r="D15" i="4"/>
  <c r="D14" i="4"/>
  <c r="D4" i="4"/>
  <c r="D13" i="4"/>
  <c r="D2" i="4"/>
  <c r="D8" i="4"/>
  <c r="D5" i="4"/>
  <c r="D11" i="4"/>
  <c r="D3" i="4"/>
  <c r="D9" i="4"/>
  <c r="D7" i="4"/>
  <c r="F3" i="4"/>
  <c r="D12" i="4"/>
  <c r="D10" i="4"/>
  <c r="D1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3E8F95-E99E-47FA-840A-327585F020E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<sst xmlns="http://schemas.openxmlformats.org/spreadsheetml/2006/main" count="3992" uniqueCount="301">
  <si>
    <t>Email</t>
  </si>
  <si>
    <t>Corey Strand</t>
  </si>
  <si>
    <t>corey.j.strand@gmail.com</t>
  </si>
  <si>
    <t>Corey Strand  V2</t>
  </si>
  <si>
    <t>petelochner1</t>
  </si>
  <si>
    <t>Peter.Lochner@ampf.com</t>
  </si>
  <si>
    <t>MatthewSchaefer</t>
  </si>
  <si>
    <t>mschaefer0825@gmail.com</t>
  </si>
  <si>
    <t>John Falck</t>
  </si>
  <si>
    <t>John@contractcaulking.com</t>
  </si>
  <si>
    <t>paul@claireandpaul.net</t>
  </si>
  <si>
    <t>Manson2SudAmericaDrama</t>
  </si>
  <si>
    <t>Manson3HeartofHearts</t>
  </si>
  <si>
    <t>NickHanson1</t>
  </si>
  <si>
    <t>NickHanson2</t>
  </si>
  <si>
    <t>shoup1</t>
  </si>
  <si>
    <t>michael@shouper.com</t>
  </si>
  <si>
    <t>shoup2</t>
  </si>
  <si>
    <t>AbbieSchaeferWorldCupPicks</t>
  </si>
  <si>
    <t>JoelsBalance</t>
  </si>
  <si>
    <t>joels96@aol.com</t>
  </si>
  <si>
    <t>JoelsBigShort</t>
  </si>
  <si>
    <t>JoelsSenegalFlex</t>
  </si>
  <si>
    <t>LaurenBullock</t>
  </si>
  <si>
    <t>jdbullock@gmail.com</t>
  </si>
  <si>
    <t>WillBullock</t>
  </si>
  <si>
    <t>Entry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</si>
  <si>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</si>
  <si>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</si>
  <si>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</si>
  <si>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</si>
  <si>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</si>
  <si>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</si>
  <si>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</si>
  <si>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</si>
  <si>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</si>
  <si>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Short</t>
  </si>
  <si>
    <t>S</t>
  </si>
  <si>
    <t>Germany</t>
  </si>
  <si>
    <t>Norway</t>
  </si>
  <si>
    <t>Netherlands</t>
  </si>
  <si>
    <t>Japan</t>
  </si>
  <si>
    <t>Mexico</t>
  </si>
  <si>
    <t>Qatar</t>
  </si>
  <si>
    <t>England</t>
  </si>
  <si>
    <t>Spain</t>
  </si>
  <si>
    <t>Algeria</t>
  </si>
  <si>
    <t>Belgium</t>
  </si>
  <si>
    <t>Austria</t>
  </si>
  <si>
    <t>Croatia</t>
  </si>
  <si>
    <t>USA</t>
  </si>
  <si>
    <t>Argentina</t>
  </si>
  <si>
    <t>Brazil</t>
  </si>
  <si>
    <t>Türkiye</t>
  </si>
  <si>
    <t>Ecuador</t>
  </si>
  <si>
    <t>Czechia</t>
  </si>
  <si>
    <t>Jordan</t>
  </si>
  <si>
    <t>Sweden</t>
  </si>
  <si>
    <t>New Zealand</t>
  </si>
  <si>
    <t>France</t>
  </si>
  <si>
    <t>Switzerland</t>
  </si>
  <si>
    <t>Portugal</t>
  </si>
  <si>
    <t>Morocco</t>
  </si>
  <si>
    <t>Haiti</t>
  </si>
  <si>
    <t>Panama</t>
  </si>
  <si>
    <t>Senegal</t>
  </si>
  <si>
    <t>Ghana</t>
  </si>
  <si>
    <t>Canada</t>
  </si>
  <si>
    <t>Uruguay</t>
  </si>
  <si>
    <t>Scotland</t>
  </si>
  <si>
    <t>Australia</t>
  </si>
  <si>
    <t>Egypt</t>
  </si>
  <si>
    <t>Colombia</t>
  </si>
  <si>
    <t>Tunisia</t>
  </si>
  <si>
    <t>Curaçao</t>
  </si>
  <si>
    <t>Ivory Coast</t>
  </si>
  <si>
    <t>Iran</t>
  </si>
  <si>
    <t>DR Congo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</si>
  <si>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</si>
  <si>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</si>
  <si>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</si>
  <si>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</si>
  <si>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</si>
  <si>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</si>
  <si>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</si>
  <si>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</si>
  <si>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Rank</t>
  </si>
  <si>
    <t>Total Points</t>
  </si>
  <si>
    <t>South Africa</t>
  </si>
  <si>
    <t>South Korea</t>
  </si>
  <si>
    <t>Bosnia and Herzegovina</t>
  </si>
  <si>
    <t>Paraguay</t>
  </si>
  <si>
    <t>Cape Verde</t>
  </si>
  <si>
    <t>Saudi Arabia</t>
  </si>
  <si>
    <t>Iraq</t>
  </si>
  <si>
    <t>Uzbekistan</t>
  </si>
  <si>
    <t>Paid in?</t>
  </si>
  <si>
    <t>Payout</t>
  </si>
  <si>
    <t>Net</t>
  </si>
  <si>
    <t>Paid out?</t>
  </si>
  <si>
    <t>Number Chosen</t>
  </si>
  <si>
    <t>Price</t>
  </si>
  <si>
    <t>Points</t>
  </si>
  <si>
    <t># of times chosen</t>
  </si>
  <si>
    <t># of times shorted</t>
  </si>
  <si>
    <t>Points Earned / Price</t>
  </si>
  <si>
    <t>No</t>
  </si>
  <si>
    <t>NA</t>
  </si>
  <si>
    <t>% of total</t>
  </si>
  <si>
    <t>1st</t>
  </si>
  <si>
    <t>Total Entries:</t>
  </si>
  <si>
    <t>2nd</t>
  </si>
  <si>
    <t>Must Pay to place #: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</si>
  <si>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</si>
  <si>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</si>
  <si>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</si>
  <si>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</si>
  <si>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</si>
  <si>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</si>
  <si>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</si>
  <si>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</si>
  <si>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</si>
  <si>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</si>
  <si>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Check</t>
  </si>
  <si>
    <t>Group Stage Round 1</t>
  </si>
  <si>
    <t>Total Check</t>
  </si>
  <si>
    <t>Group Stage Round 2</t>
  </si>
  <si>
    <t>Group Stage Round 3</t>
  </si>
  <si>
    <t>Group Stage Finish</t>
  </si>
  <si>
    <t>Round of 16</t>
  </si>
  <si>
    <t>Quarterfinal</t>
  </si>
  <si>
    <t>Semifinal</t>
  </si>
  <si>
    <t>Champion / 3rd Place</t>
  </si>
  <si>
    <t>Total</t>
  </si>
  <si>
    <t>Value (Points/Price)</t>
  </si>
  <si>
    <t>Value Rank</t>
  </si>
  <si>
    <t>Point System:</t>
  </si>
  <si>
    <t>Group phase:</t>
  </si>
  <si>
    <t>Win = 2 points</t>
  </si>
  <si>
    <t>Tie = 1 point</t>
  </si>
  <si>
    <t>1st place in group = 2 points</t>
  </si>
  <si>
    <t>2nd place in group = 1 point</t>
  </si>
  <si>
    <t>Knockout phase:</t>
  </si>
  <si>
    <t>Round of 16 win = 3 points</t>
  </si>
  <si>
    <t>Quarterfinal win = 4 points</t>
  </si>
  <si>
    <t>Semifinal win = 5 points</t>
  </si>
  <si>
    <t>3rd place winner = 1 point</t>
  </si>
  <si>
    <t>World cup champion = 7 points</t>
  </si>
  <si>
    <t>Marissa Cleaveland2</t>
  </si>
  <si>
    <t>Marissa.Cleaveland@nimblelytic.com</t>
  </si>
  <si>
    <t>Manson1ColumbusGotLost</t>
  </si>
  <si>
    <t>Nicholas.Hanson@ampf.com</t>
  </si>
  <si>
    <t>abbieschae@sbcglobal.net</t>
  </si>
  <si>
    <t>AinsleyBullock</t>
  </si>
  <si>
    <t>JohnBullock1</t>
  </si>
  <si>
    <t>JohnBullock2</t>
  </si>
  <si>
    <t>John Falck #2</t>
  </si>
  <si>
    <t>john@contractcaulking.com</t>
  </si>
  <si>
    <t>Tim Armbrustmacher1</t>
  </si>
  <si>
    <t>Tim Armbrustmacher2</t>
  </si>
  <si>
    <t>MikePollei1</t>
  </si>
  <si>
    <t>mikepollei@gmail.com</t>
  </si>
  <si>
    <t>MikePollei2</t>
  </si>
  <si>
    <t>mike.x.pollei@ampf.com</t>
  </si>
  <si>
    <t>MichellePollei</t>
  </si>
  <si>
    <t>michellepollei@gmail.com</t>
  </si>
  <si>
    <t>SarahPollei</t>
  </si>
  <si>
    <t>sarahpollei24@gmail.com</t>
  </si>
  <si>
    <t>Sean ODonnell1</t>
  </si>
  <si>
    <t>odonnell.sm@gmail.com</t>
  </si>
  <si>
    <t>Sean ODonnell2</t>
  </si>
  <si>
    <t>Cà Phê Đen Kid</t>
  </si>
  <si>
    <t>cdptravel132@yahoo.com</t>
  </si>
  <si>
    <t>AnaTwohy1</t>
  </si>
  <si>
    <t>anatwohy@gmail.com</t>
  </si>
  <si>
    <t>AnaTwohy2</t>
  </si>
  <si>
    <t>JoshTwohy1</t>
  </si>
  <si>
    <t>joshtwohy@gmail.com</t>
  </si>
  <si>
    <t>JoshTwohy2</t>
  </si>
  <si>
    <t>WillTwohy1</t>
  </si>
  <si>
    <t>willtwohy@gmail.com</t>
  </si>
  <si>
    <t>WillTwohy2</t>
  </si>
  <si>
    <t>Niedermaier_1A</t>
  </si>
  <si>
    <t>ben.niedermaier4@gmail.com</t>
  </si>
  <si>
    <t>Niedermaier_2B</t>
  </si>
  <si>
    <t>betsyg</t>
  </si>
  <si>
    <t>jngreeno@hotmail.com</t>
  </si>
  <si>
    <t>greeno</t>
  </si>
  <si>
    <t>lucasgilkay</t>
  </si>
  <si>
    <t>gilkaylucas@wisc.edu</t>
  </si>
  <si>
    <t>AshleyAlloway1</t>
  </si>
  <si>
    <t>ashleyalloway42@yahoo.com</t>
  </si>
  <si>
    <t>John Lindlof</t>
  </si>
  <si>
    <t>mcleaveland@icloud.com</t>
  </si>
  <si>
    <t>Marissa Cleaveland</t>
  </si>
  <si>
    <t>Henry Cleaveland</t>
  </si>
  <si>
    <t>L_Smith777</t>
  </si>
  <si>
    <t>colinsmith1025@gmail.com</t>
  </si>
  <si>
    <t>Tony M Pick 1</t>
  </si>
  <si>
    <t>Tony M Pick 2</t>
  </si>
  <si>
    <t>apurwiggam@yahoo.com</t>
  </si>
  <si>
    <t>ZachSchaefer1</t>
  </si>
  <si>
    <t>zdschaefer4@gmail.com</t>
  </si>
  <si>
    <t>shoupmicah</t>
  </si>
  <si>
    <t>Tim Skierka</t>
  </si>
  <si>
    <t>Timothy.Skierka@ampf.com</t>
  </si>
  <si>
    <t>JHudd1</t>
  </si>
  <si>
    <t>jeffrey.r.huddleston@gmail.com</t>
  </si>
  <si>
    <t>JHudd2</t>
  </si>
  <si>
    <t>Anne H</t>
  </si>
  <si>
    <t>spanny33333@gmail.com</t>
  </si>
  <si>
    <t>Sam H</t>
  </si>
  <si>
    <t>Maddie/Quinn</t>
  </si>
  <si>
    <t>Brianco1</t>
  </si>
  <si>
    <t>brianco55@yahoo.com</t>
  </si>
  <si>
    <t>Brianco2</t>
  </si>
  <si>
    <t>Ben Ritz Picks</t>
  </si>
  <si>
    <t>BenjaminRitz@ampf.com</t>
  </si>
  <si>
    <t>chrishalverson1</t>
  </si>
  <si>
    <t>cdh@halverson.org</t>
  </si>
  <si>
    <t>chrishalverson2</t>
  </si>
  <si>
    <t>D*Rock</t>
  </si>
  <si>
    <t>dfarmer@yahoo.com</t>
  </si>
  <si>
    <t>JonHendrickson</t>
  </si>
  <si>
    <t>jon.hendrickson@ampf.com</t>
  </si>
  <si>
    <t>Bwelter</t>
  </si>
  <si>
    <t>welter34@gmail.com</t>
  </si>
  <si>
    <t xml:space="preserve">ryan.hartman01@gmail.com </t>
  </si>
  <si>
    <t>Ryan H</t>
  </si>
  <si>
    <t>colvineric94@gmail.com</t>
  </si>
  <si>
    <t>EColvin1</t>
  </si>
  <si>
    <t>EColvin2</t>
  </si>
  <si>
    <t>EColvin3</t>
  </si>
  <si>
    <t>Noah Meier</t>
  </si>
  <si>
    <t>noah.meier@ampf.com</t>
  </si>
  <si>
    <t>gretameier1</t>
  </si>
  <si>
    <t>gschleif14@gmail.com</t>
  </si>
  <si>
    <t>Schultzy1</t>
  </si>
  <si>
    <t>schultzys@hotmail.com</t>
  </si>
  <si>
    <t>Schultzy2</t>
  </si>
  <si>
    <t>BBRooks</t>
  </si>
  <si>
    <t>bbrooksbank@gmail.com</t>
  </si>
  <si>
    <t>Craig Miller 1</t>
  </si>
  <si>
    <t>cmill6065@gmail.com</t>
  </si>
  <si>
    <t>Craig Miller 2</t>
  </si>
  <si>
    <t>Dane Miller</t>
  </si>
  <si>
    <t>danemiller635@gmail.com</t>
  </si>
  <si>
    <t>DC</t>
  </si>
  <si>
    <t>dchrisi@hotmail.com</t>
  </si>
  <si>
    <t>MatthewLeners</t>
  </si>
  <si>
    <t>Matthew.Leners@ampf.com</t>
  </si>
  <si>
    <t>reidschaefer1</t>
  </si>
  <si>
    <t>reidschaefer@yahoo.com</t>
  </si>
  <si>
    <t>RobertSpangler</t>
  </si>
  <si>
    <t>robert.spangler@ampf.com</t>
  </si>
  <si>
    <t>sarahschaefer</t>
  </si>
  <si>
    <t>sarahschaefer1969@gmail.com</t>
  </si>
  <si>
    <t>KenOlson1</t>
  </si>
  <si>
    <t>kjo1080@hotmail.com</t>
  </si>
  <si>
    <t>KenOlson2</t>
  </si>
  <si>
    <t>KenOlson3</t>
  </si>
  <si>
    <t>Horth</t>
  </si>
  <si>
    <t>hclayton10@gmail.com</t>
  </si>
  <si>
    <t>MonicaBullock</t>
  </si>
  <si>
    <t>nels2383@gmail.com</t>
  </si>
  <si>
    <t>mynameisjeff</t>
  </si>
  <si>
    <t>Jeffrey.Eberlein@ampf.com</t>
  </si>
  <si>
    <t>NTourville1</t>
  </si>
  <si>
    <t>nicholastourville24@gmail.com</t>
  </si>
  <si>
    <t>Vin - 1</t>
  </si>
  <si>
    <t>vinodhshan@gmail.com</t>
  </si>
  <si>
    <t>Vin - 2</t>
  </si>
  <si>
    <t>BrianCleaveland1</t>
  </si>
  <si>
    <t>brian.cleaveland@nimblelytic.com</t>
  </si>
  <si>
    <t>jongerdin1</t>
  </si>
  <si>
    <t>jgerdin01@yahoo.com</t>
  </si>
  <si>
    <t>jongerdin3</t>
  </si>
  <si>
    <t>jongerdin2</t>
  </si>
  <si>
    <t>Tim F1</t>
  </si>
  <si>
    <t>Tim F2</t>
  </si>
  <si>
    <t>Andy F1</t>
  </si>
  <si>
    <t>Andy F2</t>
  </si>
  <si>
    <t>dignund@yahoo.com</t>
  </si>
  <si>
    <t>`</t>
  </si>
  <si>
    <t>Group I</t>
  </si>
  <si>
    <t>Group J</t>
  </si>
  <si>
    <t>Group K</t>
  </si>
  <si>
    <t>Group L</t>
  </si>
  <si>
    <t>13th</t>
  </si>
  <si>
    <t>15th</t>
  </si>
  <si>
    <t>14th</t>
  </si>
  <si>
    <t>Group</t>
  </si>
  <si>
    <t>Country</t>
  </si>
  <si>
    <t>Cost</t>
  </si>
  <si>
    <t>EntryName</t>
  </si>
  <si>
    <t>tim_armbrustmacher@yahoo.com</t>
  </si>
  <si>
    <t>Attribute</t>
  </si>
  <si>
    <t>Value</t>
  </si>
  <si>
    <t>PickTyoe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</si>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</sst>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&quot;$&quot;#,##0"/>
    <numFmt numFmtId="167" formatCode="0_);[Red]\(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90"/>
    </xf>
    <xf numFmtId="0" fontId="0" fillId="2" borderId="1" xfId="0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5" fontId="0" fillId="0" borderId="0" xfId="0" applyNumberFormat="1" applyAlignment="1">
      <alignment horizontal="center"/>
    </xf>
    <xf numFmtId="0" fontId="4" fillId="0" borderId="0" xfId="0" applyFont="1"/>
    <xf numFmtId="0" fontId="0" fillId="3" borderId="7" xfId="0" applyFill="1" applyBorder="1" applyAlignment="1">
      <alignment horizontal="center"/>
    </xf>
    <xf numFmtId="0" fontId="2" fillId="0" borderId="0" xfId="0" applyFont="1" applyAlignment="1">
      <alignment vertical="center" textRotation="90"/>
    </xf>
    <xf numFmtId="0" fontId="0" fillId="0" borderId="0" xfId="0" applyAlignment="1">
      <alignment horizontal="center" textRotation="90"/>
    </xf>
    <xf numFmtId="0" fontId="5" fillId="0" borderId="0" xfId="0" applyFont="1" applyAlignment="1">
      <alignment horizontal="center" textRotation="90"/>
    </xf>
    <xf numFmtId="166" fontId="0" fillId="0" borderId="0" xfId="0" applyNumberFormat="1" applyAlignment="1">
      <alignment horizontal="center"/>
    </xf>
    <xf numFmtId="0" fontId="0" fillId="4" borderId="0" xfId="0" applyFill="1"/>
    <xf numFmtId="166" fontId="0" fillId="0" borderId="0" xfId="0" applyNumberFormat="1" applyAlignment="1">
      <alignment horizontal="left"/>
    </xf>
    <xf numFmtId="165" fontId="0" fillId="3" borderId="1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5" fontId="0" fillId="3" borderId="9" xfId="0" applyNumberForma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Continuous"/>
    </xf>
    <xf numFmtId="0" fontId="7" fillId="0" borderId="0" xfId="0" applyFont="1"/>
    <xf numFmtId="0" fontId="7" fillId="0" borderId="0" xfId="0" applyFont="1" applyAlignment="1">
      <alignment horizontal="centerContinuous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textRotation="90"/>
    </xf>
    <xf numFmtId="0" fontId="0" fillId="0" borderId="6" xfId="0" applyBorder="1" applyAlignment="1">
      <alignment horizontal="center" textRotation="90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7" fontId="0" fillId="3" borderId="16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167" fontId="0" fillId="3" borderId="8" xfId="0" applyNumberFormat="1" applyFill="1" applyBorder="1" applyAlignment="1">
      <alignment horizontal="center"/>
    </xf>
    <xf numFmtId="167" fontId="8" fillId="3" borderId="16" xfId="0" applyNumberFormat="1" applyFont="1" applyFill="1" applyBorder="1" applyAlignment="1">
      <alignment horizontal="center"/>
    </xf>
    <xf numFmtId="167" fontId="0" fillId="3" borderId="17" xfId="0" applyNumberFormat="1" applyFill="1" applyBorder="1" applyAlignment="1">
      <alignment horizontal="center"/>
    </xf>
    <xf numFmtId="167" fontId="0" fillId="3" borderId="18" xfId="0" applyNumberFormat="1" applyFill="1" applyBorder="1" applyAlignment="1">
      <alignment horizontal="center"/>
    </xf>
    <xf numFmtId="167" fontId="0" fillId="3" borderId="19" xfId="0" applyNumberFormat="1" applyFill="1" applyBorder="1" applyAlignment="1">
      <alignment horizontal="center"/>
    </xf>
    <xf numFmtId="167" fontId="8" fillId="3" borderId="17" xfId="0" applyNumberFormat="1" applyFont="1" applyFill="1" applyBorder="1" applyAlignment="1">
      <alignment horizontal="center"/>
    </xf>
    <xf numFmtId="0" fontId="0" fillId="6" borderId="0" xfId="0" applyFill="1"/>
    <xf numFmtId="0" fontId="6" fillId="5" borderId="21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6044"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8696B"/>
        </patternFill>
      </fill>
    </dxf>
    <dxf>
      <fill>
        <patternFill>
          <bgColor rgb="FF63BE7B"/>
        </patternFill>
      </fill>
    </dxf>
    <dxf>
      <fill>
        <patternFill>
          <bgColor rgb="FF92D050"/>
        </patternFill>
      </fill>
    </dxf>
    <dxf>
      <fill>
        <patternFill>
          <bgColor rgb="FFF8696B"/>
        </patternFill>
      </fill>
    </dxf>
    <dxf>
      <fill>
        <patternFill>
          <bgColor rgb="FF63BE7B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icks&amp;Groups"/>
      <sheetName val="Group Schedule"/>
      <sheetName val="Prices"/>
    </sheetNames>
    <sheetDataSet>
      <sheetData sheetId="0" refreshError="1"/>
      <sheetData sheetId="1" refreshError="1"/>
      <sheetData sheetId="2" refreshError="1"/>
      <sheetData sheetId="3">
        <row r="3">
          <cell r="B3" t="str">
            <v>Spain</v>
          </cell>
          <cell r="C3">
            <v>2</v>
          </cell>
          <cell r="D3">
            <v>4</v>
          </cell>
          <cell r="E3">
            <v>4</v>
          </cell>
          <cell r="F3">
            <v>4</v>
          </cell>
          <cell r="G3">
            <v>75</v>
          </cell>
          <cell r="H3">
            <v>4</v>
          </cell>
          <cell r="I3">
            <v>1</v>
          </cell>
        </row>
        <row r="4">
          <cell r="B4" t="str">
            <v>Brazil</v>
          </cell>
          <cell r="C4">
            <v>1</v>
          </cell>
          <cell r="D4">
            <v>5</v>
          </cell>
          <cell r="E4">
            <v>5</v>
          </cell>
          <cell r="F4">
            <v>5</v>
          </cell>
          <cell r="G4">
            <v>70</v>
          </cell>
          <cell r="H4">
            <v>5</v>
          </cell>
          <cell r="I4">
            <v>2</v>
          </cell>
        </row>
        <row r="5">
          <cell r="B5" t="str">
            <v>England</v>
          </cell>
          <cell r="C5">
            <v>8</v>
          </cell>
          <cell r="D5">
            <v>5.5</v>
          </cell>
          <cell r="E5">
            <v>5.5</v>
          </cell>
          <cell r="F5">
            <v>5.5</v>
          </cell>
          <cell r="G5">
            <v>60</v>
          </cell>
          <cell r="H5">
            <v>5.5</v>
          </cell>
          <cell r="I5">
            <v>3</v>
          </cell>
        </row>
        <row r="6">
          <cell r="B6" t="str">
            <v>Argentina</v>
          </cell>
          <cell r="C6">
            <v>7</v>
          </cell>
          <cell r="D6">
            <v>9</v>
          </cell>
          <cell r="E6">
            <v>9</v>
          </cell>
          <cell r="F6">
            <v>7</v>
          </cell>
          <cell r="G6">
            <v>55</v>
          </cell>
          <cell r="H6">
            <v>8.3000000000000007</v>
          </cell>
          <cell r="I6">
            <v>4</v>
          </cell>
        </row>
        <row r="7">
          <cell r="B7" t="str">
            <v>Italy</v>
          </cell>
          <cell r="C7">
            <v>5</v>
          </cell>
          <cell r="D7">
            <v>12</v>
          </cell>
          <cell r="E7">
            <v>12</v>
          </cell>
          <cell r="F7">
            <v>14</v>
          </cell>
          <cell r="G7">
            <v>50</v>
          </cell>
          <cell r="H7">
            <v>12.7</v>
          </cell>
          <cell r="I7">
            <v>5</v>
          </cell>
        </row>
        <row r="8">
          <cell r="B8" t="str">
            <v>Netherlands</v>
          </cell>
          <cell r="C8">
            <v>4</v>
          </cell>
          <cell r="D8">
            <v>14</v>
          </cell>
          <cell r="E8">
            <v>12</v>
          </cell>
          <cell r="F8">
            <v>14</v>
          </cell>
          <cell r="G8">
            <v>47</v>
          </cell>
          <cell r="H8">
            <v>13.3</v>
          </cell>
          <cell r="I8">
            <v>6</v>
          </cell>
        </row>
        <row r="9">
          <cell r="B9" t="str">
            <v>Germany</v>
          </cell>
          <cell r="C9">
            <v>6</v>
          </cell>
          <cell r="D9">
            <v>14</v>
          </cell>
          <cell r="E9">
            <v>14</v>
          </cell>
          <cell r="F9">
            <v>15</v>
          </cell>
          <cell r="G9">
            <v>44</v>
          </cell>
          <cell r="H9">
            <v>14.3</v>
          </cell>
          <cell r="I9">
            <v>7</v>
          </cell>
        </row>
        <row r="10">
          <cell r="B10" t="str">
            <v>France</v>
          </cell>
          <cell r="C10">
            <v>10</v>
          </cell>
          <cell r="D10">
            <v>12</v>
          </cell>
          <cell r="E10">
            <v>18</v>
          </cell>
          <cell r="F10">
            <v>16</v>
          </cell>
          <cell r="G10">
            <v>40</v>
          </cell>
          <cell r="H10">
            <v>15.3</v>
          </cell>
          <cell r="I10">
            <v>8</v>
          </cell>
        </row>
        <row r="11">
          <cell r="B11" t="str">
            <v>Portugal</v>
          </cell>
          <cell r="C11">
            <v>3</v>
          </cell>
          <cell r="D11">
            <v>25</v>
          </cell>
          <cell r="E11">
            <v>25</v>
          </cell>
          <cell r="F11">
            <v>22</v>
          </cell>
          <cell r="G11">
            <v>37</v>
          </cell>
          <cell r="H11">
            <v>24</v>
          </cell>
          <cell r="I11">
            <v>9</v>
          </cell>
        </row>
        <row r="12">
          <cell r="B12" t="str">
            <v>Ivory Coast</v>
          </cell>
          <cell r="C12">
            <v>27</v>
          </cell>
          <cell r="D12">
            <v>25</v>
          </cell>
          <cell r="E12">
            <v>25</v>
          </cell>
          <cell r="F12">
            <v>28</v>
          </cell>
          <cell r="G12">
            <v>35</v>
          </cell>
          <cell r="H12">
            <v>26</v>
          </cell>
          <cell r="I12">
            <v>10</v>
          </cell>
        </row>
        <row r="13">
          <cell r="B13" t="str">
            <v>Chile</v>
          </cell>
          <cell r="C13">
            <v>15</v>
          </cell>
          <cell r="D13">
            <v>50</v>
          </cell>
          <cell r="E13">
            <v>66</v>
          </cell>
          <cell r="F13">
            <v>50</v>
          </cell>
          <cell r="G13">
            <v>25</v>
          </cell>
          <cell r="H13">
            <v>55.3</v>
          </cell>
          <cell r="I13">
            <v>11</v>
          </cell>
        </row>
        <row r="14">
          <cell r="B14" t="str">
            <v>Mexico</v>
          </cell>
          <cell r="C14">
            <v>17</v>
          </cell>
          <cell r="D14">
            <v>50</v>
          </cell>
          <cell r="E14">
            <v>66</v>
          </cell>
          <cell r="F14">
            <v>66</v>
          </cell>
          <cell r="G14">
            <v>25</v>
          </cell>
          <cell r="H14">
            <v>60.7</v>
          </cell>
          <cell r="I14">
            <v>13</v>
          </cell>
        </row>
        <row r="15">
          <cell r="B15" t="str">
            <v>Paraguay</v>
          </cell>
          <cell r="C15">
            <v>30</v>
          </cell>
          <cell r="D15">
            <v>40</v>
          </cell>
          <cell r="E15">
            <v>66</v>
          </cell>
          <cell r="F15">
            <v>66</v>
          </cell>
          <cell r="G15">
            <v>25</v>
          </cell>
          <cell r="H15">
            <v>57.3</v>
          </cell>
          <cell r="I15">
            <v>12</v>
          </cell>
        </row>
        <row r="16">
          <cell r="B16" t="str">
            <v>Serbia</v>
          </cell>
          <cell r="C16">
            <v>16</v>
          </cell>
          <cell r="D16">
            <v>66</v>
          </cell>
          <cell r="E16">
            <v>66</v>
          </cell>
          <cell r="F16">
            <v>66</v>
          </cell>
          <cell r="G16">
            <v>23</v>
          </cell>
          <cell r="H16">
            <v>66</v>
          </cell>
          <cell r="I16">
            <v>14</v>
          </cell>
        </row>
        <row r="17">
          <cell r="B17" t="str">
            <v>Ghana</v>
          </cell>
          <cell r="C17">
            <v>32</v>
          </cell>
          <cell r="D17">
            <v>75</v>
          </cell>
          <cell r="E17">
            <v>66</v>
          </cell>
          <cell r="F17">
            <v>66</v>
          </cell>
          <cell r="G17">
            <v>21</v>
          </cell>
          <cell r="H17">
            <v>69</v>
          </cell>
          <cell r="I17">
            <v>15</v>
          </cell>
        </row>
        <row r="18">
          <cell r="B18" t="str">
            <v>USA</v>
          </cell>
          <cell r="C18">
            <v>14</v>
          </cell>
          <cell r="D18">
            <v>66</v>
          </cell>
          <cell r="E18">
            <v>66</v>
          </cell>
          <cell r="F18">
            <v>80</v>
          </cell>
          <cell r="G18">
            <v>20</v>
          </cell>
          <cell r="H18">
            <v>70.7</v>
          </cell>
          <cell r="I18">
            <v>16</v>
          </cell>
        </row>
        <row r="19">
          <cell r="B19" t="str">
            <v>Cameroon</v>
          </cell>
          <cell r="C19">
            <v>19</v>
          </cell>
          <cell r="D19">
            <v>80</v>
          </cell>
          <cell r="E19">
            <v>80</v>
          </cell>
          <cell r="F19">
            <v>80</v>
          </cell>
          <cell r="G19">
            <v>19</v>
          </cell>
          <cell r="H19">
            <v>80</v>
          </cell>
          <cell r="I19">
            <v>17</v>
          </cell>
        </row>
        <row r="20">
          <cell r="B20" t="str">
            <v>Uruguay</v>
          </cell>
          <cell r="C20">
            <v>18</v>
          </cell>
          <cell r="D20">
            <v>80</v>
          </cell>
          <cell r="E20">
            <v>100</v>
          </cell>
          <cell r="F20">
            <v>80</v>
          </cell>
          <cell r="G20">
            <v>18</v>
          </cell>
          <cell r="H20">
            <v>86.7</v>
          </cell>
          <cell r="I20">
            <v>18</v>
          </cell>
        </row>
        <row r="21">
          <cell r="B21" t="str">
            <v>Denmark</v>
          </cell>
          <cell r="C21">
            <v>35</v>
          </cell>
          <cell r="D21">
            <v>80</v>
          </cell>
          <cell r="E21">
            <v>100</v>
          </cell>
          <cell r="F21">
            <v>125</v>
          </cell>
          <cell r="G21">
            <v>15</v>
          </cell>
          <cell r="H21">
            <v>101.7</v>
          </cell>
          <cell r="I21">
            <v>20</v>
          </cell>
        </row>
        <row r="22">
          <cell r="B22" t="str">
            <v>Nigeria</v>
          </cell>
          <cell r="C22">
            <v>20</v>
          </cell>
          <cell r="D22">
            <v>100</v>
          </cell>
          <cell r="E22">
            <v>100</v>
          </cell>
          <cell r="F22">
            <v>100</v>
          </cell>
          <cell r="G22">
            <v>15</v>
          </cell>
          <cell r="H22">
            <v>100</v>
          </cell>
          <cell r="I22">
            <v>19</v>
          </cell>
        </row>
        <row r="23">
          <cell r="B23" t="str">
            <v>South Africa</v>
          </cell>
          <cell r="C23">
            <v>90</v>
          </cell>
          <cell r="D23">
            <v>80</v>
          </cell>
          <cell r="E23">
            <v>125</v>
          </cell>
          <cell r="F23">
            <v>125</v>
          </cell>
          <cell r="G23">
            <v>15</v>
          </cell>
          <cell r="H23">
            <v>110</v>
          </cell>
          <cell r="I23">
            <v>21</v>
          </cell>
        </row>
        <row r="24">
          <cell r="B24" t="str">
            <v>Greece</v>
          </cell>
          <cell r="C24">
            <v>11</v>
          </cell>
          <cell r="D24">
            <v>100</v>
          </cell>
          <cell r="E24">
            <v>100</v>
          </cell>
          <cell r="F24">
            <v>150</v>
          </cell>
          <cell r="G24">
            <v>14</v>
          </cell>
          <cell r="H24">
            <v>116.7</v>
          </cell>
          <cell r="I24">
            <v>22</v>
          </cell>
        </row>
        <row r="25">
          <cell r="B25" t="str">
            <v>Australia</v>
          </cell>
          <cell r="C25">
            <v>21</v>
          </cell>
          <cell r="D25">
            <v>125</v>
          </cell>
          <cell r="E25">
            <v>125</v>
          </cell>
          <cell r="F25">
            <v>125</v>
          </cell>
          <cell r="G25">
            <v>13</v>
          </cell>
          <cell r="H25">
            <v>125</v>
          </cell>
          <cell r="I25">
            <v>23</v>
          </cell>
        </row>
        <row r="26">
          <cell r="B26" t="str">
            <v>Switzerland</v>
          </cell>
          <cell r="C26">
            <v>26</v>
          </cell>
          <cell r="D26">
            <v>175</v>
          </cell>
          <cell r="E26">
            <v>150</v>
          </cell>
          <cell r="F26">
            <v>200</v>
          </cell>
          <cell r="G26">
            <v>11</v>
          </cell>
          <cell r="H26">
            <v>175</v>
          </cell>
          <cell r="I26">
            <v>24</v>
          </cell>
        </row>
        <row r="27">
          <cell r="B27" t="str">
            <v>Slovenia</v>
          </cell>
          <cell r="C27">
            <v>23</v>
          </cell>
          <cell r="D27">
            <v>175</v>
          </cell>
          <cell r="E27">
            <v>200</v>
          </cell>
          <cell r="F27">
            <v>250</v>
          </cell>
          <cell r="G27">
            <v>10</v>
          </cell>
          <cell r="H27">
            <v>208.3</v>
          </cell>
          <cell r="I27">
            <v>25</v>
          </cell>
        </row>
        <row r="28">
          <cell r="B28" t="str">
            <v>Slovakia</v>
          </cell>
          <cell r="C28">
            <v>38</v>
          </cell>
          <cell r="D28">
            <v>200</v>
          </cell>
          <cell r="E28">
            <v>200</v>
          </cell>
          <cell r="F28">
            <v>250</v>
          </cell>
          <cell r="G28">
            <v>9</v>
          </cell>
          <cell r="H28">
            <v>216.7</v>
          </cell>
          <cell r="I28">
            <v>27</v>
          </cell>
        </row>
        <row r="29">
          <cell r="B29" t="str">
            <v>Japan</v>
          </cell>
          <cell r="C29">
            <v>45</v>
          </cell>
          <cell r="D29">
            <v>200</v>
          </cell>
          <cell r="E29">
            <v>250</v>
          </cell>
          <cell r="F29">
            <v>200</v>
          </cell>
          <cell r="G29">
            <v>8</v>
          </cell>
          <cell r="H29">
            <v>216.7</v>
          </cell>
          <cell r="I29">
            <v>27</v>
          </cell>
        </row>
        <row r="30">
          <cell r="B30" t="str">
            <v>South Korea</v>
          </cell>
          <cell r="C30">
            <v>47</v>
          </cell>
          <cell r="D30">
            <v>250</v>
          </cell>
          <cell r="E30">
            <v>250</v>
          </cell>
          <cell r="F30">
            <v>200</v>
          </cell>
          <cell r="G30">
            <v>7</v>
          </cell>
          <cell r="H30">
            <v>233.3</v>
          </cell>
          <cell r="I30">
            <v>28</v>
          </cell>
        </row>
        <row r="31">
          <cell r="B31" t="str">
            <v>Algeria</v>
          </cell>
          <cell r="C31">
            <v>31</v>
          </cell>
          <cell r="D31">
            <v>500</v>
          </cell>
          <cell r="E31">
            <v>350</v>
          </cell>
          <cell r="F31">
            <v>250</v>
          </cell>
          <cell r="G31">
            <v>6</v>
          </cell>
          <cell r="H31">
            <v>366.7</v>
          </cell>
          <cell r="I31">
            <v>29</v>
          </cell>
        </row>
        <row r="32">
          <cell r="B32" t="str">
            <v>Honduras</v>
          </cell>
          <cell r="C32">
            <v>40</v>
          </cell>
          <cell r="D32">
            <v>400</v>
          </cell>
          <cell r="E32">
            <v>1000</v>
          </cell>
          <cell r="F32">
            <v>750</v>
          </cell>
          <cell r="G32">
            <v>5</v>
          </cell>
          <cell r="H32">
            <v>716.7</v>
          </cell>
          <cell r="I32">
            <v>30</v>
          </cell>
        </row>
        <row r="33">
          <cell r="B33" t="str">
            <v>New Zealand</v>
          </cell>
          <cell r="C33">
            <v>78</v>
          </cell>
          <cell r="D33">
            <v>750</v>
          </cell>
          <cell r="E33">
            <v>2000</v>
          </cell>
          <cell r="F33">
            <v>2000</v>
          </cell>
          <cell r="G33">
            <v>3</v>
          </cell>
          <cell r="H33">
            <v>1583.3</v>
          </cell>
          <cell r="I33">
            <v>32</v>
          </cell>
        </row>
        <row r="34">
          <cell r="B34" t="str">
            <v>North Korea</v>
          </cell>
          <cell r="C34">
            <v>106</v>
          </cell>
          <cell r="D34">
            <v>1000</v>
          </cell>
          <cell r="E34">
            <v>1500</v>
          </cell>
          <cell r="F34">
            <v>2000</v>
          </cell>
          <cell r="G34">
            <v>2</v>
          </cell>
          <cell r="H34">
            <v>1500</v>
          </cell>
          <cell r="I34">
            <v>31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188CA9-66DF-4156-990E-AD3BF2D02874}" autoFormatId="16" applyNumberFormats="0" applyBorderFormats="0" applyFontFormats="0" applyPatternFormats="0" applyAlignmentFormats="0" applyWidthHeightFormats="0">
  <queryTableRefresh nextId="5">
    <queryTableFields count="4">
      <queryTableField id="1" name="Entry" tableColumnId="1"/>
      <queryTableField id="2" name="Attribute" tableColumnId="2"/>
      <queryTableField id="3" name="Value" tableColumnId="3"/>
      <queryTableField id="4" name="PickTyo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001491-4AE9-494A-8003-C75966E0FD2B}" name="Table1_1" displayName="Table1_1" ref="A1:D649" tableType="queryTable" totalsRowShown="0">
  <autoFilter ref="A1:D649" xr:uid="{4D001491-4AE9-494A-8003-C75966E0FD2B}"/>
  <tableColumns count="4">
    <tableColumn id="1" xr3:uid="{C96A7A6C-8A77-4AB1-B58E-E98F57A37FE0}" uniqueName="1" name="Entry" queryTableFieldId="1" dataDxfId="6030"/>
    <tableColumn id="2" xr3:uid="{836EBCA9-0364-47F4-A1A5-BFE2B31C8470}" uniqueName="2" name="Attribute" queryTableFieldId="2" dataDxfId="6029"/>
    <tableColumn id="3" xr3:uid="{56D2404B-A56C-4694-BC98-97C39FBD1997}" uniqueName="3" name="Value" queryTableFieldId="3" dataDxfId="6028"/>
    <tableColumn id="4" xr3:uid="{6F124501-CBD5-46B2-BD3A-C0223B939CB5}" uniqueName="4" name="PickTyo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DFB06-814F-45E8-86E0-B25BD100A33E}" name="Table1" displayName="Table1" ref="B1:L101" totalsRowShown="0" headerRowDxfId="6031" dataDxfId="6032">
  <autoFilter ref="B1:L101" xr:uid="{0BDDFB06-814F-45E8-86E0-B25BD100A33E}"/>
  <tableColumns count="11">
    <tableColumn id="1" xr3:uid="{40D6560A-BA0B-48C9-857D-05F0565963AF}" name="Entry" dataDxfId="6043"/>
    <tableColumn id="2" xr3:uid="{7B0FE722-8A73-4CDA-8E46-49268621F8BF}" name="Team 1" dataDxfId="6042"/>
    <tableColumn id="3" xr3:uid="{DDF81024-4599-40D4-A8A4-56E8D8C0760F}" name="Team 2" dataDxfId="6041"/>
    <tableColumn id="4" xr3:uid="{E1E061CE-C842-43D7-BDC2-1A7A243C3B18}" name="Team 3" dataDxfId="6040"/>
    <tableColumn id="5" xr3:uid="{A32B9F50-4AC8-4282-B5AC-86D73671433A}" name="Team 4" dataDxfId="6039"/>
    <tableColumn id="6" xr3:uid="{C7B735F5-E77B-4D7E-B453-B5DF032B2C5A}" name="Team 5" dataDxfId="6038"/>
    <tableColumn id="7" xr3:uid="{9C6C32D0-4B6A-489E-B240-3C4C7DE4DBA2}" name="Team 6" dataDxfId="6037"/>
    <tableColumn id="8" xr3:uid="{0235CC2A-CD2D-47A9-B9EB-FA82434FFA52}" name="Team 7" dataDxfId="6036"/>
    <tableColumn id="9" xr3:uid="{A71D52A5-14E9-41A5-8974-87F59789A246}" name="Team 8" dataDxfId="6035"/>
    <tableColumn id="10" xr3:uid="{628C6159-5249-4661-88F1-615F8D609B87}" name="Team 9" dataDxfId="6034"/>
    <tableColumn id="11" xr3:uid="{6DE747BB-A72A-41DD-B34C-D9981E4F6745}" name="Short" dataDxfId="603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zoomScale="80" zoomScaleNormal="80" workbookViewId="0">
      <pane ySplit="1" topLeftCell="A57" activePane="bottomLeft" state="frozen"/>
      <selection pane="bottomLeft" activeCell="A2" sqref="A2:A101"/>
    </sheetView>
  </sheetViews>
  <sheetFormatPr defaultRowHeight="15" x14ac:dyDescent="0.25"/>
  <cols>
    <col min="1" max="1" width="27.28515625" customWidth="1"/>
    <col min="2" max="2" width="38.140625" bestFit="1" customWidth="1"/>
  </cols>
  <sheetData>
    <row r="1" spans="1:2" x14ac:dyDescent="0.25">
      <c r="A1" s="1" t="s">
        <v>294</v>
      </c>
      <c r="B1" s="1" t="s">
        <v>0</v>
      </c>
    </row>
    <row r="2" spans="1:2" x14ac:dyDescent="0.25">
      <c r="A2" t="s">
        <v>1</v>
      </c>
      <c r="B2" s="22" t="s">
        <v>2</v>
      </c>
    </row>
    <row r="3" spans="1:2" x14ac:dyDescent="0.25">
      <c r="A3" t="s">
        <v>3</v>
      </c>
      <c r="B3" s="22" t="s">
        <v>2</v>
      </c>
    </row>
    <row r="4" spans="1:2" x14ac:dyDescent="0.25">
      <c r="A4" t="s">
        <v>4</v>
      </c>
      <c r="B4" s="22" t="s">
        <v>5</v>
      </c>
    </row>
    <row r="5" spans="1:2" x14ac:dyDescent="0.25">
      <c r="A5" t="s">
        <v>6</v>
      </c>
      <c r="B5" s="22" t="s">
        <v>7</v>
      </c>
    </row>
    <row r="6" spans="1:2" x14ac:dyDescent="0.25">
      <c r="A6" t="s">
        <v>148</v>
      </c>
      <c r="B6" s="22" t="s">
        <v>149</v>
      </c>
    </row>
    <row r="7" spans="1:2" x14ac:dyDescent="0.25">
      <c r="A7" t="s">
        <v>8</v>
      </c>
      <c r="B7" s="22" t="s">
        <v>9</v>
      </c>
    </row>
    <row r="8" spans="1:2" x14ac:dyDescent="0.25">
      <c r="A8" t="s">
        <v>150</v>
      </c>
      <c r="B8" s="22" t="s">
        <v>10</v>
      </c>
    </row>
    <row r="9" spans="1:2" x14ac:dyDescent="0.25">
      <c r="A9" t="s">
        <v>11</v>
      </c>
      <c r="B9" s="22" t="s">
        <v>10</v>
      </c>
    </row>
    <row r="10" spans="1:2" x14ac:dyDescent="0.25">
      <c r="A10" t="s">
        <v>12</v>
      </c>
      <c r="B10" s="22" t="s">
        <v>10</v>
      </c>
    </row>
    <row r="11" spans="1:2" x14ac:dyDescent="0.25">
      <c r="A11" t="s">
        <v>13</v>
      </c>
      <c r="B11" s="22" t="s">
        <v>151</v>
      </c>
    </row>
    <row r="12" spans="1:2" x14ac:dyDescent="0.25">
      <c r="A12" t="s">
        <v>14</v>
      </c>
      <c r="B12" s="22" t="s">
        <v>151</v>
      </c>
    </row>
    <row r="13" spans="1:2" x14ac:dyDescent="0.25">
      <c r="A13" t="s">
        <v>15</v>
      </c>
      <c r="B13" s="22" t="s">
        <v>16</v>
      </c>
    </row>
    <row r="14" spans="1:2" x14ac:dyDescent="0.25">
      <c r="A14" t="s">
        <v>17</v>
      </c>
      <c r="B14" s="22" t="s">
        <v>16</v>
      </c>
    </row>
    <row r="15" spans="1:2" x14ac:dyDescent="0.25">
      <c r="A15" t="s">
        <v>18</v>
      </c>
      <c r="B15" s="22" t="s">
        <v>152</v>
      </c>
    </row>
    <row r="16" spans="1:2" x14ac:dyDescent="0.25">
      <c r="A16" t="s">
        <v>19</v>
      </c>
      <c r="B16" s="22" t="s">
        <v>20</v>
      </c>
    </row>
    <row r="17" spans="1:2" x14ac:dyDescent="0.25">
      <c r="A17" t="s">
        <v>21</v>
      </c>
      <c r="B17" s="22" t="s">
        <v>20</v>
      </c>
    </row>
    <row r="18" spans="1:2" x14ac:dyDescent="0.25">
      <c r="A18" t="s">
        <v>22</v>
      </c>
      <c r="B18" s="22" t="s">
        <v>20</v>
      </c>
    </row>
    <row r="19" spans="1:2" x14ac:dyDescent="0.25">
      <c r="A19" t="s">
        <v>23</v>
      </c>
      <c r="B19" s="22" t="s">
        <v>24</v>
      </c>
    </row>
    <row r="20" spans="1:2" x14ac:dyDescent="0.25">
      <c r="A20" t="s">
        <v>25</v>
      </c>
      <c r="B20" s="22" t="s">
        <v>24</v>
      </c>
    </row>
    <row r="21" spans="1:2" x14ac:dyDescent="0.25">
      <c r="A21" t="s">
        <v>154</v>
      </c>
      <c r="B21" s="22" t="s">
        <v>24</v>
      </c>
    </row>
    <row r="22" spans="1:2" x14ac:dyDescent="0.25">
      <c r="A22" t="s">
        <v>155</v>
      </c>
      <c r="B22" s="22" t="s">
        <v>24</v>
      </c>
    </row>
    <row r="23" spans="1:2" x14ac:dyDescent="0.25">
      <c r="A23" t="s">
        <v>153</v>
      </c>
      <c r="B23" s="22" t="s">
        <v>24</v>
      </c>
    </row>
    <row r="24" spans="1:2" x14ac:dyDescent="0.25">
      <c r="A24" t="s">
        <v>156</v>
      </c>
      <c r="B24" s="22" t="s">
        <v>157</v>
      </c>
    </row>
    <row r="25" spans="1:2" x14ac:dyDescent="0.25">
      <c r="A25" t="s">
        <v>158</v>
      </c>
      <c r="B25" s="22" t="s">
        <v>295</v>
      </c>
    </row>
    <row r="26" spans="1:2" x14ac:dyDescent="0.25">
      <c r="A26" t="s">
        <v>159</v>
      </c>
      <c r="B26" s="22" t="s">
        <v>295</v>
      </c>
    </row>
    <row r="27" spans="1:2" x14ac:dyDescent="0.25">
      <c r="A27" t="s">
        <v>160</v>
      </c>
      <c r="B27" s="22" t="s">
        <v>161</v>
      </c>
    </row>
    <row r="28" spans="1:2" x14ac:dyDescent="0.25">
      <c r="A28" t="s">
        <v>162</v>
      </c>
      <c r="B28" s="22" t="s">
        <v>163</v>
      </c>
    </row>
    <row r="29" spans="1:2" x14ac:dyDescent="0.25">
      <c r="A29" t="s">
        <v>164</v>
      </c>
      <c r="B29" s="22" t="s">
        <v>165</v>
      </c>
    </row>
    <row r="30" spans="1:2" x14ac:dyDescent="0.25">
      <c r="A30" t="s">
        <v>166</v>
      </c>
      <c r="B30" s="22" t="s">
        <v>167</v>
      </c>
    </row>
    <row r="31" spans="1:2" x14ac:dyDescent="0.25">
      <c r="A31" t="s">
        <v>168</v>
      </c>
      <c r="B31" s="22" t="s">
        <v>169</v>
      </c>
    </row>
    <row r="32" spans="1:2" x14ac:dyDescent="0.25">
      <c r="A32" t="s">
        <v>170</v>
      </c>
      <c r="B32" s="22" t="s">
        <v>169</v>
      </c>
    </row>
    <row r="33" spans="1:2" x14ac:dyDescent="0.25">
      <c r="A33" t="s">
        <v>171</v>
      </c>
      <c r="B33" s="22" t="s">
        <v>172</v>
      </c>
    </row>
    <row r="34" spans="1:2" x14ac:dyDescent="0.25">
      <c r="A34" t="s">
        <v>173</v>
      </c>
      <c r="B34" s="22" t="s">
        <v>174</v>
      </c>
    </row>
    <row r="35" spans="1:2" x14ac:dyDescent="0.25">
      <c r="A35" t="s">
        <v>175</v>
      </c>
      <c r="B35" s="22" t="s">
        <v>174</v>
      </c>
    </row>
    <row r="36" spans="1:2" x14ac:dyDescent="0.25">
      <c r="A36" t="s">
        <v>176</v>
      </c>
      <c r="B36" s="22" t="s">
        <v>177</v>
      </c>
    </row>
    <row r="37" spans="1:2" x14ac:dyDescent="0.25">
      <c r="A37" t="s">
        <v>178</v>
      </c>
      <c r="B37" s="22" t="s">
        <v>177</v>
      </c>
    </row>
    <row r="38" spans="1:2" x14ac:dyDescent="0.25">
      <c r="A38" t="s">
        <v>179</v>
      </c>
      <c r="B38" s="22" t="s">
        <v>180</v>
      </c>
    </row>
    <row r="39" spans="1:2" x14ac:dyDescent="0.25">
      <c r="A39" t="s">
        <v>181</v>
      </c>
      <c r="B39" s="22" t="s">
        <v>180</v>
      </c>
    </row>
    <row r="40" spans="1:2" x14ac:dyDescent="0.25">
      <c r="A40" t="s">
        <v>182</v>
      </c>
      <c r="B40" s="22" t="s">
        <v>183</v>
      </c>
    </row>
    <row r="41" spans="1:2" x14ac:dyDescent="0.25">
      <c r="A41" t="s">
        <v>184</v>
      </c>
      <c r="B41" s="22" t="s">
        <v>183</v>
      </c>
    </row>
    <row r="42" spans="1:2" x14ac:dyDescent="0.25">
      <c r="A42" t="s">
        <v>185</v>
      </c>
      <c r="B42" s="22" t="s">
        <v>186</v>
      </c>
    </row>
    <row r="43" spans="1:2" x14ac:dyDescent="0.25">
      <c r="A43" t="s">
        <v>187</v>
      </c>
      <c r="B43" s="22" t="s">
        <v>186</v>
      </c>
    </row>
    <row r="44" spans="1:2" x14ac:dyDescent="0.25">
      <c r="A44" t="s">
        <v>188</v>
      </c>
      <c r="B44" s="22" t="s">
        <v>189</v>
      </c>
    </row>
    <row r="45" spans="1:2" x14ac:dyDescent="0.25">
      <c r="A45" t="s">
        <v>190</v>
      </c>
      <c r="B45" s="22" t="s">
        <v>191</v>
      </c>
    </row>
    <row r="46" spans="1:2" x14ac:dyDescent="0.25">
      <c r="A46" t="s">
        <v>192</v>
      </c>
      <c r="B46" s="22" t="s">
        <v>193</v>
      </c>
    </row>
    <row r="47" spans="1:2" x14ac:dyDescent="0.25">
      <c r="A47" t="s">
        <v>194</v>
      </c>
      <c r="B47" s="22" t="s">
        <v>193</v>
      </c>
    </row>
    <row r="48" spans="1:2" x14ac:dyDescent="0.25">
      <c r="A48" t="s">
        <v>195</v>
      </c>
      <c r="B48" s="22" t="s">
        <v>193</v>
      </c>
    </row>
    <row r="49" spans="1:2" x14ac:dyDescent="0.25">
      <c r="A49" t="s">
        <v>196</v>
      </c>
      <c r="B49" s="22" t="s">
        <v>197</v>
      </c>
    </row>
    <row r="50" spans="1:2" x14ac:dyDescent="0.25">
      <c r="A50" t="s">
        <v>198</v>
      </c>
      <c r="B50" s="22" t="s">
        <v>200</v>
      </c>
    </row>
    <row r="51" spans="1:2" x14ac:dyDescent="0.25">
      <c r="A51" t="s">
        <v>199</v>
      </c>
      <c r="B51" s="22" t="s">
        <v>200</v>
      </c>
    </row>
    <row r="52" spans="1:2" x14ac:dyDescent="0.25">
      <c r="A52" t="s">
        <v>201</v>
      </c>
      <c r="B52" s="22" t="s">
        <v>202</v>
      </c>
    </row>
    <row r="53" spans="1:2" x14ac:dyDescent="0.25">
      <c r="A53" t="s">
        <v>203</v>
      </c>
      <c r="B53" s="22" t="s">
        <v>16</v>
      </c>
    </row>
    <row r="54" spans="1:2" x14ac:dyDescent="0.25">
      <c r="A54" t="s">
        <v>204</v>
      </c>
      <c r="B54" s="22" t="s">
        <v>205</v>
      </c>
    </row>
    <row r="55" spans="1:2" x14ac:dyDescent="0.25">
      <c r="A55" t="s">
        <v>206</v>
      </c>
      <c r="B55" s="22" t="s">
        <v>207</v>
      </c>
    </row>
    <row r="56" spans="1:2" x14ac:dyDescent="0.25">
      <c r="A56" t="s">
        <v>208</v>
      </c>
      <c r="B56" s="22" t="s">
        <v>207</v>
      </c>
    </row>
    <row r="57" spans="1:2" x14ac:dyDescent="0.25">
      <c r="A57" t="s">
        <v>209</v>
      </c>
      <c r="B57" s="22" t="s">
        <v>210</v>
      </c>
    </row>
    <row r="58" spans="1:2" x14ac:dyDescent="0.25">
      <c r="A58" t="s">
        <v>211</v>
      </c>
      <c r="B58" s="22" t="s">
        <v>210</v>
      </c>
    </row>
    <row r="59" spans="1:2" x14ac:dyDescent="0.25">
      <c r="A59" t="s">
        <v>212</v>
      </c>
      <c r="B59" s="22" t="s">
        <v>210</v>
      </c>
    </row>
    <row r="60" spans="1:2" x14ac:dyDescent="0.25">
      <c r="A60" t="s">
        <v>213</v>
      </c>
      <c r="B60" s="22" t="s">
        <v>214</v>
      </c>
    </row>
    <row r="61" spans="1:2" x14ac:dyDescent="0.25">
      <c r="A61" t="s">
        <v>215</v>
      </c>
      <c r="B61" s="22" t="s">
        <v>214</v>
      </c>
    </row>
    <row r="62" spans="1:2" x14ac:dyDescent="0.25">
      <c r="A62" t="s">
        <v>216</v>
      </c>
      <c r="B62" s="22" t="s">
        <v>217</v>
      </c>
    </row>
    <row r="63" spans="1:2" x14ac:dyDescent="0.25">
      <c r="A63" t="s">
        <v>218</v>
      </c>
      <c r="B63" s="22" t="s">
        <v>219</v>
      </c>
    </row>
    <row r="64" spans="1:2" x14ac:dyDescent="0.25">
      <c r="A64" t="s">
        <v>220</v>
      </c>
      <c r="B64" s="22" t="s">
        <v>219</v>
      </c>
    </row>
    <row r="65" spans="1:2" x14ac:dyDescent="0.25">
      <c r="A65" t="s">
        <v>221</v>
      </c>
      <c r="B65" s="22" t="s">
        <v>222</v>
      </c>
    </row>
    <row r="66" spans="1:2" x14ac:dyDescent="0.25">
      <c r="A66" t="s">
        <v>223</v>
      </c>
      <c r="B66" s="22" t="s">
        <v>224</v>
      </c>
    </row>
    <row r="67" spans="1:2" x14ac:dyDescent="0.25">
      <c r="A67" t="s">
        <v>225</v>
      </c>
      <c r="B67" s="22" t="s">
        <v>226</v>
      </c>
    </row>
    <row r="68" spans="1:2" x14ac:dyDescent="0.25">
      <c r="A68" t="s">
        <v>228</v>
      </c>
      <c r="B68" s="22" t="s">
        <v>227</v>
      </c>
    </row>
    <row r="69" spans="1:2" x14ac:dyDescent="0.25">
      <c r="A69" t="s">
        <v>230</v>
      </c>
      <c r="B69" s="22" t="s">
        <v>229</v>
      </c>
    </row>
    <row r="70" spans="1:2" x14ac:dyDescent="0.25">
      <c r="A70" t="s">
        <v>231</v>
      </c>
      <c r="B70" s="22" t="s">
        <v>229</v>
      </c>
    </row>
    <row r="71" spans="1:2" x14ac:dyDescent="0.25">
      <c r="A71" t="s">
        <v>232</v>
      </c>
      <c r="B71" s="22" t="s">
        <v>229</v>
      </c>
    </row>
    <row r="72" spans="1:2" x14ac:dyDescent="0.25">
      <c r="A72" t="s">
        <v>233</v>
      </c>
      <c r="B72" s="22" t="s">
        <v>234</v>
      </c>
    </row>
    <row r="73" spans="1:2" x14ac:dyDescent="0.25">
      <c r="A73" t="s">
        <v>235</v>
      </c>
      <c r="B73" s="22" t="s">
        <v>236</v>
      </c>
    </row>
    <row r="74" spans="1:2" x14ac:dyDescent="0.25">
      <c r="A74" t="s">
        <v>237</v>
      </c>
      <c r="B74" s="22" t="s">
        <v>238</v>
      </c>
    </row>
    <row r="75" spans="1:2" x14ac:dyDescent="0.25">
      <c r="A75" t="s">
        <v>239</v>
      </c>
      <c r="B75" s="22" t="s">
        <v>238</v>
      </c>
    </row>
    <row r="76" spans="1:2" x14ac:dyDescent="0.25">
      <c r="A76" t="s">
        <v>240</v>
      </c>
      <c r="B76" s="22" t="s">
        <v>241</v>
      </c>
    </row>
    <row r="77" spans="1:2" x14ac:dyDescent="0.25">
      <c r="A77" t="s">
        <v>242</v>
      </c>
      <c r="B77" s="22" t="s">
        <v>243</v>
      </c>
    </row>
    <row r="78" spans="1:2" x14ac:dyDescent="0.25">
      <c r="A78" t="s">
        <v>244</v>
      </c>
      <c r="B78" s="22" t="s">
        <v>243</v>
      </c>
    </row>
    <row r="79" spans="1:2" x14ac:dyDescent="0.25">
      <c r="A79" t="s">
        <v>245</v>
      </c>
      <c r="B79" s="22" t="s">
        <v>246</v>
      </c>
    </row>
    <row r="80" spans="1:2" x14ac:dyDescent="0.25">
      <c r="A80" t="s">
        <v>247</v>
      </c>
      <c r="B80" s="22" t="s">
        <v>248</v>
      </c>
    </row>
    <row r="81" spans="1:2" x14ac:dyDescent="0.25">
      <c r="A81" t="s">
        <v>249</v>
      </c>
      <c r="B81" s="22" t="s">
        <v>250</v>
      </c>
    </row>
    <row r="82" spans="1:2" x14ac:dyDescent="0.25">
      <c r="A82" t="s">
        <v>251</v>
      </c>
      <c r="B82" s="22" t="s">
        <v>252</v>
      </c>
    </row>
    <row r="83" spans="1:2" x14ac:dyDescent="0.25">
      <c r="A83" t="s">
        <v>253</v>
      </c>
      <c r="B83" s="22" t="s">
        <v>254</v>
      </c>
    </row>
    <row r="84" spans="1:2" x14ac:dyDescent="0.25">
      <c r="A84" t="s">
        <v>255</v>
      </c>
      <c r="B84" s="22" t="s">
        <v>256</v>
      </c>
    </row>
    <row r="85" spans="1:2" x14ac:dyDescent="0.25">
      <c r="A85" t="s">
        <v>257</v>
      </c>
      <c r="B85" s="22" t="s">
        <v>258</v>
      </c>
    </row>
    <row r="86" spans="1:2" x14ac:dyDescent="0.25">
      <c r="A86" t="s">
        <v>259</v>
      </c>
      <c r="B86" s="22" t="s">
        <v>258</v>
      </c>
    </row>
    <row r="87" spans="1:2" x14ac:dyDescent="0.25">
      <c r="A87" t="s">
        <v>260</v>
      </c>
      <c r="B87" s="22" t="s">
        <v>258</v>
      </c>
    </row>
    <row r="88" spans="1:2" x14ac:dyDescent="0.25">
      <c r="A88" t="s">
        <v>261</v>
      </c>
      <c r="B88" s="22" t="s">
        <v>262</v>
      </c>
    </row>
    <row r="89" spans="1:2" x14ac:dyDescent="0.25">
      <c r="A89" t="s">
        <v>263</v>
      </c>
      <c r="B89" s="22" t="s">
        <v>264</v>
      </c>
    </row>
    <row r="90" spans="1:2" x14ac:dyDescent="0.25">
      <c r="A90" t="s">
        <v>265</v>
      </c>
      <c r="B90" s="22" t="s">
        <v>266</v>
      </c>
    </row>
    <row r="91" spans="1:2" x14ac:dyDescent="0.25">
      <c r="A91" t="s">
        <v>267</v>
      </c>
      <c r="B91" s="22" t="s">
        <v>268</v>
      </c>
    </row>
    <row r="92" spans="1:2" x14ac:dyDescent="0.25">
      <c r="A92" t="s">
        <v>269</v>
      </c>
      <c r="B92" s="22" t="s">
        <v>270</v>
      </c>
    </row>
    <row r="93" spans="1:2" x14ac:dyDescent="0.25">
      <c r="A93" t="s">
        <v>271</v>
      </c>
      <c r="B93" s="22" t="s">
        <v>270</v>
      </c>
    </row>
    <row r="94" spans="1:2" x14ac:dyDescent="0.25">
      <c r="A94" t="s">
        <v>272</v>
      </c>
      <c r="B94" s="22" t="s">
        <v>273</v>
      </c>
    </row>
    <row r="95" spans="1:2" x14ac:dyDescent="0.25">
      <c r="A95" t="s">
        <v>274</v>
      </c>
      <c r="B95" s="22" t="s">
        <v>275</v>
      </c>
    </row>
    <row r="96" spans="1:2" x14ac:dyDescent="0.25">
      <c r="A96" t="s">
        <v>277</v>
      </c>
      <c r="B96" s="22" t="s">
        <v>275</v>
      </c>
    </row>
    <row r="97" spans="1:2" x14ac:dyDescent="0.25">
      <c r="A97" t="s">
        <v>276</v>
      </c>
      <c r="B97" s="22" t="s">
        <v>275</v>
      </c>
    </row>
    <row r="98" spans="1:2" x14ac:dyDescent="0.25">
      <c r="A98" t="s">
        <v>278</v>
      </c>
      <c r="B98" s="22" t="s">
        <v>282</v>
      </c>
    </row>
    <row r="99" spans="1:2" x14ac:dyDescent="0.25">
      <c r="A99" t="s">
        <v>279</v>
      </c>
      <c r="B99" s="22" t="s">
        <v>282</v>
      </c>
    </row>
    <row r="100" spans="1:2" x14ac:dyDescent="0.25">
      <c r="A100" t="s">
        <v>280</v>
      </c>
      <c r="B100" s="22" t="s">
        <v>282</v>
      </c>
    </row>
    <row r="101" spans="1:2" x14ac:dyDescent="0.25">
      <c r="A101" t="s">
        <v>281</v>
      </c>
      <c r="B101" s="22" t="s">
        <v>282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81DC-5444-4E90-A634-889EC99D13AD}">
  <dimension ref="A1:D649"/>
  <sheetViews>
    <sheetView workbookViewId="0">
      <selection activeCell="L14" sqref="L14"/>
    </sheetView>
  </sheetViews>
  <sheetFormatPr defaultRowHeight="15" x14ac:dyDescent="0.25"/>
  <cols>
    <col min="1" max="1" width="27.85546875" bestFit="1" customWidth="1"/>
    <col min="2" max="2" width="11.42578125" bestFit="1" customWidth="1"/>
    <col min="3" max="3" width="22.42578125" bestFit="1" customWidth="1"/>
    <col min="4" max="4" width="11.140625" bestFit="1" customWidth="1"/>
  </cols>
  <sheetData>
    <row r="1" spans="1:4" x14ac:dyDescent="0.25">
      <c r="A1" t="s">
        <v>26</v>
      </c>
      <c r="B1" t="s">
        <v>296</v>
      </c>
      <c r="C1" t="s">
        <v>297</v>
      </c>
      <c r="D1" t="s">
        <v>298</v>
      </c>
    </row>
    <row r="2" spans="1:4" x14ac:dyDescent="0.25">
      <c r="A2" s="52" t="s">
        <v>1</v>
      </c>
      <c r="B2" s="52" t="s">
        <v>27</v>
      </c>
      <c r="C2" s="52" t="s">
        <v>38</v>
      </c>
      <c r="D2" t="s">
        <v>299</v>
      </c>
    </row>
    <row r="3" spans="1:4" x14ac:dyDescent="0.25">
      <c r="A3" s="52" t="s">
        <v>1</v>
      </c>
      <c r="B3" s="52" t="s">
        <v>28</v>
      </c>
      <c r="C3" s="52" t="s">
        <v>39</v>
      </c>
      <c r="D3" t="s">
        <v>299</v>
      </c>
    </row>
    <row r="4" spans="1:4" x14ac:dyDescent="0.25">
      <c r="A4" s="52" t="s">
        <v>1</v>
      </c>
      <c r="B4" s="52" t="s">
        <v>29</v>
      </c>
      <c r="C4" s="52" t="s">
        <v>40</v>
      </c>
      <c r="D4" t="s">
        <v>299</v>
      </c>
    </row>
    <row r="5" spans="1:4" x14ac:dyDescent="0.25">
      <c r="A5" s="52" t="s">
        <v>1</v>
      </c>
      <c r="B5" s="52" t="s">
        <v>30</v>
      </c>
      <c r="C5" s="52" t="s">
        <v>41</v>
      </c>
      <c r="D5" t="s">
        <v>299</v>
      </c>
    </row>
    <row r="6" spans="1:4" x14ac:dyDescent="0.25">
      <c r="A6" s="52" t="s">
        <v>1</v>
      </c>
      <c r="B6" s="52" t="s">
        <v>31</v>
      </c>
      <c r="C6" s="52" t="s">
        <v>42</v>
      </c>
      <c r="D6" t="s">
        <v>299</v>
      </c>
    </row>
    <row r="7" spans="1:4" x14ac:dyDescent="0.25">
      <c r="A7" s="52" t="s">
        <v>1</v>
      </c>
      <c r="B7" s="52" t="s">
        <v>32</v>
      </c>
      <c r="C7" s="52" t="s">
        <v>43</v>
      </c>
      <c r="D7" t="s">
        <v>299</v>
      </c>
    </row>
    <row r="8" spans="1:4" x14ac:dyDescent="0.25">
      <c r="A8" s="52" t="s">
        <v>1</v>
      </c>
      <c r="B8" s="52" t="s">
        <v>36</v>
      </c>
      <c r="C8" s="52" t="s">
        <v>44</v>
      </c>
      <c r="D8" t="s">
        <v>300</v>
      </c>
    </row>
    <row r="9" spans="1:4" x14ac:dyDescent="0.25">
      <c r="A9" s="52" t="s">
        <v>3</v>
      </c>
      <c r="B9" s="52" t="s">
        <v>27</v>
      </c>
      <c r="C9" s="52" t="s">
        <v>44</v>
      </c>
      <c r="D9" t="s">
        <v>299</v>
      </c>
    </row>
    <row r="10" spans="1:4" x14ac:dyDescent="0.25">
      <c r="A10" s="52" t="s">
        <v>3</v>
      </c>
      <c r="B10" s="52" t="s">
        <v>28</v>
      </c>
      <c r="C10" s="52" t="s">
        <v>45</v>
      </c>
      <c r="D10" t="s">
        <v>299</v>
      </c>
    </row>
    <row r="11" spans="1:4" x14ac:dyDescent="0.25">
      <c r="A11" s="52" t="s">
        <v>3</v>
      </c>
      <c r="B11" s="52" t="s">
        <v>29</v>
      </c>
      <c r="C11" s="52" t="s">
        <v>46</v>
      </c>
      <c r="D11" t="s">
        <v>299</v>
      </c>
    </row>
    <row r="12" spans="1:4" x14ac:dyDescent="0.25">
      <c r="A12" s="52" t="s">
        <v>3</v>
      </c>
      <c r="B12" s="52" t="s">
        <v>36</v>
      </c>
      <c r="C12" s="52" t="s">
        <v>47</v>
      </c>
      <c r="D12" t="s">
        <v>300</v>
      </c>
    </row>
    <row r="13" spans="1:4" x14ac:dyDescent="0.25">
      <c r="A13" s="52" t="s">
        <v>4</v>
      </c>
      <c r="B13" s="52" t="s">
        <v>27</v>
      </c>
      <c r="C13" s="52" t="s">
        <v>45</v>
      </c>
      <c r="D13" t="s">
        <v>299</v>
      </c>
    </row>
    <row r="14" spans="1:4" x14ac:dyDescent="0.25">
      <c r="A14" s="52" t="s">
        <v>4</v>
      </c>
      <c r="B14" s="52" t="s">
        <v>28</v>
      </c>
      <c r="C14" s="52" t="s">
        <v>48</v>
      </c>
      <c r="D14" t="s">
        <v>299</v>
      </c>
    </row>
    <row r="15" spans="1:4" x14ac:dyDescent="0.25">
      <c r="A15" s="52" t="s">
        <v>4</v>
      </c>
      <c r="B15" s="52" t="s">
        <v>29</v>
      </c>
      <c r="C15" s="52" t="s">
        <v>49</v>
      </c>
      <c r="D15" t="s">
        <v>299</v>
      </c>
    </row>
    <row r="16" spans="1:4" x14ac:dyDescent="0.25">
      <c r="A16" s="52" t="s">
        <v>4</v>
      </c>
      <c r="B16" s="52" t="s">
        <v>30</v>
      </c>
      <c r="C16" s="52" t="s">
        <v>47</v>
      </c>
      <c r="D16" t="s">
        <v>299</v>
      </c>
    </row>
    <row r="17" spans="1:4" x14ac:dyDescent="0.25">
      <c r="A17" s="52" t="s">
        <v>4</v>
      </c>
      <c r="B17" s="52" t="s">
        <v>31</v>
      </c>
      <c r="C17" s="52" t="s">
        <v>50</v>
      </c>
      <c r="D17" t="s">
        <v>299</v>
      </c>
    </row>
    <row r="18" spans="1:4" x14ac:dyDescent="0.25">
      <c r="A18" s="52" t="s">
        <v>4</v>
      </c>
      <c r="B18" s="52" t="s">
        <v>36</v>
      </c>
      <c r="C18" s="52" t="s">
        <v>44</v>
      </c>
      <c r="D18" t="s">
        <v>300</v>
      </c>
    </row>
    <row r="19" spans="1:4" x14ac:dyDescent="0.25">
      <c r="A19" s="52" t="s">
        <v>6</v>
      </c>
      <c r="B19" s="52" t="s">
        <v>27</v>
      </c>
      <c r="C19" s="52" t="s">
        <v>51</v>
      </c>
      <c r="D19" t="s">
        <v>299</v>
      </c>
    </row>
    <row r="20" spans="1:4" x14ac:dyDescent="0.25">
      <c r="A20" s="52" t="s">
        <v>6</v>
      </c>
      <c r="B20" s="52" t="s">
        <v>28</v>
      </c>
      <c r="C20" s="52" t="s">
        <v>45</v>
      </c>
      <c r="D20" t="s">
        <v>299</v>
      </c>
    </row>
    <row r="21" spans="1:4" x14ac:dyDescent="0.25">
      <c r="A21" s="52" t="s">
        <v>6</v>
      </c>
      <c r="B21" s="52" t="s">
        <v>29</v>
      </c>
      <c r="C21" s="52" t="s">
        <v>39</v>
      </c>
      <c r="D21" t="s">
        <v>299</v>
      </c>
    </row>
    <row r="22" spans="1:4" x14ac:dyDescent="0.25">
      <c r="A22" s="52" t="s">
        <v>6</v>
      </c>
      <c r="B22" s="52" t="s">
        <v>36</v>
      </c>
      <c r="C22" s="52" t="s">
        <v>52</v>
      </c>
      <c r="D22" t="s">
        <v>300</v>
      </c>
    </row>
    <row r="23" spans="1:4" x14ac:dyDescent="0.25">
      <c r="A23" s="52" t="s">
        <v>148</v>
      </c>
      <c r="B23" s="52" t="s">
        <v>27</v>
      </c>
      <c r="C23" s="52" t="s">
        <v>40</v>
      </c>
      <c r="D23" t="s">
        <v>299</v>
      </c>
    </row>
    <row r="24" spans="1:4" x14ac:dyDescent="0.25">
      <c r="A24" s="52" t="s">
        <v>148</v>
      </c>
      <c r="B24" s="52" t="s">
        <v>28</v>
      </c>
      <c r="C24" s="52" t="s">
        <v>53</v>
      </c>
      <c r="D24" t="s">
        <v>299</v>
      </c>
    </row>
    <row r="25" spans="1:4" x14ac:dyDescent="0.25">
      <c r="A25" s="52" t="s">
        <v>148</v>
      </c>
      <c r="B25" s="52" t="s">
        <v>29</v>
      </c>
      <c r="C25" s="52" t="s">
        <v>49</v>
      </c>
      <c r="D25" t="s">
        <v>299</v>
      </c>
    </row>
    <row r="26" spans="1:4" x14ac:dyDescent="0.25">
      <c r="A26" s="52" t="s">
        <v>148</v>
      </c>
      <c r="B26" s="52" t="s">
        <v>30</v>
      </c>
      <c r="C26" s="52" t="s">
        <v>54</v>
      </c>
      <c r="D26" t="s">
        <v>299</v>
      </c>
    </row>
    <row r="27" spans="1:4" x14ac:dyDescent="0.25">
      <c r="A27" s="52" t="s">
        <v>148</v>
      </c>
      <c r="B27" s="52" t="s">
        <v>31</v>
      </c>
      <c r="C27" s="52" t="s">
        <v>55</v>
      </c>
      <c r="D27" t="s">
        <v>299</v>
      </c>
    </row>
    <row r="28" spans="1:4" x14ac:dyDescent="0.25">
      <c r="A28" s="52" t="s">
        <v>8</v>
      </c>
      <c r="B28" s="52" t="s">
        <v>27</v>
      </c>
      <c r="C28" s="52" t="s">
        <v>56</v>
      </c>
      <c r="D28" t="s">
        <v>299</v>
      </c>
    </row>
    <row r="29" spans="1:4" x14ac:dyDescent="0.25">
      <c r="A29" s="52" t="s">
        <v>8</v>
      </c>
      <c r="B29" s="52" t="s">
        <v>28</v>
      </c>
      <c r="C29" s="52" t="s">
        <v>44</v>
      </c>
      <c r="D29" t="s">
        <v>299</v>
      </c>
    </row>
    <row r="30" spans="1:4" x14ac:dyDescent="0.25">
      <c r="A30" s="52" t="s">
        <v>8</v>
      </c>
      <c r="B30" s="52" t="s">
        <v>29</v>
      </c>
      <c r="C30" s="52" t="s">
        <v>43</v>
      </c>
      <c r="D30" t="s">
        <v>299</v>
      </c>
    </row>
    <row r="31" spans="1:4" x14ac:dyDescent="0.25">
      <c r="A31" s="52" t="s">
        <v>8</v>
      </c>
      <c r="B31" s="52" t="s">
        <v>30</v>
      </c>
      <c r="C31" s="52" t="s">
        <v>57</v>
      </c>
      <c r="D31" t="s">
        <v>299</v>
      </c>
    </row>
    <row r="32" spans="1:4" x14ac:dyDescent="0.25">
      <c r="A32" s="52" t="s">
        <v>8</v>
      </c>
      <c r="B32" s="52" t="s">
        <v>31</v>
      </c>
      <c r="C32" s="52" t="s">
        <v>58</v>
      </c>
      <c r="D32" t="s">
        <v>299</v>
      </c>
    </row>
    <row r="33" spans="1:4" x14ac:dyDescent="0.25">
      <c r="A33" s="52" t="s">
        <v>8</v>
      </c>
      <c r="B33" s="52" t="s">
        <v>32</v>
      </c>
      <c r="C33" s="52" t="s">
        <v>59</v>
      </c>
      <c r="D33" t="s">
        <v>299</v>
      </c>
    </row>
    <row r="34" spans="1:4" x14ac:dyDescent="0.25">
      <c r="A34" s="52" t="s">
        <v>8</v>
      </c>
      <c r="B34" s="52" t="s">
        <v>36</v>
      </c>
      <c r="C34" s="52" t="s">
        <v>51</v>
      </c>
      <c r="D34" t="s">
        <v>300</v>
      </c>
    </row>
    <row r="35" spans="1:4" x14ac:dyDescent="0.25">
      <c r="A35" s="52" t="s">
        <v>150</v>
      </c>
      <c r="B35" s="52" t="s">
        <v>27</v>
      </c>
      <c r="C35" s="52" t="s">
        <v>59</v>
      </c>
      <c r="D35" t="s">
        <v>299</v>
      </c>
    </row>
    <row r="36" spans="1:4" x14ac:dyDescent="0.25">
      <c r="A36" s="52" t="s">
        <v>150</v>
      </c>
      <c r="B36" s="52" t="s">
        <v>28</v>
      </c>
      <c r="C36" s="52" t="s">
        <v>38</v>
      </c>
      <c r="D36" t="s">
        <v>299</v>
      </c>
    </row>
    <row r="37" spans="1:4" x14ac:dyDescent="0.25">
      <c r="A37" s="52" t="s">
        <v>150</v>
      </c>
      <c r="B37" s="52" t="s">
        <v>29</v>
      </c>
      <c r="C37" s="52" t="s">
        <v>42</v>
      </c>
      <c r="D37" t="s">
        <v>299</v>
      </c>
    </row>
    <row r="38" spans="1:4" x14ac:dyDescent="0.25">
      <c r="A38" s="52" t="s">
        <v>150</v>
      </c>
      <c r="B38" s="52" t="s">
        <v>30</v>
      </c>
      <c r="C38" s="52" t="s">
        <v>60</v>
      </c>
      <c r="D38" t="s">
        <v>299</v>
      </c>
    </row>
    <row r="39" spans="1:4" x14ac:dyDescent="0.25">
      <c r="A39" s="52" t="s">
        <v>150</v>
      </c>
      <c r="B39" s="52" t="s">
        <v>36</v>
      </c>
      <c r="C39" s="52" t="s">
        <v>45</v>
      </c>
      <c r="D39" t="s">
        <v>300</v>
      </c>
    </row>
    <row r="40" spans="1:4" x14ac:dyDescent="0.25">
      <c r="A40" s="52" t="s">
        <v>11</v>
      </c>
      <c r="B40" s="52" t="s">
        <v>27</v>
      </c>
      <c r="C40" s="52" t="s">
        <v>51</v>
      </c>
      <c r="D40" t="s">
        <v>299</v>
      </c>
    </row>
    <row r="41" spans="1:4" x14ac:dyDescent="0.25">
      <c r="A41" s="52" t="s">
        <v>11</v>
      </c>
      <c r="B41" s="52" t="s">
        <v>28</v>
      </c>
      <c r="C41" s="52" t="s">
        <v>61</v>
      </c>
      <c r="D41" t="s">
        <v>299</v>
      </c>
    </row>
    <row r="42" spans="1:4" x14ac:dyDescent="0.25">
      <c r="A42" s="52" t="s">
        <v>11</v>
      </c>
      <c r="B42" s="52" t="s">
        <v>29</v>
      </c>
      <c r="C42" s="52" t="s">
        <v>41</v>
      </c>
      <c r="D42" t="s">
        <v>299</v>
      </c>
    </row>
    <row r="43" spans="1:4" x14ac:dyDescent="0.25">
      <c r="A43" s="52" t="s">
        <v>11</v>
      </c>
      <c r="B43" s="52" t="s">
        <v>30</v>
      </c>
      <c r="C43" s="52" t="s">
        <v>62</v>
      </c>
      <c r="D43" t="s">
        <v>299</v>
      </c>
    </row>
    <row r="44" spans="1:4" x14ac:dyDescent="0.25">
      <c r="A44" s="52" t="s">
        <v>11</v>
      </c>
      <c r="B44" s="52" t="s">
        <v>31</v>
      </c>
      <c r="C44" s="52" t="s">
        <v>63</v>
      </c>
      <c r="D44" t="s">
        <v>299</v>
      </c>
    </row>
    <row r="45" spans="1:4" x14ac:dyDescent="0.25">
      <c r="A45" s="52" t="s">
        <v>11</v>
      </c>
      <c r="B45" s="52" t="s">
        <v>32</v>
      </c>
      <c r="C45" s="52" t="s">
        <v>64</v>
      </c>
      <c r="D45" t="s">
        <v>299</v>
      </c>
    </row>
    <row r="46" spans="1:4" x14ac:dyDescent="0.25">
      <c r="A46" s="52" t="s">
        <v>11</v>
      </c>
      <c r="B46" s="52" t="s">
        <v>36</v>
      </c>
      <c r="C46" s="52" t="s">
        <v>52</v>
      </c>
      <c r="D46" t="s">
        <v>300</v>
      </c>
    </row>
    <row r="47" spans="1:4" x14ac:dyDescent="0.25">
      <c r="A47" s="52" t="s">
        <v>12</v>
      </c>
      <c r="B47" s="52" t="s">
        <v>27</v>
      </c>
      <c r="C47" s="52" t="s">
        <v>59</v>
      </c>
      <c r="D47" t="s">
        <v>299</v>
      </c>
    </row>
    <row r="48" spans="1:4" x14ac:dyDescent="0.25">
      <c r="A48" s="52" t="s">
        <v>12</v>
      </c>
      <c r="B48" s="52" t="s">
        <v>28</v>
      </c>
      <c r="C48" s="52" t="s">
        <v>50</v>
      </c>
      <c r="D48" t="s">
        <v>299</v>
      </c>
    </row>
    <row r="49" spans="1:4" x14ac:dyDescent="0.25">
      <c r="A49" s="52" t="s">
        <v>12</v>
      </c>
      <c r="B49" s="52" t="s">
        <v>29</v>
      </c>
      <c r="C49" s="52" t="s">
        <v>41</v>
      </c>
      <c r="D49" t="s">
        <v>299</v>
      </c>
    </row>
    <row r="50" spans="1:4" x14ac:dyDescent="0.25">
      <c r="A50" s="52" t="s">
        <v>12</v>
      </c>
      <c r="B50" s="52" t="s">
        <v>30</v>
      </c>
      <c r="C50" s="52" t="s">
        <v>49</v>
      </c>
      <c r="D50" t="s">
        <v>299</v>
      </c>
    </row>
    <row r="51" spans="1:4" x14ac:dyDescent="0.25">
      <c r="A51" s="52" t="s">
        <v>12</v>
      </c>
      <c r="B51" s="52" t="s">
        <v>31</v>
      </c>
      <c r="C51" s="52" t="s">
        <v>55</v>
      </c>
      <c r="D51" t="s">
        <v>299</v>
      </c>
    </row>
    <row r="52" spans="1:4" x14ac:dyDescent="0.25">
      <c r="A52" s="52" t="s">
        <v>12</v>
      </c>
      <c r="B52" s="52" t="s">
        <v>32</v>
      </c>
      <c r="C52" s="52" t="s">
        <v>65</v>
      </c>
      <c r="D52" t="s">
        <v>299</v>
      </c>
    </row>
    <row r="53" spans="1:4" x14ac:dyDescent="0.25">
      <c r="A53" s="52" t="s">
        <v>12</v>
      </c>
      <c r="B53" s="52" t="s">
        <v>33</v>
      </c>
      <c r="C53" s="52" t="s">
        <v>66</v>
      </c>
      <c r="D53" t="s">
        <v>299</v>
      </c>
    </row>
    <row r="54" spans="1:4" x14ac:dyDescent="0.25">
      <c r="A54" s="52" t="s">
        <v>12</v>
      </c>
      <c r="B54" s="52" t="s">
        <v>36</v>
      </c>
      <c r="C54" s="52" t="s">
        <v>44</v>
      </c>
      <c r="D54" t="s">
        <v>300</v>
      </c>
    </row>
    <row r="55" spans="1:4" x14ac:dyDescent="0.25">
      <c r="A55" s="52" t="s">
        <v>13</v>
      </c>
      <c r="B55" s="52" t="s">
        <v>27</v>
      </c>
      <c r="C55" s="52" t="s">
        <v>51</v>
      </c>
      <c r="D55" t="s">
        <v>299</v>
      </c>
    </row>
    <row r="56" spans="1:4" x14ac:dyDescent="0.25">
      <c r="A56" s="52" t="s">
        <v>13</v>
      </c>
      <c r="B56" s="52" t="s">
        <v>28</v>
      </c>
      <c r="C56" s="52" t="s">
        <v>42</v>
      </c>
      <c r="D56" t="s">
        <v>299</v>
      </c>
    </row>
    <row r="57" spans="1:4" x14ac:dyDescent="0.25">
      <c r="A57" s="52" t="s">
        <v>13</v>
      </c>
      <c r="B57" s="52" t="s">
        <v>29</v>
      </c>
      <c r="C57" s="52" t="s">
        <v>53</v>
      </c>
      <c r="D57" t="s">
        <v>299</v>
      </c>
    </row>
    <row r="58" spans="1:4" x14ac:dyDescent="0.25">
      <c r="A58" s="52" t="s">
        <v>13</v>
      </c>
      <c r="B58" s="52" t="s">
        <v>30</v>
      </c>
      <c r="C58" s="52" t="s">
        <v>67</v>
      </c>
      <c r="D58" t="s">
        <v>299</v>
      </c>
    </row>
    <row r="59" spans="1:4" x14ac:dyDescent="0.25">
      <c r="A59" s="52" t="s">
        <v>13</v>
      </c>
      <c r="B59" s="52" t="s">
        <v>31</v>
      </c>
      <c r="C59" s="52" t="s">
        <v>68</v>
      </c>
      <c r="D59" t="s">
        <v>299</v>
      </c>
    </row>
    <row r="60" spans="1:4" x14ac:dyDescent="0.25">
      <c r="A60" s="52" t="s">
        <v>13</v>
      </c>
      <c r="B60" s="52" t="s">
        <v>32</v>
      </c>
      <c r="C60" s="52" t="s">
        <v>54</v>
      </c>
      <c r="D60" t="s">
        <v>299</v>
      </c>
    </row>
    <row r="61" spans="1:4" x14ac:dyDescent="0.25">
      <c r="A61" s="52" t="s">
        <v>13</v>
      </c>
      <c r="B61" s="52" t="s">
        <v>33</v>
      </c>
      <c r="C61" s="52" t="s">
        <v>69</v>
      </c>
      <c r="D61" t="s">
        <v>299</v>
      </c>
    </row>
    <row r="62" spans="1:4" x14ac:dyDescent="0.25">
      <c r="A62" s="52" t="s">
        <v>13</v>
      </c>
      <c r="B62" s="52" t="s">
        <v>34</v>
      </c>
      <c r="C62" s="52" t="s">
        <v>64</v>
      </c>
      <c r="D62" t="s">
        <v>299</v>
      </c>
    </row>
    <row r="63" spans="1:4" x14ac:dyDescent="0.25">
      <c r="A63" s="52" t="s">
        <v>13</v>
      </c>
      <c r="B63" s="52" t="s">
        <v>35</v>
      </c>
      <c r="C63" s="52" t="s">
        <v>56</v>
      </c>
      <c r="D63" t="s">
        <v>299</v>
      </c>
    </row>
    <row r="64" spans="1:4" x14ac:dyDescent="0.25">
      <c r="A64" s="52" t="s">
        <v>13</v>
      </c>
      <c r="B64" s="52" t="s">
        <v>36</v>
      </c>
      <c r="C64" s="52" t="s">
        <v>45</v>
      </c>
      <c r="D64" t="s">
        <v>300</v>
      </c>
    </row>
    <row r="65" spans="1:4" x14ac:dyDescent="0.25">
      <c r="A65" s="52" t="s">
        <v>14</v>
      </c>
      <c r="B65" s="52" t="s">
        <v>27</v>
      </c>
      <c r="C65" s="52" t="s">
        <v>52</v>
      </c>
      <c r="D65" t="s">
        <v>299</v>
      </c>
    </row>
    <row r="66" spans="1:4" x14ac:dyDescent="0.25">
      <c r="A66" s="52" t="s">
        <v>14</v>
      </c>
      <c r="B66" s="52" t="s">
        <v>28</v>
      </c>
      <c r="C66" s="52" t="s">
        <v>38</v>
      </c>
      <c r="D66" t="s">
        <v>299</v>
      </c>
    </row>
    <row r="67" spans="1:4" x14ac:dyDescent="0.25">
      <c r="A67" s="52" t="s">
        <v>14</v>
      </c>
      <c r="B67" s="52" t="s">
        <v>29</v>
      </c>
      <c r="C67" s="52" t="s">
        <v>42</v>
      </c>
      <c r="D67" t="s">
        <v>299</v>
      </c>
    </row>
    <row r="68" spans="1:4" x14ac:dyDescent="0.25">
      <c r="A68" s="52" t="s">
        <v>14</v>
      </c>
      <c r="B68" s="52" t="s">
        <v>30</v>
      </c>
      <c r="C68" s="52" t="s">
        <v>54</v>
      </c>
      <c r="D68" t="s">
        <v>299</v>
      </c>
    </row>
    <row r="69" spans="1:4" x14ac:dyDescent="0.25">
      <c r="A69" s="52" t="s">
        <v>14</v>
      </c>
      <c r="B69" s="52" t="s">
        <v>31</v>
      </c>
      <c r="C69" s="52" t="s">
        <v>46</v>
      </c>
      <c r="D69" t="s">
        <v>299</v>
      </c>
    </row>
    <row r="70" spans="1:4" x14ac:dyDescent="0.25">
      <c r="A70" s="52" t="s">
        <v>14</v>
      </c>
      <c r="B70" s="52" t="s">
        <v>32</v>
      </c>
      <c r="C70" s="52" t="s">
        <v>70</v>
      </c>
      <c r="D70" t="s">
        <v>299</v>
      </c>
    </row>
    <row r="71" spans="1:4" x14ac:dyDescent="0.25">
      <c r="A71" s="52" t="s">
        <v>14</v>
      </c>
      <c r="B71" s="52" t="s">
        <v>33</v>
      </c>
      <c r="C71" s="52" t="s">
        <v>71</v>
      </c>
      <c r="D71" t="s">
        <v>299</v>
      </c>
    </row>
    <row r="72" spans="1:4" x14ac:dyDescent="0.25">
      <c r="A72" s="52" t="s">
        <v>14</v>
      </c>
      <c r="B72" s="52" t="s">
        <v>36</v>
      </c>
      <c r="C72" s="52" t="s">
        <v>59</v>
      </c>
      <c r="D72" t="s">
        <v>300</v>
      </c>
    </row>
    <row r="73" spans="1:4" x14ac:dyDescent="0.25">
      <c r="A73" s="52" t="s">
        <v>15</v>
      </c>
      <c r="B73" s="52" t="s">
        <v>27</v>
      </c>
      <c r="C73" s="52" t="s">
        <v>50</v>
      </c>
      <c r="D73" t="s">
        <v>299</v>
      </c>
    </row>
    <row r="74" spans="1:4" x14ac:dyDescent="0.25">
      <c r="A74" s="52" t="s">
        <v>15</v>
      </c>
      <c r="B74" s="52" t="s">
        <v>28</v>
      </c>
      <c r="C74" s="52" t="s">
        <v>67</v>
      </c>
      <c r="D74" t="s">
        <v>299</v>
      </c>
    </row>
    <row r="75" spans="1:4" x14ac:dyDescent="0.25">
      <c r="A75" s="52" t="s">
        <v>15</v>
      </c>
      <c r="B75" s="52" t="s">
        <v>29</v>
      </c>
      <c r="C75" s="52" t="s">
        <v>72</v>
      </c>
      <c r="D75" t="s">
        <v>299</v>
      </c>
    </row>
    <row r="76" spans="1:4" x14ac:dyDescent="0.25">
      <c r="A76" s="52" t="s">
        <v>15</v>
      </c>
      <c r="B76" s="52" t="s">
        <v>30</v>
      </c>
      <c r="C76" s="52" t="s">
        <v>57</v>
      </c>
      <c r="D76" t="s">
        <v>299</v>
      </c>
    </row>
    <row r="77" spans="1:4" x14ac:dyDescent="0.25">
      <c r="A77" s="52" t="s">
        <v>15</v>
      </c>
      <c r="B77" s="52" t="s">
        <v>31</v>
      </c>
      <c r="C77" s="52" t="s">
        <v>62</v>
      </c>
      <c r="D77" t="s">
        <v>299</v>
      </c>
    </row>
    <row r="78" spans="1:4" x14ac:dyDescent="0.25">
      <c r="A78" s="52" t="s">
        <v>15</v>
      </c>
      <c r="B78" s="52" t="s">
        <v>32</v>
      </c>
      <c r="C78" s="52" t="s">
        <v>54</v>
      </c>
      <c r="D78" t="s">
        <v>299</v>
      </c>
    </row>
    <row r="79" spans="1:4" x14ac:dyDescent="0.25">
      <c r="A79" s="52" t="s">
        <v>15</v>
      </c>
      <c r="B79" s="52" t="s">
        <v>33</v>
      </c>
      <c r="C79" s="52" t="s">
        <v>49</v>
      </c>
      <c r="D79" t="s">
        <v>299</v>
      </c>
    </row>
    <row r="80" spans="1:4" x14ac:dyDescent="0.25">
      <c r="A80" s="52" t="s">
        <v>15</v>
      </c>
      <c r="B80" s="52" t="s">
        <v>36</v>
      </c>
      <c r="C80" s="52" t="s">
        <v>40</v>
      </c>
      <c r="D80" t="s">
        <v>300</v>
      </c>
    </row>
    <row r="81" spans="1:4" x14ac:dyDescent="0.25">
      <c r="A81" s="52" t="s">
        <v>17</v>
      </c>
      <c r="B81" s="52" t="s">
        <v>27</v>
      </c>
      <c r="C81" s="52" t="s">
        <v>38</v>
      </c>
      <c r="D81" t="s">
        <v>299</v>
      </c>
    </row>
    <row r="82" spans="1:4" x14ac:dyDescent="0.25">
      <c r="A82" s="52" t="s">
        <v>17</v>
      </c>
      <c r="B82" s="52" t="s">
        <v>28</v>
      </c>
      <c r="C82" s="52" t="s">
        <v>53</v>
      </c>
      <c r="D82" t="s">
        <v>299</v>
      </c>
    </row>
    <row r="83" spans="1:4" x14ac:dyDescent="0.25">
      <c r="A83" s="52" t="s">
        <v>17</v>
      </c>
      <c r="B83" s="52" t="s">
        <v>29</v>
      </c>
      <c r="C83" s="52" t="s">
        <v>60</v>
      </c>
      <c r="D83" t="s">
        <v>299</v>
      </c>
    </row>
    <row r="84" spans="1:4" x14ac:dyDescent="0.25">
      <c r="A84" s="52" t="s">
        <v>17</v>
      </c>
      <c r="B84" s="52" t="s">
        <v>30</v>
      </c>
      <c r="C84" s="52" t="s">
        <v>47</v>
      </c>
      <c r="D84" t="s">
        <v>299</v>
      </c>
    </row>
    <row r="85" spans="1:4" x14ac:dyDescent="0.25">
      <c r="A85" s="52" t="s">
        <v>17</v>
      </c>
      <c r="B85" s="52" t="s">
        <v>36</v>
      </c>
      <c r="C85" s="52" t="s">
        <v>39</v>
      </c>
      <c r="D85" t="s">
        <v>300</v>
      </c>
    </row>
    <row r="86" spans="1:4" x14ac:dyDescent="0.25">
      <c r="A86" s="52" t="s">
        <v>18</v>
      </c>
      <c r="B86" s="52" t="s">
        <v>27</v>
      </c>
      <c r="C86" s="52" t="s">
        <v>59</v>
      </c>
      <c r="D86" t="s">
        <v>299</v>
      </c>
    </row>
    <row r="87" spans="1:4" x14ac:dyDescent="0.25">
      <c r="A87" s="52" t="s">
        <v>18</v>
      </c>
      <c r="B87" s="52" t="s">
        <v>28</v>
      </c>
      <c r="C87" s="52" t="s">
        <v>38</v>
      </c>
      <c r="D87" t="s">
        <v>299</v>
      </c>
    </row>
    <row r="88" spans="1:4" x14ac:dyDescent="0.25">
      <c r="A88" s="52" t="s">
        <v>18</v>
      </c>
      <c r="B88" s="52" t="s">
        <v>29</v>
      </c>
      <c r="C88" s="52" t="s">
        <v>47</v>
      </c>
      <c r="D88" t="s">
        <v>299</v>
      </c>
    </row>
    <row r="89" spans="1:4" x14ac:dyDescent="0.25">
      <c r="A89" s="52" t="s">
        <v>18</v>
      </c>
      <c r="B89" s="52" t="s">
        <v>36</v>
      </c>
      <c r="C89" s="52" t="s">
        <v>51</v>
      </c>
      <c r="D89" t="s">
        <v>300</v>
      </c>
    </row>
    <row r="90" spans="1:4" x14ac:dyDescent="0.25">
      <c r="A90" s="52" t="s">
        <v>19</v>
      </c>
      <c r="B90" s="52" t="s">
        <v>27</v>
      </c>
      <c r="C90" s="52" t="s">
        <v>61</v>
      </c>
      <c r="D90" t="s">
        <v>299</v>
      </c>
    </row>
    <row r="91" spans="1:4" x14ac:dyDescent="0.25">
      <c r="A91" s="52" t="s">
        <v>19</v>
      </c>
      <c r="B91" s="52" t="s">
        <v>28</v>
      </c>
      <c r="C91" s="52" t="s">
        <v>42</v>
      </c>
      <c r="D91" t="s">
        <v>299</v>
      </c>
    </row>
    <row r="92" spans="1:4" x14ac:dyDescent="0.25">
      <c r="A92" s="52" t="s">
        <v>19</v>
      </c>
      <c r="B92" s="52" t="s">
        <v>29</v>
      </c>
      <c r="C92" s="52" t="s">
        <v>60</v>
      </c>
      <c r="D92" t="s">
        <v>299</v>
      </c>
    </row>
    <row r="93" spans="1:4" x14ac:dyDescent="0.25">
      <c r="A93" s="52" t="s">
        <v>19</v>
      </c>
      <c r="B93" s="52" t="s">
        <v>30</v>
      </c>
      <c r="C93" s="52" t="s">
        <v>71</v>
      </c>
      <c r="D93" t="s">
        <v>299</v>
      </c>
    </row>
    <row r="94" spans="1:4" x14ac:dyDescent="0.25">
      <c r="A94" s="52" t="s">
        <v>19</v>
      </c>
      <c r="B94" s="52" t="s">
        <v>31</v>
      </c>
      <c r="C94" s="52" t="s">
        <v>65</v>
      </c>
      <c r="D94" t="s">
        <v>299</v>
      </c>
    </row>
    <row r="95" spans="1:4" x14ac:dyDescent="0.25">
      <c r="A95" s="52" t="s">
        <v>19</v>
      </c>
      <c r="B95" s="52" t="s">
        <v>32</v>
      </c>
      <c r="C95" s="52" t="s">
        <v>70</v>
      </c>
      <c r="D95" t="s">
        <v>299</v>
      </c>
    </row>
    <row r="96" spans="1:4" x14ac:dyDescent="0.25">
      <c r="A96" s="52" t="s">
        <v>19</v>
      </c>
      <c r="B96" s="52" t="s">
        <v>33</v>
      </c>
      <c r="C96" s="52" t="s">
        <v>73</v>
      </c>
      <c r="D96" t="s">
        <v>299</v>
      </c>
    </row>
    <row r="97" spans="1:4" x14ac:dyDescent="0.25">
      <c r="A97" s="52" t="s">
        <v>19</v>
      </c>
      <c r="B97" s="52" t="s">
        <v>34</v>
      </c>
      <c r="C97" s="52" t="s">
        <v>64</v>
      </c>
      <c r="D97" t="s">
        <v>299</v>
      </c>
    </row>
    <row r="98" spans="1:4" x14ac:dyDescent="0.25">
      <c r="A98" s="52" t="s">
        <v>19</v>
      </c>
      <c r="B98" s="52" t="s">
        <v>36</v>
      </c>
      <c r="C98" s="52" t="s">
        <v>38</v>
      </c>
      <c r="D98" t="s">
        <v>300</v>
      </c>
    </row>
    <row r="99" spans="1:4" x14ac:dyDescent="0.25">
      <c r="A99" s="52" t="s">
        <v>21</v>
      </c>
      <c r="B99" s="52" t="s">
        <v>27</v>
      </c>
      <c r="C99" s="52" t="s">
        <v>40</v>
      </c>
      <c r="D99" t="s">
        <v>299</v>
      </c>
    </row>
    <row r="100" spans="1:4" x14ac:dyDescent="0.25">
      <c r="A100" s="52" t="s">
        <v>21</v>
      </c>
      <c r="B100" s="52" t="s">
        <v>28</v>
      </c>
      <c r="C100" s="52" t="s">
        <v>60</v>
      </c>
      <c r="D100" t="s">
        <v>299</v>
      </c>
    </row>
    <row r="101" spans="1:4" x14ac:dyDescent="0.25">
      <c r="A101" s="52" t="s">
        <v>21</v>
      </c>
      <c r="B101" s="52" t="s">
        <v>29</v>
      </c>
      <c r="C101" s="52" t="s">
        <v>42</v>
      </c>
      <c r="D101" t="s">
        <v>299</v>
      </c>
    </row>
    <row r="102" spans="1:4" x14ac:dyDescent="0.25">
      <c r="A102" s="52" t="s">
        <v>21</v>
      </c>
      <c r="B102" s="52" t="s">
        <v>30</v>
      </c>
      <c r="C102" s="52" t="s">
        <v>41</v>
      </c>
      <c r="D102" t="s">
        <v>299</v>
      </c>
    </row>
    <row r="103" spans="1:4" x14ac:dyDescent="0.25">
      <c r="A103" s="52" t="s">
        <v>21</v>
      </c>
      <c r="B103" s="52" t="s">
        <v>31</v>
      </c>
      <c r="C103" s="52" t="s">
        <v>67</v>
      </c>
      <c r="D103" t="s">
        <v>299</v>
      </c>
    </row>
    <row r="104" spans="1:4" x14ac:dyDescent="0.25">
      <c r="A104" s="52" t="s">
        <v>21</v>
      </c>
      <c r="B104" s="52" t="s">
        <v>32</v>
      </c>
      <c r="C104" s="52" t="s">
        <v>49</v>
      </c>
      <c r="D104" t="s">
        <v>299</v>
      </c>
    </row>
    <row r="105" spans="1:4" x14ac:dyDescent="0.25">
      <c r="A105" s="52" t="s">
        <v>21</v>
      </c>
      <c r="B105" s="52" t="s">
        <v>33</v>
      </c>
      <c r="C105" s="52" t="s">
        <v>48</v>
      </c>
      <c r="D105" t="s">
        <v>299</v>
      </c>
    </row>
    <row r="106" spans="1:4" x14ac:dyDescent="0.25">
      <c r="A106" s="52" t="s">
        <v>21</v>
      </c>
      <c r="B106" s="52" t="s">
        <v>34</v>
      </c>
      <c r="C106" s="52" t="s">
        <v>71</v>
      </c>
      <c r="D106" t="s">
        <v>299</v>
      </c>
    </row>
    <row r="107" spans="1:4" x14ac:dyDescent="0.25">
      <c r="A107" s="52" t="s">
        <v>21</v>
      </c>
      <c r="B107" s="52" t="s">
        <v>35</v>
      </c>
      <c r="C107" s="52" t="s">
        <v>74</v>
      </c>
      <c r="D107" t="s">
        <v>299</v>
      </c>
    </row>
    <row r="108" spans="1:4" x14ac:dyDescent="0.25">
      <c r="A108" s="52" t="s">
        <v>21</v>
      </c>
      <c r="B108" s="52" t="s">
        <v>36</v>
      </c>
      <c r="C108" s="52" t="s">
        <v>59</v>
      </c>
      <c r="D108" t="s">
        <v>300</v>
      </c>
    </row>
    <row r="109" spans="1:4" x14ac:dyDescent="0.25">
      <c r="A109" s="52" t="s">
        <v>22</v>
      </c>
      <c r="B109" s="52" t="s">
        <v>27</v>
      </c>
      <c r="C109" s="52" t="s">
        <v>40</v>
      </c>
      <c r="D109" t="s">
        <v>299</v>
      </c>
    </row>
    <row r="110" spans="1:4" x14ac:dyDescent="0.25">
      <c r="A110" s="52" t="s">
        <v>22</v>
      </c>
      <c r="B110" s="52" t="s">
        <v>28</v>
      </c>
      <c r="C110" s="52" t="s">
        <v>60</v>
      </c>
      <c r="D110" t="s">
        <v>299</v>
      </c>
    </row>
    <row r="111" spans="1:4" x14ac:dyDescent="0.25">
      <c r="A111" s="52" t="s">
        <v>22</v>
      </c>
      <c r="B111" s="52" t="s">
        <v>29</v>
      </c>
      <c r="C111" s="52" t="s">
        <v>42</v>
      </c>
      <c r="D111" t="s">
        <v>299</v>
      </c>
    </row>
    <row r="112" spans="1:4" x14ac:dyDescent="0.25">
      <c r="A112" s="52" t="s">
        <v>22</v>
      </c>
      <c r="B112" s="52" t="s">
        <v>30</v>
      </c>
      <c r="C112" s="52" t="s">
        <v>41</v>
      </c>
      <c r="D112" t="s">
        <v>299</v>
      </c>
    </row>
    <row r="113" spans="1:4" x14ac:dyDescent="0.25">
      <c r="A113" s="52" t="s">
        <v>22</v>
      </c>
      <c r="B113" s="52" t="s">
        <v>31</v>
      </c>
      <c r="C113" s="52" t="s">
        <v>67</v>
      </c>
      <c r="D113" t="s">
        <v>299</v>
      </c>
    </row>
    <row r="114" spans="1:4" x14ac:dyDescent="0.25">
      <c r="A114" s="52" t="s">
        <v>22</v>
      </c>
      <c r="B114" s="52" t="s">
        <v>32</v>
      </c>
      <c r="C114" s="52" t="s">
        <v>49</v>
      </c>
      <c r="D114" t="s">
        <v>299</v>
      </c>
    </row>
    <row r="115" spans="1:4" x14ac:dyDescent="0.25">
      <c r="A115" s="52" t="s">
        <v>22</v>
      </c>
      <c r="B115" s="52" t="s">
        <v>33</v>
      </c>
      <c r="C115" s="52" t="s">
        <v>65</v>
      </c>
      <c r="D115" t="s">
        <v>299</v>
      </c>
    </row>
    <row r="116" spans="1:4" x14ac:dyDescent="0.25">
      <c r="A116" s="52" t="s">
        <v>22</v>
      </c>
      <c r="B116" s="52" t="s">
        <v>34</v>
      </c>
      <c r="C116" s="52" t="s">
        <v>71</v>
      </c>
      <c r="D116" t="s">
        <v>299</v>
      </c>
    </row>
    <row r="117" spans="1:4" x14ac:dyDescent="0.25">
      <c r="A117" s="52" t="s">
        <v>22</v>
      </c>
      <c r="B117" s="52" t="s">
        <v>35</v>
      </c>
      <c r="C117" s="52" t="s">
        <v>74</v>
      </c>
      <c r="D117" t="s">
        <v>299</v>
      </c>
    </row>
    <row r="118" spans="1:4" x14ac:dyDescent="0.25">
      <c r="A118" s="52" t="s">
        <v>22</v>
      </c>
      <c r="B118" s="52" t="s">
        <v>36</v>
      </c>
      <c r="C118" s="52" t="s">
        <v>45</v>
      </c>
      <c r="D118" t="s">
        <v>300</v>
      </c>
    </row>
    <row r="119" spans="1:4" x14ac:dyDescent="0.25">
      <c r="A119" s="52" t="s">
        <v>23</v>
      </c>
      <c r="B119" s="52" t="s">
        <v>27</v>
      </c>
      <c r="C119" s="52" t="s">
        <v>59</v>
      </c>
      <c r="D119" t="s">
        <v>299</v>
      </c>
    </row>
    <row r="120" spans="1:4" x14ac:dyDescent="0.25">
      <c r="A120" s="52" t="s">
        <v>23</v>
      </c>
      <c r="B120" s="52" t="s">
        <v>28</v>
      </c>
      <c r="C120" s="52" t="s">
        <v>50</v>
      </c>
      <c r="D120" t="s">
        <v>299</v>
      </c>
    </row>
    <row r="121" spans="1:4" x14ac:dyDescent="0.25">
      <c r="A121" s="52" t="s">
        <v>23</v>
      </c>
      <c r="B121" s="52" t="s">
        <v>29</v>
      </c>
      <c r="C121" s="52" t="s">
        <v>69</v>
      </c>
      <c r="D121" t="s">
        <v>299</v>
      </c>
    </row>
    <row r="122" spans="1:4" x14ac:dyDescent="0.25">
      <c r="A122" s="52" t="s">
        <v>23</v>
      </c>
      <c r="B122" s="52" t="s">
        <v>30</v>
      </c>
      <c r="C122" s="52" t="s">
        <v>71</v>
      </c>
      <c r="D122" t="s">
        <v>299</v>
      </c>
    </row>
    <row r="123" spans="1:4" x14ac:dyDescent="0.25">
      <c r="A123" s="52" t="s">
        <v>23</v>
      </c>
      <c r="B123" s="52" t="s">
        <v>31</v>
      </c>
      <c r="C123" s="52" t="s">
        <v>75</v>
      </c>
      <c r="D123" t="s">
        <v>299</v>
      </c>
    </row>
    <row r="124" spans="1:4" x14ac:dyDescent="0.25">
      <c r="A124" s="52" t="s">
        <v>23</v>
      </c>
      <c r="B124" s="52" t="s">
        <v>36</v>
      </c>
      <c r="C124" s="52" t="s">
        <v>41</v>
      </c>
      <c r="D124" t="s">
        <v>300</v>
      </c>
    </row>
    <row r="125" spans="1:4" x14ac:dyDescent="0.25">
      <c r="A125" s="52" t="s">
        <v>25</v>
      </c>
      <c r="B125" s="52" t="s">
        <v>27</v>
      </c>
      <c r="C125" s="52" t="s">
        <v>67</v>
      </c>
      <c r="D125" t="s">
        <v>299</v>
      </c>
    </row>
    <row r="126" spans="1:4" x14ac:dyDescent="0.25">
      <c r="A126" s="52" t="s">
        <v>25</v>
      </c>
      <c r="B126" s="52" t="s">
        <v>28</v>
      </c>
      <c r="C126" s="52" t="s">
        <v>55</v>
      </c>
      <c r="D126" t="s">
        <v>299</v>
      </c>
    </row>
    <row r="127" spans="1:4" x14ac:dyDescent="0.25">
      <c r="A127" s="52" t="s">
        <v>25</v>
      </c>
      <c r="B127" s="52" t="s">
        <v>29</v>
      </c>
      <c r="C127" s="52" t="s">
        <v>65</v>
      </c>
      <c r="D127" t="s">
        <v>299</v>
      </c>
    </row>
    <row r="128" spans="1:4" x14ac:dyDescent="0.25">
      <c r="A128" s="52" t="s">
        <v>25</v>
      </c>
      <c r="B128" s="52" t="s">
        <v>30</v>
      </c>
      <c r="C128" s="52" t="s">
        <v>41</v>
      </c>
      <c r="D128" t="s">
        <v>299</v>
      </c>
    </row>
    <row r="129" spans="1:4" x14ac:dyDescent="0.25">
      <c r="A129" s="52" t="s">
        <v>25</v>
      </c>
      <c r="B129" s="52" t="s">
        <v>31</v>
      </c>
      <c r="C129" s="52" t="s">
        <v>70</v>
      </c>
      <c r="D129" t="s">
        <v>299</v>
      </c>
    </row>
    <row r="130" spans="1:4" x14ac:dyDescent="0.25">
      <c r="A130" s="52" t="s">
        <v>25</v>
      </c>
      <c r="B130" s="52" t="s">
        <v>32</v>
      </c>
      <c r="C130" s="52" t="s">
        <v>76</v>
      </c>
      <c r="D130" t="s">
        <v>299</v>
      </c>
    </row>
    <row r="131" spans="1:4" x14ac:dyDescent="0.25">
      <c r="A131" s="52" t="s">
        <v>25</v>
      </c>
      <c r="B131" s="52" t="s">
        <v>33</v>
      </c>
      <c r="C131" s="52" t="s">
        <v>71</v>
      </c>
      <c r="D131" t="s">
        <v>299</v>
      </c>
    </row>
    <row r="132" spans="1:4" x14ac:dyDescent="0.25">
      <c r="A132" s="52" t="s">
        <v>25</v>
      </c>
      <c r="B132" s="52" t="s">
        <v>34</v>
      </c>
      <c r="C132" s="52" t="s">
        <v>54</v>
      </c>
      <c r="D132" t="s">
        <v>299</v>
      </c>
    </row>
    <row r="133" spans="1:4" x14ac:dyDescent="0.25">
      <c r="A133" s="52" t="s">
        <v>25</v>
      </c>
      <c r="B133" s="52" t="s">
        <v>35</v>
      </c>
      <c r="C133" s="52" t="s">
        <v>49</v>
      </c>
      <c r="D133" t="s">
        <v>299</v>
      </c>
    </row>
    <row r="134" spans="1:4" x14ac:dyDescent="0.25">
      <c r="A134" s="52" t="s">
        <v>25</v>
      </c>
      <c r="B134" s="52" t="s">
        <v>36</v>
      </c>
      <c r="C134" s="52" t="s">
        <v>50</v>
      </c>
      <c r="D134" t="s">
        <v>300</v>
      </c>
    </row>
    <row r="135" spans="1:4" x14ac:dyDescent="0.25">
      <c r="A135" s="52" t="s">
        <v>154</v>
      </c>
      <c r="B135" s="52" t="s">
        <v>27</v>
      </c>
      <c r="C135" s="52" t="s">
        <v>41</v>
      </c>
      <c r="D135" t="s">
        <v>299</v>
      </c>
    </row>
    <row r="136" spans="1:4" x14ac:dyDescent="0.25">
      <c r="A136" s="52" t="s">
        <v>154</v>
      </c>
      <c r="B136" s="52" t="s">
        <v>28</v>
      </c>
      <c r="C136" s="52" t="s">
        <v>59</v>
      </c>
      <c r="D136" t="s">
        <v>299</v>
      </c>
    </row>
    <row r="137" spans="1:4" x14ac:dyDescent="0.25">
      <c r="A137" s="52" t="s">
        <v>154</v>
      </c>
      <c r="B137" s="52" t="s">
        <v>29</v>
      </c>
      <c r="C137" s="52" t="s">
        <v>50</v>
      </c>
      <c r="D137" t="s">
        <v>299</v>
      </c>
    </row>
    <row r="138" spans="1:4" x14ac:dyDescent="0.25">
      <c r="A138" s="52" t="s">
        <v>154</v>
      </c>
      <c r="B138" s="52" t="s">
        <v>30</v>
      </c>
      <c r="C138" s="52" t="s">
        <v>62</v>
      </c>
      <c r="D138" t="s">
        <v>299</v>
      </c>
    </row>
    <row r="139" spans="1:4" x14ac:dyDescent="0.25">
      <c r="A139" s="52" t="s">
        <v>154</v>
      </c>
      <c r="B139" s="52" t="s">
        <v>31</v>
      </c>
      <c r="C139" s="52" t="s">
        <v>43</v>
      </c>
      <c r="D139" t="s">
        <v>299</v>
      </c>
    </row>
    <row r="140" spans="1:4" x14ac:dyDescent="0.25">
      <c r="A140" s="52" t="s">
        <v>154</v>
      </c>
      <c r="B140" s="52" t="s">
        <v>36</v>
      </c>
      <c r="C140" s="52" t="s">
        <v>40</v>
      </c>
      <c r="D140" t="s">
        <v>300</v>
      </c>
    </row>
    <row r="141" spans="1:4" x14ac:dyDescent="0.25">
      <c r="A141" s="52" t="s">
        <v>155</v>
      </c>
      <c r="B141" s="52" t="s">
        <v>27</v>
      </c>
      <c r="C141" s="52" t="s">
        <v>44</v>
      </c>
      <c r="D141" t="s">
        <v>299</v>
      </c>
    </row>
    <row r="142" spans="1:4" x14ac:dyDescent="0.25">
      <c r="A142" s="52" t="s">
        <v>155</v>
      </c>
      <c r="B142" s="52" t="s">
        <v>28</v>
      </c>
      <c r="C142" s="52" t="s">
        <v>72</v>
      </c>
      <c r="D142" t="s">
        <v>299</v>
      </c>
    </row>
    <row r="143" spans="1:4" x14ac:dyDescent="0.25">
      <c r="A143" s="52" t="s">
        <v>155</v>
      </c>
      <c r="B143" s="52" t="s">
        <v>29</v>
      </c>
      <c r="C143" s="52" t="s">
        <v>95</v>
      </c>
      <c r="D143" t="s">
        <v>299</v>
      </c>
    </row>
    <row r="144" spans="1:4" x14ac:dyDescent="0.25">
      <c r="A144" s="52" t="s">
        <v>155</v>
      </c>
      <c r="B144" s="52" t="s">
        <v>30</v>
      </c>
      <c r="C144" s="52" t="s">
        <v>38</v>
      </c>
      <c r="D144" t="s">
        <v>299</v>
      </c>
    </row>
    <row r="145" spans="1:4" x14ac:dyDescent="0.25">
      <c r="A145" s="52" t="s">
        <v>155</v>
      </c>
      <c r="B145" s="52" t="s">
        <v>31</v>
      </c>
      <c r="C145" s="52" t="s">
        <v>69</v>
      </c>
      <c r="D145" t="s">
        <v>299</v>
      </c>
    </row>
    <row r="146" spans="1:4" x14ac:dyDescent="0.25">
      <c r="A146" s="52" t="s">
        <v>155</v>
      </c>
      <c r="B146" s="52" t="s">
        <v>32</v>
      </c>
      <c r="C146" s="52" t="s">
        <v>88</v>
      </c>
      <c r="D146" t="s">
        <v>299</v>
      </c>
    </row>
    <row r="147" spans="1:4" x14ac:dyDescent="0.25">
      <c r="A147" s="52" t="s">
        <v>155</v>
      </c>
      <c r="B147" s="52" t="s">
        <v>36</v>
      </c>
      <c r="C147" s="52" t="s">
        <v>61</v>
      </c>
      <c r="D147" t="s">
        <v>300</v>
      </c>
    </row>
    <row r="148" spans="1:4" x14ac:dyDescent="0.25">
      <c r="A148" s="52" t="s">
        <v>153</v>
      </c>
      <c r="B148" s="52" t="s">
        <v>27</v>
      </c>
      <c r="C148" s="52" t="s">
        <v>50</v>
      </c>
      <c r="D148" t="s">
        <v>299</v>
      </c>
    </row>
    <row r="149" spans="1:4" x14ac:dyDescent="0.25">
      <c r="A149" s="52" t="s">
        <v>153</v>
      </c>
      <c r="B149" s="52" t="s">
        <v>28</v>
      </c>
      <c r="C149" s="52" t="s">
        <v>42</v>
      </c>
      <c r="D149" t="s">
        <v>299</v>
      </c>
    </row>
    <row r="150" spans="1:4" x14ac:dyDescent="0.25">
      <c r="A150" s="52" t="s">
        <v>153</v>
      </c>
      <c r="B150" s="52" t="s">
        <v>29</v>
      </c>
      <c r="C150" s="52" t="s">
        <v>67</v>
      </c>
      <c r="D150" t="s">
        <v>299</v>
      </c>
    </row>
    <row r="151" spans="1:4" x14ac:dyDescent="0.25">
      <c r="A151" s="52" t="s">
        <v>153</v>
      </c>
      <c r="B151" s="52" t="s">
        <v>30</v>
      </c>
      <c r="C151" s="52" t="s">
        <v>66</v>
      </c>
      <c r="D151" t="s">
        <v>299</v>
      </c>
    </row>
    <row r="152" spans="1:4" x14ac:dyDescent="0.25">
      <c r="A152" s="52" t="s">
        <v>153</v>
      </c>
      <c r="B152" s="52" t="s">
        <v>31</v>
      </c>
      <c r="C152" s="52" t="s">
        <v>46</v>
      </c>
      <c r="D152" t="s">
        <v>299</v>
      </c>
    </row>
    <row r="153" spans="1:4" x14ac:dyDescent="0.25">
      <c r="A153" s="52" t="s">
        <v>153</v>
      </c>
      <c r="B153" s="52" t="s">
        <v>32</v>
      </c>
      <c r="C153" s="52" t="s">
        <v>41</v>
      </c>
      <c r="D153" t="s">
        <v>299</v>
      </c>
    </row>
    <row r="154" spans="1:4" x14ac:dyDescent="0.25">
      <c r="A154" s="52" t="s">
        <v>153</v>
      </c>
      <c r="B154" s="52" t="s">
        <v>33</v>
      </c>
      <c r="C154" s="52" t="s">
        <v>54</v>
      </c>
      <c r="D154" t="s">
        <v>299</v>
      </c>
    </row>
    <row r="155" spans="1:4" x14ac:dyDescent="0.25">
      <c r="A155" s="52" t="s">
        <v>153</v>
      </c>
      <c r="B155" s="52" t="s">
        <v>34</v>
      </c>
      <c r="C155" s="52" t="s">
        <v>93</v>
      </c>
      <c r="D155" t="s">
        <v>299</v>
      </c>
    </row>
    <row r="156" spans="1:4" x14ac:dyDescent="0.25">
      <c r="A156" s="52" t="s">
        <v>153</v>
      </c>
      <c r="B156" s="52" t="s">
        <v>36</v>
      </c>
      <c r="C156" s="52" t="s">
        <v>60</v>
      </c>
      <c r="D156" t="s">
        <v>300</v>
      </c>
    </row>
    <row r="157" spans="1:4" x14ac:dyDescent="0.25">
      <c r="A157" s="52" t="s">
        <v>156</v>
      </c>
      <c r="B157" s="52" t="s">
        <v>27</v>
      </c>
      <c r="C157" s="52" t="s">
        <v>67</v>
      </c>
      <c r="D157" t="s">
        <v>299</v>
      </c>
    </row>
    <row r="158" spans="1:4" x14ac:dyDescent="0.25">
      <c r="A158" s="52" t="s">
        <v>156</v>
      </c>
      <c r="B158" s="52" t="s">
        <v>28</v>
      </c>
      <c r="C158" s="52" t="s">
        <v>39</v>
      </c>
      <c r="D158" t="s">
        <v>299</v>
      </c>
    </row>
    <row r="159" spans="1:4" x14ac:dyDescent="0.25">
      <c r="A159" s="52" t="s">
        <v>156</v>
      </c>
      <c r="B159" s="52" t="s">
        <v>29</v>
      </c>
      <c r="C159" s="52" t="s">
        <v>42</v>
      </c>
      <c r="D159" t="s">
        <v>299</v>
      </c>
    </row>
    <row r="160" spans="1:4" x14ac:dyDescent="0.25">
      <c r="A160" s="52" t="s">
        <v>156</v>
      </c>
      <c r="B160" s="52" t="s">
        <v>30</v>
      </c>
      <c r="C160" s="52" t="s">
        <v>44</v>
      </c>
      <c r="D160" t="s">
        <v>299</v>
      </c>
    </row>
    <row r="161" spans="1:4" x14ac:dyDescent="0.25">
      <c r="A161" s="52" t="s">
        <v>156</v>
      </c>
      <c r="B161" s="52" t="s">
        <v>31</v>
      </c>
      <c r="C161" s="52" t="s">
        <v>41</v>
      </c>
      <c r="D161" t="s">
        <v>299</v>
      </c>
    </row>
    <row r="162" spans="1:4" x14ac:dyDescent="0.25">
      <c r="A162" s="52" t="s">
        <v>156</v>
      </c>
      <c r="B162" s="52" t="s">
        <v>32</v>
      </c>
      <c r="C162" s="52" t="s">
        <v>48</v>
      </c>
      <c r="D162" t="s">
        <v>299</v>
      </c>
    </row>
    <row r="163" spans="1:4" x14ac:dyDescent="0.25">
      <c r="A163" s="52" t="s">
        <v>156</v>
      </c>
      <c r="B163" s="52" t="s">
        <v>36</v>
      </c>
      <c r="C163" s="52" t="s">
        <v>59</v>
      </c>
      <c r="D163" t="s">
        <v>300</v>
      </c>
    </row>
    <row r="164" spans="1:4" x14ac:dyDescent="0.25">
      <c r="A164" s="52" t="s">
        <v>158</v>
      </c>
      <c r="B164" s="52" t="s">
        <v>27</v>
      </c>
      <c r="C164" s="52" t="s">
        <v>60</v>
      </c>
      <c r="D164" t="s">
        <v>299</v>
      </c>
    </row>
    <row r="165" spans="1:4" x14ac:dyDescent="0.25">
      <c r="A165" s="52" t="s">
        <v>158</v>
      </c>
      <c r="B165" s="52" t="s">
        <v>28</v>
      </c>
      <c r="C165" s="52" t="s">
        <v>54</v>
      </c>
      <c r="D165" t="s">
        <v>299</v>
      </c>
    </row>
    <row r="166" spans="1:4" x14ac:dyDescent="0.25">
      <c r="A166" s="52" t="s">
        <v>158</v>
      </c>
      <c r="B166" s="52" t="s">
        <v>29</v>
      </c>
      <c r="C166" s="52" t="s">
        <v>62</v>
      </c>
      <c r="D166" t="s">
        <v>299</v>
      </c>
    </row>
    <row r="167" spans="1:4" x14ac:dyDescent="0.25">
      <c r="A167" s="52" t="s">
        <v>158</v>
      </c>
      <c r="B167" s="52" t="s">
        <v>30</v>
      </c>
      <c r="C167" s="52" t="s">
        <v>71</v>
      </c>
      <c r="D167" t="s">
        <v>299</v>
      </c>
    </row>
    <row r="168" spans="1:4" x14ac:dyDescent="0.25">
      <c r="A168" s="52" t="s">
        <v>158</v>
      </c>
      <c r="B168" s="52" t="s">
        <v>31</v>
      </c>
      <c r="C168" s="52" t="s">
        <v>68</v>
      </c>
      <c r="D168" t="s">
        <v>299</v>
      </c>
    </row>
    <row r="169" spans="1:4" x14ac:dyDescent="0.25">
      <c r="A169" s="52" t="s">
        <v>158</v>
      </c>
      <c r="B169" s="52" t="s">
        <v>32</v>
      </c>
      <c r="C169" s="52" t="s">
        <v>59</v>
      </c>
      <c r="D169" t="s">
        <v>299</v>
      </c>
    </row>
    <row r="170" spans="1:4" x14ac:dyDescent="0.25">
      <c r="A170" s="52" t="s">
        <v>158</v>
      </c>
      <c r="B170" s="52" t="s">
        <v>36</v>
      </c>
      <c r="C170" s="52" t="s">
        <v>44</v>
      </c>
      <c r="D170" t="s">
        <v>300</v>
      </c>
    </row>
    <row r="171" spans="1:4" x14ac:dyDescent="0.25">
      <c r="A171" s="52" t="s">
        <v>159</v>
      </c>
      <c r="B171" s="52" t="s">
        <v>27</v>
      </c>
      <c r="C171" s="52" t="s">
        <v>42</v>
      </c>
      <c r="D171" t="s">
        <v>299</v>
      </c>
    </row>
    <row r="172" spans="1:4" x14ac:dyDescent="0.25">
      <c r="A172" s="52" t="s">
        <v>159</v>
      </c>
      <c r="B172" s="52" t="s">
        <v>28</v>
      </c>
      <c r="C172" s="52" t="s">
        <v>65</v>
      </c>
      <c r="D172" t="s">
        <v>299</v>
      </c>
    </row>
    <row r="173" spans="1:4" x14ac:dyDescent="0.25">
      <c r="A173" s="52" t="s">
        <v>159</v>
      </c>
      <c r="B173" s="52" t="s">
        <v>29</v>
      </c>
      <c r="C173" s="52" t="s">
        <v>43</v>
      </c>
      <c r="D173" t="s">
        <v>299</v>
      </c>
    </row>
    <row r="174" spans="1:4" x14ac:dyDescent="0.25">
      <c r="A174" s="52" t="s">
        <v>159</v>
      </c>
      <c r="B174" s="52" t="s">
        <v>30</v>
      </c>
      <c r="C174" s="52" t="s">
        <v>44</v>
      </c>
      <c r="D174" t="s">
        <v>299</v>
      </c>
    </row>
    <row r="175" spans="1:4" x14ac:dyDescent="0.25">
      <c r="A175" s="52" t="s">
        <v>159</v>
      </c>
      <c r="B175" s="52" t="s">
        <v>31</v>
      </c>
      <c r="C175" s="52" t="s">
        <v>41</v>
      </c>
      <c r="D175" t="s">
        <v>299</v>
      </c>
    </row>
    <row r="176" spans="1:4" x14ac:dyDescent="0.25">
      <c r="A176" s="52" t="s">
        <v>159</v>
      </c>
      <c r="B176" s="52" t="s">
        <v>36</v>
      </c>
      <c r="C176" s="52" t="s">
        <v>50</v>
      </c>
      <c r="D176" t="s">
        <v>300</v>
      </c>
    </row>
    <row r="177" spans="1:4" x14ac:dyDescent="0.25">
      <c r="A177" s="52" t="s">
        <v>160</v>
      </c>
      <c r="B177" s="52" t="s">
        <v>27</v>
      </c>
      <c r="C177" s="52" t="s">
        <v>59</v>
      </c>
      <c r="D177" t="s">
        <v>299</v>
      </c>
    </row>
    <row r="178" spans="1:4" x14ac:dyDescent="0.25">
      <c r="A178" s="52" t="s">
        <v>160</v>
      </c>
      <c r="B178" s="52" t="s">
        <v>28</v>
      </c>
      <c r="C178" s="52" t="s">
        <v>49</v>
      </c>
      <c r="D178" t="s">
        <v>299</v>
      </c>
    </row>
    <row r="179" spans="1:4" x14ac:dyDescent="0.25">
      <c r="A179" s="52" t="s">
        <v>160</v>
      </c>
      <c r="B179" s="52" t="s">
        <v>29</v>
      </c>
      <c r="C179" s="52" t="s">
        <v>68</v>
      </c>
      <c r="D179" t="s">
        <v>299</v>
      </c>
    </row>
    <row r="180" spans="1:4" x14ac:dyDescent="0.25">
      <c r="A180" s="52" t="s">
        <v>160</v>
      </c>
      <c r="B180" s="52" t="s">
        <v>30</v>
      </c>
      <c r="C180" s="52" t="s">
        <v>48</v>
      </c>
      <c r="D180" t="s">
        <v>299</v>
      </c>
    </row>
    <row r="181" spans="1:4" x14ac:dyDescent="0.25">
      <c r="A181" s="52" t="s">
        <v>160</v>
      </c>
      <c r="B181" s="52" t="s">
        <v>31</v>
      </c>
      <c r="C181" s="52" t="s">
        <v>65</v>
      </c>
      <c r="D181" t="s">
        <v>299</v>
      </c>
    </row>
    <row r="182" spans="1:4" x14ac:dyDescent="0.25">
      <c r="A182" s="52" t="s">
        <v>160</v>
      </c>
      <c r="B182" s="52" t="s">
        <v>32</v>
      </c>
      <c r="C182" s="52" t="s">
        <v>56</v>
      </c>
      <c r="D182" t="s">
        <v>299</v>
      </c>
    </row>
    <row r="183" spans="1:4" x14ac:dyDescent="0.25">
      <c r="A183" s="52" t="s">
        <v>160</v>
      </c>
      <c r="B183" s="52" t="s">
        <v>33</v>
      </c>
      <c r="C183" s="52" t="s">
        <v>76</v>
      </c>
      <c r="D183" t="s">
        <v>299</v>
      </c>
    </row>
    <row r="184" spans="1:4" x14ac:dyDescent="0.25">
      <c r="A184" s="52" t="s">
        <v>160</v>
      </c>
      <c r="B184" s="52" t="s">
        <v>36</v>
      </c>
      <c r="C184" s="52" t="s">
        <v>47</v>
      </c>
      <c r="D184" t="s">
        <v>300</v>
      </c>
    </row>
    <row r="185" spans="1:4" x14ac:dyDescent="0.25">
      <c r="A185" s="52" t="s">
        <v>162</v>
      </c>
      <c r="B185" s="52" t="s">
        <v>27</v>
      </c>
      <c r="C185" s="52" t="s">
        <v>59</v>
      </c>
      <c r="D185" t="s">
        <v>299</v>
      </c>
    </row>
    <row r="186" spans="1:4" x14ac:dyDescent="0.25">
      <c r="A186" s="52" t="s">
        <v>162</v>
      </c>
      <c r="B186" s="52" t="s">
        <v>28</v>
      </c>
      <c r="C186" s="52" t="s">
        <v>51</v>
      </c>
      <c r="D186" t="s">
        <v>299</v>
      </c>
    </row>
    <row r="187" spans="1:4" x14ac:dyDescent="0.25">
      <c r="A187" s="52" t="s">
        <v>162</v>
      </c>
      <c r="B187" s="52" t="s">
        <v>29</v>
      </c>
      <c r="C187" s="52" t="s">
        <v>48</v>
      </c>
      <c r="D187" t="s">
        <v>299</v>
      </c>
    </row>
    <row r="188" spans="1:4" x14ac:dyDescent="0.25">
      <c r="A188" s="52" t="s">
        <v>162</v>
      </c>
      <c r="B188" s="52" t="s">
        <v>30</v>
      </c>
      <c r="C188" s="52" t="s">
        <v>74</v>
      </c>
      <c r="D188" t="s">
        <v>299</v>
      </c>
    </row>
    <row r="189" spans="1:4" x14ac:dyDescent="0.25">
      <c r="A189" s="52" t="s">
        <v>162</v>
      </c>
      <c r="B189" s="52" t="s">
        <v>31</v>
      </c>
      <c r="C189" s="52" t="s">
        <v>56</v>
      </c>
      <c r="D189" t="s">
        <v>299</v>
      </c>
    </row>
    <row r="190" spans="1:4" x14ac:dyDescent="0.25">
      <c r="A190" s="52" t="s">
        <v>162</v>
      </c>
      <c r="B190" s="52" t="s">
        <v>36</v>
      </c>
      <c r="C190" s="52" t="s">
        <v>47</v>
      </c>
      <c r="D190" t="s">
        <v>300</v>
      </c>
    </row>
    <row r="191" spans="1:4" x14ac:dyDescent="0.25">
      <c r="A191" s="52" t="s">
        <v>164</v>
      </c>
      <c r="B191" s="52" t="s">
        <v>27</v>
      </c>
      <c r="C191" s="52" t="s">
        <v>51</v>
      </c>
      <c r="D191" t="s">
        <v>299</v>
      </c>
    </row>
    <row r="192" spans="1:4" x14ac:dyDescent="0.25">
      <c r="A192" s="52" t="s">
        <v>164</v>
      </c>
      <c r="B192" s="52" t="s">
        <v>28</v>
      </c>
      <c r="C192" s="52" t="s">
        <v>68</v>
      </c>
      <c r="D192" t="s">
        <v>299</v>
      </c>
    </row>
    <row r="193" spans="1:4" x14ac:dyDescent="0.25">
      <c r="A193" s="52" t="s">
        <v>164</v>
      </c>
      <c r="B193" s="52" t="s">
        <v>29</v>
      </c>
      <c r="C193" s="52" t="s">
        <v>49</v>
      </c>
      <c r="D193" t="s">
        <v>299</v>
      </c>
    </row>
    <row r="194" spans="1:4" x14ac:dyDescent="0.25">
      <c r="A194" s="52" t="s">
        <v>164</v>
      </c>
      <c r="B194" s="52" t="s">
        <v>30</v>
      </c>
      <c r="C194" s="52" t="s">
        <v>48</v>
      </c>
      <c r="D194" t="s">
        <v>299</v>
      </c>
    </row>
    <row r="195" spans="1:4" x14ac:dyDescent="0.25">
      <c r="A195" s="52" t="s">
        <v>164</v>
      </c>
      <c r="B195" s="52" t="s">
        <v>31</v>
      </c>
      <c r="C195" s="52" t="s">
        <v>65</v>
      </c>
      <c r="D195" t="s">
        <v>299</v>
      </c>
    </row>
    <row r="196" spans="1:4" x14ac:dyDescent="0.25">
      <c r="A196" s="52" t="s">
        <v>164</v>
      </c>
      <c r="B196" s="52" t="s">
        <v>32</v>
      </c>
      <c r="C196" s="52" t="s">
        <v>56</v>
      </c>
      <c r="D196" t="s">
        <v>299</v>
      </c>
    </row>
    <row r="197" spans="1:4" x14ac:dyDescent="0.25">
      <c r="A197" s="52" t="s">
        <v>164</v>
      </c>
      <c r="B197" s="52" t="s">
        <v>33</v>
      </c>
      <c r="C197" s="52" t="s">
        <v>74</v>
      </c>
      <c r="D197" t="s">
        <v>299</v>
      </c>
    </row>
    <row r="198" spans="1:4" x14ac:dyDescent="0.25">
      <c r="A198" s="52" t="s">
        <v>164</v>
      </c>
      <c r="B198" s="52" t="s">
        <v>34</v>
      </c>
      <c r="C198" s="52" t="s">
        <v>43</v>
      </c>
      <c r="D198" t="s">
        <v>299</v>
      </c>
    </row>
    <row r="199" spans="1:4" x14ac:dyDescent="0.25">
      <c r="A199" s="52" t="s">
        <v>164</v>
      </c>
      <c r="B199" s="52" t="s">
        <v>36</v>
      </c>
      <c r="C199" s="52" t="s">
        <v>53</v>
      </c>
      <c r="D199" t="s">
        <v>300</v>
      </c>
    </row>
    <row r="200" spans="1:4" x14ac:dyDescent="0.25">
      <c r="A200" s="52" t="s">
        <v>166</v>
      </c>
      <c r="B200" s="52" t="s">
        <v>27</v>
      </c>
      <c r="C200" s="52" t="s">
        <v>61</v>
      </c>
      <c r="D200" t="s">
        <v>299</v>
      </c>
    </row>
    <row r="201" spans="1:4" x14ac:dyDescent="0.25">
      <c r="A201" s="52" t="s">
        <v>166</v>
      </c>
      <c r="B201" s="52" t="s">
        <v>28</v>
      </c>
      <c r="C201" s="52" t="s">
        <v>68</v>
      </c>
      <c r="D201" t="s">
        <v>299</v>
      </c>
    </row>
    <row r="202" spans="1:4" x14ac:dyDescent="0.25">
      <c r="A202" s="52" t="s">
        <v>166</v>
      </c>
      <c r="B202" s="52" t="s">
        <v>29</v>
      </c>
      <c r="C202" s="52" t="s">
        <v>49</v>
      </c>
      <c r="D202" t="s">
        <v>299</v>
      </c>
    </row>
    <row r="203" spans="1:4" x14ac:dyDescent="0.25">
      <c r="A203" s="52" t="s">
        <v>166</v>
      </c>
      <c r="B203" s="52" t="s">
        <v>30</v>
      </c>
      <c r="C203" s="52" t="s">
        <v>48</v>
      </c>
      <c r="D203" t="s">
        <v>299</v>
      </c>
    </row>
    <row r="204" spans="1:4" x14ac:dyDescent="0.25">
      <c r="A204" s="52" t="s">
        <v>166</v>
      </c>
      <c r="B204" s="52" t="s">
        <v>31</v>
      </c>
      <c r="C204" s="52" t="s">
        <v>65</v>
      </c>
      <c r="D204" t="s">
        <v>299</v>
      </c>
    </row>
    <row r="205" spans="1:4" x14ac:dyDescent="0.25">
      <c r="A205" s="52" t="s">
        <v>166</v>
      </c>
      <c r="B205" s="52" t="s">
        <v>32</v>
      </c>
      <c r="C205" s="52" t="s">
        <v>76</v>
      </c>
      <c r="D205" t="s">
        <v>299</v>
      </c>
    </row>
    <row r="206" spans="1:4" x14ac:dyDescent="0.25">
      <c r="A206" s="52" t="s">
        <v>166</v>
      </c>
      <c r="B206" s="52" t="s">
        <v>33</v>
      </c>
      <c r="C206" s="52" t="s">
        <v>56</v>
      </c>
      <c r="D206" t="s">
        <v>299</v>
      </c>
    </row>
    <row r="207" spans="1:4" x14ac:dyDescent="0.25">
      <c r="A207" s="52" t="s">
        <v>166</v>
      </c>
      <c r="B207" s="52" t="s">
        <v>36</v>
      </c>
      <c r="C207" s="52" t="s">
        <v>53</v>
      </c>
      <c r="D207" t="s">
        <v>300</v>
      </c>
    </row>
    <row r="208" spans="1:4" x14ac:dyDescent="0.25">
      <c r="A208" s="52" t="s">
        <v>168</v>
      </c>
      <c r="B208" s="52" t="s">
        <v>27</v>
      </c>
      <c r="C208" s="52" t="s">
        <v>50</v>
      </c>
      <c r="D208" t="s">
        <v>299</v>
      </c>
    </row>
    <row r="209" spans="1:4" x14ac:dyDescent="0.25">
      <c r="A209" s="52" t="s">
        <v>168</v>
      </c>
      <c r="B209" s="52" t="s">
        <v>28</v>
      </c>
      <c r="C209" s="52" t="s">
        <v>60</v>
      </c>
      <c r="D209" t="s">
        <v>299</v>
      </c>
    </row>
    <row r="210" spans="1:4" x14ac:dyDescent="0.25">
      <c r="A210" s="52" t="s">
        <v>168</v>
      </c>
      <c r="B210" s="52" t="s">
        <v>29</v>
      </c>
      <c r="C210" s="52" t="s">
        <v>89</v>
      </c>
      <c r="D210" t="s">
        <v>299</v>
      </c>
    </row>
    <row r="211" spans="1:4" x14ac:dyDescent="0.25">
      <c r="A211" s="52" t="s">
        <v>168</v>
      </c>
      <c r="B211" s="52" t="s">
        <v>30</v>
      </c>
      <c r="C211" s="52" t="s">
        <v>47</v>
      </c>
      <c r="D211" t="s">
        <v>299</v>
      </c>
    </row>
    <row r="212" spans="1:4" x14ac:dyDescent="0.25">
      <c r="A212" s="52" t="s">
        <v>168</v>
      </c>
      <c r="B212" s="52" t="s">
        <v>31</v>
      </c>
      <c r="C212" s="52" t="s">
        <v>93</v>
      </c>
      <c r="D212" t="s">
        <v>299</v>
      </c>
    </row>
    <row r="213" spans="1:4" x14ac:dyDescent="0.25">
      <c r="A213" s="52" t="s">
        <v>168</v>
      </c>
      <c r="B213" s="52" t="s">
        <v>32</v>
      </c>
      <c r="C213" s="52" t="s">
        <v>54</v>
      </c>
      <c r="D213" t="s">
        <v>299</v>
      </c>
    </row>
    <row r="214" spans="1:4" x14ac:dyDescent="0.25">
      <c r="A214" s="52" t="s">
        <v>168</v>
      </c>
      <c r="B214" s="52" t="s">
        <v>33</v>
      </c>
      <c r="C214" s="52" t="s">
        <v>69</v>
      </c>
      <c r="D214" t="s">
        <v>299</v>
      </c>
    </row>
    <row r="215" spans="1:4" x14ac:dyDescent="0.25">
      <c r="A215" s="52" t="s">
        <v>168</v>
      </c>
      <c r="B215" s="52" t="s">
        <v>34</v>
      </c>
      <c r="C215" s="52" t="s">
        <v>75</v>
      </c>
      <c r="D215" t="s">
        <v>299</v>
      </c>
    </row>
    <row r="216" spans="1:4" x14ac:dyDescent="0.25">
      <c r="A216" s="52" t="s">
        <v>168</v>
      </c>
      <c r="B216" s="52" t="s">
        <v>35</v>
      </c>
      <c r="C216" s="52" t="s">
        <v>73</v>
      </c>
      <c r="D216" t="s">
        <v>299</v>
      </c>
    </row>
    <row r="217" spans="1:4" x14ac:dyDescent="0.25">
      <c r="A217" s="52" t="s">
        <v>168</v>
      </c>
      <c r="B217" s="52" t="s">
        <v>36</v>
      </c>
      <c r="C217" s="52" t="s">
        <v>38</v>
      </c>
      <c r="D217" t="s">
        <v>300</v>
      </c>
    </row>
    <row r="218" spans="1:4" x14ac:dyDescent="0.25">
      <c r="A218" s="52" t="s">
        <v>170</v>
      </c>
      <c r="B218" s="52" t="s">
        <v>27</v>
      </c>
      <c r="C218" s="52" t="s">
        <v>40</v>
      </c>
      <c r="D218" t="s">
        <v>299</v>
      </c>
    </row>
    <row r="219" spans="1:4" x14ac:dyDescent="0.25">
      <c r="A219" s="52" t="s">
        <v>170</v>
      </c>
      <c r="B219" s="52" t="s">
        <v>28</v>
      </c>
      <c r="C219" s="52" t="s">
        <v>62</v>
      </c>
      <c r="D219" t="s">
        <v>299</v>
      </c>
    </row>
    <row r="220" spans="1:4" x14ac:dyDescent="0.25">
      <c r="A220" s="52" t="s">
        <v>170</v>
      </c>
      <c r="B220" s="52" t="s">
        <v>29</v>
      </c>
      <c r="C220" s="52" t="s">
        <v>50</v>
      </c>
      <c r="D220" t="s">
        <v>299</v>
      </c>
    </row>
    <row r="221" spans="1:4" x14ac:dyDescent="0.25">
      <c r="A221" s="52" t="s">
        <v>170</v>
      </c>
      <c r="B221" s="52" t="s">
        <v>30</v>
      </c>
      <c r="C221" s="52" t="s">
        <v>47</v>
      </c>
      <c r="D221" t="s">
        <v>299</v>
      </c>
    </row>
    <row r="222" spans="1:4" x14ac:dyDescent="0.25">
      <c r="A222" s="52" t="s">
        <v>170</v>
      </c>
      <c r="B222" s="52" t="s">
        <v>31</v>
      </c>
      <c r="C222" s="52" t="s">
        <v>72</v>
      </c>
      <c r="D222" t="s">
        <v>299</v>
      </c>
    </row>
    <row r="223" spans="1:4" x14ac:dyDescent="0.25">
      <c r="A223" s="52" t="s">
        <v>170</v>
      </c>
      <c r="B223" s="52" t="s">
        <v>32</v>
      </c>
      <c r="C223" s="52" t="s">
        <v>69</v>
      </c>
      <c r="D223" t="s">
        <v>299</v>
      </c>
    </row>
    <row r="224" spans="1:4" x14ac:dyDescent="0.25">
      <c r="A224" s="52" t="s">
        <v>170</v>
      </c>
      <c r="B224" s="52" t="s">
        <v>33</v>
      </c>
      <c r="C224" s="52" t="s">
        <v>76</v>
      </c>
      <c r="D224" t="s">
        <v>299</v>
      </c>
    </row>
    <row r="225" spans="1:4" x14ac:dyDescent="0.25">
      <c r="A225" s="52" t="s">
        <v>170</v>
      </c>
      <c r="B225" s="52" t="s">
        <v>34</v>
      </c>
      <c r="C225" s="52" t="s">
        <v>73</v>
      </c>
      <c r="D225" t="s">
        <v>299</v>
      </c>
    </row>
    <row r="226" spans="1:4" x14ac:dyDescent="0.25">
      <c r="A226" s="52" t="s">
        <v>170</v>
      </c>
      <c r="B226" s="52" t="s">
        <v>35</v>
      </c>
      <c r="C226" s="52" t="s">
        <v>92</v>
      </c>
      <c r="D226" t="s">
        <v>299</v>
      </c>
    </row>
    <row r="227" spans="1:4" x14ac:dyDescent="0.25">
      <c r="A227" s="52" t="s">
        <v>170</v>
      </c>
      <c r="B227" s="52" t="s">
        <v>36</v>
      </c>
      <c r="C227" s="52" t="s">
        <v>45</v>
      </c>
      <c r="D227" t="s">
        <v>300</v>
      </c>
    </row>
    <row r="228" spans="1:4" x14ac:dyDescent="0.25">
      <c r="A228" s="52" t="s">
        <v>171</v>
      </c>
      <c r="B228" s="52" t="s">
        <v>27</v>
      </c>
      <c r="C228" s="52" t="s">
        <v>72</v>
      </c>
      <c r="D228" t="s">
        <v>299</v>
      </c>
    </row>
    <row r="229" spans="1:4" x14ac:dyDescent="0.25">
      <c r="A229" s="52" t="s">
        <v>171</v>
      </c>
      <c r="B229" s="52" t="s">
        <v>28</v>
      </c>
      <c r="C229" s="52" t="s">
        <v>49</v>
      </c>
      <c r="D229" t="s">
        <v>299</v>
      </c>
    </row>
    <row r="230" spans="1:4" x14ac:dyDescent="0.25">
      <c r="A230" s="52" t="s">
        <v>171</v>
      </c>
      <c r="B230" s="52" t="s">
        <v>29</v>
      </c>
      <c r="C230" s="52" t="s">
        <v>58</v>
      </c>
      <c r="D230" t="s">
        <v>299</v>
      </c>
    </row>
    <row r="231" spans="1:4" x14ac:dyDescent="0.25">
      <c r="A231" s="52" t="s">
        <v>171</v>
      </c>
      <c r="B231" s="52" t="s">
        <v>30</v>
      </c>
      <c r="C231" s="52" t="s">
        <v>41</v>
      </c>
      <c r="D231" t="s">
        <v>299</v>
      </c>
    </row>
    <row r="232" spans="1:4" x14ac:dyDescent="0.25">
      <c r="A232" s="52" t="s">
        <v>171</v>
      </c>
      <c r="B232" s="52" t="s">
        <v>31</v>
      </c>
      <c r="C232" s="52" t="s">
        <v>40</v>
      </c>
      <c r="D232" t="s">
        <v>299</v>
      </c>
    </row>
    <row r="233" spans="1:4" x14ac:dyDescent="0.25">
      <c r="A233" s="52" t="s">
        <v>173</v>
      </c>
      <c r="B233" s="52" t="s">
        <v>27</v>
      </c>
      <c r="C233" s="52" t="s">
        <v>51</v>
      </c>
      <c r="D233" t="s">
        <v>299</v>
      </c>
    </row>
    <row r="234" spans="1:4" x14ac:dyDescent="0.25">
      <c r="A234" s="52" t="s">
        <v>173</v>
      </c>
      <c r="B234" s="52" t="s">
        <v>28</v>
      </c>
      <c r="C234" s="52" t="s">
        <v>50</v>
      </c>
      <c r="D234" t="s">
        <v>299</v>
      </c>
    </row>
    <row r="235" spans="1:4" x14ac:dyDescent="0.25">
      <c r="A235" s="52" t="s">
        <v>173</v>
      </c>
      <c r="B235" s="52" t="s">
        <v>29</v>
      </c>
      <c r="C235" s="52" t="s">
        <v>47</v>
      </c>
      <c r="D235" t="s">
        <v>299</v>
      </c>
    </row>
    <row r="236" spans="1:4" x14ac:dyDescent="0.25">
      <c r="A236" s="52" t="s">
        <v>173</v>
      </c>
      <c r="B236" s="52" t="s">
        <v>36</v>
      </c>
      <c r="C236" s="52" t="s">
        <v>91</v>
      </c>
      <c r="D236" t="s">
        <v>300</v>
      </c>
    </row>
    <row r="237" spans="1:4" x14ac:dyDescent="0.25">
      <c r="A237" s="52" t="s">
        <v>175</v>
      </c>
      <c r="B237" s="52" t="s">
        <v>27</v>
      </c>
      <c r="C237" s="52" t="s">
        <v>44</v>
      </c>
      <c r="D237" t="s">
        <v>299</v>
      </c>
    </row>
    <row r="238" spans="1:4" x14ac:dyDescent="0.25">
      <c r="A238" s="52" t="s">
        <v>175</v>
      </c>
      <c r="B238" s="52" t="s">
        <v>28</v>
      </c>
      <c r="C238" s="52" t="s">
        <v>52</v>
      </c>
      <c r="D238" t="s">
        <v>299</v>
      </c>
    </row>
    <row r="239" spans="1:4" x14ac:dyDescent="0.25">
      <c r="A239" s="52" t="s">
        <v>175</v>
      </c>
      <c r="B239" s="52" t="s">
        <v>36</v>
      </c>
      <c r="C239" s="52" t="s">
        <v>57</v>
      </c>
      <c r="D239" t="s">
        <v>300</v>
      </c>
    </row>
    <row r="240" spans="1:4" x14ac:dyDescent="0.25">
      <c r="A240" s="52" t="s">
        <v>176</v>
      </c>
      <c r="B240" s="52" t="s">
        <v>27</v>
      </c>
      <c r="C240" s="52" t="s">
        <v>40</v>
      </c>
      <c r="D240" t="s">
        <v>299</v>
      </c>
    </row>
    <row r="241" spans="1:4" x14ac:dyDescent="0.25">
      <c r="A241" s="52" t="s">
        <v>176</v>
      </c>
      <c r="B241" s="52" t="s">
        <v>28</v>
      </c>
      <c r="C241" s="52" t="s">
        <v>42</v>
      </c>
      <c r="D241" t="s">
        <v>299</v>
      </c>
    </row>
    <row r="242" spans="1:4" x14ac:dyDescent="0.25">
      <c r="A242" s="52" t="s">
        <v>176</v>
      </c>
      <c r="B242" s="52" t="s">
        <v>29</v>
      </c>
      <c r="C242" s="52" t="s">
        <v>60</v>
      </c>
      <c r="D242" t="s">
        <v>299</v>
      </c>
    </row>
    <row r="243" spans="1:4" x14ac:dyDescent="0.25">
      <c r="A243" s="52" t="s">
        <v>176</v>
      </c>
      <c r="B243" s="52" t="s">
        <v>30</v>
      </c>
      <c r="C243" s="52" t="s">
        <v>41</v>
      </c>
      <c r="D243" t="s">
        <v>299</v>
      </c>
    </row>
    <row r="244" spans="1:4" x14ac:dyDescent="0.25">
      <c r="A244" s="52" t="s">
        <v>176</v>
      </c>
      <c r="B244" s="52" t="s">
        <v>31</v>
      </c>
      <c r="C244" s="52" t="s">
        <v>67</v>
      </c>
      <c r="D244" t="s">
        <v>299</v>
      </c>
    </row>
    <row r="245" spans="1:4" x14ac:dyDescent="0.25">
      <c r="A245" s="52" t="s">
        <v>176</v>
      </c>
      <c r="B245" s="52" t="s">
        <v>32</v>
      </c>
      <c r="C245" s="52" t="s">
        <v>49</v>
      </c>
      <c r="D245" t="s">
        <v>299</v>
      </c>
    </row>
    <row r="246" spans="1:4" x14ac:dyDescent="0.25">
      <c r="A246" s="52" t="s">
        <v>176</v>
      </c>
      <c r="B246" s="52" t="s">
        <v>33</v>
      </c>
      <c r="C246" s="52" t="s">
        <v>48</v>
      </c>
      <c r="D246" t="s">
        <v>299</v>
      </c>
    </row>
    <row r="247" spans="1:4" x14ac:dyDescent="0.25">
      <c r="A247" s="52" t="s">
        <v>176</v>
      </c>
      <c r="B247" s="52" t="s">
        <v>34</v>
      </c>
      <c r="C247" s="52" t="s">
        <v>71</v>
      </c>
      <c r="D247" t="s">
        <v>299</v>
      </c>
    </row>
    <row r="248" spans="1:4" x14ac:dyDescent="0.25">
      <c r="A248" s="52" t="s">
        <v>176</v>
      </c>
      <c r="B248" s="52" t="s">
        <v>35</v>
      </c>
      <c r="C248" s="52" t="s">
        <v>74</v>
      </c>
      <c r="D248" t="s">
        <v>299</v>
      </c>
    </row>
    <row r="249" spans="1:4" x14ac:dyDescent="0.25">
      <c r="A249" s="52" t="s">
        <v>176</v>
      </c>
      <c r="B249" s="52" t="s">
        <v>36</v>
      </c>
      <c r="C249" s="52" t="s">
        <v>59</v>
      </c>
      <c r="D249" t="s">
        <v>300</v>
      </c>
    </row>
    <row r="250" spans="1:4" x14ac:dyDescent="0.25">
      <c r="A250" s="52" t="s">
        <v>178</v>
      </c>
      <c r="B250" s="52" t="s">
        <v>27</v>
      </c>
      <c r="C250" s="52" t="s">
        <v>59</v>
      </c>
      <c r="D250" t="s">
        <v>299</v>
      </c>
    </row>
    <row r="251" spans="1:4" x14ac:dyDescent="0.25">
      <c r="A251" s="52" t="s">
        <v>178</v>
      </c>
      <c r="B251" s="52" t="s">
        <v>28</v>
      </c>
      <c r="C251" s="52" t="s">
        <v>45</v>
      </c>
      <c r="D251" t="s">
        <v>299</v>
      </c>
    </row>
    <row r="252" spans="1:4" x14ac:dyDescent="0.25">
      <c r="A252" s="52" t="s">
        <v>178</v>
      </c>
      <c r="B252" s="52" t="s">
        <v>36</v>
      </c>
      <c r="C252" s="52" t="s">
        <v>47</v>
      </c>
      <c r="D252" t="s">
        <v>300</v>
      </c>
    </row>
    <row r="253" spans="1:4" x14ac:dyDescent="0.25">
      <c r="A253" s="52" t="s">
        <v>179</v>
      </c>
      <c r="B253" s="52" t="s">
        <v>27</v>
      </c>
      <c r="C253" s="52" t="s">
        <v>47</v>
      </c>
      <c r="D253" t="s">
        <v>299</v>
      </c>
    </row>
    <row r="254" spans="1:4" x14ac:dyDescent="0.25">
      <c r="A254" s="52" t="s">
        <v>179</v>
      </c>
      <c r="B254" s="52" t="s">
        <v>28</v>
      </c>
      <c r="C254" s="52" t="s">
        <v>40</v>
      </c>
      <c r="D254" t="s">
        <v>299</v>
      </c>
    </row>
    <row r="255" spans="1:4" x14ac:dyDescent="0.25">
      <c r="A255" s="52" t="s">
        <v>179</v>
      </c>
      <c r="B255" s="52" t="s">
        <v>29</v>
      </c>
      <c r="C255" s="52" t="s">
        <v>59</v>
      </c>
      <c r="D255" t="s">
        <v>299</v>
      </c>
    </row>
    <row r="256" spans="1:4" x14ac:dyDescent="0.25">
      <c r="A256" s="52" t="s">
        <v>179</v>
      </c>
      <c r="B256" s="52" t="s">
        <v>30</v>
      </c>
      <c r="C256" s="52" t="s">
        <v>58</v>
      </c>
      <c r="D256" t="s">
        <v>299</v>
      </c>
    </row>
    <row r="257" spans="1:4" x14ac:dyDescent="0.25">
      <c r="A257" s="52" t="s">
        <v>179</v>
      </c>
      <c r="B257" s="52" t="s">
        <v>36</v>
      </c>
      <c r="C257" s="52" t="s">
        <v>38</v>
      </c>
      <c r="D257" t="s">
        <v>300</v>
      </c>
    </row>
    <row r="258" spans="1:4" x14ac:dyDescent="0.25">
      <c r="A258" s="52" t="s">
        <v>181</v>
      </c>
      <c r="B258" s="52" t="s">
        <v>27</v>
      </c>
      <c r="C258" s="52" t="s">
        <v>45</v>
      </c>
      <c r="D258" t="s">
        <v>299</v>
      </c>
    </row>
    <row r="259" spans="1:4" x14ac:dyDescent="0.25">
      <c r="A259" s="52" t="s">
        <v>181</v>
      </c>
      <c r="B259" s="52" t="s">
        <v>28</v>
      </c>
      <c r="C259" s="52" t="s">
        <v>42</v>
      </c>
      <c r="D259" t="s">
        <v>299</v>
      </c>
    </row>
    <row r="260" spans="1:4" x14ac:dyDescent="0.25">
      <c r="A260" s="52" t="s">
        <v>181</v>
      </c>
      <c r="B260" s="52" t="s">
        <v>29</v>
      </c>
      <c r="C260" s="52" t="s">
        <v>68</v>
      </c>
      <c r="D260" t="s">
        <v>299</v>
      </c>
    </row>
    <row r="261" spans="1:4" x14ac:dyDescent="0.25">
      <c r="A261" s="52" t="s">
        <v>181</v>
      </c>
      <c r="B261" s="52" t="s">
        <v>30</v>
      </c>
      <c r="C261" s="52" t="s">
        <v>92</v>
      </c>
      <c r="D261" t="s">
        <v>299</v>
      </c>
    </row>
    <row r="262" spans="1:4" x14ac:dyDescent="0.25">
      <c r="A262" s="52" t="s">
        <v>181</v>
      </c>
      <c r="B262" s="52" t="s">
        <v>36</v>
      </c>
      <c r="C262" s="52" t="s">
        <v>67</v>
      </c>
      <c r="D262" t="s">
        <v>300</v>
      </c>
    </row>
    <row r="263" spans="1:4" x14ac:dyDescent="0.25">
      <c r="A263" s="52" t="s">
        <v>182</v>
      </c>
      <c r="B263" s="52" t="s">
        <v>27</v>
      </c>
      <c r="C263" s="52" t="s">
        <v>59</v>
      </c>
      <c r="D263" t="s">
        <v>299</v>
      </c>
    </row>
    <row r="264" spans="1:4" x14ac:dyDescent="0.25">
      <c r="A264" s="52" t="s">
        <v>182</v>
      </c>
      <c r="B264" s="52" t="s">
        <v>28</v>
      </c>
      <c r="C264" s="52" t="s">
        <v>45</v>
      </c>
      <c r="D264" t="s">
        <v>299</v>
      </c>
    </row>
    <row r="265" spans="1:4" x14ac:dyDescent="0.25">
      <c r="A265" s="52" t="s">
        <v>182</v>
      </c>
      <c r="B265" s="52" t="s">
        <v>29</v>
      </c>
      <c r="C265" s="52" t="s">
        <v>49</v>
      </c>
      <c r="D265" t="s">
        <v>299</v>
      </c>
    </row>
    <row r="266" spans="1:4" x14ac:dyDescent="0.25">
      <c r="A266" s="52" t="s">
        <v>182</v>
      </c>
      <c r="B266" s="52" t="s">
        <v>36</v>
      </c>
      <c r="C266" s="52" t="s">
        <v>52</v>
      </c>
      <c r="D266" t="s">
        <v>300</v>
      </c>
    </row>
    <row r="267" spans="1:4" x14ac:dyDescent="0.25">
      <c r="A267" s="52" t="s">
        <v>184</v>
      </c>
      <c r="B267" s="52" t="s">
        <v>27</v>
      </c>
      <c r="C267" s="52" t="s">
        <v>38</v>
      </c>
      <c r="D267" t="s">
        <v>299</v>
      </c>
    </row>
    <row r="268" spans="1:4" x14ac:dyDescent="0.25">
      <c r="A268" s="52" t="s">
        <v>184</v>
      </c>
      <c r="B268" s="52" t="s">
        <v>28</v>
      </c>
      <c r="C268" s="52" t="s">
        <v>40</v>
      </c>
      <c r="D268" t="s">
        <v>299</v>
      </c>
    </row>
    <row r="269" spans="1:4" x14ac:dyDescent="0.25">
      <c r="A269" s="52" t="s">
        <v>184</v>
      </c>
      <c r="B269" s="52" t="s">
        <v>29</v>
      </c>
      <c r="C269" s="52" t="s">
        <v>41</v>
      </c>
      <c r="D269" t="s">
        <v>299</v>
      </c>
    </row>
    <row r="270" spans="1:4" x14ac:dyDescent="0.25">
      <c r="A270" s="52" t="s">
        <v>184</v>
      </c>
      <c r="B270" s="52" t="s">
        <v>30</v>
      </c>
      <c r="C270" s="52" t="s">
        <v>62</v>
      </c>
      <c r="D270" t="s">
        <v>299</v>
      </c>
    </row>
    <row r="271" spans="1:4" x14ac:dyDescent="0.25">
      <c r="A271" s="52" t="s">
        <v>184</v>
      </c>
      <c r="B271" s="52" t="s">
        <v>31</v>
      </c>
      <c r="C271" s="52" t="s">
        <v>50</v>
      </c>
      <c r="D271" t="s">
        <v>299</v>
      </c>
    </row>
    <row r="272" spans="1:4" x14ac:dyDescent="0.25">
      <c r="A272" s="52" t="s">
        <v>184</v>
      </c>
      <c r="B272" s="52" t="s">
        <v>32</v>
      </c>
      <c r="C272" s="52" t="s">
        <v>77</v>
      </c>
      <c r="D272" t="s">
        <v>299</v>
      </c>
    </row>
    <row r="273" spans="1:4" x14ac:dyDescent="0.25">
      <c r="A273" s="52" t="s">
        <v>184</v>
      </c>
      <c r="B273" s="52" t="s">
        <v>36</v>
      </c>
      <c r="C273" s="52" t="s">
        <v>61</v>
      </c>
      <c r="D273" t="s">
        <v>300</v>
      </c>
    </row>
    <row r="274" spans="1:4" x14ac:dyDescent="0.25">
      <c r="A274" s="52" t="s">
        <v>185</v>
      </c>
      <c r="B274" s="52" t="s">
        <v>27</v>
      </c>
      <c r="C274" s="52" t="s">
        <v>75</v>
      </c>
      <c r="D274" t="s">
        <v>299</v>
      </c>
    </row>
    <row r="275" spans="1:4" x14ac:dyDescent="0.25">
      <c r="A275" s="52" t="s">
        <v>185</v>
      </c>
      <c r="B275" s="52" t="s">
        <v>28</v>
      </c>
      <c r="C275" s="52" t="s">
        <v>65</v>
      </c>
      <c r="D275" t="s">
        <v>299</v>
      </c>
    </row>
    <row r="276" spans="1:4" x14ac:dyDescent="0.25">
      <c r="A276" s="52" t="s">
        <v>185</v>
      </c>
      <c r="B276" s="52" t="s">
        <v>29</v>
      </c>
      <c r="C276" s="52" t="s">
        <v>54</v>
      </c>
      <c r="D276" t="s">
        <v>299</v>
      </c>
    </row>
    <row r="277" spans="1:4" x14ac:dyDescent="0.25">
      <c r="A277" s="52" t="s">
        <v>185</v>
      </c>
      <c r="B277" s="52" t="s">
        <v>30</v>
      </c>
      <c r="C277" s="52" t="s">
        <v>39</v>
      </c>
      <c r="D277" t="s">
        <v>299</v>
      </c>
    </row>
    <row r="278" spans="1:4" x14ac:dyDescent="0.25">
      <c r="A278" s="52" t="s">
        <v>185</v>
      </c>
      <c r="B278" s="52" t="s">
        <v>31</v>
      </c>
      <c r="C278" s="52" t="s">
        <v>42</v>
      </c>
      <c r="D278" t="s">
        <v>299</v>
      </c>
    </row>
    <row r="279" spans="1:4" x14ac:dyDescent="0.25">
      <c r="A279" s="52" t="s">
        <v>185</v>
      </c>
      <c r="B279" s="52" t="s">
        <v>32</v>
      </c>
      <c r="C279" s="52" t="s">
        <v>92</v>
      </c>
      <c r="D279" t="s">
        <v>299</v>
      </c>
    </row>
    <row r="280" spans="1:4" x14ac:dyDescent="0.25">
      <c r="A280" s="52" t="s">
        <v>185</v>
      </c>
      <c r="B280" s="52" t="s">
        <v>33</v>
      </c>
      <c r="C280" s="52" t="s">
        <v>60</v>
      </c>
      <c r="D280" t="s">
        <v>299</v>
      </c>
    </row>
    <row r="281" spans="1:4" x14ac:dyDescent="0.25">
      <c r="A281" s="52" t="s">
        <v>185</v>
      </c>
      <c r="B281" s="52" t="s">
        <v>34</v>
      </c>
      <c r="C281" s="52" t="s">
        <v>72</v>
      </c>
      <c r="D281" t="s">
        <v>299</v>
      </c>
    </row>
    <row r="282" spans="1:4" x14ac:dyDescent="0.25">
      <c r="A282" s="52" t="s">
        <v>185</v>
      </c>
      <c r="B282" s="52" t="s">
        <v>36</v>
      </c>
      <c r="C282" s="52" t="s">
        <v>51</v>
      </c>
      <c r="D282" t="s">
        <v>300</v>
      </c>
    </row>
    <row r="283" spans="1:4" x14ac:dyDescent="0.25">
      <c r="A283" s="52" t="s">
        <v>187</v>
      </c>
      <c r="B283" s="52" t="s">
        <v>27</v>
      </c>
      <c r="C283" s="52" t="s">
        <v>75</v>
      </c>
      <c r="D283" t="s">
        <v>299</v>
      </c>
    </row>
    <row r="284" spans="1:4" x14ac:dyDescent="0.25">
      <c r="A284" s="52" t="s">
        <v>187</v>
      </c>
      <c r="B284" s="52" t="s">
        <v>28</v>
      </c>
      <c r="C284" s="52" t="s">
        <v>65</v>
      </c>
      <c r="D284" t="s">
        <v>299</v>
      </c>
    </row>
    <row r="285" spans="1:4" x14ac:dyDescent="0.25">
      <c r="A285" s="52" t="s">
        <v>187</v>
      </c>
      <c r="B285" s="52" t="s">
        <v>29</v>
      </c>
      <c r="C285" s="52" t="s">
        <v>54</v>
      </c>
      <c r="D285" t="s">
        <v>299</v>
      </c>
    </row>
    <row r="286" spans="1:4" x14ac:dyDescent="0.25">
      <c r="A286" s="52" t="s">
        <v>187</v>
      </c>
      <c r="B286" s="52" t="s">
        <v>30</v>
      </c>
      <c r="C286" s="52" t="s">
        <v>59</v>
      </c>
      <c r="D286" t="s">
        <v>299</v>
      </c>
    </row>
    <row r="287" spans="1:4" x14ac:dyDescent="0.25">
      <c r="A287" s="52" t="s">
        <v>187</v>
      </c>
      <c r="B287" s="52" t="s">
        <v>31</v>
      </c>
      <c r="C287" s="52" t="s">
        <v>42</v>
      </c>
      <c r="D287" t="s">
        <v>299</v>
      </c>
    </row>
    <row r="288" spans="1:4" x14ac:dyDescent="0.25">
      <c r="A288" s="52" t="s">
        <v>187</v>
      </c>
      <c r="B288" s="52" t="s">
        <v>32</v>
      </c>
      <c r="C288" s="52" t="s">
        <v>92</v>
      </c>
      <c r="D288" t="s">
        <v>299</v>
      </c>
    </row>
    <row r="289" spans="1:4" x14ac:dyDescent="0.25">
      <c r="A289" s="52" t="s">
        <v>187</v>
      </c>
      <c r="B289" s="52" t="s">
        <v>33</v>
      </c>
      <c r="C289" s="52" t="s">
        <v>48</v>
      </c>
      <c r="D289" t="s">
        <v>299</v>
      </c>
    </row>
    <row r="290" spans="1:4" x14ac:dyDescent="0.25">
      <c r="A290" s="52" t="s">
        <v>187</v>
      </c>
      <c r="B290" s="52" t="s">
        <v>36</v>
      </c>
      <c r="C290" s="52" t="s">
        <v>51</v>
      </c>
      <c r="D290" t="s">
        <v>300</v>
      </c>
    </row>
    <row r="291" spans="1:4" x14ac:dyDescent="0.25">
      <c r="A291" s="52" t="s">
        <v>188</v>
      </c>
      <c r="B291" s="52" t="s">
        <v>27</v>
      </c>
      <c r="C291" s="52" t="s">
        <v>90</v>
      </c>
      <c r="D291" t="s">
        <v>299</v>
      </c>
    </row>
    <row r="292" spans="1:4" x14ac:dyDescent="0.25">
      <c r="A292" s="52" t="s">
        <v>188</v>
      </c>
      <c r="B292" s="52" t="s">
        <v>28</v>
      </c>
      <c r="C292" s="52" t="s">
        <v>66</v>
      </c>
      <c r="D292" t="s">
        <v>299</v>
      </c>
    </row>
    <row r="293" spans="1:4" x14ac:dyDescent="0.25">
      <c r="A293" s="52" t="s">
        <v>188</v>
      </c>
      <c r="B293" s="52" t="s">
        <v>29</v>
      </c>
      <c r="C293" s="52" t="s">
        <v>65</v>
      </c>
      <c r="D293" t="s">
        <v>299</v>
      </c>
    </row>
    <row r="294" spans="1:4" x14ac:dyDescent="0.25">
      <c r="A294" s="52" t="s">
        <v>188</v>
      </c>
      <c r="B294" s="52" t="s">
        <v>30</v>
      </c>
      <c r="C294" s="52" t="s">
        <v>55</v>
      </c>
      <c r="D294" t="s">
        <v>299</v>
      </c>
    </row>
    <row r="295" spans="1:4" x14ac:dyDescent="0.25">
      <c r="A295" s="52" t="s">
        <v>188</v>
      </c>
      <c r="B295" s="52" t="s">
        <v>31</v>
      </c>
      <c r="C295" s="52" t="s">
        <v>89</v>
      </c>
      <c r="D295" t="s">
        <v>299</v>
      </c>
    </row>
    <row r="296" spans="1:4" x14ac:dyDescent="0.25">
      <c r="A296" s="52" t="s">
        <v>188</v>
      </c>
      <c r="B296" s="52" t="s">
        <v>32</v>
      </c>
      <c r="C296" s="52" t="s">
        <v>77</v>
      </c>
      <c r="D296" t="s">
        <v>299</v>
      </c>
    </row>
    <row r="297" spans="1:4" x14ac:dyDescent="0.25">
      <c r="A297" s="52" t="s">
        <v>188</v>
      </c>
      <c r="B297" s="52" t="s">
        <v>33</v>
      </c>
      <c r="C297" s="52" t="s">
        <v>49</v>
      </c>
      <c r="D297" t="s">
        <v>299</v>
      </c>
    </row>
    <row r="298" spans="1:4" x14ac:dyDescent="0.25">
      <c r="A298" s="52" t="s">
        <v>188</v>
      </c>
      <c r="B298" s="52" t="s">
        <v>34</v>
      </c>
      <c r="C298" s="52" t="s">
        <v>76</v>
      </c>
      <c r="D298" t="s">
        <v>299</v>
      </c>
    </row>
    <row r="299" spans="1:4" x14ac:dyDescent="0.25">
      <c r="A299" s="52" t="s">
        <v>188</v>
      </c>
      <c r="B299" s="52" t="s">
        <v>35</v>
      </c>
      <c r="C299" s="52" t="s">
        <v>40</v>
      </c>
      <c r="D299" t="s">
        <v>299</v>
      </c>
    </row>
    <row r="300" spans="1:4" x14ac:dyDescent="0.25">
      <c r="A300" s="52" t="s">
        <v>188</v>
      </c>
      <c r="B300" s="52" t="s">
        <v>36</v>
      </c>
      <c r="C300" s="52" t="s">
        <v>62</v>
      </c>
      <c r="D300" t="s">
        <v>300</v>
      </c>
    </row>
    <row r="301" spans="1:4" x14ac:dyDescent="0.25">
      <c r="A301" s="52" t="s">
        <v>190</v>
      </c>
      <c r="B301" s="52" t="s">
        <v>27</v>
      </c>
      <c r="C301" s="52" t="s">
        <v>40</v>
      </c>
      <c r="D301" t="s">
        <v>299</v>
      </c>
    </row>
    <row r="302" spans="1:4" x14ac:dyDescent="0.25">
      <c r="A302" s="52" t="s">
        <v>190</v>
      </c>
      <c r="B302" s="52" t="s">
        <v>28</v>
      </c>
      <c r="C302" s="52" t="s">
        <v>49</v>
      </c>
      <c r="D302" t="s">
        <v>299</v>
      </c>
    </row>
    <row r="303" spans="1:4" x14ac:dyDescent="0.25">
      <c r="A303" s="52" t="s">
        <v>190</v>
      </c>
      <c r="B303" s="52" t="s">
        <v>29</v>
      </c>
      <c r="C303" s="52" t="s">
        <v>62</v>
      </c>
      <c r="D303" t="s">
        <v>299</v>
      </c>
    </row>
    <row r="304" spans="1:4" x14ac:dyDescent="0.25">
      <c r="A304" s="52" t="s">
        <v>190</v>
      </c>
      <c r="B304" s="52" t="s">
        <v>30</v>
      </c>
      <c r="C304" s="52" t="s">
        <v>71</v>
      </c>
      <c r="D304" t="s">
        <v>299</v>
      </c>
    </row>
    <row r="305" spans="1:4" x14ac:dyDescent="0.25">
      <c r="A305" s="52" t="s">
        <v>190</v>
      </c>
      <c r="B305" s="52" t="s">
        <v>31</v>
      </c>
      <c r="C305" s="52" t="s">
        <v>68</v>
      </c>
      <c r="D305" t="s">
        <v>299</v>
      </c>
    </row>
    <row r="306" spans="1:4" x14ac:dyDescent="0.25">
      <c r="A306" s="52" t="s">
        <v>192</v>
      </c>
      <c r="B306" s="52" t="s">
        <v>27</v>
      </c>
      <c r="C306" s="52" t="s">
        <v>54</v>
      </c>
      <c r="D306" t="s">
        <v>299</v>
      </c>
    </row>
    <row r="307" spans="1:4" x14ac:dyDescent="0.25">
      <c r="A307" s="52" t="s">
        <v>192</v>
      </c>
      <c r="B307" s="52" t="s">
        <v>28</v>
      </c>
      <c r="C307" s="52" t="s">
        <v>41</v>
      </c>
      <c r="D307" t="s">
        <v>299</v>
      </c>
    </row>
    <row r="308" spans="1:4" x14ac:dyDescent="0.25">
      <c r="A308" s="52" t="s">
        <v>192</v>
      </c>
      <c r="B308" s="52" t="s">
        <v>29</v>
      </c>
      <c r="C308" s="52" t="s">
        <v>50</v>
      </c>
      <c r="D308" t="s">
        <v>299</v>
      </c>
    </row>
    <row r="309" spans="1:4" x14ac:dyDescent="0.25">
      <c r="A309" s="52" t="s">
        <v>192</v>
      </c>
      <c r="B309" s="52" t="s">
        <v>30</v>
      </c>
      <c r="C309" s="52" t="s">
        <v>89</v>
      </c>
      <c r="D309" t="s">
        <v>299</v>
      </c>
    </row>
    <row r="310" spans="1:4" x14ac:dyDescent="0.25">
      <c r="A310" s="52" t="s">
        <v>192</v>
      </c>
      <c r="B310" s="52" t="s">
        <v>31</v>
      </c>
      <c r="C310" s="52" t="s">
        <v>49</v>
      </c>
      <c r="D310" t="s">
        <v>299</v>
      </c>
    </row>
    <row r="311" spans="1:4" x14ac:dyDescent="0.25">
      <c r="A311" s="52" t="s">
        <v>192</v>
      </c>
      <c r="B311" s="52" t="s">
        <v>32</v>
      </c>
      <c r="C311" s="52" t="s">
        <v>65</v>
      </c>
      <c r="D311" t="s">
        <v>299</v>
      </c>
    </row>
    <row r="312" spans="1:4" x14ac:dyDescent="0.25">
      <c r="A312" s="52" t="s">
        <v>194</v>
      </c>
      <c r="B312" s="52" t="s">
        <v>27</v>
      </c>
      <c r="C312" s="52" t="s">
        <v>59</v>
      </c>
      <c r="D312" t="s">
        <v>299</v>
      </c>
    </row>
    <row r="313" spans="1:4" x14ac:dyDescent="0.25">
      <c r="A313" s="52" t="s">
        <v>194</v>
      </c>
      <c r="B313" s="52" t="s">
        <v>28</v>
      </c>
      <c r="C313" s="52" t="s">
        <v>71</v>
      </c>
      <c r="D313" t="s">
        <v>299</v>
      </c>
    </row>
    <row r="314" spans="1:4" x14ac:dyDescent="0.25">
      <c r="A314" s="52" t="s">
        <v>194</v>
      </c>
      <c r="B314" s="52" t="s">
        <v>29</v>
      </c>
      <c r="C314" s="52" t="s">
        <v>67</v>
      </c>
      <c r="D314" t="s">
        <v>299</v>
      </c>
    </row>
    <row r="315" spans="1:4" x14ac:dyDescent="0.25">
      <c r="A315" s="52" t="s">
        <v>194</v>
      </c>
      <c r="B315" s="52" t="s">
        <v>30</v>
      </c>
      <c r="C315" s="52" t="s">
        <v>54</v>
      </c>
      <c r="D315" t="s">
        <v>299</v>
      </c>
    </row>
    <row r="316" spans="1:4" x14ac:dyDescent="0.25">
      <c r="A316" s="52" t="s">
        <v>194</v>
      </c>
      <c r="B316" s="52" t="s">
        <v>36</v>
      </c>
      <c r="C316" s="52" t="s">
        <v>57</v>
      </c>
      <c r="D316" t="s">
        <v>300</v>
      </c>
    </row>
    <row r="317" spans="1:4" x14ac:dyDescent="0.25">
      <c r="A317" s="52" t="s">
        <v>195</v>
      </c>
      <c r="B317" s="52" t="s">
        <v>27</v>
      </c>
      <c r="C317" s="52" t="s">
        <v>61</v>
      </c>
      <c r="D317" t="s">
        <v>299</v>
      </c>
    </row>
    <row r="318" spans="1:4" x14ac:dyDescent="0.25">
      <c r="A318" s="52" t="s">
        <v>195</v>
      </c>
      <c r="B318" s="52" t="s">
        <v>28</v>
      </c>
      <c r="C318" s="52" t="s">
        <v>53</v>
      </c>
      <c r="D318" t="s">
        <v>299</v>
      </c>
    </row>
    <row r="319" spans="1:4" x14ac:dyDescent="0.25">
      <c r="A319" s="52" t="s">
        <v>195</v>
      </c>
      <c r="B319" s="52" t="s">
        <v>29</v>
      </c>
      <c r="C319" s="52" t="s">
        <v>62</v>
      </c>
      <c r="D319" t="s">
        <v>299</v>
      </c>
    </row>
    <row r="320" spans="1:4" x14ac:dyDescent="0.25">
      <c r="A320" s="52" t="s">
        <v>195</v>
      </c>
      <c r="B320" s="52" t="s">
        <v>30</v>
      </c>
      <c r="C320" s="52" t="s">
        <v>69</v>
      </c>
      <c r="D320" t="s">
        <v>299</v>
      </c>
    </row>
    <row r="321" spans="1:4" x14ac:dyDescent="0.25">
      <c r="A321" s="52" t="s">
        <v>196</v>
      </c>
      <c r="B321" s="52" t="s">
        <v>27</v>
      </c>
      <c r="C321" s="52" t="s">
        <v>44</v>
      </c>
      <c r="D321" t="s">
        <v>299</v>
      </c>
    </row>
    <row r="322" spans="1:4" x14ac:dyDescent="0.25">
      <c r="A322" s="52" t="s">
        <v>196</v>
      </c>
      <c r="B322" s="52" t="s">
        <v>28</v>
      </c>
      <c r="C322" s="52" t="s">
        <v>72</v>
      </c>
      <c r="D322" t="s">
        <v>299</v>
      </c>
    </row>
    <row r="323" spans="1:4" x14ac:dyDescent="0.25">
      <c r="A323" s="52" t="s">
        <v>196</v>
      </c>
      <c r="B323" s="52" t="s">
        <v>29</v>
      </c>
      <c r="C323" s="52" t="s">
        <v>62</v>
      </c>
      <c r="D323" t="s">
        <v>299</v>
      </c>
    </row>
    <row r="324" spans="1:4" x14ac:dyDescent="0.25">
      <c r="A324" s="52" t="s">
        <v>196</v>
      </c>
      <c r="B324" s="52" t="s">
        <v>30</v>
      </c>
      <c r="C324" s="52" t="s">
        <v>41</v>
      </c>
      <c r="D324" t="s">
        <v>299</v>
      </c>
    </row>
    <row r="325" spans="1:4" x14ac:dyDescent="0.25">
      <c r="A325" s="52" t="s">
        <v>196</v>
      </c>
      <c r="B325" s="52" t="s">
        <v>31</v>
      </c>
      <c r="C325" s="52" t="s">
        <v>68</v>
      </c>
      <c r="D325" t="s">
        <v>299</v>
      </c>
    </row>
    <row r="326" spans="1:4" x14ac:dyDescent="0.25">
      <c r="A326" s="52" t="s">
        <v>196</v>
      </c>
      <c r="B326" s="52" t="s">
        <v>36</v>
      </c>
      <c r="C326" s="52" t="s">
        <v>38</v>
      </c>
      <c r="D326" t="s">
        <v>300</v>
      </c>
    </row>
    <row r="327" spans="1:4" x14ac:dyDescent="0.25">
      <c r="A327" s="52" t="s">
        <v>198</v>
      </c>
      <c r="B327" s="52" t="s">
        <v>27</v>
      </c>
      <c r="C327" s="52" t="s">
        <v>68</v>
      </c>
      <c r="D327" t="s">
        <v>299</v>
      </c>
    </row>
    <row r="328" spans="1:4" x14ac:dyDescent="0.25">
      <c r="A328" s="52" t="s">
        <v>198</v>
      </c>
      <c r="B328" s="52" t="s">
        <v>28</v>
      </c>
      <c r="C328" s="52" t="s">
        <v>60</v>
      </c>
      <c r="D328" t="s">
        <v>299</v>
      </c>
    </row>
    <row r="329" spans="1:4" x14ac:dyDescent="0.25">
      <c r="A329" s="52" t="s">
        <v>198</v>
      </c>
      <c r="B329" s="52" t="s">
        <v>29</v>
      </c>
      <c r="C329" s="52" t="s">
        <v>72</v>
      </c>
      <c r="D329" t="s">
        <v>299</v>
      </c>
    </row>
    <row r="330" spans="1:4" x14ac:dyDescent="0.25">
      <c r="A330" s="52" t="s">
        <v>198</v>
      </c>
      <c r="B330" s="52" t="s">
        <v>30</v>
      </c>
      <c r="C330" s="52" t="s">
        <v>67</v>
      </c>
      <c r="D330" t="s">
        <v>299</v>
      </c>
    </row>
    <row r="331" spans="1:4" x14ac:dyDescent="0.25">
      <c r="A331" s="52" t="s">
        <v>198</v>
      </c>
      <c r="B331" s="52" t="s">
        <v>31</v>
      </c>
      <c r="C331" s="52" t="s">
        <v>49</v>
      </c>
      <c r="D331" t="s">
        <v>299</v>
      </c>
    </row>
    <row r="332" spans="1:4" x14ac:dyDescent="0.25">
      <c r="A332" s="52" t="s">
        <v>198</v>
      </c>
      <c r="B332" s="52" t="s">
        <v>32</v>
      </c>
      <c r="C332" s="52" t="s">
        <v>71</v>
      </c>
      <c r="D332" t="s">
        <v>299</v>
      </c>
    </row>
    <row r="333" spans="1:4" x14ac:dyDescent="0.25">
      <c r="A333" s="52" t="s">
        <v>198</v>
      </c>
      <c r="B333" s="52" t="s">
        <v>33</v>
      </c>
      <c r="C333" s="52" t="s">
        <v>55</v>
      </c>
      <c r="D333" t="s">
        <v>299</v>
      </c>
    </row>
    <row r="334" spans="1:4" x14ac:dyDescent="0.25">
      <c r="A334" s="52" t="s">
        <v>198</v>
      </c>
      <c r="B334" s="52" t="s">
        <v>34</v>
      </c>
      <c r="C334" s="52" t="s">
        <v>39</v>
      </c>
      <c r="D334" t="s">
        <v>299</v>
      </c>
    </row>
    <row r="335" spans="1:4" x14ac:dyDescent="0.25">
      <c r="A335" s="52" t="s">
        <v>198</v>
      </c>
      <c r="B335" s="52" t="s">
        <v>35</v>
      </c>
      <c r="C335" s="52" t="s">
        <v>48</v>
      </c>
      <c r="D335" t="s">
        <v>299</v>
      </c>
    </row>
    <row r="336" spans="1:4" x14ac:dyDescent="0.25">
      <c r="A336" s="52" t="s">
        <v>198</v>
      </c>
      <c r="B336" s="52" t="s">
        <v>36</v>
      </c>
      <c r="C336" s="52" t="s">
        <v>59</v>
      </c>
      <c r="D336" t="s">
        <v>300</v>
      </c>
    </row>
    <row r="337" spans="1:4" x14ac:dyDescent="0.25">
      <c r="A337" s="52" t="s">
        <v>199</v>
      </c>
      <c r="B337" s="52" t="s">
        <v>27</v>
      </c>
      <c r="C337" s="52" t="s">
        <v>45</v>
      </c>
      <c r="D337" t="s">
        <v>299</v>
      </c>
    </row>
    <row r="338" spans="1:4" x14ac:dyDescent="0.25">
      <c r="A338" s="52" t="s">
        <v>199</v>
      </c>
      <c r="B338" s="52" t="s">
        <v>28</v>
      </c>
      <c r="C338" s="52" t="s">
        <v>47</v>
      </c>
      <c r="D338" t="s">
        <v>299</v>
      </c>
    </row>
    <row r="339" spans="1:4" x14ac:dyDescent="0.25">
      <c r="A339" s="52" t="s">
        <v>199</v>
      </c>
      <c r="B339" s="52" t="s">
        <v>29</v>
      </c>
      <c r="C339" s="52" t="s">
        <v>62</v>
      </c>
      <c r="D339" t="s">
        <v>299</v>
      </c>
    </row>
    <row r="340" spans="1:4" x14ac:dyDescent="0.25">
      <c r="A340" s="52" t="s">
        <v>199</v>
      </c>
      <c r="B340" s="52" t="s">
        <v>30</v>
      </c>
      <c r="C340" s="52" t="s">
        <v>48</v>
      </c>
      <c r="D340" t="s">
        <v>299</v>
      </c>
    </row>
    <row r="341" spans="1:4" x14ac:dyDescent="0.25">
      <c r="A341" s="52" t="s">
        <v>199</v>
      </c>
      <c r="B341" s="52" t="s">
        <v>31</v>
      </c>
      <c r="C341" s="52" t="s">
        <v>89</v>
      </c>
      <c r="D341" t="s">
        <v>299</v>
      </c>
    </row>
    <row r="342" spans="1:4" x14ac:dyDescent="0.25">
      <c r="A342" s="52" t="s">
        <v>199</v>
      </c>
      <c r="B342" s="52" t="s">
        <v>36</v>
      </c>
      <c r="C342" s="52" t="s">
        <v>51</v>
      </c>
      <c r="D342" t="s">
        <v>300</v>
      </c>
    </row>
    <row r="343" spans="1:4" x14ac:dyDescent="0.25">
      <c r="A343" s="52" t="s">
        <v>201</v>
      </c>
      <c r="B343" s="52" t="s">
        <v>27</v>
      </c>
      <c r="C343" s="52" t="s">
        <v>76</v>
      </c>
      <c r="D343" t="s">
        <v>299</v>
      </c>
    </row>
    <row r="344" spans="1:4" x14ac:dyDescent="0.25">
      <c r="A344" s="52" t="s">
        <v>201</v>
      </c>
      <c r="B344" s="52" t="s">
        <v>28</v>
      </c>
      <c r="C344" s="52" t="s">
        <v>77</v>
      </c>
      <c r="D344" t="s">
        <v>299</v>
      </c>
    </row>
    <row r="345" spans="1:4" x14ac:dyDescent="0.25">
      <c r="A345" s="52" t="s">
        <v>201</v>
      </c>
      <c r="B345" s="52" t="s">
        <v>29</v>
      </c>
      <c r="C345" s="52" t="s">
        <v>89</v>
      </c>
      <c r="D345" t="s">
        <v>299</v>
      </c>
    </row>
    <row r="346" spans="1:4" x14ac:dyDescent="0.25">
      <c r="A346" s="52" t="s">
        <v>201</v>
      </c>
      <c r="B346" s="52" t="s">
        <v>30</v>
      </c>
      <c r="C346" s="52" t="s">
        <v>65</v>
      </c>
      <c r="D346" t="s">
        <v>299</v>
      </c>
    </row>
    <row r="347" spans="1:4" x14ac:dyDescent="0.25">
      <c r="A347" s="52" t="s">
        <v>201</v>
      </c>
      <c r="B347" s="52" t="s">
        <v>31</v>
      </c>
      <c r="C347" s="52" t="s">
        <v>41</v>
      </c>
      <c r="D347" t="s">
        <v>299</v>
      </c>
    </row>
    <row r="348" spans="1:4" x14ac:dyDescent="0.25">
      <c r="A348" s="52" t="s">
        <v>201</v>
      </c>
      <c r="B348" s="52" t="s">
        <v>32</v>
      </c>
      <c r="C348" s="52" t="s">
        <v>62</v>
      </c>
      <c r="D348" t="s">
        <v>299</v>
      </c>
    </row>
    <row r="349" spans="1:4" x14ac:dyDescent="0.25">
      <c r="A349" s="52" t="s">
        <v>201</v>
      </c>
      <c r="B349" s="52" t="s">
        <v>33</v>
      </c>
      <c r="C349" s="52" t="s">
        <v>70</v>
      </c>
      <c r="D349" t="s">
        <v>299</v>
      </c>
    </row>
    <row r="350" spans="1:4" x14ac:dyDescent="0.25">
      <c r="A350" s="52" t="s">
        <v>201</v>
      </c>
      <c r="B350" s="52" t="s">
        <v>34</v>
      </c>
      <c r="C350" s="52" t="s">
        <v>54</v>
      </c>
      <c r="D350" t="s">
        <v>299</v>
      </c>
    </row>
    <row r="351" spans="1:4" x14ac:dyDescent="0.25">
      <c r="A351" s="52" t="s">
        <v>201</v>
      </c>
      <c r="B351" s="52" t="s">
        <v>35</v>
      </c>
      <c r="C351" s="52" t="s">
        <v>49</v>
      </c>
      <c r="D351" t="s">
        <v>299</v>
      </c>
    </row>
    <row r="352" spans="1:4" x14ac:dyDescent="0.25">
      <c r="A352" s="52" t="s">
        <v>201</v>
      </c>
      <c r="B352" s="52" t="s">
        <v>36</v>
      </c>
      <c r="C352" s="52" t="s">
        <v>53</v>
      </c>
      <c r="D352" t="s">
        <v>300</v>
      </c>
    </row>
    <row r="353" spans="1:4" x14ac:dyDescent="0.25">
      <c r="A353" s="52" t="s">
        <v>203</v>
      </c>
      <c r="B353" s="52" t="s">
        <v>27</v>
      </c>
      <c r="C353" s="52" t="s">
        <v>51</v>
      </c>
      <c r="D353" t="s">
        <v>299</v>
      </c>
    </row>
    <row r="354" spans="1:4" x14ac:dyDescent="0.25">
      <c r="A354" s="52" t="s">
        <v>203</v>
      </c>
      <c r="B354" s="52" t="s">
        <v>28</v>
      </c>
      <c r="C354" s="52" t="s">
        <v>62</v>
      </c>
      <c r="D354" t="s">
        <v>299</v>
      </c>
    </row>
    <row r="355" spans="1:4" x14ac:dyDescent="0.25">
      <c r="A355" s="52" t="s">
        <v>203</v>
      </c>
      <c r="B355" s="52" t="s">
        <v>29</v>
      </c>
      <c r="C355" s="52" t="s">
        <v>44</v>
      </c>
      <c r="D355" t="s">
        <v>299</v>
      </c>
    </row>
    <row r="356" spans="1:4" x14ac:dyDescent="0.25">
      <c r="A356" s="52" t="s">
        <v>203</v>
      </c>
      <c r="B356" s="52" t="s">
        <v>30</v>
      </c>
      <c r="C356" s="52" t="s">
        <v>48</v>
      </c>
      <c r="D356" t="s">
        <v>299</v>
      </c>
    </row>
    <row r="357" spans="1:4" x14ac:dyDescent="0.25">
      <c r="A357" s="52" t="s">
        <v>203</v>
      </c>
      <c r="B357" s="52" t="s">
        <v>36</v>
      </c>
      <c r="C357" s="52" t="s">
        <v>38</v>
      </c>
      <c r="D357" t="s">
        <v>300</v>
      </c>
    </row>
    <row r="358" spans="1:4" x14ac:dyDescent="0.25">
      <c r="A358" s="52" t="s">
        <v>204</v>
      </c>
      <c r="B358" s="52" t="s">
        <v>27</v>
      </c>
      <c r="C358" s="52" t="s">
        <v>42</v>
      </c>
      <c r="D358" t="s">
        <v>299</v>
      </c>
    </row>
    <row r="359" spans="1:4" x14ac:dyDescent="0.25">
      <c r="A359" s="52" t="s">
        <v>204</v>
      </c>
      <c r="B359" s="52" t="s">
        <v>28</v>
      </c>
      <c r="C359" s="52" t="s">
        <v>48</v>
      </c>
      <c r="D359" t="s">
        <v>299</v>
      </c>
    </row>
    <row r="360" spans="1:4" x14ac:dyDescent="0.25">
      <c r="A360" s="52" t="s">
        <v>204</v>
      </c>
      <c r="B360" s="52" t="s">
        <v>29</v>
      </c>
      <c r="C360" s="52" t="s">
        <v>65</v>
      </c>
      <c r="D360" t="s">
        <v>299</v>
      </c>
    </row>
    <row r="361" spans="1:4" x14ac:dyDescent="0.25">
      <c r="A361" s="52" t="s">
        <v>204</v>
      </c>
      <c r="B361" s="52" t="s">
        <v>30</v>
      </c>
      <c r="C361" s="52" t="s">
        <v>67</v>
      </c>
      <c r="D361" t="s">
        <v>299</v>
      </c>
    </row>
    <row r="362" spans="1:4" x14ac:dyDescent="0.25">
      <c r="A362" s="52" t="s">
        <v>204</v>
      </c>
      <c r="B362" s="52" t="s">
        <v>31</v>
      </c>
      <c r="C362" s="52" t="s">
        <v>72</v>
      </c>
      <c r="D362" t="s">
        <v>299</v>
      </c>
    </row>
    <row r="363" spans="1:4" x14ac:dyDescent="0.25">
      <c r="A363" s="52" t="s">
        <v>204</v>
      </c>
      <c r="B363" s="52" t="s">
        <v>32</v>
      </c>
      <c r="C363" s="52" t="s">
        <v>49</v>
      </c>
      <c r="D363" t="s">
        <v>299</v>
      </c>
    </row>
    <row r="364" spans="1:4" x14ac:dyDescent="0.25">
      <c r="A364" s="52" t="s">
        <v>204</v>
      </c>
      <c r="B364" s="52" t="s">
        <v>33</v>
      </c>
      <c r="C364" s="52" t="s">
        <v>50</v>
      </c>
      <c r="D364" t="s">
        <v>299</v>
      </c>
    </row>
    <row r="365" spans="1:4" x14ac:dyDescent="0.25">
      <c r="A365" s="52" t="s">
        <v>204</v>
      </c>
      <c r="B365" s="52" t="s">
        <v>36</v>
      </c>
      <c r="C365" s="52" t="s">
        <v>40</v>
      </c>
      <c r="D365" t="s">
        <v>300</v>
      </c>
    </row>
    <row r="366" spans="1:4" x14ac:dyDescent="0.25">
      <c r="A366" s="52" t="s">
        <v>206</v>
      </c>
      <c r="B366" s="52" t="s">
        <v>27</v>
      </c>
      <c r="C366" s="52" t="s">
        <v>62</v>
      </c>
      <c r="D366" t="s">
        <v>299</v>
      </c>
    </row>
    <row r="367" spans="1:4" x14ac:dyDescent="0.25">
      <c r="A367" s="52" t="s">
        <v>206</v>
      </c>
      <c r="B367" s="52" t="s">
        <v>28</v>
      </c>
      <c r="C367" s="52" t="s">
        <v>69</v>
      </c>
      <c r="D367" t="s">
        <v>299</v>
      </c>
    </row>
    <row r="368" spans="1:4" x14ac:dyDescent="0.25">
      <c r="A368" s="52" t="s">
        <v>206</v>
      </c>
      <c r="B368" s="52" t="s">
        <v>29</v>
      </c>
      <c r="C368" s="52" t="s">
        <v>40</v>
      </c>
      <c r="D368" t="s">
        <v>299</v>
      </c>
    </row>
    <row r="369" spans="1:4" x14ac:dyDescent="0.25">
      <c r="A369" s="52" t="s">
        <v>206</v>
      </c>
      <c r="B369" s="52" t="s">
        <v>30</v>
      </c>
      <c r="C369" s="52" t="s">
        <v>54</v>
      </c>
      <c r="D369" t="s">
        <v>299</v>
      </c>
    </row>
    <row r="370" spans="1:4" x14ac:dyDescent="0.25">
      <c r="A370" s="52" t="s">
        <v>206</v>
      </c>
      <c r="B370" s="52" t="s">
        <v>31</v>
      </c>
      <c r="C370" s="52" t="s">
        <v>44</v>
      </c>
      <c r="D370" t="s">
        <v>299</v>
      </c>
    </row>
    <row r="371" spans="1:4" x14ac:dyDescent="0.25">
      <c r="A371" s="52" t="s">
        <v>206</v>
      </c>
      <c r="B371" s="52" t="s">
        <v>32</v>
      </c>
      <c r="C371" s="52" t="s">
        <v>48</v>
      </c>
      <c r="D371" t="s">
        <v>299</v>
      </c>
    </row>
    <row r="372" spans="1:4" x14ac:dyDescent="0.25">
      <c r="A372" s="52" t="s">
        <v>206</v>
      </c>
      <c r="B372" s="52" t="s">
        <v>36</v>
      </c>
      <c r="C372" s="52" t="s">
        <v>52</v>
      </c>
      <c r="D372" t="s">
        <v>300</v>
      </c>
    </row>
    <row r="373" spans="1:4" x14ac:dyDescent="0.25">
      <c r="A373" s="52" t="s">
        <v>208</v>
      </c>
      <c r="B373" s="52" t="s">
        <v>27</v>
      </c>
      <c r="C373" s="52" t="s">
        <v>57</v>
      </c>
      <c r="D373" t="s">
        <v>299</v>
      </c>
    </row>
    <row r="374" spans="1:4" x14ac:dyDescent="0.25">
      <c r="A374" s="52" t="s">
        <v>208</v>
      </c>
      <c r="B374" s="52" t="s">
        <v>28</v>
      </c>
      <c r="C374" s="52" t="s">
        <v>39</v>
      </c>
      <c r="D374" t="s">
        <v>299</v>
      </c>
    </row>
    <row r="375" spans="1:4" x14ac:dyDescent="0.25">
      <c r="A375" s="52" t="s">
        <v>208</v>
      </c>
      <c r="B375" s="52" t="s">
        <v>29</v>
      </c>
      <c r="C375" s="52" t="s">
        <v>42</v>
      </c>
      <c r="D375" t="s">
        <v>299</v>
      </c>
    </row>
    <row r="376" spans="1:4" x14ac:dyDescent="0.25">
      <c r="A376" s="52" t="s">
        <v>208</v>
      </c>
      <c r="B376" s="52" t="s">
        <v>30</v>
      </c>
      <c r="C376" s="52" t="s">
        <v>54</v>
      </c>
      <c r="D376" t="s">
        <v>299</v>
      </c>
    </row>
    <row r="377" spans="1:4" x14ac:dyDescent="0.25">
      <c r="A377" s="52" t="s">
        <v>208</v>
      </c>
      <c r="B377" s="52" t="s">
        <v>31</v>
      </c>
      <c r="C377" s="52" t="s">
        <v>47</v>
      </c>
      <c r="D377" t="s">
        <v>299</v>
      </c>
    </row>
    <row r="378" spans="1:4" x14ac:dyDescent="0.25">
      <c r="A378" s="52" t="s">
        <v>208</v>
      </c>
      <c r="B378" s="52" t="s">
        <v>32</v>
      </c>
      <c r="C378" s="52" t="s">
        <v>69</v>
      </c>
      <c r="D378" t="s">
        <v>299</v>
      </c>
    </row>
    <row r="379" spans="1:4" x14ac:dyDescent="0.25">
      <c r="A379" s="52" t="s">
        <v>208</v>
      </c>
      <c r="B379" s="52" t="s">
        <v>36</v>
      </c>
      <c r="C379" s="52" t="s">
        <v>40</v>
      </c>
      <c r="D379" t="s">
        <v>300</v>
      </c>
    </row>
    <row r="380" spans="1:4" x14ac:dyDescent="0.25">
      <c r="A380" s="52" t="s">
        <v>209</v>
      </c>
      <c r="B380" s="52" t="s">
        <v>27</v>
      </c>
      <c r="C380" s="52" t="s">
        <v>51</v>
      </c>
      <c r="D380" t="s">
        <v>299</v>
      </c>
    </row>
    <row r="381" spans="1:4" x14ac:dyDescent="0.25">
      <c r="A381" s="52" t="s">
        <v>209</v>
      </c>
      <c r="B381" s="52" t="s">
        <v>28</v>
      </c>
      <c r="C381" s="52" t="s">
        <v>52</v>
      </c>
      <c r="D381" t="s">
        <v>299</v>
      </c>
    </row>
    <row r="382" spans="1:4" x14ac:dyDescent="0.25">
      <c r="A382" s="52" t="s">
        <v>209</v>
      </c>
      <c r="B382" s="52" t="s">
        <v>29</v>
      </c>
      <c r="C382" s="52" t="s">
        <v>65</v>
      </c>
      <c r="D382" t="s">
        <v>299</v>
      </c>
    </row>
    <row r="383" spans="1:4" x14ac:dyDescent="0.25">
      <c r="A383" s="52" t="s">
        <v>209</v>
      </c>
      <c r="B383" s="52" t="s">
        <v>36</v>
      </c>
      <c r="C383" s="52" t="s">
        <v>41</v>
      </c>
      <c r="D383" t="s">
        <v>300</v>
      </c>
    </row>
    <row r="384" spans="1:4" x14ac:dyDescent="0.25">
      <c r="A384" s="52" t="s">
        <v>211</v>
      </c>
      <c r="B384" s="52" t="s">
        <v>27</v>
      </c>
      <c r="C384" s="52" t="s">
        <v>61</v>
      </c>
      <c r="D384" t="s">
        <v>299</v>
      </c>
    </row>
    <row r="385" spans="1:4" x14ac:dyDescent="0.25">
      <c r="A385" s="52" t="s">
        <v>211</v>
      </c>
      <c r="B385" s="52" t="s">
        <v>28</v>
      </c>
      <c r="C385" s="52" t="s">
        <v>40</v>
      </c>
      <c r="D385" t="s">
        <v>299</v>
      </c>
    </row>
    <row r="386" spans="1:4" x14ac:dyDescent="0.25">
      <c r="A386" s="52" t="s">
        <v>211</v>
      </c>
      <c r="B386" s="52" t="s">
        <v>29</v>
      </c>
      <c r="C386" s="52" t="s">
        <v>72</v>
      </c>
      <c r="D386" t="s">
        <v>299</v>
      </c>
    </row>
    <row r="387" spans="1:4" x14ac:dyDescent="0.25">
      <c r="A387" s="52" t="s">
        <v>211</v>
      </c>
      <c r="B387" s="52" t="s">
        <v>36</v>
      </c>
      <c r="C387" s="52" t="s">
        <v>90</v>
      </c>
      <c r="D387" t="s">
        <v>300</v>
      </c>
    </row>
    <row r="388" spans="1:4" x14ac:dyDescent="0.25">
      <c r="A388" s="52" t="s">
        <v>212</v>
      </c>
      <c r="B388" s="52" t="s">
        <v>27</v>
      </c>
      <c r="C388" s="52" t="s">
        <v>50</v>
      </c>
      <c r="D388" t="s">
        <v>299</v>
      </c>
    </row>
    <row r="389" spans="1:4" x14ac:dyDescent="0.25">
      <c r="A389" s="52" t="s">
        <v>212</v>
      </c>
      <c r="B389" s="52" t="s">
        <v>28</v>
      </c>
      <c r="C389" s="52" t="s">
        <v>47</v>
      </c>
      <c r="D389" t="s">
        <v>299</v>
      </c>
    </row>
    <row r="390" spans="1:4" x14ac:dyDescent="0.25">
      <c r="A390" s="52" t="s">
        <v>212</v>
      </c>
      <c r="B390" s="52" t="s">
        <v>29</v>
      </c>
      <c r="C390" s="52" t="s">
        <v>39</v>
      </c>
      <c r="D390" t="s">
        <v>299</v>
      </c>
    </row>
    <row r="391" spans="1:4" x14ac:dyDescent="0.25">
      <c r="A391" s="52" t="s">
        <v>212</v>
      </c>
      <c r="B391" s="52" t="s">
        <v>30</v>
      </c>
      <c r="C391" s="52" t="s">
        <v>62</v>
      </c>
      <c r="D391" t="s">
        <v>299</v>
      </c>
    </row>
    <row r="392" spans="1:4" x14ac:dyDescent="0.25">
      <c r="A392" s="52" t="s">
        <v>212</v>
      </c>
      <c r="B392" s="52" t="s">
        <v>36</v>
      </c>
      <c r="C392" s="52" t="s">
        <v>55</v>
      </c>
      <c r="D392" t="s">
        <v>300</v>
      </c>
    </row>
    <row r="393" spans="1:4" x14ac:dyDescent="0.25">
      <c r="A393" s="52" t="s">
        <v>213</v>
      </c>
      <c r="B393" s="52" t="s">
        <v>27</v>
      </c>
      <c r="C393" s="52" t="s">
        <v>61</v>
      </c>
      <c r="D393" t="s">
        <v>299</v>
      </c>
    </row>
    <row r="394" spans="1:4" x14ac:dyDescent="0.25">
      <c r="A394" s="52" t="s">
        <v>213</v>
      </c>
      <c r="B394" s="52" t="s">
        <v>28</v>
      </c>
      <c r="C394" s="52" t="s">
        <v>50</v>
      </c>
      <c r="D394" t="s">
        <v>299</v>
      </c>
    </row>
    <row r="395" spans="1:4" x14ac:dyDescent="0.25">
      <c r="A395" s="52" t="s">
        <v>213</v>
      </c>
      <c r="B395" s="52" t="s">
        <v>29</v>
      </c>
      <c r="C395" s="52" t="s">
        <v>67</v>
      </c>
      <c r="D395" t="s">
        <v>299</v>
      </c>
    </row>
    <row r="396" spans="1:4" x14ac:dyDescent="0.25">
      <c r="A396" s="52" t="s">
        <v>213</v>
      </c>
      <c r="B396" s="52" t="s">
        <v>30</v>
      </c>
      <c r="C396" s="52" t="s">
        <v>42</v>
      </c>
      <c r="D396" t="s">
        <v>299</v>
      </c>
    </row>
    <row r="397" spans="1:4" x14ac:dyDescent="0.25">
      <c r="A397" s="52" t="s">
        <v>213</v>
      </c>
      <c r="B397" s="52" t="s">
        <v>36</v>
      </c>
      <c r="C397" s="52" t="s">
        <v>53</v>
      </c>
      <c r="D397" t="s">
        <v>300</v>
      </c>
    </row>
    <row r="398" spans="1:4" x14ac:dyDescent="0.25">
      <c r="A398" s="52" t="s">
        <v>215</v>
      </c>
      <c r="B398" s="52" t="s">
        <v>27</v>
      </c>
      <c r="C398" s="52" t="s">
        <v>44</v>
      </c>
      <c r="D398" t="s">
        <v>299</v>
      </c>
    </row>
    <row r="399" spans="1:4" x14ac:dyDescent="0.25">
      <c r="A399" s="52" t="s">
        <v>215</v>
      </c>
      <c r="B399" s="52" t="s">
        <v>28</v>
      </c>
      <c r="C399" s="52" t="s">
        <v>55</v>
      </c>
      <c r="D399" t="s">
        <v>299</v>
      </c>
    </row>
    <row r="400" spans="1:4" x14ac:dyDescent="0.25">
      <c r="A400" s="52" t="s">
        <v>215</v>
      </c>
      <c r="B400" s="52" t="s">
        <v>29</v>
      </c>
      <c r="C400" s="52" t="s">
        <v>39</v>
      </c>
      <c r="D400" t="s">
        <v>299</v>
      </c>
    </row>
    <row r="401" spans="1:4" x14ac:dyDescent="0.25">
      <c r="A401" s="52" t="s">
        <v>215</v>
      </c>
      <c r="B401" s="52" t="s">
        <v>30</v>
      </c>
      <c r="C401" s="52" t="s">
        <v>57</v>
      </c>
      <c r="D401" t="s">
        <v>299</v>
      </c>
    </row>
    <row r="402" spans="1:4" x14ac:dyDescent="0.25">
      <c r="A402" s="52" t="s">
        <v>215</v>
      </c>
      <c r="B402" s="52" t="s">
        <v>31</v>
      </c>
      <c r="C402" s="52" t="s">
        <v>58</v>
      </c>
      <c r="D402" t="s">
        <v>299</v>
      </c>
    </row>
    <row r="403" spans="1:4" x14ac:dyDescent="0.25">
      <c r="A403" s="52" t="s">
        <v>215</v>
      </c>
      <c r="B403" s="52" t="s">
        <v>36</v>
      </c>
      <c r="C403" s="52" t="s">
        <v>41</v>
      </c>
      <c r="D403" t="s">
        <v>300</v>
      </c>
    </row>
    <row r="404" spans="1:4" x14ac:dyDescent="0.25">
      <c r="A404" s="52" t="s">
        <v>216</v>
      </c>
      <c r="B404" s="52" t="s">
        <v>27</v>
      </c>
      <c r="C404" s="52" t="s">
        <v>51</v>
      </c>
      <c r="D404" t="s">
        <v>299</v>
      </c>
    </row>
    <row r="405" spans="1:4" x14ac:dyDescent="0.25">
      <c r="A405" s="52" t="s">
        <v>216</v>
      </c>
      <c r="B405" s="52" t="s">
        <v>28</v>
      </c>
      <c r="C405" s="52" t="s">
        <v>47</v>
      </c>
      <c r="D405" t="s">
        <v>299</v>
      </c>
    </row>
    <row r="406" spans="1:4" x14ac:dyDescent="0.25">
      <c r="A406" s="52" t="s">
        <v>216</v>
      </c>
      <c r="B406" s="52" t="s">
        <v>29</v>
      </c>
      <c r="C406" s="52" t="s">
        <v>89</v>
      </c>
      <c r="D406" t="s">
        <v>299</v>
      </c>
    </row>
    <row r="407" spans="1:4" x14ac:dyDescent="0.25">
      <c r="A407" s="52" t="s">
        <v>216</v>
      </c>
      <c r="B407" s="52" t="s">
        <v>30</v>
      </c>
      <c r="C407" s="52" t="s">
        <v>65</v>
      </c>
      <c r="D407" t="s">
        <v>299</v>
      </c>
    </row>
    <row r="408" spans="1:4" x14ac:dyDescent="0.25">
      <c r="A408" s="52" t="s">
        <v>216</v>
      </c>
      <c r="B408" s="52" t="s">
        <v>36</v>
      </c>
      <c r="C408" s="52" t="s">
        <v>57</v>
      </c>
      <c r="D408" t="s">
        <v>300</v>
      </c>
    </row>
    <row r="409" spans="1:4" x14ac:dyDescent="0.25">
      <c r="A409" s="52" t="s">
        <v>218</v>
      </c>
      <c r="B409" s="52" t="s">
        <v>27</v>
      </c>
      <c r="C409" s="52" t="s">
        <v>50</v>
      </c>
      <c r="D409" t="s">
        <v>299</v>
      </c>
    </row>
    <row r="410" spans="1:4" x14ac:dyDescent="0.25">
      <c r="A410" s="52" t="s">
        <v>218</v>
      </c>
      <c r="B410" s="52" t="s">
        <v>28</v>
      </c>
      <c r="C410" s="52" t="s">
        <v>40</v>
      </c>
      <c r="D410" t="s">
        <v>299</v>
      </c>
    </row>
    <row r="411" spans="1:4" x14ac:dyDescent="0.25">
      <c r="A411" s="52" t="s">
        <v>218</v>
      </c>
      <c r="B411" s="52" t="s">
        <v>29</v>
      </c>
      <c r="C411" s="52" t="s">
        <v>38</v>
      </c>
      <c r="D411" t="s">
        <v>299</v>
      </c>
    </row>
    <row r="412" spans="1:4" x14ac:dyDescent="0.25">
      <c r="A412" s="52" t="s">
        <v>218</v>
      </c>
      <c r="B412" s="52" t="s">
        <v>36</v>
      </c>
      <c r="C412" s="52" t="s">
        <v>56</v>
      </c>
      <c r="D412" t="s">
        <v>300</v>
      </c>
    </row>
    <row r="413" spans="1:4" x14ac:dyDescent="0.25">
      <c r="A413" s="52" t="s">
        <v>220</v>
      </c>
      <c r="B413" s="52" t="s">
        <v>27</v>
      </c>
      <c r="C413" s="52" t="s">
        <v>41</v>
      </c>
      <c r="D413" t="s">
        <v>299</v>
      </c>
    </row>
    <row r="414" spans="1:4" x14ac:dyDescent="0.25">
      <c r="A414" s="52" t="s">
        <v>220</v>
      </c>
      <c r="B414" s="52" t="s">
        <v>28</v>
      </c>
      <c r="C414" s="52" t="s">
        <v>72</v>
      </c>
      <c r="D414" t="s">
        <v>299</v>
      </c>
    </row>
    <row r="415" spans="1:4" x14ac:dyDescent="0.25">
      <c r="A415" s="52" t="s">
        <v>220</v>
      </c>
      <c r="B415" s="52" t="s">
        <v>29</v>
      </c>
      <c r="C415" s="52" t="s">
        <v>68</v>
      </c>
      <c r="D415" t="s">
        <v>299</v>
      </c>
    </row>
    <row r="416" spans="1:4" x14ac:dyDescent="0.25">
      <c r="A416" s="52" t="s">
        <v>220</v>
      </c>
      <c r="B416" s="52" t="s">
        <v>30</v>
      </c>
      <c r="C416" s="52" t="s">
        <v>49</v>
      </c>
      <c r="D416" t="s">
        <v>299</v>
      </c>
    </row>
    <row r="417" spans="1:4" x14ac:dyDescent="0.25">
      <c r="A417" s="52" t="s">
        <v>220</v>
      </c>
      <c r="B417" s="52" t="s">
        <v>31</v>
      </c>
      <c r="C417" s="52" t="s">
        <v>48</v>
      </c>
      <c r="D417" t="s">
        <v>299</v>
      </c>
    </row>
    <row r="418" spans="1:4" x14ac:dyDescent="0.25">
      <c r="A418" s="52" t="s">
        <v>220</v>
      </c>
      <c r="B418" s="52" t="s">
        <v>32</v>
      </c>
      <c r="C418" s="52" t="s">
        <v>89</v>
      </c>
      <c r="D418" t="s">
        <v>299</v>
      </c>
    </row>
    <row r="419" spans="1:4" x14ac:dyDescent="0.25">
      <c r="A419" s="52" t="s">
        <v>220</v>
      </c>
      <c r="B419" s="52" t="s">
        <v>36</v>
      </c>
      <c r="C419" s="52" t="s">
        <v>43</v>
      </c>
      <c r="D419" t="s">
        <v>300</v>
      </c>
    </row>
    <row r="420" spans="1:4" x14ac:dyDescent="0.25">
      <c r="A420" s="52" t="s">
        <v>221</v>
      </c>
      <c r="B420" s="52" t="s">
        <v>27</v>
      </c>
      <c r="C420" s="52" t="s">
        <v>62</v>
      </c>
      <c r="D420" t="s">
        <v>299</v>
      </c>
    </row>
    <row r="421" spans="1:4" x14ac:dyDescent="0.25">
      <c r="A421" s="52" t="s">
        <v>221</v>
      </c>
      <c r="B421" s="52" t="s">
        <v>28</v>
      </c>
      <c r="C421" s="52" t="s">
        <v>70</v>
      </c>
      <c r="D421" t="s">
        <v>299</v>
      </c>
    </row>
    <row r="422" spans="1:4" x14ac:dyDescent="0.25">
      <c r="A422" s="52" t="s">
        <v>221</v>
      </c>
      <c r="B422" s="52" t="s">
        <v>29</v>
      </c>
      <c r="C422" s="52" t="s">
        <v>48</v>
      </c>
      <c r="D422" t="s">
        <v>299</v>
      </c>
    </row>
    <row r="423" spans="1:4" x14ac:dyDescent="0.25">
      <c r="A423" s="52" t="s">
        <v>221</v>
      </c>
      <c r="B423" s="52" t="s">
        <v>30</v>
      </c>
      <c r="C423" s="52" t="s">
        <v>65</v>
      </c>
      <c r="D423" t="s">
        <v>299</v>
      </c>
    </row>
    <row r="424" spans="1:4" x14ac:dyDescent="0.25">
      <c r="A424" s="52" t="s">
        <v>221</v>
      </c>
      <c r="B424" s="52" t="s">
        <v>31</v>
      </c>
      <c r="C424" s="52" t="s">
        <v>77</v>
      </c>
      <c r="D424" t="s">
        <v>299</v>
      </c>
    </row>
    <row r="425" spans="1:4" x14ac:dyDescent="0.25">
      <c r="A425" s="52" t="s">
        <v>221</v>
      </c>
      <c r="B425" s="52" t="s">
        <v>32</v>
      </c>
      <c r="C425" s="52" t="s">
        <v>91</v>
      </c>
      <c r="D425" t="s">
        <v>299</v>
      </c>
    </row>
    <row r="426" spans="1:4" x14ac:dyDescent="0.25">
      <c r="A426" s="52" t="s">
        <v>221</v>
      </c>
      <c r="B426" s="52" t="s">
        <v>33</v>
      </c>
      <c r="C426" s="52" t="s">
        <v>38</v>
      </c>
      <c r="D426" t="s">
        <v>299</v>
      </c>
    </row>
    <row r="427" spans="1:4" x14ac:dyDescent="0.25">
      <c r="A427" s="52" t="s">
        <v>221</v>
      </c>
      <c r="B427" s="52" t="s">
        <v>34</v>
      </c>
      <c r="C427" s="52" t="s">
        <v>73</v>
      </c>
      <c r="D427" t="s">
        <v>299</v>
      </c>
    </row>
    <row r="428" spans="1:4" x14ac:dyDescent="0.25">
      <c r="A428" s="52" t="s">
        <v>221</v>
      </c>
      <c r="B428" s="52" t="s">
        <v>35</v>
      </c>
      <c r="C428" s="52" t="s">
        <v>89</v>
      </c>
      <c r="D428" t="s">
        <v>299</v>
      </c>
    </row>
    <row r="429" spans="1:4" x14ac:dyDescent="0.25">
      <c r="A429" s="52" t="s">
        <v>221</v>
      </c>
      <c r="B429" s="52" t="s">
        <v>36</v>
      </c>
      <c r="C429" s="52" t="s">
        <v>40</v>
      </c>
      <c r="D429" t="s">
        <v>300</v>
      </c>
    </row>
    <row r="430" spans="1:4" x14ac:dyDescent="0.25">
      <c r="A430" s="52" t="s">
        <v>223</v>
      </c>
      <c r="B430" s="52" t="s">
        <v>27</v>
      </c>
      <c r="C430" s="52" t="s">
        <v>59</v>
      </c>
      <c r="D430" t="s">
        <v>299</v>
      </c>
    </row>
    <row r="431" spans="1:4" x14ac:dyDescent="0.25">
      <c r="A431" s="52" t="s">
        <v>223</v>
      </c>
      <c r="B431" s="52" t="s">
        <v>28</v>
      </c>
      <c r="C431" s="52" t="s">
        <v>47</v>
      </c>
      <c r="D431" t="s">
        <v>299</v>
      </c>
    </row>
    <row r="432" spans="1:4" x14ac:dyDescent="0.25">
      <c r="A432" s="52" t="s">
        <v>223</v>
      </c>
      <c r="B432" s="52" t="s">
        <v>29</v>
      </c>
      <c r="C432" s="52" t="s">
        <v>62</v>
      </c>
      <c r="D432" t="s">
        <v>299</v>
      </c>
    </row>
    <row r="433" spans="1:4" x14ac:dyDescent="0.25">
      <c r="A433" s="52" t="s">
        <v>223</v>
      </c>
      <c r="B433" s="52" t="s">
        <v>30</v>
      </c>
      <c r="C433" s="52" t="s">
        <v>39</v>
      </c>
      <c r="D433" t="s">
        <v>299</v>
      </c>
    </row>
    <row r="434" spans="1:4" x14ac:dyDescent="0.25">
      <c r="A434" s="52" t="s">
        <v>223</v>
      </c>
      <c r="B434" s="52" t="s">
        <v>31</v>
      </c>
      <c r="C434" s="52" t="s">
        <v>43</v>
      </c>
      <c r="D434" t="s">
        <v>299</v>
      </c>
    </row>
    <row r="435" spans="1:4" x14ac:dyDescent="0.25">
      <c r="A435" s="52" t="s">
        <v>223</v>
      </c>
      <c r="B435" s="52" t="s">
        <v>36</v>
      </c>
      <c r="C435" s="52" t="s">
        <v>44</v>
      </c>
      <c r="D435" t="s">
        <v>300</v>
      </c>
    </row>
    <row r="436" spans="1:4" x14ac:dyDescent="0.25">
      <c r="A436" s="52" t="s">
        <v>225</v>
      </c>
      <c r="B436" s="52" t="s">
        <v>27</v>
      </c>
      <c r="C436" s="52" t="s">
        <v>71</v>
      </c>
      <c r="D436" t="s">
        <v>299</v>
      </c>
    </row>
    <row r="437" spans="1:4" x14ac:dyDescent="0.25">
      <c r="A437" s="52" t="s">
        <v>225</v>
      </c>
      <c r="B437" s="52" t="s">
        <v>28</v>
      </c>
      <c r="C437" s="52" t="s">
        <v>41</v>
      </c>
      <c r="D437" t="s">
        <v>299</v>
      </c>
    </row>
    <row r="438" spans="1:4" x14ac:dyDescent="0.25">
      <c r="A438" s="52" t="s">
        <v>225</v>
      </c>
      <c r="B438" s="52" t="s">
        <v>29</v>
      </c>
      <c r="C438" s="52" t="s">
        <v>52</v>
      </c>
      <c r="D438" t="s">
        <v>299</v>
      </c>
    </row>
    <row r="439" spans="1:4" x14ac:dyDescent="0.25">
      <c r="A439" s="52" t="s">
        <v>225</v>
      </c>
      <c r="B439" s="52" t="s">
        <v>30</v>
      </c>
      <c r="C439" s="52" t="s">
        <v>67</v>
      </c>
      <c r="D439" t="s">
        <v>299</v>
      </c>
    </row>
    <row r="440" spans="1:4" x14ac:dyDescent="0.25">
      <c r="A440" s="52" t="s">
        <v>225</v>
      </c>
      <c r="B440" s="52" t="s">
        <v>31</v>
      </c>
      <c r="C440" s="52" t="s">
        <v>38</v>
      </c>
      <c r="D440" t="s">
        <v>299</v>
      </c>
    </row>
    <row r="441" spans="1:4" x14ac:dyDescent="0.25">
      <c r="A441" s="52" t="s">
        <v>225</v>
      </c>
      <c r="B441" s="52" t="s">
        <v>36</v>
      </c>
      <c r="C441" s="52" t="s">
        <v>61</v>
      </c>
      <c r="D441" t="s">
        <v>300</v>
      </c>
    </row>
    <row r="442" spans="1:4" x14ac:dyDescent="0.25">
      <c r="A442" s="52" t="s">
        <v>228</v>
      </c>
      <c r="B442" s="52" t="s">
        <v>27</v>
      </c>
      <c r="C442" s="52" t="s">
        <v>38</v>
      </c>
      <c r="D442" t="s">
        <v>299</v>
      </c>
    </row>
    <row r="443" spans="1:4" x14ac:dyDescent="0.25">
      <c r="A443" s="52" t="s">
        <v>228</v>
      </c>
      <c r="B443" s="52" t="s">
        <v>28</v>
      </c>
      <c r="C443" s="52" t="s">
        <v>51</v>
      </c>
      <c r="D443" t="s">
        <v>299</v>
      </c>
    </row>
    <row r="444" spans="1:4" x14ac:dyDescent="0.25">
      <c r="A444" s="52" t="s">
        <v>228</v>
      </c>
      <c r="B444" s="52" t="s">
        <v>29</v>
      </c>
      <c r="C444" s="52" t="s">
        <v>50</v>
      </c>
      <c r="D444" t="s">
        <v>299</v>
      </c>
    </row>
    <row r="445" spans="1:4" x14ac:dyDescent="0.25">
      <c r="A445" s="52" t="s">
        <v>228</v>
      </c>
      <c r="B445" s="52" t="s">
        <v>30</v>
      </c>
      <c r="C445" s="52" t="s">
        <v>71</v>
      </c>
      <c r="D445" t="s">
        <v>299</v>
      </c>
    </row>
    <row r="446" spans="1:4" x14ac:dyDescent="0.25">
      <c r="A446" s="52" t="s">
        <v>228</v>
      </c>
      <c r="B446" s="52" t="s">
        <v>36</v>
      </c>
      <c r="C446" s="52" t="s">
        <v>39</v>
      </c>
      <c r="D446" t="s">
        <v>300</v>
      </c>
    </row>
    <row r="447" spans="1:4" x14ac:dyDescent="0.25">
      <c r="A447" s="52" t="s">
        <v>230</v>
      </c>
      <c r="B447" s="52" t="s">
        <v>27</v>
      </c>
      <c r="C447" s="52" t="s">
        <v>61</v>
      </c>
      <c r="D447" t="s">
        <v>299</v>
      </c>
    </row>
    <row r="448" spans="1:4" x14ac:dyDescent="0.25">
      <c r="A448" s="52" t="s">
        <v>230</v>
      </c>
      <c r="B448" s="52" t="s">
        <v>28</v>
      </c>
      <c r="C448" s="52" t="s">
        <v>47</v>
      </c>
      <c r="D448" t="s">
        <v>299</v>
      </c>
    </row>
    <row r="449" spans="1:4" x14ac:dyDescent="0.25">
      <c r="A449" s="52" t="s">
        <v>230</v>
      </c>
      <c r="B449" s="52" t="s">
        <v>29</v>
      </c>
      <c r="C449" s="52" t="s">
        <v>60</v>
      </c>
      <c r="D449" t="s">
        <v>299</v>
      </c>
    </row>
    <row r="450" spans="1:4" x14ac:dyDescent="0.25">
      <c r="A450" s="52" t="s">
        <v>230</v>
      </c>
      <c r="B450" s="52" t="s">
        <v>30</v>
      </c>
      <c r="C450" s="52" t="s">
        <v>54</v>
      </c>
      <c r="D450" t="s">
        <v>299</v>
      </c>
    </row>
    <row r="451" spans="1:4" x14ac:dyDescent="0.25">
      <c r="A451" s="52" t="s">
        <v>230</v>
      </c>
      <c r="B451" s="52" t="s">
        <v>31</v>
      </c>
      <c r="C451" s="52" t="s">
        <v>49</v>
      </c>
      <c r="D451" t="s">
        <v>299</v>
      </c>
    </row>
    <row r="452" spans="1:4" x14ac:dyDescent="0.25">
      <c r="A452" s="52" t="s">
        <v>230</v>
      </c>
      <c r="B452" s="52" t="s">
        <v>32</v>
      </c>
      <c r="C452" s="52" t="s">
        <v>89</v>
      </c>
      <c r="D452" t="s">
        <v>299</v>
      </c>
    </row>
    <row r="453" spans="1:4" x14ac:dyDescent="0.25">
      <c r="A453" s="52" t="s">
        <v>230</v>
      </c>
      <c r="B453" s="52" t="s">
        <v>33</v>
      </c>
      <c r="C453" s="52" t="s">
        <v>71</v>
      </c>
      <c r="D453" t="s">
        <v>299</v>
      </c>
    </row>
    <row r="454" spans="1:4" x14ac:dyDescent="0.25">
      <c r="A454" s="52" t="s">
        <v>230</v>
      </c>
      <c r="B454" s="52" t="s">
        <v>36</v>
      </c>
      <c r="C454" s="52" t="s">
        <v>59</v>
      </c>
      <c r="D454" t="s">
        <v>300</v>
      </c>
    </row>
    <row r="455" spans="1:4" x14ac:dyDescent="0.25">
      <c r="A455" s="52" t="s">
        <v>231</v>
      </c>
      <c r="B455" s="52" t="s">
        <v>27</v>
      </c>
      <c r="C455" s="52" t="s">
        <v>61</v>
      </c>
      <c r="D455" t="s">
        <v>299</v>
      </c>
    </row>
    <row r="456" spans="1:4" x14ac:dyDescent="0.25">
      <c r="A456" s="52" t="s">
        <v>231</v>
      </c>
      <c r="B456" s="52" t="s">
        <v>28</v>
      </c>
      <c r="C456" s="52" t="s">
        <v>47</v>
      </c>
      <c r="D456" t="s">
        <v>299</v>
      </c>
    </row>
    <row r="457" spans="1:4" x14ac:dyDescent="0.25">
      <c r="A457" s="52" t="s">
        <v>231</v>
      </c>
      <c r="B457" s="52" t="s">
        <v>29</v>
      </c>
      <c r="C457" s="52" t="s">
        <v>40</v>
      </c>
      <c r="D457" t="s">
        <v>299</v>
      </c>
    </row>
    <row r="458" spans="1:4" x14ac:dyDescent="0.25">
      <c r="A458" s="52" t="s">
        <v>231</v>
      </c>
      <c r="B458" s="52" t="s">
        <v>30</v>
      </c>
      <c r="C458" s="52" t="s">
        <v>54</v>
      </c>
      <c r="D458" t="s">
        <v>299</v>
      </c>
    </row>
    <row r="459" spans="1:4" x14ac:dyDescent="0.25">
      <c r="A459" s="52" t="s">
        <v>231</v>
      </c>
      <c r="B459" s="52" t="s">
        <v>31</v>
      </c>
      <c r="C459" s="52" t="s">
        <v>49</v>
      </c>
      <c r="D459" t="s">
        <v>299</v>
      </c>
    </row>
    <row r="460" spans="1:4" x14ac:dyDescent="0.25">
      <c r="A460" s="52" t="s">
        <v>231</v>
      </c>
      <c r="B460" s="52" t="s">
        <v>32</v>
      </c>
      <c r="C460" s="52" t="s">
        <v>89</v>
      </c>
      <c r="D460" t="s">
        <v>299</v>
      </c>
    </row>
    <row r="461" spans="1:4" x14ac:dyDescent="0.25">
      <c r="A461" s="52" t="s">
        <v>231</v>
      </c>
      <c r="B461" s="52" t="s">
        <v>36</v>
      </c>
      <c r="C461" s="52" t="s">
        <v>59</v>
      </c>
      <c r="D461" t="s">
        <v>300</v>
      </c>
    </row>
    <row r="462" spans="1:4" x14ac:dyDescent="0.25">
      <c r="A462" s="52" t="s">
        <v>232</v>
      </c>
      <c r="B462" s="52" t="s">
        <v>27</v>
      </c>
      <c r="C462" s="52" t="s">
        <v>45</v>
      </c>
      <c r="D462" t="s">
        <v>299</v>
      </c>
    </row>
    <row r="463" spans="1:4" x14ac:dyDescent="0.25">
      <c r="A463" s="52" t="s">
        <v>232</v>
      </c>
      <c r="B463" s="52" t="s">
        <v>28</v>
      </c>
      <c r="C463" s="52" t="s">
        <v>61</v>
      </c>
      <c r="D463" t="s">
        <v>299</v>
      </c>
    </row>
    <row r="464" spans="1:4" x14ac:dyDescent="0.25">
      <c r="A464" s="52" t="s">
        <v>232</v>
      </c>
      <c r="B464" s="52" t="s">
        <v>29</v>
      </c>
      <c r="C464" s="52" t="s">
        <v>53</v>
      </c>
      <c r="D464" t="s">
        <v>299</v>
      </c>
    </row>
    <row r="465" spans="1:4" x14ac:dyDescent="0.25">
      <c r="A465" s="52" t="s">
        <v>232</v>
      </c>
      <c r="B465" s="52" t="s">
        <v>30</v>
      </c>
      <c r="C465" s="52" t="s">
        <v>54</v>
      </c>
      <c r="D465" t="s">
        <v>299</v>
      </c>
    </row>
    <row r="466" spans="1:4" x14ac:dyDescent="0.25">
      <c r="A466" s="52" t="s">
        <v>232</v>
      </c>
      <c r="B466" s="52" t="s">
        <v>31</v>
      </c>
      <c r="C466" s="52" t="s">
        <v>89</v>
      </c>
      <c r="D466" t="s">
        <v>299</v>
      </c>
    </row>
    <row r="467" spans="1:4" x14ac:dyDescent="0.25">
      <c r="A467" s="52" t="s">
        <v>232</v>
      </c>
      <c r="B467" s="52" t="s">
        <v>36</v>
      </c>
      <c r="C467" s="52" t="s">
        <v>59</v>
      </c>
      <c r="D467" t="s">
        <v>300</v>
      </c>
    </row>
    <row r="468" spans="1:4" x14ac:dyDescent="0.25">
      <c r="A468" s="52" t="s">
        <v>233</v>
      </c>
      <c r="B468" s="52" t="s">
        <v>27</v>
      </c>
      <c r="C468" s="52" t="s">
        <v>61</v>
      </c>
      <c r="D468" t="s">
        <v>299</v>
      </c>
    </row>
    <row r="469" spans="1:4" x14ac:dyDescent="0.25">
      <c r="A469" s="52" t="s">
        <v>233</v>
      </c>
      <c r="B469" s="52" t="s">
        <v>28</v>
      </c>
      <c r="C469" s="52" t="s">
        <v>89</v>
      </c>
      <c r="D469" t="s">
        <v>299</v>
      </c>
    </row>
    <row r="470" spans="1:4" x14ac:dyDescent="0.25">
      <c r="A470" s="52" t="s">
        <v>233</v>
      </c>
      <c r="B470" s="52" t="s">
        <v>29</v>
      </c>
      <c r="C470" s="52" t="s">
        <v>59</v>
      </c>
      <c r="D470" t="s">
        <v>299</v>
      </c>
    </row>
    <row r="471" spans="1:4" x14ac:dyDescent="0.25">
      <c r="A471" s="52" t="s">
        <v>233</v>
      </c>
      <c r="B471" s="52" t="s">
        <v>30</v>
      </c>
      <c r="C471" s="52" t="s">
        <v>49</v>
      </c>
      <c r="D471" t="s">
        <v>299</v>
      </c>
    </row>
    <row r="472" spans="1:4" x14ac:dyDescent="0.25">
      <c r="A472" s="52" t="s">
        <v>233</v>
      </c>
      <c r="B472" s="52" t="s">
        <v>31</v>
      </c>
      <c r="C472" s="52" t="s">
        <v>70</v>
      </c>
      <c r="D472" t="s">
        <v>299</v>
      </c>
    </row>
    <row r="473" spans="1:4" x14ac:dyDescent="0.25">
      <c r="A473" s="52" t="s">
        <v>233</v>
      </c>
      <c r="B473" s="52" t="s">
        <v>36</v>
      </c>
      <c r="C473" s="52" t="s">
        <v>51</v>
      </c>
      <c r="D473" t="s">
        <v>300</v>
      </c>
    </row>
    <row r="474" spans="1:4" x14ac:dyDescent="0.25">
      <c r="A474" s="52" t="s">
        <v>235</v>
      </c>
      <c r="B474" s="52" t="s">
        <v>27</v>
      </c>
      <c r="C474" s="52" t="s">
        <v>52</v>
      </c>
      <c r="D474" t="s">
        <v>299</v>
      </c>
    </row>
    <row r="475" spans="1:4" x14ac:dyDescent="0.25">
      <c r="A475" s="52" t="s">
        <v>235</v>
      </c>
      <c r="B475" s="52" t="s">
        <v>28</v>
      </c>
      <c r="C475" s="52" t="s">
        <v>50</v>
      </c>
      <c r="D475" t="s">
        <v>299</v>
      </c>
    </row>
    <row r="476" spans="1:4" x14ac:dyDescent="0.25">
      <c r="A476" s="52" t="s">
        <v>235</v>
      </c>
      <c r="B476" s="52" t="s">
        <v>29</v>
      </c>
      <c r="C476" s="52" t="s">
        <v>49</v>
      </c>
      <c r="D476" t="s">
        <v>299</v>
      </c>
    </row>
    <row r="477" spans="1:4" x14ac:dyDescent="0.25">
      <c r="A477" s="52" t="s">
        <v>235</v>
      </c>
      <c r="B477" s="52" t="s">
        <v>30</v>
      </c>
      <c r="C477" s="52" t="s">
        <v>73</v>
      </c>
      <c r="D477" t="s">
        <v>299</v>
      </c>
    </row>
    <row r="478" spans="1:4" x14ac:dyDescent="0.25">
      <c r="A478" s="52" t="s">
        <v>237</v>
      </c>
      <c r="B478" s="52" t="s">
        <v>27</v>
      </c>
      <c r="C478" s="52" t="s">
        <v>70</v>
      </c>
      <c r="D478" t="s">
        <v>299</v>
      </c>
    </row>
    <row r="479" spans="1:4" x14ac:dyDescent="0.25">
      <c r="A479" s="52" t="s">
        <v>237</v>
      </c>
      <c r="B479" s="52" t="s">
        <v>28</v>
      </c>
      <c r="C479" s="52" t="s">
        <v>71</v>
      </c>
      <c r="D479" t="s">
        <v>299</v>
      </c>
    </row>
    <row r="480" spans="1:4" x14ac:dyDescent="0.25">
      <c r="A480" s="52" t="s">
        <v>237</v>
      </c>
      <c r="B480" s="52" t="s">
        <v>29</v>
      </c>
      <c r="C480" s="52" t="s">
        <v>45</v>
      </c>
      <c r="D480" t="s">
        <v>299</v>
      </c>
    </row>
    <row r="481" spans="1:4" x14ac:dyDescent="0.25">
      <c r="A481" s="52" t="s">
        <v>237</v>
      </c>
      <c r="B481" s="52" t="s">
        <v>30</v>
      </c>
      <c r="C481" s="52" t="s">
        <v>52</v>
      </c>
      <c r="D481" t="s">
        <v>299</v>
      </c>
    </row>
    <row r="482" spans="1:4" x14ac:dyDescent="0.25">
      <c r="A482" s="52" t="s">
        <v>237</v>
      </c>
      <c r="B482" s="52" t="s">
        <v>31</v>
      </c>
      <c r="C482" s="52" t="s">
        <v>58</v>
      </c>
      <c r="D482" t="s">
        <v>299</v>
      </c>
    </row>
    <row r="483" spans="1:4" x14ac:dyDescent="0.25">
      <c r="A483" s="52" t="s">
        <v>237</v>
      </c>
      <c r="B483" s="52" t="s">
        <v>36</v>
      </c>
      <c r="C483" s="52" t="s">
        <v>38</v>
      </c>
      <c r="D483" t="s">
        <v>300</v>
      </c>
    </row>
    <row r="484" spans="1:4" x14ac:dyDescent="0.25">
      <c r="A484" s="52" t="s">
        <v>239</v>
      </c>
      <c r="B484" s="52" t="s">
        <v>27</v>
      </c>
      <c r="C484" s="52" t="s">
        <v>40</v>
      </c>
      <c r="D484" t="s">
        <v>299</v>
      </c>
    </row>
    <row r="485" spans="1:4" x14ac:dyDescent="0.25">
      <c r="A485" s="52" t="s">
        <v>239</v>
      </c>
      <c r="B485" s="52" t="s">
        <v>28</v>
      </c>
      <c r="C485" s="52" t="s">
        <v>47</v>
      </c>
      <c r="D485" t="s">
        <v>299</v>
      </c>
    </row>
    <row r="486" spans="1:4" x14ac:dyDescent="0.25">
      <c r="A486" s="52" t="s">
        <v>239</v>
      </c>
      <c r="B486" s="52" t="s">
        <v>29</v>
      </c>
      <c r="C486" s="52" t="s">
        <v>51</v>
      </c>
      <c r="D486" t="s">
        <v>299</v>
      </c>
    </row>
    <row r="487" spans="1:4" x14ac:dyDescent="0.25">
      <c r="A487" s="52" t="s">
        <v>239</v>
      </c>
      <c r="B487" s="52" t="s">
        <v>36</v>
      </c>
      <c r="C487" s="52" t="s">
        <v>72</v>
      </c>
      <c r="D487" t="s">
        <v>300</v>
      </c>
    </row>
    <row r="488" spans="1:4" x14ac:dyDescent="0.25">
      <c r="A488" s="52" t="s">
        <v>240</v>
      </c>
      <c r="B488" s="52" t="s">
        <v>27</v>
      </c>
      <c r="C488" s="52" t="s">
        <v>59</v>
      </c>
      <c r="D488" t="s">
        <v>299</v>
      </c>
    </row>
    <row r="489" spans="1:4" x14ac:dyDescent="0.25">
      <c r="A489" s="52" t="s">
        <v>240</v>
      </c>
      <c r="B489" s="52" t="s">
        <v>28</v>
      </c>
      <c r="C489" s="52" t="s">
        <v>49</v>
      </c>
      <c r="D489" t="s">
        <v>299</v>
      </c>
    </row>
    <row r="490" spans="1:4" x14ac:dyDescent="0.25">
      <c r="A490" s="52" t="s">
        <v>240</v>
      </c>
      <c r="B490" s="52" t="s">
        <v>29</v>
      </c>
      <c r="C490" s="52" t="s">
        <v>57</v>
      </c>
      <c r="D490" t="s">
        <v>299</v>
      </c>
    </row>
    <row r="491" spans="1:4" x14ac:dyDescent="0.25">
      <c r="A491" s="52" t="s">
        <v>240</v>
      </c>
      <c r="B491" s="52" t="s">
        <v>30</v>
      </c>
      <c r="C491" s="52" t="s">
        <v>62</v>
      </c>
      <c r="D491" t="s">
        <v>299</v>
      </c>
    </row>
    <row r="492" spans="1:4" x14ac:dyDescent="0.25">
      <c r="A492" s="52" t="s">
        <v>240</v>
      </c>
      <c r="B492" s="52" t="s">
        <v>31</v>
      </c>
      <c r="C492" s="52" t="s">
        <v>71</v>
      </c>
      <c r="D492" t="s">
        <v>299</v>
      </c>
    </row>
    <row r="493" spans="1:4" x14ac:dyDescent="0.25">
      <c r="A493" s="52" t="s">
        <v>240</v>
      </c>
      <c r="B493" s="52" t="s">
        <v>32</v>
      </c>
      <c r="C493" s="52" t="s">
        <v>48</v>
      </c>
      <c r="D493" t="s">
        <v>299</v>
      </c>
    </row>
    <row r="494" spans="1:4" x14ac:dyDescent="0.25">
      <c r="A494" s="52" t="s">
        <v>240</v>
      </c>
      <c r="B494" s="52" t="s">
        <v>33</v>
      </c>
      <c r="C494" s="52" t="s">
        <v>75</v>
      </c>
      <c r="D494" t="s">
        <v>299</v>
      </c>
    </row>
    <row r="495" spans="1:4" x14ac:dyDescent="0.25">
      <c r="A495" s="52" t="s">
        <v>240</v>
      </c>
      <c r="B495" s="52" t="s">
        <v>36</v>
      </c>
      <c r="C495" s="52" t="s">
        <v>61</v>
      </c>
      <c r="D495" t="s">
        <v>300</v>
      </c>
    </row>
    <row r="496" spans="1:4" x14ac:dyDescent="0.25">
      <c r="A496" s="52" t="s">
        <v>242</v>
      </c>
      <c r="B496" s="52" t="s">
        <v>27</v>
      </c>
      <c r="C496" s="52" t="s">
        <v>45</v>
      </c>
      <c r="D496" t="s">
        <v>299</v>
      </c>
    </row>
    <row r="497" spans="1:4" x14ac:dyDescent="0.25">
      <c r="A497" s="52" t="s">
        <v>242</v>
      </c>
      <c r="B497" s="52" t="s">
        <v>28</v>
      </c>
      <c r="C497" s="52" t="s">
        <v>41</v>
      </c>
      <c r="D497" t="s">
        <v>299</v>
      </c>
    </row>
    <row r="498" spans="1:4" x14ac:dyDescent="0.25">
      <c r="A498" s="52" t="s">
        <v>242</v>
      </c>
      <c r="B498" s="52" t="s">
        <v>29</v>
      </c>
      <c r="C498" s="52" t="s">
        <v>65</v>
      </c>
      <c r="D498" t="s">
        <v>299</v>
      </c>
    </row>
    <row r="499" spans="1:4" x14ac:dyDescent="0.25">
      <c r="A499" s="52" t="s">
        <v>242</v>
      </c>
      <c r="B499" s="52" t="s">
        <v>36</v>
      </c>
      <c r="C499" s="52" t="s">
        <v>56</v>
      </c>
      <c r="D499" t="s">
        <v>300</v>
      </c>
    </row>
    <row r="500" spans="1:4" x14ac:dyDescent="0.25">
      <c r="A500" s="52" t="s">
        <v>244</v>
      </c>
      <c r="B500" s="52" t="s">
        <v>27</v>
      </c>
      <c r="C500" s="52" t="s">
        <v>47</v>
      </c>
      <c r="D500" t="s">
        <v>299</v>
      </c>
    </row>
    <row r="501" spans="1:4" x14ac:dyDescent="0.25">
      <c r="A501" s="52" t="s">
        <v>244</v>
      </c>
      <c r="B501" s="52" t="s">
        <v>28</v>
      </c>
      <c r="C501" s="52" t="s">
        <v>39</v>
      </c>
      <c r="D501" t="s">
        <v>299</v>
      </c>
    </row>
    <row r="502" spans="1:4" x14ac:dyDescent="0.25">
      <c r="A502" s="52" t="s">
        <v>244</v>
      </c>
      <c r="B502" s="52" t="s">
        <v>29</v>
      </c>
      <c r="C502" s="52" t="s">
        <v>50</v>
      </c>
      <c r="D502" t="s">
        <v>299</v>
      </c>
    </row>
    <row r="503" spans="1:4" x14ac:dyDescent="0.25">
      <c r="A503" s="52" t="s">
        <v>244</v>
      </c>
      <c r="B503" s="52" t="s">
        <v>30</v>
      </c>
      <c r="C503" s="52" t="s">
        <v>75</v>
      </c>
      <c r="D503" t="s">
        <v>299</v>
      </c>
    </row>
    <row r="504" spans="1:4" x14ac:dyDescent="0.25">
      <c r="A504" s="52" t="s">
        <v>245</v>
      </c>
      <c r="B504" s="52" t="s">
        <v>27</v>
      </c>
      <c r="C504" s="52" t="s">
        <v>40</v>
      </c>
      <c r="D504" t="s">
        <v>299</v>
      </c>
    </row>
    <row r="505" spans="1:4" x14ac:dyDescent="0.25">
      <c r="A505" s="52" t="s">
        <v>245</v>
      </c>
      <c r="B505" s="52" t="s">
        <v>28</v>
      </c>
      <c r="C505" s="52" t="s">
        <v>72</v>
      </c>
      <c r="D505" t="s">
        <v>299</v>
      </c>
    </row>
    <row r="506" spans="1:4" x14ac:dyDescent="0.25">
      <c r="A506" s="52" t="s">
        <v>245</v>
      </c>
      <c r="B506" s="52" t="s">
        <v>29</v>
      </c>
      <c r="C506" s="52" t="s">
        <v>46</v>
      </c>
      <c r="D506" t="s">
        <v>299</v>
      </c>
    </row>
    <row r="507" spans="1:4" x14ac:dyDescent="0.25">
      <c r="A507" s="52" t="s">
        <v>245</v>
      </c>
      <c r="B507" s="52" t="s">
        <v>30</v>
      </c>
      <c r="C507" s="52" t="s">
        <v>38</v>
      </c>
      <c r="D507" t="s">
        <v>299</v>
      </c>
    </row>
    <row r="508" spans="1:4" x14ac:dyDescent="0.25">
      <c r="A508" s="52" t="s">
        <v>245</v>
      </c>
      <c r="B508" s="52" t="s">
        <v>36</v>
      </c>
      <c r="C508" s="52" t="s">
        <v>65</v>
      </c>
      <c r="D508" t="s">
        <v>300</v>
      </c>
    </row>
    <row r="509" spans="1:4" x14ac:dyDescent="0.25">
      <c r="A509" s="52" t="s">
        <v>247</v>
      </c>
      <c r="B509" s="52" t="s">
        <v>27</v>
      </c>
      <c r="C509" s="52" t="s">
        <v>41</v>
      </c>
      <c r="D509" t="s">
        <v>299</v>
      </c>
    </row>
    <row r="510" spans="1:4" x14ac:dyDescent="0.25">
      <c r="A510" s="52" t="s">
        <v>247</v>
      </c>
      <c r="B510" s="52" t="s">
        <v>28</v>
      </c>
      <c r="C510" s="52" t="s">
        <v>51</v>
      </c>
      <c r="D510" t="s">
        <v>299</v>
      </c>
    </row>
    <row r="511" spans="1:4" x14ac:dyDescent="0.25">
      <c r="A511" s="52" t="s">
        <v>247</v>
      </c>
      <c r="B511" s="52" t="s">
        <v>29</v>
      </c>
      <c r="C511" s="52" t="s">
        <v>39</v>
      </c>
      <c r="D511" t="s">
        <v>299</v>
      </c>
    </row>
    <row r="512" spans="1:4" x14ac:dyDescent="0.25">
      <c r="A512" s="52" t="s">
        <v>247</v>
      </c>
      <c r="B512" s="52" t="s">
        <v>30</v>
      </c>
      <c r="C512" s="52" t="s">
        <v>54</v>
      </c>
      <c r="D512" t="s">
        <v>299</v>
      </c>
    </row>
    <row r="513" spans="1:4" x14ac:dyDescent="0.25">
      <c r="A513" s="52" t="s">
        <v>247</v>
      </c>
      <c r="B513" s="52" t="s">
        <v>31</v>
      </c>
      <c r="C513" s="52" t="s">
        <v>77</v>
      </c>
      <c r="D513" t="s">
        <v>299</v>
      </c>
    </row>
    <row r="514" spans="1:4" x14ac:dyDescent="0.25">
      <c r="A514" s="52" t="s">
        <v>247</v>
      </c>
      <c r="B514" s="52" t="s">
        <v>32</v>
      </c>
      <c r="C514" s="52" t="s">
        <v>91</v>
      </c>
      <c r="D514" t="s">
        <v>299</v>
      </c>
    </row>
    <row r="515" spans="1:4" x14ac:dyDescent="0.25">
      <c r="A515" s="52" t="s">
        <v>247</v>
      </c>
      <c r="B515" s="52" t="s">
        <v>33</v>
      </c>
      <c r="C515" s="52" t="s">
        <v>68</v>
      </c>
      <c r="D515" t="s">
        <v>299</v>
      </c>
    </row>
    <row r="516" spans="1:4" x14ac:dyDescent="0.25">
      <c r="A516" s="52" t="s">
        <v>247</v>
      </c>
      <c r="B516" s="52" t="s">
        <v>34</v>
      </c>
      <c r="C516" s="52" t="s">
        <v>58</v>
      </c>
      <c r="D516" t="s">
        <v>299</v>
      </c>
    </row>
    <row r="517" spans="1:4" x14ac:dyDescent="0.25">
      <c r="A517" s="52" t="s">
        <v>247</v>
      </c>
      <c r="B517" s="52" t="s">
        <v>36</v>
      </c>
      <c r="C517" s="52" t="s">
        <v>44</v>
      </c>
      <c r="D517" t="s">
        <v>300</v>
      </c>
    </row>
    <row r="518" spans="1:4" x14ac:dyDescent="0.25">
      <c r="A518" s="52" t="s">
        <v>249</v>
      </c>
      <c r="B518" s="52" t="s">
        <v>27</v>
      </c>
      <c r="C518" s="52" t="s">
        <v>59</v>
      </c>
      <c r="D518" t="s">
        <v>299</v>
      </c>
    </row>
    <row r="519" spans="1:4" x14ac:dyDescent="0.25">
      <c r="A519" s="52" t="s">
        <v>249</v>
      </c>
      <c r="B519" s="52" t="s">
        <v>28</v>
      </c>
      <c r="C519" s="52" t="s">
        <v>50</v>
      </c>
      <c r="D519" t="s">
        <v>299</v>
      </c>
    </row>
    <row r="520" spans="1:4" x14ac:dyDescent="0.25">
      <c r="A520" s="52" t="s">
        <v>249</v>
      </c>
      <c r="B520" s="52" t="s">
        <v>29</v>
      </c>
      <c r="C520" s="52" t="s">
        <v>38</v>
      </c>
      <c r="D520" t="s">
        <v>299</v>
      </c>
    </row>
    <row r="521" spans="1:4" x14ac:dyDescent="0.25">
      <c r="A521" s="52" t="s">
        <v>249</v>
      </c>
      <c r="B521" s="52" t="s">
        <v>30</v>
      </c>
      <c r="C521" s="52" t="s">
        <v>49</v>
      </c>
      <c r="D521" t="s">
        <v>299</v>
      </c>
    </row>
    <row r="522" spans="1:4" x14ac:dyDescent="0.25">
      <c r="A522" s="52" t="s">
        <v>249</v>
      </c>
      <c r="B522" s="52" t="s">
        <v>31</v>
      </c>
      <c r="C522" s="52" t="s">
        <v>46</v>
      </c>
      <c r="D522" t="s">
        <v>299</v>
      </c>
    </row>
    <row r="523" spans="1:4" x14ac:dyDescent="0.25">
      <c r="A523" s="52" t="s">
        <v>249</v>
      </c>
      <c r="B523" s="52" t="s">
        <v>36</v>
      </c>
      <c r="C523" s="52" t="s">
        <v>44</v>
      </c>
      <c r="D523" t="s">
        <v>300</v>
      </c>
    </row>
    <row r="524" spans="1:4" x14ac:dyDescent="0.25">
      <c r="A524" s="52" t="s">
        <v>251</v>
      </c>
      <c r="B524" s="52" t="s">
        <v>27</v>
      </c>
      <c r="C524" s="52" t="s">
        <v>52</v>
      </c>
      <c r="D524" t="s">
        <v>299</v>
      </c>
    </row>
    <row r="525" spans="1:4" x14ac:dyDescent="0.25">
      <c r="A525" s="52" t="s">
        <v>251</v>
      </c>
      <c r="B525" s="52" t="s">
        <v>28</v>
      </c>
      <c r="C525" s="52" t="s">
        <v>40</v>
      </c>
      <c r="D525" t="s">
        <v>299</v>
      </c>
    </row>
    <row r="526" spans="1:4" x14ac:dyDescent="0.25">
      <c r="A526" s="52" t="s">
        <v>251</v>
      </c>
      <c r="B526" s="52" t="s">
        <v>29</v>
      </c>
      <c r="C526" s="52" t="s">
        <v>51</v>
      </c>
      <c r="D526" t="s">
        <v>299</v>
      </c>
    </row>
    <row r="527" spans="1:4" x14ac:dyDescent="0.25">
      <c r="A527" s="52" t="s">
        <v>251</v>
      </c>
      <c r="B527" s="52" t="s">
        <v>30</v>
      </c>
      <c r="C527" s="52" t="s">
        <v>62</v>
      </c>
      <c r="D527" t="s">
        <v>299</v>
      </c>
    </row>
    <row r="528" spans="1:4" x14ac:dyDescent="0.25">
      <c r="A528" s="52" t="s">
        <v>251</v>
      </c>
      <c r="B528" s="52" t="s">
        <v>31</v>
      </c>
      <c r="C528" s="52" t="s">
        <v>76</v>
      </c>
      <c r="D528" t="s">
        <v>299</v>
      </c>
    </row>
    <row r="529" spans="1:4" x14ac:dyDescent="0.25">
      <c r="A529" s="52" t="s">
        <v>251</v>
      </c>
      <c r="B529" s="52" t="s">
        <v>36</v>
      </c>
      <c r="C529" s="52" t="s">
        <v>45</v>
      </c>
      <c r="D529" t="s">
        <v>300</v>
      </c>
    </row>
    <row r="530" spans="1:4" x14ac:dyDescent="0.25">
      <c r="A530" s="52" t="s">
        <v>253</v>
      </c>
      <c r="B530" s="52" t="s">
        <v>27</v>
      </c>
      <c r="C530" s="52" t="s">
        <v>38</v>
      </c>
      <c r="D530" t="s">
        <v>299</v>
      </c>
    </row>
    <row r="531" spans="1:4" x14ac:dyDescent="0.25">
      <c r="A531" s="52" t="s">
        <v>253</v>
      </c>
      <c r="B531" s="52" t="s">
        <v>28</v>
      </c>
      <c r="C531" s="52" t="s">
        <v>62</v>
      </c>
      <c r="D531" t="s">
        <v>299</v>
      </c>
    </row>
    <row r="532" spans="1:4" x14ac:dyDescent="0.25">
      <c r="A532" s="52" t="s">
        <v>253</v>
      </c>
      <c r="B532" s="52" t="s">
        <v>29</v>
      </c>
      <c r="C532" s="52" t="s">
        <v>47</v>
      </c>
      <c r="D532" t="s">
        <v>299</v>
      </c>
    </row>
    <row r="533" spans="1:4" x14ac:dyDescent="0.25">
      <c r="A533" s="52" t="s">
        <v>253</v>
      </c>
      <c r="B533" s="52" t="s">
        <v>30</v>
      </c>
      <c r="C533" s="52" t="s">
        <v>42</v>
      </c>
      <c r="D533" t="s">
        <v>299</v>
      </c>
    </row>
    <row r="534" spans="1:4" x14ac:dyDescent="0.25">
      <c r="A534" s="52" t="s">
        <v>253</v>
      </c>
      <c r="B534" s="52" t="s">
        <v>31</v>
      </c>
      <c r="C534" s="52" t="s">
        <v>72</v>
      </c>
      <c r="D534" t="s">
        <v>299</v>
      </c>
    </row>
    <row r="535" spans="1:4" x14ac:dyDescent="0.25">
      <c r="A535" s="52" t="s">
        <v>253</v>
      </c>
      <c r="B535" s="52" t="s">
        <v>32</v>
      </c>
      <c r="C535" s="52" t="s">
        <v>48</v>
      </c>
      <c r="D535" t="s">
        <v>299</v>
      </c>
    </row>
    <row r="536" spans="1:4" x14ac:dyDescent="0.25">
      <c r="A536" s="52" t="s">
        <v>253</v>
      </c>
      <c r="B536" s="52" t="s">
        <v>36</v>
      </c>
      <c r="C536" s="52" t="s">
        <v>59</v>
      </c>
      <c r="D536" t="s">
        <v>300</v>
      </c>
    </row>
    <row r="537" spans="1:4" x14ac:dyDescent="0.25">
      <c r="A537" s="52" t="s">
        <v>255</v>
      </c>
      <c r="B537" s="52" t="s">
        <v>27</v>
      </c>
      <c r="C537" s="52" t="s">
        <v>39</v>
      </c>
      <c r="D537" t="s">
        <v>299</v>
      </c>
    </row>
    <row r="538" spans="1:4" x14ac:dyDescent="0.25">
      <c r="A538" s="52" t="s">
        <v>255</v>
      </c>
      <c r="B538" s="52" t="s">
        <v>28</v>
      </c>
      <c r="C538" s="52" t="s">
        <v>72</v>
      </c>
      <c r="D538" t="s">
        <v>299</v>
      </c>
    </row>
    <row r="539" spans="1:4" x14ac:dyDescent="0.25">
      <c r="A539" s="52" t="s">
        <v>255</v>
      </c>
      <c r="B539" s="52" t="s">
        <v>29</v>
      </c>
      <c r="C539" s="52" t="s">
        <v>41</v>
      </c>
      <c r="D539" t="s">
        <v>299</v>
      </c>
    </row>
    <row r="540" spans="1:4" x14ac:dyDescent="0.25">
      <c r="A540" s="52" t="s">
        <v>255</v>
      </c>
      <c r="B540" s="52" t="s">
        <v>30</v>
      </c>
      <c r="C540" s="52" t="s">
        <v>54</v>
      </c>
      <c r="D540" t="s">
        <v>299</v>
      </c>
    </row>
    <row r="541" spans="1:4" x14ac:dyDescent="0.25">
      <c r="A541" s="52" t="s">
        <v>255</v>
      </c>
      <c r="B541" s="52" t="s">
        <v>31</v>
      </c>
      <c r="C541" s="52" t="s">
        <v>47</v>
      </c>
      <c r="D541" t="s">
        <v>299</v>
      </c>
    </row>
    <row r="542" spans="1:4" x14ac:dyDescent="0.25">
      <c r="A542" s="52" t="s">
        <v>255</v>
      </c>
      <c r="B542" s="52" t="s">
        <v>32</v>
      </c>
      <c r="C542" s="52" t="s">
        <v>68</v>
      </c>
      <c r="D542" t="s">
        <v>299</v>
      </c>
    </row>
    <row r="543" spans="1:4" x14ac:dyDescent="0.25">
      <c r="A543" s="52" t="s">
        <v>255</v>
      </c>
      <c r="B543" s="52" t="s">
        <v>33</v>
      </c>
      <c r="C543" s="52" t="s">
        <v>48</v>
      </c>
      <c r="D543" t="s">
        <v>299</v>
      </c>
    </row>
    <row r="544" spans="1:4" x14ac:dyDescent="0.25">
      <c r="A544" s="52" t="s">
        <v>255</v>
      </c>
      <c r="B544" s="52" t="s">
        <v>34</v>
      </c>
      <c r="C544" s="52" t="s">
        <v>69</v>
      </c>
      <c r="D544" t="s">
        <v>299</v>
      </c>
    </row>
    <row r="545" spans="1:4" x14ac:dyDescent="0.25">
      <c r="A545" s="52" t="s">
        <v>255</v>
      </c>
      <c r="B545" s="52" t="s">
        <v>36</v>
      </c>
      <c r="C545" s="52" t="s">
        <v>45</v>
      </c>
      <c r="D545" t="s">
        <v>300</v>
      </c>
    </row>
    <row r="546" spans="1:4" x14ac:dyDescent="0.25">
      <c r="A546" s="52" t="s">
        <v>257</v>
      </c>
      <c r="B546" s="52" t="s">
        <v>27</v>
      </c>
      <c r="C546" s="52" t="s">
        <v>61</v>
      </c>
      <c r="D546" t="s">
        <v>299</v>
      </c>
    </row>
    <row r="547" spans="1:4" x14ac:dyDescent="0.25">
      <c r="A547" s="52" t="s">
        <v>257</v>
      </c>
      <c r="B547" s="52" t="s">
        <v>28</v>
      </c>
      <c r="C547" s="52" t="s">
        <v>40</v>
      </c>
      <c r="D547" t="s">
        <v>299</v>
      </c>
    </row>
    <row r="548" spans="1:4" x14ac:dyDescent="0.25">
      <c r="A548" s="52" t="s">
        <v>257</v>
      </c>
      <c r="B548" s="52" t="s">
        <v>29</v>
      </c>
      <c r="C548" s="52" t="s">
        <v>62</v>
      </c>
      <c r="D548" t="s">
        <v>299</v>
      </c>
    </row>
    <row r="549" spans="1:4" x14ac:dyDescent="0.25">
      <c r="A549" s="52" t="s">
        <v>257</v>
      </c>
      <c r="B549" s="52" t="s">
        <v>30</v>
      </c>
      <c r="C549" s="52" t="s">
        <v>65</v>
      </c>
      <c r="D549" t="s">
        <v>299</v>
      </c>
    </row>
    <row r="550" spans="1:4" x14ac:dyDescent="0.25">
      <c r="A550" s="52" t="s">
        <v>257</v>
      </c>
      <c r="B550" s="52" t="s">
        <v>31</v>
      </c>
      <c r="C550" s="52" t="s">
        <v>89</v>
      </c>
      <c r="D550" t="s">
        <v>299</v>
      </c>
    </row>
    <row r="551" spans="1:4" x14ac:dyDescent="0.25">
      <c r="A551" s="52" t="s">
        <v>257</v>
      </c>
      <c r="B551" s="52" t="s">
        <v>36</v>
      </c>
      <c r="C551" s="52" t="s">
        <v>39</v>
      </c>
      <c r="D551" t="s">
        <v>300</v>
      </c>
    </row>
    <row r="552" spans="1:4" x14ac:dyDescent="0.25">
      <c r="A552" s="52" t="s">
        <v>259</v>
      </c>
      <c r="B552" s="52" t="s">
        <v>27</v>
      </c>
      <c r="C552" s="52" t="s">
        <v>51</v>
      </c>
      <c r="D552" t="s">
        <v>299</v>
      </c>
    </row>
    <row r="553" spans="1:4" x14ac:dyDescent="0.25">
      <c r="A553" s="52" t="s">
        <v>259</v>
      </c>
      <c r="B553" s="52" t="s">
        <v>28</v>
      </c>
      <c r="C553" s="52" t="s">
        <v>61</v>
      </c>
      <c r="D553" t="s">
        <v>299</v>
      </c>
    </row>
    <row r="554" spans="1:4" x14ac:dyDescent="0.25">
      <c r="A554" s="52" t="s">
        <v>259</v>
      </c>
      <c r="B554" s="52" t="s">
        <v>29</v>
      </c>
      <c r="C554" s="52" t="s">
        <v>53</v>
      </c>
      <c r="D554" t="s">
        <v>299</v>
      </c>
    </row>
    <row r="555" spans="1:4" x14ac:dyDescent="0.25">
      <c r="A555" s="52" t="s">
        <v>259</v>
      </c>
      <c r="B555" s="52" t="s">
        <v>30</v>
      </c>
      <c r="C555" s="52" t="s">
        <v>65</v>
      </c>
      <c r="D555" t="s">
        <v>299</v>
      </c>
    </row>
    <row r="556" spans="1:4" x14ac:dyDescent="0.25">
      <c r="A556" s="52" t="s">
        <v>259</v>
      </c>
      <c r="B556" s="52" t="s">
        <v>36</v>
      </c>
      <c r="C556" s="52" t="s">
        <v>40</v>
      </c>
      <c r="D556" t="s">
        <v>300</v>
      </c>
    </row>
    <row r="557" spans="1:4" x14ac:dyDescent="0.25">
      <c r="A557" s="52" t="s">
        <v>260</v>
      </c>
      <c r="B557" s="52" t="s">
        <v>27</v>
      </c>
      <c r="C557" s="52" t="s">
        <v>45</v>
      </c>
      <c r="D557" t="s">
        <v>299</v>
      </c>
    </row>
    <row r="558" spans="1:4" x14ac:dyDescent="0.25">
      <c r="A558" s="52" t="s">
        <v>260</v>
      </c>
      <c r="B558" s="52" t="s">
        <v>28</v>
      </c>
      <c r="C558" s="52" t="s">
        <v>59</v>
      </c>
      <c r="D558" t="s">
        <v>299</v>
      </c>
    </row>
    <row r="559" spans="1:4" x14ac:dyDescent="0.25">
      <c r="A559" s="52" t="s">
        <v>260</v>
      </c>
      <c r="B559" s="52" t="s">
        <v>29</v>
      </c>
      <c r="C559" s="52" t="s">
        <v>49</v>
      </c>
      <c r="D559" t="s">
        <v>299</v>
      </c>
    </row>
    <row r="560" spans="1:4" x14ac:dyDescent="0.25">
      <c r="A560" s="52" t="s">
        <v>260</v>
      </c>
      <c r="B560" s="52" t="s">
        <v>36</v>
      </c>
      <c r="C560" s="52" t="s">
        <v>52</v>
      </c>
      <c r="D560" t="s">
        <v>300</v>
      </c>
    </row>
    <row r="561" spans="1:4" x14ac:dyDescent="0.25">
      <c r="A561" s="52" t="s">
        <v>261</v>
      </c>
      <c r="B561" s="52" t="s">
        <v>27</v>
      </c>
      <c r="C561" s="52" t="s">
        <v>67</v>
      </c>
      <c r="D561" t="s">
        <v>299</v>
      </c>
    </row>
    <row r="562" spans="1:4" x14ac:dyDescent="0.25">
      <c r="A562" s="52" t="s">
        <v>261</v>
      </c>
      <c r="B562" s="52" t="s">
        <v>28</v>
      </c>
      <c r="C562" s="52" t="s">
        <v>50</v>
      </c>
      <c r="D562" t="s">
        <v>299</v>
      </c>
    </row>
    <row r="563" spans="1:4" x14ac:dyDescent="0.25">
      <c r="A563" s="52" t="s">
        <v>261</v>
      </c>
      <c r="B563" s="52" t="s">
        <v>29</v>
      </c>
      <c r="C563" s="52" t="s">
        <v>58</v>
      </c>
      <c r="D563" t="s">
        <v>299</v>
      </c>
    </row>
    <row r="564" spans="1:4" x14ac:dyDescent="0.25">
      <c r="A564" s="52" t="s">
        <v>261</v>
      </c>
      <c r="B564" s="52" t="s">
        <v>30</v>
      </c>
      <c r="C564" s="52" t="s">
        <v>44</v>
      </c>
      <c r="D564" t="s">
        <v>299</v>
      </c>
    </row>
    <row r="565" spans="1:4" x14ac:dyDescent="0.25">
      <c r="A565" s="52" t="s">
        <v>261</v>
      </c>
      <c r="B565" s="52" t="s">
        <v>36</v>
      </c>
      <c r="C565" s="52" t="s">
        <v>88</v>
      </c>
      <c r="D565" t="s">
        <v>300</v>
      </c>
    </row>
    <row r="566" spans="1:4" x14ac:dyDescent="0.25">
      <c r="A566" s="52" t="s">
        <v>263</v>
      </c>
      <c r="B566" s="52" t="s">
        <v>27</v>
      </c>
      <c r="C566" s="52" t="s">
        <v>61</v>
      </c>
      <c r="D566" t="s">
        <v>299</v>
      </c>
    </row>
    <row r="567" spans="1:4" x14ac:dyDescent="0.25">
      <c r="A567" s="52" t="s">
        <v>263</v>
      </c>
      <c r="B567" s="52" t="s">
        <v>28</v>
      </c>
      <c r="C567" s="52" t="s">
        <v>72</v>
      </c>
      <c r="D567" t="s">
        <v>299</v>
      </c>
    </row>
    <row r="568" spans="1:4" x14ac:dyDescent="0.25">
      <c r="A568" s="52" t="s">
        <v>263</v>
      </c>
      <c r="B568" s="52" t="s">
        <v>29</v>
      </c>
      <c r="C568" s="52" t="s">
        <v>54</v>
      </c>
      <c r="D568" t="s">
        <v>299</v>
      </c>
    </row>
    <row r="569" spans="1:4" x14ac:dyDescent="0.25">
      <c r="A569" s="52" t="s">
        <v>263</v>
      </c>
      <c r="B569" s="52" t="s">
        <v>30</v>
      </c>
      <c r="C569" s="52" t="s">
        <v>41</v>
      </c>
      <c r="D569" t="s">
        <v>299</v>
      </c>
    </row>
    <row r="570" spans="1:4" x14ac:dyDescent="0.25">
      <c r="A570" s="52" t="s">
        <v>263</v>
      </c>
      <c r="B570" s="52" t="s">
        <v>31</v>
      </c>
      <c r="C570" s="52" t="s">
        <v>60</v>
      </c>
      <c r="D570" t="s">
        <v>299</v>
      </c>
    </row>
    <row r="571" spans="1:4" x14ac:dyDescent="0.25">
      <c r="A571" s="52" t="s">
        <v>263</v>
      </c>
      <c r="B571" s="52" t="s">
        <v>36</v>
      </c>
      <c r="C571" s="52" t="s">
        <v>47</v>
      </c>
      <c r="D571" t="s">
        <v>300</v>
      </c>
    </row>
    <row r="572" spans="1:4" x14ac:dyDescent="0.25">
      <c r="A572" s="52" t="s">
        <v>265</v>
      </c>
      <c r="B572" s="52" t="s">
        <v>27</v>
      </c>
      <c r="C572" s="52" t="s">
        <v>61</v>
      </c>
      <c r="D572" t="s">
        <v>299</v>
      </c>
    </row>
    <row r="573" spans="1:4" x14ac:dyDescent="0.25">
      <c r="A573" s="52" t="s">
        <v>265</v>
      </c>
      <c r="B573" s="52" t="s">
        <v>28</v>
      </c>
      <c r="C573" s="52" t="s">
        <v>52</v>
      </c>
      <c r="D573" t="s">
        <v>299</v>
      </c>
    </row>
    <row r="574" spans="1:4" x14ac:dyDescent="0.25">
      <c r="A574" s="52" t="s">
        <v>265</v>
      </c>
      <c r="B574" s="52" t="s">
        <v>29</v>
      </c>
      <c r="C574" s="52" t="s">
        <v>60</v>
      </c>
      <c r="D574" t="s">
        <v>299</v>
      </c>
    </row>
    <row r="575" spans="1:4" x14ac:dyDescent="0.25">
      <c r="A575" s="52" t="s">
        <v>265</v>
      </c>
      <c r="B575" s="52" t="s">
        <v>36</v>
      </c>
      <c r="C575" s="52" t="s">
        <v>39</v>
      </c>
      <c r="D575" t="s">
        <v>300</v>
      </c>
    </row>
    <row r="576" spans="1:4" x14ac:dyDescent="0.25">
      <c r="A576" s="52" t="s">
        <v>267</v>
      </c>
      <c r="B576" s="52" t="s">
        <v>27</v>
      </c>
      <c r="C576" s="52" t="s">
        <v>67</v>
      </c>
      <c r="D576" t="s">
        <v>299</v>
      </c>
    </row>
    <row r="577" spans="1:4" x14ac:dyDescent="0.25">
      <c r="A577" s="52" t="s">
        <v>267</v>
      </c>
      <c r="B577" s="52" t="s">
        <v>28</v>
      </c>
      <c r="C577" s="52" t="s">
        <v>60</v>
      </c>
      <c r="D577" t="s">
        <v>299</v>
      </c>
    </row>
    <row r="578" spans="1:4" x14ac:dyDescent="0.25">
      <c r="A578" s="52" t="s">
        <v>267</v>
      </c>
      <c r="B578" s="52" t="s">
        <v>29</v>
      </c>
      <c r="C578" s="52" t="s">
        <v>90</v>
      </c>
      <c r="D578" t="s">
        <v>299</v>
      </c>
    </row>
    <row r="579" spans="1:4" x14ac:dyDescent="0.25">
      <c r="A579" s="52" t="s">
        <v>267</v>
      </c>
      <c r="B579" s="52" t="s">
        <v>30</v>
      </c>
      <c r="C579" s="52" t="s">
        <v>43</v>
      </c>
      <c r="D579" t="s">
        <v>299</v>
      </c>
    </row>
    <row r="580" spans="1:4" x14ac:dyDescent="0.25">
      <c r="A580" s="52" t="s">
        <v>267</v>
      </c>
      <c r="B580" s="52" t="s">
        <v>31</v>
      </c>
      <c r="C580" s="52" t="s">
        <v>42</v>
      </c>
      <c r="D580" t="s">
        <v>299</v>
      </c>
    </row>
    <row r="581" spans="1:4" x14ac:dyDescent="0.25">
      <c r="A581" s="52" t="s">
        <v>267</v>
      </c>
      <c r="B581" s="52" t="s">
        <v>32</v>
      </c>
      <c r="C581" s="52" t="s">
        <v>88</v>
      </c>
      <c r="D581" t="s">
        <v>299</v>
      </c>
    </row>
    <row r="582" spans="1:4" x14ac:dyDescent="0.25">
      <c r="A582" s="52" t="s">
        <v>267</v>
      </c>
      <c r="B582" s="52" t="s">
        <v>33</v>
      </c>
      <c r="C582" s="52" t="s">
        <v>89</v>
      </c>
      <c r="D582" t="s">
        <v>299</v>
      </c>
    </row>
    <row r="583" spans="1:4" x14ac:dyDescent="0.25">
      <c r="A583" s="52" t="s">
        <v>267</v>
      </c>
      <c r="B583" s="52" t="s">
        <v>34</v>
      </c>
      <c r="C583" s="52" t="s">
        <v>55</v>
      </c>
      <c r="D583" t="s">
        <v>299</v>
      </c>
    </row>
    <row r="584" spans="1:4" x14ac:dyDescent="0.25">
      <c r="A584" s="52" t="s">
        <v>267</v>
      </c>
      <c r="B584" s="52" t="s">
        <v>35</v>
      </c>
      <c r="C584" s="52" t="s">
        <v>52</v>
      </c>
      <c r="D584" t="s">
        <v>299</v>
      </c>
    </row>
    <row r="585" spans="1:4" x14ac:dyDescent="0.25">
      <c r="A585" s="52" t="s">
        <v>267</v>
      </c>
      <c r="B585" s="52" t="s">
        <v>36</v>
      </c>
      <c r="C585" s="52" t="s">
        <v>59</v>
      </c>
      <c r="D585" t="s">
        <v>300</v>
      </c>
    </row>
    <row r="586" spans="1:4" x14ac:dyDescent="0.25">
      <c r="A586" s="52" t="s">
        <v>269</v>
      </c>
      <c r="B586" s="52" t="s">
        <v>27</v>
      </c>
      <c r="C586" s="52" t="s">
        <v>60</v>
      </c>
      <c r="D586" t="s">
        <v>299</v>
      </c>
    </row>
    <row r="587" spans="1:4" x14ac:dyDescent="0.25">
      <c r="A587" s="52" t="s">
        <v>269</v>
      </c>
      <c r="B587" s="52" t="s">
        <v>28</v>
      </c>
      <c r="C587" s="52" t="s">
        <v>41</v>
      </c>
      <c r="D587" t="s">
        <v>299</v>
      </c>
    </row>
    <row r="588" spans="1:4" x14ac:dyDescent="0.25">
      <c r="A588" s="52" t="s">
        <v>269</v>
      </c>
      <c r="B588" s="52" t="s">
        <v>29</v>
      </c>
      <c r="C588" s="52" t="s">
        <v>72</v>
      </c>
      <c r="D588" t="s">
        <v>299</v>
      </c>
    </row>
    <row r="589" spans="1:4" x14ac:dyDescent="0.25">
      <c r="A589" s="52" t="s">
        <v>269</v>
      </c>
      <c r="B589" s="52" t="s">
        <v>30</v>
      </c>
      <c r="C589" s="52" t="s">
        <v>62</v>
      </c>
      <c r="D589" t="s">
        <v>299</v>
      </c>
    </row>
    <row r="590" spans="1:4" x14ac:dyDescent="0.25">
      <c r="A590" s="52" t="s">
        <v>269</v>
      </c>
      <c r="B590" s="52" t="s">
        <v>31</v>
      </c>
      <c r="C590" s="52" t="s">
        <v>53</v>
      </c>
      <c r="D590" t="s">
        <v>299</v>
      </c>
    </row>
    <row r="591" spans="1:4" x14ac:dyDescent="0.25">
      <c r="A591" s="52" t="s">
        <v>269</v>
      </c>
      <c r="B591" s="52" t="s">
        <v>36</v>
      </c>
      <c r="C591" s="52" t="s">
        <v>65</v>
      </c>
      <c r="D591" t="s">
        <v>300</v>
      </c>
    </row>
    <row r="592" spans="1:4" x14ac:dyDescent="0.25">
      <c r="A592" s="52" t="s">
        <v>271</v>
      </c>
      <c r="B592" s="52" t="s">
        <v>27</v>
      </c>
      <c r="C592" s="52" t="s">
        <v>44</v>
      </c>
      <c r="D592" t="s">
        <v>299</v>
      </c>
    </row>
    <row r="593" spans="1:4" x14ac:dyDescent="0.25">
      <c r="A593" s="52" t="s">
        <v>271</v>
      </c>
      <c r="B593" s="52" t="s">
        <v>28</v>
      </c>
      <c r="C593" s="52" t="s">
        <v>50</v>
      </c>
      <c r="D593" t="s">
        <v>299</v>
      </c>
    </row>
    <row r="594" spans="1:4" x14ac:dyDescent="0.25">
      <c r="A594" s="52" t="s">
        <v>271</v>
      </c>
      <c r="B594" s="52" t="s">
        <v>29</v>
      </c>
      <c r="C594" s="52" t="s">
        <v>68</v>
      </c>
      <c r="D594" t="s">
        <v>299</v>
      </c>
    </row>
    <row r="595" spans="1:4" x14ac:dyDescent="0.25">
      <c r="A595" s="52" t="s">
        <v>271</v>
      </c>
      <c r="B595" s="52" t="s">
        <v>30</v>
      </c>
      <c r="C595" s="52" t="s">
        <v>39</v>
      </c>
      <c r="D595" t="s">
        <v>299</v>
      </c>
    </row>
    <row r="596" spans="1:4" x14ac:dyDescent="0.25">
      <c r="A596" s="52" t="s">
        <v>271</v>
      </c>
      <c r="B596" s="52" t="s">
        <v>31</v>
      </c>
      <c r="C596" s="52" t="s">
        <v>57</v>
      </c>
      <c r="D596" t="s">
        <v>299</v>
      </c>
    </row>
    <row r="597" spans="1:4" x14ac:dyDescent="0.25">
      <c r="A597" s="52" t="s">
        <v>271</v>
      </c>
      <c r="B597" s="52" t="s">
        <v>36</v>
      </c>
      <c r="C597" s="52" t="s">
        <v>38</v>
      </c>
      <c r="D597" t="s">
        <v>300</v>
      </c>
    </row>
    <row r="598" spans="1:4" x14ac:dyDescent="0.25">
      <c r="A598" s="52" t="s">
        <v>272</v>
      </c>
      <c r="B598" s="52" t="s">
        <v>27</v>
      </c>
      <c r="C598" s="52" t="s">
        <v>47</v>
      </c>
      <c r="D598" t="s">
        <v>299</v>
      </c>
    </row>
    <row r="599" spans="1:4" x14ac:dyDescent="0.25">
      <c r="A599" s="52" t="s">
        <v>272</v>
      </c>
      <c r="B599" s="52" t="s">
        <v>28</v>
      </c>
      <c r="C599" s="52" t="s">
        <v>42</v>
      </c>
      <c r="D599" t="s">
        <v>299</v>
      </c>
    </row>
    <row r="600" spans="1:4" x14ac:dyDescent="0.25">
      <c r="A600" s="52" t="s">
        <v>272</v>
      </c>
      <c r="B600" s="52" t="s">
        <v>29</v>
      </c>
      <c r="C600" s="52" t="s">
        <v>41</v>
      </c>
      <c r="D600" t="s">
        <v>299</v>
      </c>
    </row>
    <row r="601" spans="1:4" x14ac:dyDescent="0.25">
      <c r="A601" s="52" t="s">
        <v>272</v>
      </c>
      <c r="B601" s="52" t="s">
        <v>30</v>
      </c>
      <c r="C601" s="52" t="s">
        <v>50</v>
      </c>
      <c r="D601" t="s">
        <v>299</v>
      </c>
    </row>
    <row r="602" spans="1:4" x14ac:dyDescent="0.25">
      <c r="A602" s="52" t="s">
        <v>272</v>
      </c>
      <c r="B602" s="52" t="s">
        <v>36</v>
      </c>
      <c r="C602" s="52" t="s">
        <v>76</v>
      </c>
      <c r="D602" t="s">
        <v>300</v>
      </c>
    </row>
    <row r="603" spans="1:4" x14ac:dyDescent="0.25">
      <c r="A603" s="52" t="s">
        <v>274</v>
      </c>
      <c r="B603" s="52" t="s">
        <v>27</v>
      </c>
      <c r="C603" s="52" t="s">
        <v>61</v>
      </c>
      <c r="D603" t="s">
        <v>299</v>
      </c>
    </row>
    <row r="604" spans="1:4" x14ac:dyDescent="0.25">
      <c r="A604" s="52" t="s">
        <v>274</v>
      </c>
      <c r="B604" s="52" t="s">
        <v>28</v>
      </c>
      <c r="C604" s="52" t="s">
        <v>60</v>
      </c>
      <c r="D604" t="s">
        <v>299</v>
      </c>
    </row>
    <row r="605" spans="1:4" x14ac:dyDescent="0.25">
      <c r="A605" s="52" t="s">
        <v>274</v>
      </c>
      <c r="B605" s="52" t="s">
        <v>29</v>
      </c>
      <c r="C605" s="52" t="s">
        <v>72</v>
      </c>
      <c r="D605" t="s">
        <v>299</v>
      </c>
    </row>
    <row r="606" spans="1:4" x14ac:dyDescent="0.25">
      <c r="A606" s="52" t="s">
        <v>274</v>
      </c>
      <c r="B606" s="52" t="s">
        <v>30</v>
      </c>
      <c r="C606" s="52" t="s">
        <v>62</v>
      </c>
      <c r="D606" t="s">
        <v>299</v>
      </c>
    </row>
    <row r="607" spans="1:4" x14ac:dyDescent="0.25">
      <c r="A607" s="52" t="s">
        <v>274</v>
      </c>
      <c r="B607" s="52" t="s">
        <v>31</v>
      </c>
      <c r="C607" s="52" t="s">
        <v>41</v>
      </c>
      <c r="D607" t="s">
        <v>299</v>
      </c>
    </row>
    <row r="608" spans="1:4" x14ac:dyDescent="0.25">
      <c r="A608" s="52" t="s">
        <v>274</v>
      </c>
      <c r="B608" s="52" t="s">
        <v>32</v>
      </c>
      <c r="C608" s="52" t="s">
        <v>54</v>
      </c>
      <c r="D608" t="s">
        <v>299</v>
      </c>
    </row>
    <row r="609" spans="1:4" x14ac:dyDescent="0.25">
      <c r="A609" s="52" t="s">
        <v>274</v>
      </c>
      <c r="B609" s="52" t="s">
        <v>36</v>
      </c>
      <c r="C609" s="52" t="s">
        <v>44</v>
      </c>
      <c r="D609" t="s">
        <v>300</v>
      </c>
    </row>
    <row r="610" spans="1:4" x14ac:dyDescent="0.25">
      <c r="A610" s="52" t="s">
        <v>277</v>
      </c>
      <c r="B610" s="52" t="s">
        <v>27</v>
      </c>
      <c r="C610" s="52" t="s">
        <v>42</v>
      </c>
      <c r="D610" t="s">
        <v>299</v>
      </c>
    </row>
    <row r="611" spans="1:4" x14ac:dyDescent="0.25">
      <c r="A611" s="52" t="s">
        <v>277</v>
      </c>
      <c r="B611" s="52" t="s">
        <v>28</v>
      </c>
      <c r="C611" s="52" t="s">
        <v>60</v>
      </c>
      <c r="D611" t="s">
        <v>299</v>
      </c>
    </row>
    <row r="612" spans="1:4" x14ac:dyDescent="0.25">
      <c r="A612" s="52" t="s">
        <v>277</v>
      </c>
      <c r="B612" s="52" t="s">
        <v>29</v>
      </c>
      <c r="C612" s="52" t="s">
        <v>41</v>
      </c>
      <c r="D612" t="s">
        <v>299</v>
      </c>
    </row>
    <row r="613" spans="1:4" x14ac:dyDescent="0.25">
      <c r="A613" s="52" t="s">
        <v>277</v>
      </c>
      <c r="B613" s="52" t="s">
        <v>30</v>
      </c>
      <c r="C613" s="52" t="s">
        <v>67</v>
      </c>
      <c r="D613" t="s">
        <v>299</v>
      </c>
    </row>
    <row r="614" spans="1:4" x14ac:dyDescent="0.25">
      <c r="A614" s="52" t="s">
        <v>277</v>
      </c>
      <c r="B614" s="52" t="s">
        <v>31</v>
      </c>
      <c r="C614" s="52" t="s">
        <v>48</v>
      </c>
      <c r="D614" t="s">
        <v>299</v>
      </c>
    </row>
    <row r="615" spans="1:4" x14ac:dyDescent="0.25">
      <c r="A615" s="52" t="s">
        <v>277</v>
      </c>
      <c r="B615" s="52" t="s">
        <v>32</v>
      </c>
      <c r="C615" s="52" t="s">
        <v>49</v>
      </c>
      <c r="D615" t="s">
        <v>299</v>
      </c>
    </row>
    <row r="616" spans="1:4" x14ac:dyDescent="0.25">
      <c r="A616" s="52" t="s">
        <v>277</v>
      </c>
      <c r="B616" s="52" t="s">
        <v>33</v>
      </c>
      <c r="C616" s="52" t="s">
        <v>71</v>
      </c>
      <c r="D616" t="s">
        <v>299</v>
      </c>
    </row>
    <row r="617" spans="1:4" x14ac:dyDescent="0.25">
      <c r="A617" s="52" t="s">
        <v>277</v>
      </c>
      <c r="B617" s="52" t="s">
        <v>36</v>
      </c>
      <c r="C617" s="52" t="s">
        <v>39</v>
      </c>
      <c r="D617" t="s">
        <v>300</v>
      </c>
    </row>
    <row r="618" spans="1:4" x14ac:dyDescent="0.25">
      <c r="A618" s="52" t="s">
        <v>276</v>
      </c>
      <c r="B618" s="52" t="s">
        <v>27</v>
      </c>
      <c r="C618" s="52" t="s">
        <v>64</v>
      </c>
      <c r="D618" t="s">
        <v>299</v>
      </c>
    </row>
    <row r="619" spans="1:4" x14ac:dyDescent="0.25">
      <c r="A619" s="52" t="s">
        <v>276</v>
      </c>
      <c r="B619" s="52" t="s">
        <v>28</v>
      </c>
      <c r="C619" s="52" t="s">
        <v>48</v>
      </c>
      <c r="D619" t="s">
        <v>299</v>
      </c>
    </row>
    <row r="620" spans="1:4" x14ac:dyDescent="0.25">
      <c r="A620" s="52" t="s">
        <v>276</v>
      </c>
      <c r="B620" s="52" t="s">
        <v>29</v>
      </c>
      <c r="C620" s="52" t="s">
        <v>41</v>
      </c>
      <c r="D620" t="s">
        <v>299</v>
      </c>
    </row>
    <row r="621" spans="1:4" x14ac:dyDescent="0.25">
      <c r="A621" s="52" t="s">
        <v>276</v>
      </c>
      <c r="B621" s="52" t="s">
        <v>30</v>
      </c>
      <c r="C621" s="52" t="s">
        <v>65</v>
      </c>
      <c r="D621" t="s">
        <v>299</v>
      </c>
    </row>
    <row r="622" spans="1:4" x14ac:dyDescent="0.25">
      <c r="A622" s="52" t="s">
        <v>276</v>
      </c>
      <c r="B622" s="52" t="s">
        <v>31</v>
      </c>
      <c r="C622" s="52" t="s">
        <v>54</v>
      </c>
      <c r="D622" t="s">
        <v>299</v>
      </c>
    </row>
    <row r="623" spans="1:4" x14ac:dyDescent="0.25">
      <c r="A623" s="52" t="s">
        <v>276</v>
      </c>
      <c r="B623" s="52" t="s">
        <v>32</v>
      </c>
      <c r="C623" s="52" t="s">
        <v>49</v>
      </c>
      <c r="D623" t="s">
        <v>299</v>
      </c>
    </row>
    <row r="624" spans="1:4" x14ac:dyDescent="0.25">
      <c r="A624" s="52" t="s">
        <v>276</v>
      </c>
      <c r="B624" s="52" t="s">
        <v>33</v>
      </c>
      <c r="C624" s="52" t="s">
        <v>71</v>
      </c>
      <c r="D624" t="s">
        <v>299</v>
      </c>
    </row>
    <row r="625" spans="1:4" x14ac:dyDescent="0.25">
      <c r="A625" s="52" t="s">
        <v>276</v>
      </c>
      <c r="B625" s="52" t="s">
        <v>34</v>
      </c>
      <c r="C625" s="52" t="s">
        <v>53</v>
      </c>
      <c r="D625" t="s">
        <v>299</v>
      </c>
    </row>
    <row r="626" spans="1:4" x14ac:dyDescent="0.25">
      <c r="A626" s="52" t="s">
        <v>276</v>
      </c>
      <c r="B626" s="52" t="s">
        <v>36</v>
      </c>
      <c r="C626" s="52" t="s">
        <v>91</v>
      </c>
      <c r="D626" t="s">
        <v>300</v>
      </c>
    </row>
    <row r="627" spans="1:4" x14ac:dyDescent="0.25">
      <c r="A627" s="52" t="s">
        <v>278</v>
      </c>
      <c r="B627" s="52" t="s">
        <v>27</v>
      </c>
      <c r="C627" s="52" t="s">
        <v>45</v>
      </c>
      <c r="D627" t="s">
        <v>299</v>
      </c>
    </row>
    <row r="628" spans="1:4" x14ac:dyDescent="0.25">
      <c r="A628" s="52" t="s">
        <v>278</v>
      </c>
      <c r="B628" s="52" t="s">
        <v>28</v>
      </c>
      <c r="C628" s="52" t="s">
        <v>44</v>
      </c>
      <c r="D628" t="s">
        <v>299</v>
      </c>
    </row>
    <row r="629" spans="1:4" x14ac:dyDescent="0.25">
      <c r="A629" s="52" t="s">
        <v>278</v>
      </c>
      <c r="B629" s="52" t="s">
        <v>29</v>
      </c>
      <c r="C629" s="52" t="s">
        <v>41</v>
      </c>
      <c r="D629" t="s">
        <v>299</v>
      </c>
    </row>
    <row r="630" spans="1:4" x14ac:dyDescent="0.25">
      <c r="A630" s="52" t="s">
        <v>278</v>
      </c>
      <c r="B630" s="52" t="s">
        <v>36</v>
      </c>
      <c r="C630" s="52" t="s">
        <v>61</v>
      </c>
      <c r="D630" t="s">
        <v>300</v>
      </c>
    </row>
    <row r="631" spans="1:4" x14ac:dyDescent="0.25">
      <c r="A631" s="52" t="s">
        <v>279</v>
      </c>
      <c r="B631" s="52" t="s">
        <v>27</v>
      </c>
      <c r="C631" s="52" t="s">
        <v>51</v>
      </c>
      <c r="D631" t="s">
        <v>299</v>
      </c>
    </row>
    <row r="632" spans="1:4" x14ac:dyDescent="0.25">
      <c r="A632" s="52" t="s">
        <v>279</v>
      </c>
      <c r="B632" s="52" t="s">
        <v>28</v>
      </c>
      <c r="C632" s="52" t="s">
        <v>59</v>
      </c>
      <c r="D632" t="s">
        <v>299</v>
      </c>
    </row>
    <row r="633" spans="1:4" x14ac:dyDescent="0.25">
      <c r="A633" s="52" t="s">
        <v>279</v>
      </c>
      <c r="B633" s="52" t="s">
        <v>29</v>
      </c>
      <c r="C633" s="52" t="s">
        <v>50</v>
      </c>
      <c r="D633" t="s">
        <v>299</v>
      </c>
    </row>
    <row r="634" spans="1:4" x14ac:dyDescent="0.25">
      <c r="A634" s="52" t="s">
        <v>279</v>
      </c>
      <c r="B634" s="52" t="s">
        <v>30</v>
      </c>
      <c r="C634" s="52" t="s">
        <v>64</v>
      </c>
      <c r="D634" t="s">
        <v>299</v>
      </c>
    </row>
    <row r="635" spans="1:4" x14ac:dyDescent="0.25">
      <c r="A635" s="52" t="s">
        <v>279</v>
      </c>
      <c r="B635" s="52" t="s">
        <v>36</v>
      </c>
      <c r="C635" s="52" t="s">
        <v>61</v>
      </c>
      <c r="D635" t="s">
        <v>300</v>
      </c>
    </row>
    <row r="636" spans="1:4" x14ac:dyDescent="0.25">
      <c r="A636" s="52" t="s">
        <v>280</v>
      </c>
      <c r="B636" s="52" t="s">
        <v>27</v>
      </c>
      <c r="C636" s="52" t="s">
        <v>59</v>
      </c>
      <c r="D636" t="s">
        <v>299</v>
      </c>
    </row>
    <row r="637" spans="1:4" x14ac:dyDescent="0.25">
      <c r="A637" s="52" t="s">
        <v>280</v>
      </c>
      <c r="B637" s="52" t="s">
        <v>28</v>
      </c>
      <c r="C637" s="52" t="s">
        <v>44</v>
      </c>
      <c r="D637" t="s">
        <v>299</v>
      </c>
    </row>
    <row r="638" spans="1:4" x14ac:dyDescent="0.25">
      <c r="A638" s="52" t="s">
        <v>280</v>
      </c>
      <c r="B638" s="52" t="s">
        <v>29</v>
      </c>
      <c r="C638" s="52" t="s">
        <v>62</v>
      </c>
      <c r="D638" t="s">
        <v>299</v>
      </c>
    </row>
    <row r="639" spans="1:4" x14ac:dyDescent="0.25">
      <c r="A639" s="52" t="s">
        <v>280</v>
      </c>
      <c r="B639" s="52" t="s">
        <v>36</v>
      </c>
      <c r="C639" s="52" t="s">
        <v>61</v>
      </c>
      <c r="D639" t="s">
        <v>300</v>
      </c>
    </row>
    <row r="640" spans="1:4" x14ac:dyDescent="0.25">
      <c r="A640" s="52" t="s">
        <v>281</v>
      </c>
      <c r="B640" s="52" t="s">
        <v>27</v>
      </c>
      <c r="C640" s="52" t="s">
        <v>41</v>
      </c>
      <c r="D640" t="s">
        <v>299</v>
      </c>
    </row>
    <row r="641" spans="1:4" x14ac:dyDescent="0.25">
      <c r="A641" s="52" t="s">
        <v>281</v>
      </c>
      <c r="B641" s="52" t="s">
        <v>28</v>
      </c>
      <c r="C641" s="52" t="s">
        <v>72</v>
      </c>
      <c r="D641" t="s">
        <v>299</v>
      </c>
    </row>
    <row r="642" spans="1:4" x14ac:dyDescent="0.25">
      <c r="A642" s="52" t="s">
        <v>281</v>
      </c>
      <c r="B642" s="52" t="s">
        <v>29</v>
      </c>
      <c r="C642" s="52" t="s">
        <v>50</v>
      </c>
      <c r="D642" t="s">
        <v>299</v>
      </c>
    </row>
    <row r="643" spans="1:4" x14ac:dyDescent="0.25">
      <c r="A643" s="52" t="s">
        <v>281</v>
      </c>
      <c r="B643" s="52" t="s">
        <v>30</v>
      </c>
      <c r="C643" s="52" t="s">
        <v>55</v>
      </c>
      <c r="D643" t="s">
        <v>299</v>
      </c>
    </row>
    <row r="644" spans="1:4" x14ac:dyDescent="0.25">
      <c r="A644" s="52" t="s">
        <v>281</v>
      </c>
      <c r="B644" s="52" t="s">
        <v>31</v>
      </c>
      <c r="C644" s="52" t="s">
        <v>67</v>
      </c>
      <c r="D644" t="s">
        <v>299</v>
      </c>
    </row>
    <row r="645" spans="1:4" x14ac:dyDescent="0.25">
      <c r="A645" s="52" t="s">
        <v>281</v>
      </c>
      <c r="B645" s="52" t="s">
        <v>32</v>
      </c>
      <c r="C645" s="52" t="s">
        <v>62</v>
      </c>
      <c r="D645" t="s">
        <v>299</v>
      </c>
    </row>
    <row r="646" spans="1:4" x14ac:dyDescent="0.25">
      <c r="A646" s="52" t="s">
        <v>281</v>
      </c>
      <c r="B646" s="52" t="s">
        <v>33</v>
      </c>
      <c r="C646" s="52" t="s">
        <v>75</v>
      </c>
      <c r="D646" t="s">
        <v>299</v>
      </c>
    </row>
    <row r="647" spans="1:4" x14ac:dyDescent="0.25">
      <c r="A647" s="52" t="s">
        <v>281</v>
      </c>
      <c r="B647" s="52" t="s">
        <v>34</v>
      </c>
      <c r="C647" s="52" t="s">
        <v>65</v>
      </c>
      <c r="D647" t="s">
        <v>299</v>
      </c>
    </row>
    <row r="648" spans="1:4" x14ac:dyDescent="0.25">
      <c r="A648" s="52" t="s">
        <v>281</v>
      </c>
      <c r="B648" s="52" t="s">
        <v>35</v>
      </c>
      <c r="C648" s="52" t="s">
        <v>46</v>
      </c>
      <c r="D648" t="s">
        <v>299</v>
      </c>
    </row>
    <row r="649" spans="1:4" x14ac:dyDescent="0.25">
      <c r="A649" s="52" t="s">
        <v>281</v>
      </c>
      <c r="B649" s="52" t="s">
        <v>36</v>
      </c>
      <c r="C649" s="52" t="s">
        <v>61</v>
      </c>
      <c r="D649" t="s">
        <v>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02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0" sqref="K10"/>
    </sheetView>
  </sheetViews>
  <sheetFormatPr defaultRowHeight="15" x14ac:dyDescent="0.25"/>
  <cols>
    <col min="2" max="2" width="27" bestFit="1" customWidth="1"/>
    <col min="3" max="12" width="14.5703125" style="5" customWidth="1"/>
    <col min="14" max="24" width="9.140625" style="5" customWidth="1"/>
  </cols>
  <sheetData>
    <row r="1" spans="2:24" x14ac:dyDescent="0.25">
      <c r="B1" s="1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36</v>
      </c>
      <c r="N1" s="5">
        <v>1</v>
      </c>
      <c r="O1" s="5">
        <v>2</v>
      </c>
      <c r="P1" s="5">
        <v>3</v>
      </c>
      <c r="Q1" s="5">
        <v>4</v>
      </c>
      <c r="R1" s="5">
        <v>5</v>
      </c>
      <c r="S1" s="5">
        <v>6</v>
      </c>
      <c r="T1" s="5">
        <v>7</v>
      </c>
      <c r="U1" s="5">
        <v>8</v>
      </c>
      <c r="V1" s="5">
        <v>9</v>
      </c>
      <c r="W1" s="5" t="s">
        <v>37</v>
      </c>
    </row>
    <row r="2" spans="2:24" x14ac:dyDescent="0.25">
      <c r="B2" s="48" t="s">
        <v>1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L2" s="5" t="s">
        <v>44</v>
      </c>
      <c r="N2" s="5">
        <f>IFERROR(HLOOKUP(C2,Standings!$F$3:$BA$5,3,FALSE),0)</f>
        <v>45</v>
      </c>
      <c r="O2" s="5">
        <f>IFERROR(HLOOKUP(D2,Standings!$F$3:$BA$5,3,FALSE),0)</f>
        <v>30</v>
      </c>
      <c r="P2" s="5">
        <f>IFERROR(HLOOKUP(E2,Standings!$F$3:$BA$5,3,FALSE),0)</f>
        <v>35</v>
      </c>
      <c r="Q2" s="5">
        <f>IFERROR(HLOOKUP(F2,Standings!$F$3:$BA$5,3,FALSE),0)</f>
        <v>20</v>
      </c>
      <c r="R2" s="5">
        <f>IFERROR(HLOOKUP(G2,Standings!$F$3:$BA$5,3,FALSE),0)</f>
        <v>27</v>
      </c>
      <c r="S2" s="5">
        <f>IFERROR(HLOOKUP(H2,Standings!$F$3:$BA$5,3,FALSE),0)</f>
        <v>3</v>
      </c>
      <c r="T2" s="5">
        <f>IFERROR(HLOOKUP(I2,Standings!$F$3:$BA$5,3,FALSE),0)</f>
        <v>0</v>
      </c>
      <c r="U2" s="5">
        <f>IFERROR(HLOOKUP(J2,Standings!$F$3:$BA$5,3,FALSE),0)</f>
        <v>0</v>
      </c>
      <c r="V2" s="5">
        <f>IFERROR(HLOOKUP(K2,Standings!$F$3:$BA$5,3,FALSE),0)</f>
        <v>0</v>
      </c>
      <c r="W2" s="5">
        <f>-IFERROR(HLOOKUP(L2,Standings!$F$3:$BA$5,3,FALSE),0)</f>
        <v>-60</v>
      </c>
      <c r="X2" s="5">
        <f t="shared" ref="X2:X33" si="0">SUM(N2:W2)</f>
        <v>100</v>
      </c>
    </row>
    <row r="3" spans="2:24" x14ac:dyDescent="0.25">
      <c r="B3" s="48" t="s">
        <v>3</v>
      </c>
      <c r="C3" s="5" t="s">
        <v>44</v>
      </c>
      <c r="D3" s="5" t="s">
        <v>45</v>
      </c>
      <c r="E3" s="5" t="s">
        <v>46</v>
      </c>
      <c r="L3" s="5" t="s">
        <v>47</v>
      </c>
      <c r="N3" s="5">
        <f>IFERROR(HLOOKUP(C3,Standings!$F$3:$BA$5,3,FALSE),0)</f>
        <v>60</v>
      </c>
      <c r="O3" s="5">
        <f>IFERROR(HLOOKUP(D3,Standings!$F$3:$BA$5,3,FALSE),0)</f>
        <v>70</v>
      </c>
      <c r="P3" s="5">
        <f>IFERROR(HLOOKUP(E3,Standings!$F$3:$BA$5,3,FALSE),0)</f>
        <v>8</v>
      </c>
      <c r="Q3" s="5">
        <f>IFERROR(HLOOKUP(F3,Standings!$F$3:$BA$5,3,FALSE),0)</f>
        <v>0</v>
      </c>
      <c r="R3" s="5">
        <f>IFERROR(HLOOKUP(G3,Standings!$F$3:$BA$5,3,FALSE),0)</f>
        <v>0</v>
      </c>
      <c r="S3" s="5">
        <f>IFERROR(HLOOKUP(H3,Standings!$F$3:$BA$5,3,FALSE),0)</f>
        <v>0</v>
      </c>
      <c r="T3" s="5">
        <f>IFERROR(HLOOKUP(I3,Standings!$F$3:$BA$5,3,FALSE),0)</f>
        <v>0</v>
      </c>
      <c r="U3" s="5">
        <f>IFERROR(HLOOKUP(J3,Standings!$F$3:$BA$5,3,FALSE),0)</f>
        <v>0</v>
      </c>
      <c r="V3" s="5">
        <f>IFERROR(HLOOKUP(K3,Standings!$F$3:$BA$5,3,FALSE),0)</f>
        <v>0</v>
      </c>
      <c r="W3" s="5">
        <f>-IFERROR(HLOOKUP(L3,Standings!$F$3:$BA$5,3,FALSE),0)</f>
        <v>-38</v>
      </c>
      <c r="X3" s="5">
        <f t="shared" si="0"/>
        <v>100</v>
      </c>
    </row>
    <row r="4" spans="2:24" x14ac:dyDescent="0.25">
      <c r="B4" s="48" t="s">
        <v>4</v>
      </c>
      <c r="C4" s="5" t="s">
        <v>45</v>
      </c>
      <c r="D4" s="5" t="s">
        <v>48</v>
      </c>
      <c r="E4" s="5" t="s">
        <v>49</v>
      </c>
      <c r="F4" s="5" t="s">
        <v>47</v>
      </c>
      <c r="G4" s="5" t="s">
        <v>50</v>
      </c>
      <c r="L4" s="5" t="s">
        <v>44</v>
      </c>
      <c r="N4" s="5">
        <f>IFERROR(HLOOKUP(C4,Standings!$F$3:$BA$5,3,FALSE),0)</f>
        <v>70</v>
      </c>
      <c r="O4" s="5">
        <f>IFERROR(HLOOKUP(D4,Standings!$F$3:$BA$5,3,FALSE),0)</f>
        <v>12</v>
      </c>
      <c r="P4" s="5">
        <f>IFERROR(HLOOKUP(E4,Standings!$F$3:$BA$5,3,FALSE),0)</f>
        <v>16</v>
      </c>
      <c r="Q4" s="5">
        <f>IFERROR(HLOOKUP(F4,Standings!$F$3:$BA$5,3,FALSE),0)</f>
        <v>38</v>
      </c>
      <c r="R4" s="5">
        <f>IFERROR(HLOOKUP(G4,Standings!$F$3:$BA$5,3,FALSE),0)</f>
        <v>23</v>
      </c>
      <c r="S4" s="5">
        <f>IFERROR(HLOOKUP(H4,Standings!$F$3:$BA$5,3,FALSE),0)</f>
        <v>0</v>
      </c>
      <c r="T4" s="5">
        <f>IFERROR(HLOOKUP(I4,Standings!$F$3:$BA$5,3,FALSE),0)</f>
        <v>0</v>
      </c>
      <c r="U4" s="5">
        <f>IFERROR(HLOOKUP(J4,Standings!$F$3:$BA$5,3,FALSE),0)</f>
        <v>0</v>
      </c>
      <c r="V4" s="5">
        <f>IFERROR(HLOOKUP(K4,Standings!$F$3:$BA$5,3,FALSE),0)</f>
        <v>0</v>
      </c>
      <c r="W4" s="5">
        <f>-IFERROR(HLOOKUP(L4,Standings!$F$3:$BA$5,3,FALSE),0)</f>
        <v>-60</v>
      </c>
      <c r="X4" s="5">
        <f t="shared" si="0"/>
        <v>99</v>
      </c>
    </row>
    <row r="5" spans="2:24" x14ac:dyDescent="0.25">
      <c r="B5" s="48" t="s">
        <v>6</v>
      </c>
      <c r="C5" s="5" t="s">
        <v>51</v>
      </c>
      <c r="D5" s="5" t="s">
        <v>45</v>
      </c>
      <c r="E5" s="5" t="s">
        <v>39</v>
      </c>
      <c r="L5" s="5" t="s">
        <v>52</v>
      </c>
      <c r="N5" s="5">
        <f>IFERROR(HLOOKUP(C5,Standings!$F$3:$BA$5,3,FALSE),0)</f>
        <v>52</v>
      </c>
      <c r="O5" s="5">
        <f>IFERROR(HLOOKUP(D5,Standings!$F$3:$BA$5,3,FALSE),0)</f>
        <v>70</v>
      </c>
      <c r="P5" s="5">
        <f>IFERROR(HLOOKUP(E5,Standings!$F$3:$BA$5,3,FALSE),0)</f>
        <v>30</v>
      </c>
      <c r="Q5" s="5">
        <f>IFERROR(HLOOKUP(F5,Standings!$F$3:$BA$5,3,FALSE),0)</f>
        <v>0</v>
      </c>
      <c r="R5" s="5">
        <f>IFERROR(HLOOKUP(G5,Standings!$F$3:$BA$5,3,FALSE),0)</f>
        <v>0</v>
      </c>
      <c r="S5" s="5">
        <f>IFERROR(HLOOKUP(H5,Standings!$F$3:$BA$5,3,FALSE),0)</f>
        <v>0</v>
      </c>
      <c r="T5" s="5">
        <f>IFERROR(HLOOKUP(I5,Standings!$F$3:$BA$5,3,FALSE),0)</f>
        <v>0</v>
      </c>
      <c r="U5" s="5">
        <f>IFERROR(HLOOKUP(J5,Standings!$F$3:$BA$5,3,FALSE),0)</f>
        <v>0</v>
      </c>
      <c r="V5" s="5">
        <f>IFERROR(HLOOKUP(K5,Standings!$F$3:$BA$5,3,FALSE),0)</f>
        <v>0</v>
      </c>
      <c r="W5" s="5">
        <f>-IFERROR(HLOOKUP(L5,Standings!$F$3:$BA$5,3,FALSE),0)</f>
        <v>-54</v>
      </c>
      <c r="X5" s="5">
        <f t="shared" si="0"/>
        <v>98</v>
      </c>
    </row>
    <row r="6" spans="2:24" x14ac:dyDescent="0.25">
      <c r="B6" s="48" t="s">
        <v>148</v>
      </c>
      <c r="C6" s="5" t="s">
        <v>40</v>
      </c>
      <c r="D6" s="5" t="s">
        <v>53</v>
      </c>
      <c r="E6" s="5" t="s">
        <v>49</v>
      </c>
      <c r="F6" s="5" t="s">
        <v>54</v>
      </c>
      <c r="G6" s="5" t="s">
        <v>55</v>
      </c>
      <c r="N6" s="5">
        <f>IFERROR(HLOOKUP(C6,Standings!$F$3:$BA$5,3,FALSE),0)</f>
        <v>35</v>
      </c>
      <c r="O6" s="5">
        <f>IFERROR(HLOOKUP(D6,Standings!$F$3:$BA$5,3,FALSE),0)</f>
        <v>20</v>
      </c>
      <c r="P6" s="5">
        <f>IFERROR(HLOOKUP(E6,Standings!$F$3:$BA$5,3,FALSE),0)</f>
        <v>16</v>
      </c>
      <c r="Q6" s="5">
        <f>IFERROR(HLOOKUP(F6,Standings!$F$3:$BA$5,3,FALSE),0)</f>
        <v>17</v>
      </c>
      <c r="R6" s="5">
        <f>IFERROR(HLOOKUP(G6,Standings!$F$3:$BA$5,3,FALSE),0)</f>
        <v>12</v>
      </c>
      <c r="S6" s="5">
        <f>IFERROR(HLOOKUP(H6,Standings!$F$3:$BA$5,3,FALSE),0)</f>
        <v>0</v>
      </c>
      <c r="T6" s="5">
        <f>IFERROR(HLOOKUP(I6,Standings!$F$3:$BA$5,3,FALSE),0)</f>
        <v>0</v>
      </c>
      <c r="U6" s="5">
        <f>IFERROR(HLOOKUP(J6,Standings!$F$3:$BA$5,3,FALSE),0)</f>
        <v>0</v>
      </c>
      <c r="V6" s="5">
        <f>IFERROR(HLOOKUP(K6,Standings!$F$3:$BA$5,3,FALSE),0)</f>
        <v>0</v>
      </c>
      <c r="W6" s="5">
        <f>-IFERROR(HLOOKUP(L6,Standings!$F$3:$BA$5,3,FALSE),0)</f>
        <v>0</v>
      </c>
      <c r="X6" s="5">
        <f t="shared" si="0"/>
        <v>100</v>
      </c>
    </row>
    <row r="7" spans="2:24" x14ac:dyDescent="0.25">
      <c r="B7" s="48" t="s">
        <v>8</v>
      </c>
      <c r="C7" s="5" t="s">
        <v>56</v>
      </c>
      <c r="D7" s="5" t="s">
        <v>44</v>
      </c>
      <c r="E7" s="5" t="s">
        <v>43</v>
      </c>
      <c r="F7" s="5" t="s">
        <v>57</v>
      </c>
      <c r="G7" s="5" t="s">
        <v>58</v>
      </c>
      <c r="H7" s="5" t="s">
        <v>59</v>
      </c>
      <c r="L7" s="5" t="s">
        <v>51</v>
      </c>
      <c r="N7" s="5">
        <f>IFERROR(HLOOKUP(C7,Standings!$F$3:$BA$5,3,FALSE),0)</f>
        <v>3</v>
      </c>
      <c r="O7" s="5">
        <f>IFERROR(HLOOKUP(D7,Standings!$F$3:$BA$5,3,FALSE),0)</f>
        <v>60</v>
      </c>
      <c r="P7" s="5">
        <f>IFERROR(HLOOKUP(E7,Standings!$F$3:$BA$5,3,FALSE),0)</f>
        <v>3</v>
      </c>
      <c r="Q7" s="5">
        <f>IFERROR(HLOOKUP(F7,Standings!$F$3:$BA$5,3,FALSE),0)</f>
        <v>14</v>
      </c>
      <c r="R7" s="5">
        <f>IFERROR(HLOOKUP(G7,Standings!$F$3:$BA$5,3,FALSE),0)</f>
        <v>4</v>
      </c>
      <c r="S7" s="5">
        <f>IFERROR(HLOOKUP(H7,Standings!$F$3:$BA$5,3,FALSE),0)</f>
        <v>68</v>
      </c>
      <c r="T7" s="5">
        <f>IFERROR(HLOOKUP(I7,Standings!$F$3:$BA$5,3,FALSE),0)</f>
        <v>0</v>
      </c>
      <c r="U7" s="5">
        <f>IFERROR(HLOOKUP(J7,Standings!$F$3:$BA$5,3,FALSE),0)</f>
        <v>0</v>
      </c>
      <c r="V7" s="5">
        <f>IFERROR(HLOOKUP(K7,Standings!$F$3:$BA$5,3,FALSE),0)</f>
        <v>0</v>
      </c>
      <c r="W7" s="5">
        <f>-IFERROR(HLOOKUP(L7,Standings!$F$3:$BA$5,3,FALSE),0)</f>
        <v>-52</v>
      </c>
      <c r="X7" s="5">
        <f t="shared" si="0"/>
        <v>100</v>
      </c>
    </row>
    <row r="8" spans="2:24" x14ac:dyDescent="0.25">
      <c r="B8" s="48" t="s">
        <v>150</v>
      </c>
      <c r="C8" s="5" t="s">
        <v>59</v>
      </c>
      <c r="D8" s="5" t="s">
        <v>38</v>
      </c>
      <c r="E8" s="5" t="s">
        <v>42</v>
      </c>
      <c r="F8" s="5" t="s">
        <v>60</v>
      </c>
      <c r="L8" s="5" t="s">
        <v>45</v>
      </c>
      <c r="N8" s="5">
        <f>IFERROR(HLOOKUP(C8,Standings!$F$3:$BA$5,3,FALSE),0)</f>
        <v>68</v>
      </c>
      <c r="O8" s="5">
        <f>IFERROR(HLOOKUP(D8,Standings!$F$3:$BA$5,3,FALSE),0)</f>
        <v>45</v>
      </c>
      <c r="P8" s="5">
        <f>IFERROR(HLOOKUP(E8,Standings!$F$3:$BA$5,3,FALSE),0)</f>
        <v>27</v>
      </c>
      <c r="Q8" s="5">
        <f>IFERROR(HLOOKUP(F8,Standings!$F$3:$BA$5,3,FALSE),0)</f>
        <v>26</v>
      </c>
      <c r="R8" s="5">
        <f>IFERROR(HLOOKUP(G8,Standings!$F$3:$BA$5,3,FALSE),0)</f>
        <v>0</v>
      </c>
      <c r="S8" s="5">
        <f>IFERROR(HLOOKUP(H8,Standings!$F$3:$BA$5,3,FALSE),0)</f>
        <v>0</v>
      </c>
      <c r="T8" s="5">
        <f>IFERROR(HLOOKUP(I8,Standings!$F$3:$BA$5,3,FALSE),0)</f>
        <v>0</v>
      </c>
      <c r="U8" s="5">
        <f>IFERROR(HLOOKUP(J8,Standings!$F$3:$BA$5,3,FALSE),0)</f>
        <v>0</v>
      </c>
      <c r="V8" s="5">
        <f>IFERROR(HLOOKUP(K8,Standings!$F$3:$BA$5,3,FALSE),0)</f>
        <v>0</v>
      </c>
      <c r="W8" s="5">
        <f>-IFERROR(HLOOKUP(L8,Standings!$F$3:$BA$5,3,FALSE),0)</f>
        <v>-70</v>
      </c>
      <c r="X8" s="5">
        <f t="shared" si="0"/>
        <v>96</v>
      </c>
    </row>
    <row r="9" spans="2:24" x14ac:dyDescent="0.25">
      <c r="B9" s="48" t="s">
        <v>11</v>
      </c>
      <c r="C9" s="5" t="s">
        <v>51</v>
      </c>
      <c r="D9" s="5" t="s">
        <v>61</v>
      </c>
      <c r="E9" s="5" t="s">
        <v>41</v>
      </c>
      <c r="F9" s="5" t="s">
        <v>62</v>
      </c>
      <c r="G9" s="5" t="s">
        <v>63</v>
      </c>
      <c r="H9" s="5" t="s">
        <v>64</v>
      </c>
      <c r="L9" s="5" t="s">
        <v>52</v>
      </c>
      <c r="N9" s="5">
        <f>IFERROR(HLOOKUP(C9,Standings!$F$3:$BA$5,3,FALSE),0)</f>
        <v>52</v>
      </c>
      <c r="O9" s="5">
        <f>IFERROR(HLOOKUP(D9,Standings!$F$3:$BA$5,3,FALSE),0)</f>
        <v>50</v>
      </c>
      <c r="P9" s="5">
        <f>IFERROR(HLOOKUP(E9,Standings!$F$3:$BA$5,3,FALSE),0)</f>
        <v>20</v>
      </c>
      <c r="Q9" s="5">
        <f>IFERROR(HLOOKUP(F9,Standings!$F$3:$BA$5,3,FALSE),0)</f>
        <v>21</v>
      </c>
      <c r="R9" s="5">
        <f>IFERROR(HLOOKUP(G9,Standings!$F$3:$BA$5,3,FALSE),0)</f>
        <v>5</v>
      </c>
      <c r="S9" s="5">
        <f>IFERROR(HLOOKUP(H9,Standings!$F$3:$BA$5,3,FALSE),0)</f>
        <v>5</v>
      </c>
      <c r="T9" s="5">
        <f>IFERROR(HLOOKUP(I9,Standings!$F$3:$BA$5,3,FALSE),0)</f>
        <v>0</v>
      </c>
      <c r="U9" s="5">
        <f>IFERROR(HLOOKUP(J9,Standings!$F$3:$BA$5,3,FALSE),0)</f>
        <v>0</v>
      </c>
      <c r="V9" s="5">
        <f>IFERROR(HLOOKUP(K9,Standings!$F$3:$BA$5,3,FALSE),0)</f>
        <v>0</v>
      </c>
      <c r="W9" s="5">
        <f>-IFERROR(HLOOKUP(L9,Standings!$F$3:$BA$5,3,FALSE),0)</f>
        <v>-54</v>
      </c>
      <c r="X9" s="5">
        <f t="shared" si="0"/>
        <v>99</v>
      </c>
    </row>
    <row r="10" spans="2:24" x14ac:dyDescent="0.25">
      <c r="B10" s="48" t="s">
        <v>12</v>
      </c>
      <c r="C10" s="5" t="s">
        <v>59</v>
      </c>
      <c r="D10" s="5" t="s">
        <v>50</v>
      </c>
      <c r="E10" s="5" t="s">
        <v>41</v>
      </c>
      <c r="F10" s="5" t="s">
        <v>49</v>
      </c>
      <c r="G10" s="5" t="s">
        <v>55</v>
      </c>
      <c r="H10" s="5" t="s">
        <v>65</v>
      </c>
      <c r="I10" s="5" t="s">
        <v>66</v>
      </c>
      <c r="L10" s="5" t="s">
        <v>44</v>
      </c>
      <c r="N10" s="5">
        <f>IFERROR(HLOOKUP(C10,Standings!$F$3:$BA$5,3,FALSE),0)</f>
        <v>68</v>
      </c>
      <c r="O10" s="5">
        <f>IFERROR(HLOOKUP(D10,Standings!$F$3:$BA$5,3,FALSE),0)</f>
        <v>23</v>
      </c>
      <c r="P10" s="5">
        <f>IFERROR(HLOOKUP(E10,Standings!$F$3:$BA$5,3,FALSE),0)</f>
        <v>20</v>
      </c>
      <c r="Q10" s="5">
        <f>IFERROR(HLOOKUP(F10,Standings!$F$3:$BA$5,3,FALSE),0)</f>
        <v>16</v>
      </c>
      <c r="R10" s="5">
        <f>IFERROR(HLOOKUP(G10,Standings!$F$3:$BA$5,3,FALSE),0)</f>
        <v>12</v>
      </c>
      <c r="S10" s="5">
        <f>IFERROR(HLOOKUP(H10,Standings!$F$3:$BA$5,3,FALSE),0)</f>
        <v>13</v>
      </c>
      <c r="T10" s="5">
        <f>IFERROR(HLOOKUP(I10,Standings!$F$3:$BA$5,3,FALSE),0)</f>
        <v>7</v>
      </c>
      <c r="U10" s="5">
        <f>IFERROR(HLOOKUP(J10,Standings!$F$3:$BA$5,3,FALSE),0)</f>
        <v>0</v>
      </c>
      <c r="V10" s="5">
        <f>IFERROR(HLOOKUP(K10,Standings!$F$3:$BA$5,3,FALSE),0)</f>
        <v>0</v>
      </c>
      <c r="W10" s="5">
        <f>-IFERROR(HLOOKUP(L10,Standings!$F$3:$BA$5,3,FALSE),0)</f>
        <v>-60</v>
      </c>
      <c r="X10" s="5">
        <f t="shared" si="0"/>
        <v>99</v>
      </c>
    </row>
    <row r="11" spans="2:24" x14ac:dyDescent="0.25">
      <c r="B11" s="48" t="s">
        <v>13</v>
      </c>
      <c r="C11" s="5" t="s">
        <v>51</v>
      </c>
      <c r="D11" s="5" t="s">
        <v>42</v>
      </c>
      <c r="E11" s="5" t="s">
        <v>53</v>
      </c>
      <c r="F11" s="5" t="s">
        <v>67</v>
      </c>
      <c r="G11" s="5" t="s">
        <v>68</v>
      </c>
      <c r="H11" s="5" t="s">
        <v>54</v>
      </c>
      <c r="I11" s="5" t="s">
        <v>69</v>
      </c>
      <c r="J11" s="5" t="s">
        <v>64</v>
      </c>
      <c r="K11" s="5" t="s">
        <v>56</v>
      </c>
      <c r="L11" s="5" t="s">
        <v>45</v>
      </c>
      <c r="N11" s="5">
        <f>IFERROR(HLOOKUP(C11,Standings!$F$3:$BA$5,3,FALSE),0)</f>
        <v>52</v>
      </c>
      <c r="O11" s="5">
        <f>IFERROR(HLOOKUP(D11,Standings!$F$3:$BA$5,3,FALSE),0)</f>
        <v>27</v>
      </c>
      <c r="P11" s="5">
        <f>IFERROR(HLOOKUP(E11,Standings!$F$3:$BA$5,3,FALSE),0)</f>
        <v>20</v>
      </c>
      <c r="Q11" s="5">
        <f>IFERROR(HLOOKUP(F11,Standings!$F$3:$BA$5,3,FALSE),0)</f>
        <v>19</v>
      </c>
      <c r="R11" s="5">
        <f>IFERROR(HLOOKUP(G11,Standings!$F$3:$BA$5,3,FALSE),0)</f>
        <v>18</v>
      </c>
      <c r="S11" s="5">
        <f>IFERROR(HLOOKUP(H11,Standings!$F$3:$BA$5,3,FALSE),0)</f>
        <v>17</v>
      </c>
      <c r="T11" s="5">
        <f>IFERROR(HLOOKUP(I11,Standings!$F$3:$BA$5,3,FALSE),0)</f>
        <v>9</v>
      </c>
      <c r="U11" s="5">
        <f>IFERROR(HLOOKUP(J11,Standings!$F$3:$BA$5,3,FALSE),0)</f>
        <v>5</v>
      </c>
      <c r="V11" s="5">
        <f>IFERROR(HLOOKUP(K11,Standings!$F$3:$BA$5,3,FALSE),0)</f>
        <v>3</v>
      </c>
      <c r="W11" s="5">
        <f>-IFERROR(HLOOKUP(L11,Standings!$F$3:$BA$5,3,FALSE),0)</f>
        <v>-70</v>
      </c>
      <c r="X11" s="5">
        <f t="shared" si="0"/>
        <v>100</v>
      </c>
    </row>
    <row r="12" spans="2:24" x14ac:dyDescent="0.25">
      <c r="B12" s="48" t="s">
        <v>14</v>
      </c>
      <c r="C12" s="5" t="s">
        <v>52</v>
      </c>
      <c r="D12" s="5" t="s">
        <v>38</v>
      </c>
      <c r="E12" s="5" t="s">
        <v>42</v>
      </c>
      <c r="F12" s="5" t="s">
        <v>54</v>
      </c>
      <c r="G12" s="5" t="s">
        <v>46</v>
      </c>
      <c r="H12" s="5" t="s">
        <v>70</v>
      </c>
      <c r="I12" s="5" t="s">
        <v>71</v>
      </c>
      <c r="L12" s="5" t="s">
        <v>59</v>
      </c>
      <c r="N12" s="5">
        <f>IFERROR(HLOOKUP(C12,Standings!$F$3:$BA$5,3,FALSE),0)</f>
        <v>54</v>
      </c>
      <c r="O12" s="5">
        <f>IFERROR(HLOOKUP(D12,Standings!$F$3:$BA$5,3,FALSE),0)</f>
        <v>45</v>
      </c>
      <c r="P12" s="5">
        <f>IFERROR(HLOOKUP(E12,Standings!$F$3:$BA$5,3,FALSE),0)</f>
        <v>27</v>
      </c>
      <c r="Q12" s="5">
        <f>IFERROR(HLOOKUP(F12,Standings!$F$3:$BA$5,3,FALSE),0)</f>
        <v>17</v>
      </c>
      <c r="R12" s="5">
        <f>IFERROR(HLOOKUP(G12,Standings!$F$3:$BA$5,3,FALSE),0)</f>
        <v>8</v>
      </c>
      <c r="S12" s="5">
        <f>IFERROR(HLOOKUP(H12,Standings!$F$3:$BA$5,3,FALSE),0)</f>
        <v>7</v>
      </c>
      <c r="T12" s="5">
        <f>IFERROR(HLOOKUP(I12,Standings!$F$3:$BA$5,3,FALSE),0)</f>
        <v>10</v>
      </c>
      <c r="U12" s="5">
        <f>IFERROR(HLOOKUP(J12,Standings!$F$3:$BA$5,3,FALSE),0)</f>
        <v>0</v>
      </c>
      <c r="V12" s="5">
        <f>IFERROR(HLOOKUP(K12,Standings!$F$3:$BA$5,3,FALSE),0)</f>
        <v>0</v>
      </c>
      <c r="W12" s="5">
        <f>-IFERROR(HLOOKUP(L12,Standings!$F$3:$BA$5,3,FALSE),0)</f>
        <v>-68</v>
      </c>
      <c r="X12" s="5">
        <f t="shared" si="0"/>
        <v>100</v>
      </c>
    </row>
    <row r="13" spans="2:24" x14ac:dyDescent="0.25">
      <c r="B13" s="48" t="s">
        <v>15</v>
      </c>
      <c r="C13" s="5" t="s">
        <v>50</v>
      </c>
      <c r="D13" s="5" t="s">
        <v>67</v>
      </c>
      <c r="E13" s="5" t="s">
        <v>72</v>
      </c>
      <c r="F13" s="5" t="s">
        <v>57</v>
      </c>
      <c r="G13" s="5" t="s">
        <v>62</v>
      </c>
      <c r="H13" s="5" t="s">
        <v>54</v>
      </c>
      <c r="I13" s="5" t="s">
        <v>49</v>
      </c>
      <c r="L13" s="5" t="s">
        <v>40</v>
      </c>
      <c r="N13" s="5">
        <f>IFERROR(HLOOKUP(C13,Standings!$F$3:$BA$5,3,FALSE),0)</f>
        <v>23</v>
      </c>
      <c r="O13" s="5">
        <f>IFERROR(HLOOKUP(D13,Standings!$F$3:$BA$5,3,FALSE),0)</f>
        <v>19</v>
      </c>
      <c r="P13" s="5">
        <f>IFERROR(HLOOKUP(E13,Standings!$F$3:$BA$5,3,FALSE),0)</f>
        <v>25</v>
      </c>
      <c r="Q13" s="5">
        <f>IFERROR(HLOOKUP(F13,Standings!$F$3:$BA$5,3,FALSE),0)</f>
        <v>14</v>
      </c>
      <c r="R13" s="5">
        <f>IFERROR(HLOOKUP(G13,Standings!$F$3:$BA$5,3,FALSE),0)</f>
        <v>21</v>
      </c>
      <c r="S13" s="5">
        <f>IFERROR(HLOOKUP(H13,Standings!$F$3:$BA$5,3,FALSE),0)</f>
        <v>17</v>
      </c>
      <c r="T13" s="5">
        <f>IFERROR(HLOOKUP(I13,Standings!$F$3:$BA$5,3,FALSE),0)</f>
        <v>16</v>
      </c>
      <c r="U13" s="5">
        <f>IFERROR(HLOOKUP(J13,Standings!$F$3:$BA$5,3,FALSE),0)</f>
        <v>0</v>
      </c>
      <c r="V13" s="5">
        <f>IFERROR(HLOOKUP(K13,Standings!$F$3:$BA$5,3,FALSE),0)</f>
        <v>0</v>
      </c>
      <c r="W13" s="5">
        <f>-IFERROR(HLOOKUP(L13,Standings!$F$3:$BA$5,3,FALSE),0)</f>
        <v>-35</v>
      </c>
      <c r="X13" s="5">
        <f t="shared" si="0"/>
        <v>100</v>
      </c>
    </row>
    <row r="14" spans="2:24" x14ac:dyDescent="0.25">
      <c r="B14" s="48" t="s">
        <v>17</v>
      </c>
      <c r="C14" s="5" t="s">
        <v>38</v>
      </c>
      <c r="D14" s="5" t="s">
        <v>53</v>
      </c>
      <c r="E14" s="5" t="s">
        <v>60</v>
      </c>
      <c r="F14" s="5" t="s">
        <v>47</v>
      </c>
      <c r="L14" s="5" t="s">
        <v>39</v>
      </c>
      <c r="N14" s="5">
        <f>IFERROR(HLOOKUP(C14,Standings!$F$3:$BA$5,3,FALSE),0)</f>
        <v>45</v>
      </c>
      <c r="O14" s="5">
        <f>IFERROR(HLOOKUP(D14,Standings!$F$3:$BA$5,3,FALSE),0)</f>
        <v>20</v>
      </c>
      <c r="P14" s="5">
        <f>IFERROR(HLOOKUP(E14,Standings!$F$3:$BA$5,3,FALSE),0)</f>
        <v>26</v>
      </c>
      <c r="Q14" s="5">
        <f>IFERROR(HLOOKUP(F14,Standings!$F$3:$BA$5,3,FALSE),0)</f>
        <v>38</v>
      </c>
      <c r="R14" s="5">
        <f>IFERROR(HLOOKUP(G14,Standings!$F$3:$BA$5,3,FALSE),0)</f>
        <v>0</v>
      </c>
      <c r="S14" s="5">
        <f>IFERROR(HLOOKUP(H14,Standings!$F$3:$BA$5,3,FALSE),0)</f>
        <v>0</v>
      </c>
      <c r="T14" s="5">
        <f>IFERROR(HLOOKUP(I14,Standings!$F$3:$BA$5,3,FALSE),0)</f>
        <v>0</v>
      </c>
      <c r="U14" s="5">
        <f>IFERROR(HLOOKUP(J14,Standings!$F$3:$BA$5,3,FALSE),0)</f>
        <v>0</v>
      </c>
      <c r="V14" s="5">
        <f>IFERROR(HLOOKUP(K14,Standings!$F$3:$BA$5,3,FALSE),0)</f>
        <v>0</v>
      </c>
      <c r="W14" s="5">
        <f>-IFERROR(HLOOKUP(L14,Standings!$F$3:$BA$5,3,FALSE),0)</f>
        <v>-30</v>
      </c>
      <c r="X14" s="5">
        <f t="shared" si="0"/>
        <v>99</v>
      </c>
    </row>
    <row r="15" spans="2:24" x14ac:dyDescent="0.25">
      <c r="B15" s="48" t="s">
        <v>18</v>
      </c>
      <c r="C15" s="5" t="s">
        <v>59</v>
      </c>
      <c r="D15" s="5" t="s">
        <v>38</v>
      </c>
      <c r="E15" s="5" t="s">
        <v>47</v>
      </c>
      <c r="L15" s="5" t="s">
        <v>51</v>
      </c>
      <c r="N15" s="5">
        <f>IFERROR(HLOOKUP(C15,Standings!$F$3:$BA$5,3,FALSE),0)</f>
        <v>68</v>
      </c>
      <c r="O15" s="5">
        <f>IFERROR(HLOOKUP(D15,Standings!$F$3:$BA$5,3,FALSE),0)</f>
        <v>45</v>
      </c>
      <c r="P15" s="5">
        <f>IFERROR(HLOOKUP(E15,Standings!$F$3:$BA$5,3,FALSE),0)</f>
        <v>38</v>
      </c>
      <c r="Q15" s="5">
        <f>IFERROR(HLOOKUP(F15,Standings!$F$3:$BA$5,3,FALSE),0)</f>
        <v>0</v>
      </c>
      <c r="R15" s="5">
        <f>IFERROR(HLOOKUP(G15,Standings!$F$3:$BA$5,3,FALSE),0)</f>
        <v>0</v>
      </c>
      <c r="S15" s="5">
        <f>IFERROR(HLOOKUP(H15,Standings!$F$3:$BA$5,3,FALSE),0)</f>
        <v>0</v>
      </c>
      <c r="T15" s="5">
        <f>IFERROR(HLOOKUP(I15,Standings!$F$3:$BA$5,3,FALSE),0)</f>
        <v>0</v>
      </c>
      <c r="U15" s="5">
        <f>IFERROR(HLOOKUP(J15,Standings!$F$3:$BA$5,3,FALSE),0)</f>
        <v>0</v>
      </c>
      <c r="V15" s="5">
        <f>IFERROR(HLOOKUP(K15,Standings!$F$3:$BA$5,3,FALSE),0)</f>
        <v>0</v>
      </c>
      <c r="W15" s="5">
        <f>-IFERROR(HLOOKUP(L15,Standings!$F$3:$BA$5,3,FALSE),0)</f>
        <v>-52</v>
      </c>
      <c r="X15" s="5">
        <f t="shared" si="0"/>
        <v>99</v>
      </c>
    </row>
    <row r="16" spans="2:24" x14ac:dyDescent="0.25">
      <c r="B16" s="48" t="s">
        <v>19</v>
      </c>
      <c r="C16" s="5" t="s">
        <v>61</v>
      </c>
      <c r="D16" s="5" t="s">
        <v>42</v>
      </c>
      <c r="E16" s="5" t="s">
        <v>60</v>
      </c>
      <c r="F16" s="5" t="s">
        <v>71</v>
      </c>
      <c r="G16" s="5" t="s">
        <v>65</v>
      </c>
      <c r="H16" s="5" t="s">
        <v>70</v>
      </c>
      <c r="I16" s="5" t="s">
        <v>73</v>
      </c>
      <c r="J16" s="5" t="s">
        <v>64</v>
      </c>
      <c r="L16" s="5" t="s">
        <v>38</v>
      </c>
      <c r="N16" s="5">
        <f>IFERROR(HLOOKUP(C16,Standings!$F$3:$BA$5,3,FALSE),0)</f>
        <v>50</v>
      </c>
      <c r="O16" s="5">
        <f>IFERROR(HLOOKUP(D16,Standings!$F$3:$BA$5,3,FALSE),0)</f>
        <v>27</v>
      </c>
      <c r="P16" s="5">
        <f>IFERROR(HLOOKUP(E16,Standings!$F$3:$BA$5,3,FALSE),0)</f>
        <v>26</v>
      </c>
      <c r="Q16" s="5">
        <f>IFERROR(HLOOKUP(F16,Standings!$F$3:$BA$5,3,FALSE),0)</f>
        <v>10</v>
      </c>
      <c r="R16" s="5">
        <f>IFERROR(HLOOKUP(G16,Standings!$F$3:$BA$5,3,FALSE),0)</f>
        <v>13</v>
      </c>
      <c r="S16" s="5">
        <f>IFERROR(HLOOKUP(H16,Standings!$F$3:$BA$5,3,FALSE),0)</f>
        <v>7</v>
      </c>
      <c r="T16" s="5">
        <f>IFERROR(HLOOKUP(I16,Standings!$F$3:$BA$5,3,FALSE),0)</f>
        <v>7</v>
      </c>
      <c r="U16" s="5">
        <f>IFERROR(HLOOKUP(J16,Standings!$F$3:$BA$5,3,FALSE),0)</f>
        <v>5</v>
      </c>
      <c r="V16" s="5">
        <f>IFERROR(HLOOKUP(K16,Standings!$F$3:$BA$5,3,FALSE),0)</f>
        <v>0</v>
      </c>
      <c r="W16" s="5">
        <f>-IFERROR(HLOOKUP(L16,Standings!$F$3:$BA$5,3,FALSE),0)</f>
        <v>-45</v>
      </c>
      <c r="X16" s="5">
        <f t="shared" si="0"/>
        <v>100</v>
      </c>
    </row>
    <row r="17" spans="2:24" x14ac:dyDescent="0.25">
      <c r="B17" s="48" t="s">
        <v>21</v>
      </c>
      <c r="C17" s="5" t="s">
        <v>40</v>
      </c>
      <c r="D17" s="5" t="s">
        <v>60</v>
      </c>
      <c r="E17" s="5" t="s">
        <v>42</v>
      </c>
      <c r="F17" s="5" t="s">
        <v>41</v>
      </c>
      <c r="G17" s="5" t="s">
        <v>67</v>
      </c>
      <c r="H17" s="5" t="s">
        <v>49</v>
      </c>
      <c r="I17" s="5" t="s">
        <v>48</v>
      </c>
      <c r="J17" s="5" t="s">
        <v>71</v>
      </c>
      <c r="K17" s="5" t="s">
        <v>74</v>
      </c>
      <c r="L17" s="5" t="s">
        <v>59</v>
      </c>
      <c r="N17" s="5">
        <f>IFERROR(HLOOKUP(C17,Standings!$F$3:$BA$5,3,FALSE),0)</f>
        <v>35</v>
      </c>
      <c r="O17" s="5">
        <f>IFERROR(HLOOKUP(D17,Standings!$F$3:$BA$5,3,FALSE),0)</f>
        <v>26</v>
      </c>
      <c r="P17" s="5">
        <f>IFERROR(HLOOKUP(E17,Standings!$F$3:$BA$5,3,FALSE),0)</f>
        <v>27</v>
      </c>
      <c r="Q17" s="5">
        <f>IFERROR(HLOOKUP(F17,Standings!$F$3:$BA$5,3,FALSE),0)</f>
        <v>20</v>
      </c>
      <c r="R17" s="5">
        <f>IFERROR(HLOOKUP(G17,Standings!$F$3:$BA$5,3,FALSE),0)</f>
        <v>19</v>
      </c>
      <c r="S17" s="5">
        <f>IFERROR(HLOOKUP(H17,Standings!$F$3:$BA$5,3,FALSE),0)</f>
        <v>16</v>
      </c>
      <c r="T17" s="5">
        <f>IFERROR(HLOOKUP(I17,Standings!$F$3:$BA$5,3,FALSE),0)</f>
        <v>12</v>
      </c>
      <c r="U17" s="5">
        <f>IFERROR(HLOOKUP(J17,Standings!$F$3:$BA$5,3,FALSE),0)</f>
        <v>10</v>
      </c>
      <c r="V17" s="5">
        <f>IFERROR(HLOOKUP(K17,Standings!$F$3:$BA$5,3,FALSE),0)</f>
        <v>3</v>
      </c>
      <c r="W17" s="5">
        <f>-IFERROR(HLOOKUP(L17,Standings!$F$3:$BA$5,3,FALSE),0)</f>
        <v>-68</v>
      </c>
      <c r="X17" s="5">
        <f t="shared" si="0"/>
        <v>100</v>
      </c>
    </row>
    <row r="18" spans="2:24" x14ac:dyDescent="0.25">
      <c r="B18" s="48" t="s">
        <v>22</v>
      </c>
      <c r="C18" s="5" t="s">
        <v>40</v>
      </c>
      <c r="D18" s="5" t="s">
        <v>60</v>
      </c>
      <c r="E18" s="5" t="s">
        <v>42</v>
      </c>
      <c r="F18" s="5" t="s">
        <v>41</v>
      </c>
      <c r="G18" s="5" t="s">
        <v>67</v>
      </c>
      <c r="H18" s="5" t="s">
        <v>49</v>
      </c>
      <c r="I18" s="5" t="s">
        <v>65</v>
      </c>
      <c r="J18" s="5" t="s">
        <v>71</v>
      </c>
      <c r="K18" s="5" t="s">
        <v>74</v>
      </c>
      <c r="L18" s="5" t="s">
        <v>45</v>
      </c>
      <c r="N18" s="5">
        <f>IFERROR(HLOOKUP(C18,Standings!$F$3:$BA$5,3,FALSE),0)</f>
        <v>35</v>
      </c>
      <c r="O18" s="5">
        <f>IFERROR(HLOOKUP(D18,Standings!$F$3:$BA$5,3,FALSE),0)</f>
        <v>26</v>
      </c>
      <c r="P18" s="5">
        <f>IFERROR(HLOOKUP(E18,Standings!$F$3:$BA$5,3,FALSE),0)</f>
        <v>27</v>
      </c>
      <c r="Q18" s="5">
        <f>IFERROR(HLOOKUP(F18,Standings!$F$3:$BA$5,3,FALSE),0)</f>
        <v>20</v>
      </c>
      <c r="R18" s="5">
        <f>IFERROR(HLOOKUP(G18,Standings!$F$3:$BA$5,3,FALSE),0)</f>
        <v>19</v>
      </c>
      <c r="S18" s="5">
        <f>IFERROR(HLOOKUP(H18,Standings!$F$3:$BA$5,3,FALSE),0)</f>
        <v>16</v>
      </c>
      <c r="T18" s="5">
        <f>IFERROR(HLOOKUP(I18,Standings!$F$3:$BA$5,3,FALSE),0)</f>
        <v>13</v>
      </c>
      <c r="U18" s="5">
        <f>IFERROR(HLOOKUP(J18,Standings!$F$3:$BA$5,3,FALSE),0)</f>
        <v>10</v>
      </c>
      <c r="V18" s="5">
        <f>IFERROR(HLOOKUP(K18,Standings!$F$3:$BA$5,3,FALSE),0)</f>
        <v>3</v>
      </c>
      <c r="W18" s="5">
        <f>-IFERROR(HLOOKUP(L18,Standings!$F$3:$BA$5,3,FALSE),0)</f>
        <v>-70</v>
      </c>
      <c r="X18" s="5">
        <f t="shared" si="0"/>
        <v>99</v>
      </c>
    </row>
    <row r="19" spans="2:24" x14ac:dyDescent="0.25">
      <c r="B19" s="48" t="s">
        <v>23</v>
      </c>
      <c r="C19" s="5" t="s">
        <v>59</v>
      </c>
      <c r="D19" s="5" t="s">
        <v>50</v>
      </c>
      <c r="E19" s="5" t="s">
        <v>69</v>
      </c>
      <c r="F19" s="5" t="s">
        <v>71</v>
      </c>
      <c r="G19" s="5" t="s">
        <v>75</v>
      </c>
      <c r="L19" s="5" t="s">
        <v>41</v>
      </c>
      <c r="N19" s="5">
        <f>IFERROR(HLOOKUP(C19,Standings!$F$3:$BA$5,3,FALSE),0)</f>
        <v>68</v>
      </c>
      <c r="O19" s="5">
        <f>IFERROR(HLOOKUP(D19,Standings!$F$3:$BA$5,3,FALSE),0)</f>
        <v>23</v>
      </c>
      <c r="P19" s="5">
        <f>IFERROR(HLOOKUP(E19,Standings!$F$3:$BA$5,3,FALSE),0)</f>
        <v>9</v>
      </c>
      <c r="Q19" s="5">
        <f>IFERROR(HLOOKUP(F19,Standings!$F$3:$BA$5,3,FALSE),0)</f>
        <v>10</v>
      </c>
      <c r="R19" s="5">
        <f>IFERROR(HLOOKUP(G19,Standings!$F$3:$BA$5,3,FALSE),0)</f>
        <v>9</v>
      </c>
      <c r="S19" s="5">
        <f>IFERROR(HLOOKUP(H19,Standings!$F$3:$BA$5,3,FALSE),0)</f>
        <v>0</v>
      </c>
      <c r="T19" s="5">
        <f>IFERROR(HLOOKUP(I19,Standings!$F$3:$BA$5,3,FALSE),0)</f>
        <v>0</v>
      </c>
      <c r="U19" s="5">
        <f>IFERROR(HLOOKUP(J19,Standings!$F$3:$BA$5,3,FALSE),0)</f>
        <v>0</v>
      </c>
      <c r="V19" s="5">
        <f>IFERROR(HLOOKUP(K19,Standings!$F$3:$BA$5,3,FALSE),0)</f>
        <v>0</v>
      </c>
      <c r="W19" s="5">
        <f>-IFERROR(HLOOKUP(L19,Standings!$F$3:$BA$5,3,FALSE),0)</f>
        <v>-20</v>
      </c>
      <c r="X19" s="5">
        <f t="shared" si="0"/>
        <v>99</v>
      </c>
    </row>
    <row r="20" spans="2:24" x14ac:dyDescent="0.25">
      <c r="B20" s="48" t="s">
        <v>25</v>
      </c>
      <c r="C20" s="5" t="s">
        <v>67</v>
      </c>
      <c r="D20" s="5" t="s">
        <v>55</v>
      </c>
      <c r="E20" s="5" t="s">
        <v>65</v>
      </c>
      <c r="F20" s="5" t="s">
        <v>41</v>
      </c>
      <c r="G20" s="5" t="s">
        <v>70</v>
      </c>
      <c r="H20" s="5" t="s">
        <v>76</v>
      </c>
      <c r="I20" s="5" t="s">
        <v>71</v>
      </c>
      <c r="J20" s="5" t="s">
        <v>54</v>
      </c>
      <c r="K20" s="5" t="s">
        <v>49</v>
      </c>
      <c r="L20" s="5" t="s">
        <v>50</v>
      </c>
      <c r="N20" s="5">
        <f>IFERROR(HLOOKUP(C20,Standings!$F$3:$BA$5,3,FALSE),0)</f>
        <v>19</v>
      </c>
      <c r="O20" s="5">
        <f>IFERROR(HLOOKUP(D20,Standings!$F$3:$BA$5,3,FALSE),0)</f>
        <v>12</v>
      </c>
      <c r="P20" s="5">
        <f>IFERROR(HLOOKUP(E20,Standings!$F$3:$BA$5,3,FALSE),0)</f>
        <v>13</v>
      </c>
      <c r="Q20" s="5">
        <f>IFERROR(HLOOKUP(F20,Standings!$F$3:$BA$5,3,FALSE),0)</f>
        <v>20</v>
      </c>
      <c r="R20" s="5">
        <f>IFERROR(HLOOKUP(G20,Standings!$F$3:$BA$5,3,FALSE),0)</f>
        <v>7</v>
      </c>
      <c r="S20" s="5">
        <f>IFERROR(HLOOKUP(H20,Standings!$F$3:$BA$5,3,FALSE),0)</f>
        <v>8</v>
      </c>
      <c r="T20" s="5">
        <f>IFERROR(HLOOKUP(I20,Standings!$F$3:$BA$5,3,FALSE),0)</f>
        <v>10</v>
      </c>
      <c r="U20" s="5">
        <f>IFERROR(HLOOKUP(J20,Standings!$F$3:$BA$5,3,FALSE),0)</f>
        <v>17</v>
      </c>
      <c r="V20" s="5">
        <f>IFERROR(HLOOKUP(K20,Standings!$F$3:$BA$5,3,FALSE),0)</f>
        <v>16</v>
      </c>
      <c r="W20" s="5">
        <f>-IFERROR(HLOOKUP(L20,Standings!$F$3:$BA$5,3,FALSE),0)</f>
        <v>-23</v>
      </c>
      <c r="X20" s="5">
        <f t="shared" si="0"/>
        <v>99</v>
      </c>
    </row>
    <row r="21" spans="2:24" x14ac:dyDescent="0.25">
      <c r="B21" s="48" t="s">
        <v>154</v>
      </c>
      <c r="C21" s="5" t="s">
        <v>41</v>
      </c>
      <c r="D21" s="5" t="s">
        <v>59</v>
      </c>
      <c r="E21" s="5" t="s">
        <v>50</v>
      </c>
      <c r="F21" s="5" t="s">
        <v>62</v>
      </c>
      <c r="G21" s="5" t="s">
        <v>43</v>
      </c>
      <c r="L21" s="5" t="s">
        <v>40</v>
      </c>
      <c r="N21" s="5">
        <f>IFERROR(HLOOKUP(C21,Standings!$F$3:$BA$5,3,FALSE),0)</f>
        <v>20</v>
      </c>
      <c r="O21" s="5">
        <f>IFERROR(HLOOKUP(D21,Standings!$F$3:$BA$5,3,FALSE),0)</f>
        <v>68</v>
      </c>
      <c r="P21" s="5">
        <f>IFERROR(HLOOKUP(E21,Standings!$F$3:$BA$5,3,FALSE),0)</f>
        <v>23</v>
      </c>
      <c r="Q21" s="5">
        <f>IFERROR(HLOOKUP(F21,Standings!$F$3:$BA$5,3,FALSE),0)</f>
        <v>21</v>
      </c>
      <c r="R21" s="5">
        <f>IFERROR(HLOOKUP(G21,Standings!$F$3:$BA$5,3,FALSE),0)</f>
        <v>3</v>
      </c>
      <c r="S21" s="5">
        <f>IFERROR(HLOOKUP(H21,Standings!$F$3:$BA$5,3,FALSE),0)</f>
        <v>0</v>
      </c>
      <c r="T21" s="5">
        <f>IFERROR(HLOOKUP(I21,Standings!$F$3:$BA$5,3,FALSE),0)</f>
        <v>0</v>
      </c>
      <c r="U21" s="5">
        <f>IFERROR(HLOOKUP(J21,Standings!$F$3:$BA$5,3,FALSE),0)</f>
        <v>0</v>
      </c>
      <c r="V21" s="5">
        <f>IFERROR(HLOOKUP(K21,Standings!$F$3:$BA$5,3,FALSE),0)</f>
        <v>0</v>
      </c>
      <c r="W21" s="5">
        <f>-IFERROR(HLOOKUP(L21,Standings!$F$3:$BA$5,3,FALSE),0)</f>
        <v>-35</v>
      </c>
      <c r="X21" s="5">
        <f t="shared" si="0"/>
        <v>100</v>
      </c>
    </row>
    <row r="22" spans="2:24" x14ac:dyDescent="0.25">
      <c r="B22" s="48" t="s">
        <v>155</v>
      </c>
      <c r="C22" s="5" t="s">
        <v>44</v>
      </c>
      <c r="D22" s="5" t="s">
        <v>72</v>
      </c>
      <c r="E22" s="5" t="s">
        <v>95</v>
      </c>
      <c r="F22" s="5" t="s">
        <v>38</v>
      </c>
      <c r="G22" s="5" t="s">
        <v>69</v>
      </c>
      <c r="H22" s="5" t="s">
        <v>88</v>
      </c>
      <c r="L22" s="5" t="s">
        <v>61</v>
      </c>
      <c r="N22" s="5">
        <f>IFERROR(HLOOKUP(C22,Standings!$F$3:$BA$5,3,FALSE),0)</f>
        <v>60</v>
      </c>
      <c r="O22" s="5">
        <f>IFERROR(HLOOKUP(D22,Standings!$F$3:$BA$5,3,FALSE),0)</f>
        <v>25</v>
      </c>
      <c r="P22" s="5">
        <f>IFERROR(HLOOKUP(E22,Standings!$F$3:$BA$5,3,FALSE),0)</f>
        <v>5</v>
      </c>
      <c r="Q22" s="5">
        <f>IFERROR(HLOOKUP(F22,Standings!$F$3:$BA$5,3,FALSE),0)</f>
        <v>45</v>
      </c>
      <c r="R22" s="5">
        <f>IFERROR(HLOOKUP(G22,Standings!$F$3:$BA$5,3,FALSE),0)</f>
        <v>9</v>
      </c>
      <c r="S22" s="5">
        <f>IFERROR(HLOOKUP(H22,Standings!$F$3:$BA$5,3,FALSE),0)</f>
        <v>6</v>
      </c>
      <c r="T22" s="5">
        <f>IFERROR(HLOOKUP(I22,Standings!$F$3:$BA$5,3,FALSE),0)</f>
        <v>0</v>
      </c>
      <c r="U22" s="5">
        <f>IFERROR(HLOOKUP(J22,Standings!$F$3:$BA$5,3,FALSE),0)</f>
        <v>0</v>
      </c>
      <c r="V22" s="5">
        <f>IFERROR(HLOOKUP(K22,Standings!$F$3:$BA$5,3,FALSE),0)</f>
        <v>0</v>
      </c>
      <c r="W22" s="5">
        <f>-IFERROR(HLOOKUP(L22,Standings!$F$3:$BA$5,3,FALSE),0)</f>
        <v>-50</v>
      </c>
      <c r="X22" s="5">
        <f t="shared" si="0"/>
        <v>100</v>
      </c>
    </row>
    <row r="23" spans="2:24" x14ac:dyDescent="0.25">
      <c r="B23" s="48" t="s">
        <v>153</v>
      </c>
      <c r="C23" s="5" t="s">
        <v>50</v>
      </c>
      <c r="D23" s="5" t="s">
        <v>42</v>
      </c>
      <c r="E23" s="5" t="s">
        <v>67</v>
      </c>
      <c r="F23" s="5" t="s">
        <v>66</v>
      </c>
      <c r="G23" s="5" t="s">
        <v>46</v>
      </c>
      <c r="H23" s="5" t="s">
        <v>41</v>
      </c>
      <c r="I23" s="5" t="s">
        <v>54</v>
      </c>
      <c r="J23" s="5" t="s">
        <v>93</v>
      </c>
      <c r="L23" s="5" t="s">
        <v>60</v>
      </c>
      <c r="N23" s="5">
        <f>IFERROR(HLOOKUP(C23,Standings!$F$3:$BA$5,3,FALSE),0)</f>
        <v>23</v>
      </c>
      <c r="O23" s="5">
        <f>IFERROR(HLOOKUP(D23,Standings!$F$3:$BA$5,3,FALSE),0)</f>
        <v>27</v>
      </c>
      <c r="P23" s="5">
        <f>IFERROR(HLOOKUP(E23,Standings!$F$3:$BA$5,3,FALSE),0)</f>
        <v>19</v>
      </c>
      <c r="Q23" s="5">
        <f>IFERROR(HLOOKUP(F23,Standings!$F$3:$BA$5,3,FALSE),0)</f>
        <v>7</v>
      </c>
      <c r="R23" s="5">
        <f>IFERROR(HLOOKUP(G23,Standings!$F$3:$BA$5,3,FALSE),0)</f>
        <v>8</v>
      </c>
      <c r="S23" s="5">
        <f>IFERROR(HLOOKUP(H23,Standings!$F$3:$BA$5,3,FALSE),0)</f>
        <v>20</v>
      </c>
      <c r="T23" s="5">
        <f>IFERROR(HLOOKUP(I23,Standings!$F$3:$BA$5,3,FALSE),0)</f>
        <v>17</v>
      </c>
      <c r="U23" s="5">
        <f>IFERROR(HLOOKUP(J23,Standings!$F$3:$BA$5,3,FALSE),0)</f>
        <v>5</v>
      </c>
      <c r="V23" s="5">
        <f>IFERROR(HLOOKUP(K23,Standings!$F$3:$BA$5,3,FALSE),0)</f>
        <v>0</v>
      </c>
      <c r="W23" s="5">
        <f>-IFERROR(HLOOKUP(L23,Standings!$F$3:$BA$5,3,FALSE),0)</f>
        <v>-26</v>
      </c>
      <c r="X23" s="5">
        <f t="shared" si="0"/>
        <v>100</v>
      </c>
    </row>
    <row r="24" spans="2:24" x14ac:dyDescent="0.25">
      <c r="B24" s="48" t="s">
        <v>156</v>
      </c>
      <c r="C24" s="5" t="s">
        <v>67</v>
      </c>
      <c r="D24" s="5" t="s">
        <v>39</v>
      </c>
      <c r="E24" s="5" t="s">
        <v>42</v>
      </c>
      <c r="F24" s="5" t="s">
        <v>44</v>
      </c>
      <c r="G24" s="5" t="s">
        <v>41</v>
      </c>
      <c r="H24" s="5" t="s">
        <v>48</v>
      </c>
      <c r="L24" s="5" t="s">
        <v>59</v>
      </c>
      <c r="N24" s="5">
        <f>IFERROR(HLOOKUP(C24,Standings!$F$3:$BA$5,3,FALSE),0)</f>
        <v>19</v>
      </c>
      <c r="O24" s="5">
        <f>IFERROR(HLOOKUP(D24,Standings!$F$3:$BA$5,3,FALSE),0)</f>
        <v>30</v>
      </c>
      <c r="P24" s="5">
        <f>IFERROR(HLOOKUP(E24,Standings!$F$3:$BA$5,3,FALSE),0)</f>
        <v>27</v>
      </c>
      <c r="Q24" s="5">
        <f>IFERROR(HLOOKUP(F24,Standings!$F$3:$BA$5,3,FALSE),0)</f>
        <v>60</v>
      </c>
      <c r="R24" s="5">
        <f>IFERROR(HLOOKUP(G24,Standings!$F$3:$BA$5,3,FALSE),0)</f>
        <v>20</v>
      </c>
      <c r="S24" s="5">
        <f>IFERROR(HLOOKUP(H24,Standings!$F$3:$BA$5,3,FALSE),0)</f>
        <v>12</v>
      </c>
      <c r="T24" s="5">
        <f>IFERROR(HLOOKUP(I24,Standings!$F$3:$BA$5,3,FALSE),0)</f>
        <v>0</v>
      </c>
      <c r="U24" s="5">
        <f>IFERROR(HLOOKUP(J24,Standings!$F$3:$BA$5,3,FALSE),0)</f>
        <v>0</v>
      </c>
      <c r="V24" s="5">
        <f>IFERROR(HLOOKUP(K24,Standings!$F$3:$BA$5,3,FALSE),0)</f>
        <v>0</v>
      </c>
      <c r="W24" s="5">
        <f>-IFERROR(HLOOKUP(L24,Standings!$F$3:$BA$5,3,FALSE),0)</f>
        <v>-68</v>
      </c>
      <c r="X24" s="5">
        <f t="shared" si="0"/>
        <v>100</v>
      </c>
    </row>
    <row r="25" spans="2:24" x14ac:dyDescent="0.25">
      <c r="B25" s="48" t="s">
        <v>158</v>
      </c>
      <c r="C25" s="5" t="s">
        <v>60</v>
      </c>
      <c r="D25" s="5" t="s">
        <v>54</v>
      </c>
      <c r="E25" s="5" t="s">
        <v>62</v>
      </c>
      <c r="F25" s="5" t="s">
        <v>71</v>
      </c>
      <c r="G25" s="5" t="s">
        <v>68</v>
      </c>
      <c r="H25" s="5" t="s">
        <v>59</v>
      </c>
      <c r="L25" s="5" t="s">
        <v>44</v>
      </c>
      <c r="N25" s="5">
        <f>IFERROR(HLOOKUP(C25,Standings!$F$3:$BA$5,3,FALSE),0)</f>
        <v>26</v>
      </c>
      <c r="O25" s="5">
        <f>IFERROR(HLOOKUP(D25,Standings!$F$3:$BA$5,3,FALSE),0)</f>
        <v>17</v>
      </c>
      <c r="P25" s="5">
        <f>IFERROR(HLOOKUP(E25,Standings!$F$3:$BA$5,3,FALSE),0)</f>
        <v>21</v>
      </c>
      <c r="Q25" s="5">
        <f>IFERROR(HLOOKUP(F25,Standings!$F$3:$BA$5,3,FALSE),0)</f>
        <v>10</v>
      </c>
      <c r="R25" s="5">
        <f>IFERROR(HLOOKUP(G25,Standings!$F$3:$BA$5,3,FALSE),0)</f>
        <v>18</v>
      </c>
      <c r="S25" s="5">
        <f>IFERROR(HLOOKUP(H25,Standings!$F$3:$BA$5,3,FALSE),0)</f>
        <v>68</v>
      </c>
      <c r="T25" s="5">
        <f>IFERROR(HLOOKUP(I25,Standings!$F$3:$BA$5,3,FALSE),0)</f>
        <v>0</v>
      </c>
      <c r="U25" s="5">
        <f>IFERROR(HLOOKUP(J25,Standings!$F$3:$BA$5,3,FALSE),0)</f>
        <v>0</v>
      </c>
      <c r="V25" s="5">
        <f>IFERROR(HLOOKUP(K25,Standings!$F$3:$BA$5,3,FALSE),0)</f>
        <v>0</v>
      </c>
      <c r="W25" s="5">
        <f>-IFERROR(HLOOKUP(L25,Standings!$F$3:$BA$5,3,FALSE),0)</f>
        <v>-60</v>
      </c>
      <c r="X25" s="5">
        <f t="shared" si="0"/>
        <v>100</v>
      </c>
    </row>
    <row r="26" spans="2:24" x14ac:dyDescent="0.25">
      <c r="B26" s="48" t="s">
        <v>159</v>
      </c>
      <c r="C26" s="5" t="s">
        <v>42</v>
      </c>
      <c r="D26" s="5" t="s">
        <v>65</v>
      </c>
      <c r="E26" s="5" t="s">
        <v>43</v>
      </c>
      <c r="F26" s="5" t="s">
        <v>44</v>
      </c>
      <c r="G26" s="5" t="s">
        <v>41</v>
      </c>
      <c r="L26" s="5" t="s">
        <v>50</v>
      </c>
      <c r="N26" s="5">
        <f>IFERROR(HLOOKUP(C26,Standings!$F$3:$BA$5,3,FALSE),0)</f>
        <v>27</v>
      </c>
      <c r="O26" s="5">
        <f>IFERROR(HLOOKUP(D26,Standings!$F$3:$BA$5,3,FALSE),0)</f>
        <v>13</v>
      </c>
      <c r="P26" s="5">
        <f>IFERROR(HLOOKUP(E26,Standings!$F$3:$BA$5,3,FALSE),0)</f>
        <v>3</v>
      </c>
      <c r="Q26" s="5">
        <f>IFERROR(HLOOKUP(F26,Standings!$F$3:$BA$5,3,FALSE),0)</f>
        <v>60</v>
      </c>
      <c r="R26" s="5">
        <f>IFERROR(HLOOKUP(G26,Standings!$F$3:$BA$5,3,FALSE),0)</f>
        <v>20</v>
      </c>
      <c r="S26" s="5">
        <f>IFERROR(HLOOKUP(H26,Standings!$F$3:$BA$5,3,FALSE),0)</f>
        <v>0</v>
      </c>
      <c r="T26" s="5">
        <f>IFERROR(HLOOKUP(I26,Standings!$F$3:$BA$5,3,FALSE),0)</f>
        <v>0</v>
      </c>
      <c r="U26" s="5">
        <f>IFERROR(HLOOKUP(J26,Standings!$F$3:$BA$5,3,FALSE),0)</f>
        <v>0</v>
      </c>
      <c r="V26" s="5">
        <f>IFERROR(HLOOKUP(K26,Standings!$F$3:$BA$5,3,FALSE),0)</f>
        <v>0</v>
      </c>
      <c r="W26" s="5">
        <f>-IFERROR(HLOOKUP(L26,Standings!$F$3:$BA$5,3,FALSE),0)</f>
        <v>-23</v>
      </c>
      <c r="X26" s="5">
        <f t="shared" si="0"/>
        <v>100</v>
      </c>
    </row>
    <row r="27" spans="2:24" x14ac:dyDescent="0.25">
      <c r="B27" s="48" t="s">
        <v>160</v>
      </c>
      <c r="C27" s="5" t="s">
        <v>59</v>
      </c>
      <c r="D27" s="5" t="s">
        <v>49</v>
      </c>
      <c r="E27" s="5" t="s">
        <v>68</v>
      </c>
      <c r="F27" s="5" t="s">
        <v>48</v>
      </c>
      <c r="G27" s="5" t="s">
        <v>65</v>
      </c>
      <c r="H27" s="5" t="s">
        <v>56</v>
      </c>
      <c r="I27" s="5" t="s">
        <v>76</v>
      </c>
      <c r="L27" s="5" t="s">
        <v>47</v>
      </c>
      <c r="N27" s="5">
        <f>IFERROR(HLOOKUP(C27,Standings!$F$3:$BA$5,3,FALSE),0)</f>
        <v>68</v>
      </c>
      <c r="O27" s="5">
        <f>IFERROR(HLOOKUP(D27,Standings!$F$3:$BA$5,3,FALSE),0)</f>
        <v>16</v>
      </c>
      <c r="P27" s="5">
        <f>IFERROR(HLOOKUP(E27,Standings!$F$3:$BA$5,3,FALSE),0)</f>
        <v>18</v>
      </c>
      <c r="Q27" s="5">
        <f>IFERROR(HLOOKUP(F27,Standings!$F$3:$BA$5,3,FALSE),0)</f>
        <v>12</v>
      </c>
      <c r="R27" s="5">
        <f>IFERROR(HLOOKUP(G27,Standings!$F$3:$BA$5,3,FALSE),0)</f>
        <v>13</v>
      </c>
      <c r="S27" s="5">
        <f>IFERROR(HLOOKUP(H27,Standings!$F$3:$BA$5,3,FALSE),0)</f>
        <v>3</v>
      </c>
      <c r="T27" s="5">
        <f>IFERROR(HLOOKUP(I27,Standings!$F$3:$BA$5,3,FALSE),0)</f>
        <v>8</v>
      </c>
      <c r="U27" s="5">
        <f>IFERROR(HLOOKUP(J27,Standings!$F$3:$BA$5,3,FALSE),0)</f>
        <v>0</v>
      </c>
      <c r="V27" s="5">
        <f>IFERROR(HLOOKUP(K27,Standings!$F$3:$BA$5,3,FALSE),0)</f>
        <v>0</v>
      </c>
      <c r="W27" s="5">
        <f>-IFERROR(HLOOKUP(L27,Standings!$F$3:$BA$5,3,FALSE),0)</f>
        <v>-38</v>
      </c>
      <c r="X27" s="5">
        <f t="shared" si="0"/>
        <v>100</v>
      </c>
    </row>
    <row r="28" spans="2:24" x14ac:dyDescent="0.25">
      <c r="B28" s="48" t="s">
        <v>162</v>
      </c>
      <c r="C28" s="5" t="s">
        <v>59</v>
      </c>
      <c r="D28" s="5" t="s">
        <v>51</v>
      </c>
      <c r="E28" s="5" t="s">
        <v>48</v>
      </c>
      <c r="F28" s="5" t="s">
        <v>74</v>
      </c>
      <c r="G28" s="5" t="s">
        <v>56</v>
      </c>
      <c r="L28" s="5" t="s">
        <v>47</v>
      </c>
      <c r="N28" s="5">
        <f>IFERROR(HLOOKUP(C28,Standings!$F$3:$BA$5,3,FALSE),0)</f>
        <v>68</v>
      </c>
      <c r="O28" s="5">
        <f>IFERROR(HLOOKUP(D28,Standings!$F$3:$BA$5,3,FALSE),0)</f>
        <v>52</v>
      </c>
      <c r="P28" s="5">
        <f>IFERROR(HLOOKUP(E28,Standings!$F$3:$BA$5,3,FALSE),0)</f>
        <v>12</v>
      </c>
      <c r="Q28" s="5">
        <f>IFERROR(HLOOKUP(F28,Standings!$F$3:$BA$5,3,FALSE),0)</f>
        <v>3</v>
      </c>
      <c r="R28" s="5">
        <f>IFERROR(HLOOKUP(G28,Standings!$F$3:$BA$5,3,FALSE),0)</f>
        <v>3</v>
      </c>
      <c r="S28" s="5">
        <f>IFERROR(HLOOKUP(H28,Standings!$F$3:$BA$5,3,FALSE),0)</f>
        <v>0</v>
      </c>
      <c r="T28" s="5">
        <f>IFERROR(HLOOKUP(I28,Standings!$F$3:$BA$5,3,FALSE),0)</f>
        <v>0</v>
      </c>
      <c r="U28" s="5">
        <f>IFERROR(HLOOKUP(J28,Standings!$F$3:$BA$5,3,FALSE),0)</f>
        <v>0</v>
      </c>
      <c r="V28" s="5">
        <f>IFERROR(HLOOKUP(K28,Standings!$F$3:$BA$5,3,FALSE),0)</f>
        <v>0</v>
      </c>
      <c r="W28" s="5">
        <f>-IFERROR(HLOOKUP(L28,Standings!$F$3:$BA$5,3,FALSE),0)</f>
        <v>-38</v>
      </c>
      <c r="X28" s="5">
        <f t="shared" si="0"/>
        <v>100</v>
      </c>
    </row>
    <row r="29" spans="2:24" x14ac:dyDescent="0.25">
      <c r="B29" s="48" t="s">
        <v>164</v>
      </c>
      <c r="C29" s="5" t="s">
        <v>51</v>
      </c>
      <c r="D29" s="5" t="s">
        <v>68</v>
      </c>
      <c r="E29" s="5" t="s">
        <v>49</v>
      </c>
      <c r="F29" s="5" t="s">
        <v>48</v>
      </c>
      <c r="G29" s="5" t="s">
        <v>65</v>
      </c>
      <c r="H29" s="5" t="s">
        <v>56</v>
      </c>
      <c r="I29" s="5" t="s">
        <v>74</v>
      </c>
      <c r="J29" s="5" t="s">
        <v>43</v>
      </c>
      <c r="L29" s="5" t="s">
        <v>53</v>
      </c>
      <c r="N29" s="5">
        <f>IFERROR(HLOOKUP(C29,Standings!$F$3:$BA$5,3,FALSE),0)</f>
        <v>52</v>
      </c>
      <c r="O29" s="5">
        <f>IFERROR(HLOOKUP(D29,Standings!$F$3:$BA$5,3,FALSE),0)</f>
        <v>18</v>
      </c>
      <c r="P29" s="5">
        <f>IFERROR(HLOOKUP(E29,Standings!$F$3:$BA$5,3,FALSE),0)</f>
        <v>16</v>
      </c>
      <c r="Q29" s="5">
        <f>IFERROR(HLOOKUP(F29,Standings!$F$3:$BA$5,3,FALSE),0)</f>
        <v>12</v>
      </c>
      <c r="R29" s="5">
        <f>IFERROR(HLOOKUP(G29,Standings!$F$3:$BA$5,3,FALSE),0)</f>
        <v>13</v>
      </c>
      <c r="S29" s="5">
        <f>IFERROR(HLOOKUP(H29,Standings!$F$3:$BA$5,3,FALSE),0)</f>
        <v>3</v>
      </c>
      <c r="T29" s="5">
        <f>IFERROR(HLOOKUP(I29,Standings!$F$3:$BA$5,3,FALSE),0)</f>
        <v>3</v>
      </c>
      <c r="U29" s="5">
        <f>IFERROR(HLOOKUP(J29,Standings!$F$3:$BA$5,3,FALSE),0)</f>
        <v>3</v>
      </c>
      <c r="V29" s="5">
        <f>IFERROR(HLOOKUP(K29,Standings!$F$3:$BA$5,3,FALSE),0)</f>
        <v>0</v>
      </c>
      <c r="W29" s="5">
        <f>-IFERROR(HLOOKUP(L29,Standings!$F$3:$BA$5,3,FALSE),0)</f>
        <v>-20</v>
      </c>
      <c r="X29" s="5">
        <f t="shared" si="0"/>
        <v>100</v>
      </c>
    </row>
    <row r="30" spans="2:24" x14ac:dyDescent="0.25">
      <c r="B30" s="48" t="s">
        <v>166</v>
      </c>
      <c r="C30" s="5" t="s">
        <v>61</v>
      </c>
      <c r="D30" s="5" t="s">
        <v>68</v>
      </c>
      <c r="E30" s="5" t="s">
        <v>49</v>
      </c>
      <c r="F30" s="5" t="s">
        <v>48</v>
      </c>
      <c r="G30" s="5" t="s">
        <v>65</v>
      </c>
      <c r="H30" s="5" t="s">
        <v>76</v>
      </c>
      <c r="I30" s="5" t="s">
        <v>56</v>
      </c>
      <c r="L30" s="5" t="s">
        <v>53</v>
      </c>
      <c r="N30" s="5">
        <f>IFERROR(HLOOKUP(C30,Standings!$F$3:$BA$5,3,FALSE),0)</f>
        <v>50</v>
      </c>
      <c r="O30" s="5">
        <f>IFERROR(HLOOKUP(D30,Standings!$F$3:$BA$5,3,FALSE),0)</f>
        <v>18</v>
      </c>
      <c r="P30" s="5">
        <f>IFERROR(HLOOKUP(E30,Standings!$F$3:$BA$5,3,FALSE),0)</f>
        <v>16</v>
      </c>
      <c r="Q30" s="5">
        <f>IFERROR(HLOOKUP(F30,Standings!$F$3:$BA$5,3,FALSE),0)</f>
        <v>12</v>
      </c>
      <c r="R30" s="5">
        <f>IFERROR(HLOOKUP(G30,Standings!$F$3:$BA$5,3,FALSE),0)</f>
        <v>13</v>
      </c>
      <c r="S30" s="5">
        <f>IFERROR(HLOOKUP(H30,Standings!$F$3:$BA$5,3,FALSE),0)</f>
        <v>8</v>
      </c>
      <c r="T30" s="5">
        <f>IFERROR(HLOOKUP(I30,Standings!$F$3:$BA$5,3,FALSE),0)</f>
        <v>3</v>
      </c>
      <c r="U30" s="5">
        <f>IFERROR(HLOOKUP(J30,Standings!$F$3:$BA$5,3,FALSE),0)</f>
        <v>0</v>
      </c>
      <c r="V30" s="5">
        <f>IFERROR(HLOOKUP(K30,Standings!$F$3:$BA$5,3,FALSE),0)</f>
        <v>0</v>
      </c>
      <c r="W30" s="5">
        <f>-IFERROR(HLOOKUP(L30,Standings!$F$3:$BA$5,3,FALSE),0)</f>
        <v>-20</v>
      </c>
      <c r="X30" s="5">
        <f t="shared" si="0"/>
        <v>100</v>
      </c>
    </row>
    <row r="31" spans="2:24" x14ac:dyDescent="0.25">
      <c r="B31" s="48" t="s">
        <v>168</v>
      </c>
      <c r="C31" s="5" t="s">
        <v>50</v>
      </c>
      <c r="D31" s="5" t="s">
        <v>60</v>
      </c>
      <c r="E31" s="5" t="s">
        <v>89</v>
      </c>
      <c r="F31" s="5" t="s">
        <v>47</v>
      </c>
      <c r="G31" s="5" t="s">
        <v>93</v>
      </c>
      <c r="H31" s="5" t="s">
        <v>54</v>
      </c>
      <c r="I31" s="5" t="s">
        <v>69</v>
      </c>
      <c r="J31" s="5" t="s">
        <v>75</v>
      </c>
      <c r="K31" s="5" t="s">
        <v>73</v>
      </c>
      <c r="L31" s="5" t="s">
        <v>38</v>
      </c>
      <c r="N31" s="5">
        <f>IFERROR(HLOOKUP(C31,Standings!$F$3:$BA$5,3,FALSE),0)</f>
        <v>23</v>
      </c>
      <c r="O31" s="5">
        <f>IFERROR(HLOOKUP(D31,Standings!$F$3:$BA$5,3,FALSE),0)</f>
        <v>26</v>
      </c>
      <c r="P31" s="5">
        <f>IFERROR(HLOOKUP(E31,Standings!$F$3:$BA$5,3,FALSE),0)</f>
        <v>11</v>
      </c>
      <c r="Q31" s="5">
        <f>IFERROR(HLOOKUP(F31,Standings!$F$3:$BA$5,3,FALSE),0)</f>
        <v>38</v>
      </c>
      <c r="R31" s="5">
        <f>IFERROR(HLOOKUP(G31,Standings!$F$3:$BA$5,3,FALSE),0)</f>
        <v>5</v>
      </c>
      <c r="S31" s="5">
        <f>IFERROR(HLOOKUP(H31,Standings!$F$3:$BA$5,3,FALSE),0)</f>
        <v>17</v>
      </c>
      <c r="T31" s="5">
        <f>IFERROR(HLOOKUP(I31,Standings!$F$3:$BA$5,3,FALSE),0)</f>
        <v>9</v>
      </c>
      <c r="U31" s="5">
        <f>IFERROR(HLOOKUP(J31,Standings!$F$3:$BA$5,3,FALSE),0)</f>
        <v>9</v>
      </c>
      <c r="V31" s="5">
        <f>IFERROR(HLOOKUP(K31,Standings!$F$3:$BA$5,3,FALSE),0)</f>
        <v>7</v>
      </c>
      <c r="W31" s="5">
        <f>-IFERROR(HLOOKUP(L31,Standings!$F$3:$BA$5,3,FALSE),0)</f>
        <v>-45</v>
      </c>
      <c r="X31" s="5">
        <f t="shared" si="0"/>
        <v>100</v>
      </c>
    </row>
    <row r="32" spans="2:24" x14ac:dyDescent="0.25">
      <c r="B32" s="48" t="s">
        <v>170</v>
      </c>
      <c r="C32" s="5" t="s">
        <v>40</v>
      </c>
      <c r="D32" s="5" t="s">
        <v>62</v>
      </c>
      <c r="E32" s="5" t="s">
        <v>50</v>
      </c>
      <c r="F32" s="5" t="s">
        <v>47</v>
      </c>
      <c r="G32" s="5" t="s">
        <v>72</v>
      </c>
      <c r="H32" s="5" t="s">
        <v>69</v>
      </c>
      <c r="I32" s="5" t="s">
        <v>76</v>
      </c>
      <c r="J32" s="5" t="s">
        <v>73</v>
      </c>
      <c r="K32" s="5" t="s">
        <v>92</v>
      </c>
      <c r="L32" s="5" t="s">
        <v>45</v>
      </c>
      <c r="N32" s="5">
        <f>IFERROR(HLOOKUP(C32,Standings!$F$3:$BA$5,3,FALSE),0)</f>
        <v>35</v>
      </c>
      <c r="O32" s="5">
        <f>IFERROR(HLOOKUP(D32,Standings!$F$3:$BA$5,3,FALSE),0)</f>
        <v>21</v>
      </c>
      <c r="P32" s="5">
        <f>IFERROR(HLOOKUP(E32,Standings!$F$3:$BA$5,3,FALSE),0)</f>
        <v>23</v>
      </c>
      <c r="Q32" s="5">
        <f>IFERROR(HLOOKUP(F32,Standings!$F$3:$BA$5,3,FALSE),0)</f>
        <v>38</v>
      </c>
      <c r="R32" s="5">
        <f>IFERROR(HLOOKUP(G32,Standings!$F$3:$BA$5,3,FALSE),0)</f>
        <v>25</v>
      </c>
      <c r="S32" s="5">
        <f>IFERROR(HLOOKUP(H32,Standings!$F$3:$BA$5,3,FALSE),0)</f>
        <v>9</v>
      </c>
      <c r="T32" s="5">
        <f>IFERROR(HLOOKUP(I32,Standings!$F$3:$BA$5,3,FALSE),0)</f>
        <v>8</v>
      </c>
      <c r="U32" s="5">
        <f>IFERROR(HLOOKUP(J32,Standings!$F$3:$BA$5,3,FALSE),0)</f>
        <v>7</v>
      </c>
      <c r="V32" s="5">
        <f>IFERROR(HLOOKUP(K32,Standings!$F$3:$BA$5,3,FALSE),0)</f>
        <v>4</v>
      </c>
      <c r="W32" s="5">
        <f>-IFERROR(HLOOKUP(L32,Standings!$F$3:$BA$5,3,FALSE),0)</f>
        <v>-70</v>
      </c>
      <c r="X32" s="5">
        <f t="shared" si="0"/>
        <v>100</v>
      </c>
    </row>
    <row r="33" spans="2:24" x14ac:dyDescent="0.25">
      <c r="B33" s="48" t="s">
        <v>171</v>
      </c>
      <c r="C33" s="5" t="s">
        <v>72</v>
      </c>
      <c r="D33" s="5" t="s">
        <v>49</v>
      </c>
      <c r="E33" s="5" t="s">
        <v>58</v>
      </c>
      <c r="F33" s="5" t="s">
        <v>41</v>
      </c>
      <c r="G33" s="5" t="s">
        <v>40</v>
      </c>
      <c r="N33" s="5">
        <f>IFERROR(HLOOKUP(C33,Standings!$F$3:$BA$5,3,FALSE),0)</f>
        <v>25</v>
      </c>
      <c r="O33" s="5">
        <f>IFERROR(HLOOKUP(D33,Standings!$F$3:$BA$5,3,FALSE),0)</f>
        <v>16</v>
      </c>
      <c r="P33" s="5">
        <f>IFERROR(HLOOKUP(E33,Standings!$F$3:$BA$5,3,FALSE),0)</f>
        <v>4</v>
      </c>
      <c r="Q33" s="5">
        <f>IFERROR(HLOOKUP(F33,Standings!$F$3:$BA$5,3,FALSE),0)</f>
        <v>20</v>
      </c>
      <c r="R33" s="5">
        <f>IFERROR(HLOOKUP(G33,Standings!$F$3:$BA$5,3,FALSE),0)</f>
        <v>35</v>
      </c>
      <c r="S33" s="5">
        <f>IFERROR(HLOOKUP(H33,Standings!$F$3:$BA$5,3,FALSE),0)</f>
        <v>0</v>
      </c>
      <c r="T33" s="5">
        <f>IFERROR(HLOOKUP(I33,Standings!$F$3:$BA$5,3,FALSE),0)</f>
        <v>0</v>
      </c>
      <c r="U33" s="5">
        <f>IFERROR(HLOOKUP(J33,Standings!$F$3:$BA$5,3,FALSE),0)</f>
        <v>0</v>
      </c>
      <c r="V33" s="5">
        <f>IFERROR(HLOOKUP(K33,Standings!$F$3:$BA$5,3,FALSE),0)</f>
        <v>0</v>
      </c>
      <c r="W33" s="5">
        <f>-IFERROR(HLOOKUP(L33,Standings!$F$3:$BA$5,3,FALSE),0)</f>
        <v>0</v>
      </c>
      <c r="X33" s="5">
        <f t="shared" si="0"/>
        <v>100</v>
      </c>
    </row>
    <row r="34" spans="2:24" x14ac:dyDescent="0.25">
      <c r="B34" s="48" t="s">
        <v>173</v>
      </c>
      <c r="C34" s="5" t="s">
        <v>51</v>
      </c>
      <c r="D34" s="5" t="s">
        <v>50</v>
      </c>
      <c r="E34" s="5" t="s">
        <v>47</v>
      </c>
      <c r="L34" s="5" t="s">
        <v>91</v>
      </c>
      <c r="N34" s="5">
        <f>IFERROR(HLOOKUP(C34,Standings!$F$3:$BA$5,3,FALSE),0)</f>
        <v>52</v>
      </c>
      <c r="O34" s="5">
        <f>IFERROR(HLOOKUP(D34,Standings!$F$3:$BA$5,3,FALSE),0)</f>
        <v>23</v>
      </c>
      <c r="P34" s="5">
        <f>IFERROR(HLOOKUP(E34,Standings!$F$3:$BA$5,3,FALSE),0)</f>
        <v>38</v>
      </c>
      <c r="Q34" s="5">
        <f>IFERROR(HLOOKUP(F34,Standings!$F$3:$BA$5,3,FALSE),0)</f>
        <v>0</v>
      </c>
      <c r="R34" s="5">
        <f>IFERROR(HLOOKUP(G34,Standings!$F$3:$BA$5,3,FALSE),0)</f>
        <v>0</v>
      </c>
      <c r="S34" s="5">
        <f>IFERROR(HLOOKUP(H34,Standings!$F$3:$BA$5,3,FALSE),0)</f>
        <v>0</v>
      </c>
      <c r="T34" s="5">
        <f>IFERROR(HLOOKUP(I34,Standings!$F$3:$BA$5,3,FALSE),0)</f>
        <v>0</v>
      </c>
      <c r="U34" s="5">
        <f>IFERROR(HLOOKUP(J34,Standings!$F$3:$BA$5,3,FALSE),0)</f>
        <v>0</v>
      </c>
      <c r="V34" s="5">
        <f>IFERROR(HLOOKUP(K34,Standings!$F$3:$BA$5,3,FALSE),0)</f>
        <v>0</v>
      </c>
      <c r="W34" s="5">
        <f>-IFERROR(HLOOKUP(L34,Standings!$F$3:$BA$5,3,FALSE),0)</f>
        <v>-13</v>
      </c>
      <c r="X34" s="5">
        <f t="shared" ref="X34:X65" si="1">SUM(N34:W34)</f>
        <v>100</v>
      </c>
    </row>
    <row r="35" spans="2:24" x14ac:dyDescent="0.25">
      <c r="B35" s="48" t="s">
        <v>175</v>
      </c>
      <c r="C35" s="5" t="s">
        <v>44</v>
      </c>
      <c r="D35" s="5" t="s">
        <v>52</v>
      </c>
      <c r="L35" s="5" t="s">
        <v>57</v>
      </c>
      <c r="N35" s="5">
        <f>IFERROR(HLOOKUP(C35,Standings!$F$3:$BA$5,3,FALSE),0)</f>
        <v>60</v>
      </c>
      <c r="O35" s="5">
        <f>IFERROR(HLOOKUP(D35,Standings!$F$3:$BA$5,3,FALSE),0)</f>
        <v>54</v>
      </c>
      <c r="P35" s="5">
        <f>IFERROR(HLOOKUP(E35,Standings!$F$3:$BA$5,3,FALSE),0)</f>
        <v>0</v>
      </c>
      <c r="Q35" s="5">
        <f>IFERROR(HLOOKUP(F35,Standings!$F$3:$BA$5,3,FALSE),0)</f>
        <v>0</v>
      </c>
      <c r="R35" s="5">
        <f>IFERROR(HLOOKUP(G35,Standings!$F$3:$BA$5,3,FALSE),0)</f>
        <v>0</v>
      </c>
      <c r="S35" s="5">
        <f>IFERROR(HLOOKUP(H35,Standings!$F$3:$BA$5,3,FALSE),0)</f>
        <v>0</v>
      </c>
      <c r="T35" s="5">
        <f>IFERROR(HLOOKUP(I35,Standings!$F$3:$BA$5,3,FALSE),0)</f>
        <v>0</v>
      </c>
      <c r="U35" s="5">
        <f>IFERROR(HLOOKUP(J35,Standings!$F$3:$BA$5,3,FALSE),0)</f>
        <v>0</v>
      </c>
      <c r="V35" s="5">
        <f>IFERROR(HLOOKUP(K35,Standings!$F$3:$BA$5,3,FALSE),0)</f>
        <v>0</v>
      </c>
      <c r="W35" s="5">
        <f>-IFERROR(HLOOKUP(L35,Standings!$F$3:$BA$5,3,FALSE),0)</f>
        <v>-14</v>
      </c>
      <c r="X35" s="5">
        <f t="shared" si="1"/>
        <v>100</v>
      </c>
    </row>
    <row r="36" spans="2:24" x14ac:dyDescent="0.25">
      <c r="B36" s="48" t="s">
        <v>176</v>
      </c>
      <c r="C36" s="5" t="s">
        <v>40</v>
      </c>
      <c r="D36" s="5" t="s">
        <v>42</v>
      </c>
      <c r="E36" s="5" t="s">
        <v>60</v>
      </c>
      <c r="F36" s="5" t="s">
        <v>41</v>
      </c>
      <c r="G36" s="5" t="s">
        <v>67</v>
      </c>
      <c r="H36" s="5" t="s">
        <v>49</v>
      </c>
      <c r="I36" s="5" t="s">
        <v>48</v>
      </c>
      <c r="J36" s="5" t="s">
        <v>71</v>
      </c>
      <c r="K36" s="5" t="s">
        <v>74</v>
      </c>
      <c r="L36" s="5" t="s">
        <v>59</v>
      </c>
      <c r="N36" s="5">
        <f>IFERROR(HLOOKUP(C36,Standings!$F$3:$BA$5,3,FALSE),0)</f>
        <v>35</v>
      </c>
      <c r="O36" s="5">
        <f>IFERROR(HLOOKUP(D36,Standings!$F$3:$BA$5,3,FALSE),0)</f>
        <v>27</v>
      </c>
      <c r="P36" s="5">
        <f>IFERROR(HLOOKUP(E36,Standings!$F$3:$BA$5,3,FALSE),0)</f>
        <v>26</v>
      </c>
      <c r="Q36" s="5">
        <f>IFERROR(HLOOKUP(F36,Standings!$F$3:$BA$5,3,FALSE),0)</f>
        <v>20</v>
      </c>
      <c r="R36" s="5">
        <f>IFERROR(HLOOKUP(G36,Standings!$F$3:$BA$5,3,FALSE),0)</f>
        <v>19</v>
      </c>
      <c r="S36" s="5">
        <f>IFERROR(HLOOKUP(H36,Standings!$F$3:$BA$5,3,FALSE),0)</f>
        <v>16</v>
      </c>
      <c r="T36" s="5">
        <f>IFERROR(HLOOKUP(I36,Standings!$F$3:$BA$5,3,FALSE),0)</f>
        <v>12</v>
      </c>
      <c r="U36" s="5">
        <f>IFERROR(HLOOKUP(J36,Standings!$F$3:$BA$5,3,FALSE),0)</f>
        <v>10</v>
      </c>
      <c r="V36" s="5">
        <f>IFERROR(HLOOKUP(K36,Standings!$F$3:$BA$5,3,FALSE),0)</f>
        <v>3</v>
      </c>
      <c r="W36" s="5">
        <f>-IFERROR(HLOOKUP(L36,Standings!$F$3:$BA$5,3,FALSE),0)</f>
        <v>-68</v>
      </c>
      <c r="X36" s="5">
        <f t="shared" si="1"/>
        <v>100</v>
      </c>
    </row>
    <row r="37" spans="2:24" x14ac:dyDescent="0.25">
      <c r="B37" s="48" t="s">
        <v>178</v>
      </c>
      <c r="C37" s="5" t="s">
        <v>59</v>
      </c>
      <c r="D37" s="5" t="s">
        <v>45</v>
      </c>
      <c r="L37" s="5" t="s">
        <v>47</v>
      </c>
      <c r="N37" s="5">
        <f>IFERROR(HLOOKUP(C37,Standings!$F$3:$BA$5,3,FALSE),0)</f>
        <v>68</v>
      </c>
      <c r="O37" s="5">
        <f>IFERROR(HLOOKUP(D37,Standings!$F$3:$BA$5,3,FALSE),0)</f>
        <v>70</v>
      </c>
      <c r="P37" s="5">
        <f>IFERROR(HLOOKUP(E37,Standings!$F$3:$BA$5,3,FALSE),0)</f>
        <v>0</v>
      </c>
      <c r="Q37" s="5">
        <f>IFERROR(HLOOKUP(F37,Standings!$F$3:$BA$5,3,FALSE),0)</f>
        <v>0</v>
      </c>
      <c r="R37" s="5">
        <f>IFERROR(HLOOKUP(G37,Standings!$F$3:$BA$5,3,FALSE),0)</f>
        <v>0</v>
      </c>
      <c r="S37" s="5">
        <f>IFERROR(HLOOKUP(H37,Standings!$F$3:$BA$5,3,FALSE),0)</f>
        <v>0</v>
      </c>
      <c r="T37" s="5">
        <f>IFERROR(HLOOKUP(I37,Standings!$F$3:$BA$5,3,FALSE),0)</f>
        <v>0</v>
      </c>
      <c r="U37" s="5">
        <f>IFERROR(HLOOKUP(J37,Standings!$F$3:$BA$5,3,FALSE),0)</f>
        <v>0</v>
      </c>
      <c r="V37" s="5">
        <f>IFERROR(HLOOKUP(K37,Standings!$F$3:$BA$5,3,FALSE),0)</f>
        <v>0</v>
      </c>
      <c r="W37" s="5">
        <f>-IFERROR(HLOOKUP(L37,Standings!$F$3:$BA$5,3,FALSE),0)</f>
        <v>-38</v>
      </c>
      <c r="X37" s="5">
        <f t="shared" si="1"/>
        <v>100</v>
      </c>
    </row>
    <row r="38" spans="2:24" x14ac:dyDescent="0.25">
      <c r="B38" s="48" t="s">
        <v>179</v>
      </c>
      <c r="C38" s="5" t="s">
        <v>47</v>
      </c>
      <c r="D38" s="5" t="s">
        <v>40</v>
      </c>
      <c r="E38" s="5" t="s">
        <v>59</v>
      </c>
      <c r="F38" s="5" t="s">
        <v>58</v>
      </c>
      <c r="L38" s="5" t="s">
        <v>38</v>
      </c>
      <c r="N38" s="5">
        <f>IFERROR(HLOOKUP(C38,Standings!$F$3:$BA$5,3,FALSE),0)</f>
        <v>38</v>
      </c>
      <c r="O38" s="5">
        <f>IFERROR(HLOOKUP(D38,Standings!$F$3:$BA$5,3,FALSE),0)</f>
        <v>35</v>
      </c>
      <c r="P38" s="5">
        <f>IFERROR(HLOOKUP(E38,Standings!$F$3:$BA$5,3,FALSE),0)</f>
        <v>68</v>
      </c>
      <c r="Q38" s="5">
        <f>IFERROR(HLOOKUP(F38,Standings!$F$3:$BA$5,3,FALSE),0)</f>
        <v>4</v>
      </c>
      <c r="R38" s="5">
        <f>IFERROR(HLOOKUP(G38,Standings!$F$3:$BA$5,3,FALSE),0)</f>
        <v>0</v>
      </c>
      <c r="S38" s="5">
        <f>IFERROR(HLOOKUP(H38,Standings!$F$3:$BA$5,3,FALSE),0)</f>
        <v>0</v>
      </c>
      <c r="T38" s="5">
        <f>IFERROR(HLOOKUP(I38,Standings!$F$3:$BA$5,3,FALSE),0)</f>
        <v>0</v>
      </c>
      <c r="U38" s="5">
        <f>IFERROR(HLOOKUP(J38,Standings!$F$3:$BA$5,3,FALSE),0)</f>
        <v>0</v>
      </c>
      <c r="V38" s="5">
        <f>IFERROR(HLOOKUP(K38,Standings!$F$3:$BA$5,3,FALSE),0)</f>
        <v>0</v>
      </c>
      <c r="W38" s="5">
        <f>-IFERROR(HLOOKUP(L38,Standings!$F$3:$BA$5,3,FALSE),0)</f>
        <v>-45</v>
      </c>
      <c r="X38" s="5">
        <f t="shared" si="1"/>
        <v>100</v>
      </c>
    </row>
    <row r="39" spans="2:24" x14ac:dyDescent="0.25">
      <c r="B39" s="48" t="s">
        <v>181</v>
      </c>
      <c r="C39" s="5" t="s">
        <v>45</v>
      </c>
      <c r="D39" s="5" t="s">
        <v>42</v>
      </c>
      <c r="E39" s="5" t="s">
        <v>68</v>
      </c>
      <c r="F39" s="5" t="s">
        <v>92</v>
      </c>
      <c r="L39" s="5" t="s">
        <v>67</v>
      </c>
      <c r="N39" s="5">
        <f>IFERROR(HLOOKUP(C39,Standings!$F$3:$BA$5,3,FALSE),0)</f>
        <v>70</v>
      </c>
      <c r="O39" s="5">
        <f>IFERROR(HLOOKUP(D39,Standings!$F$3:$BA$5,3,FALSE),0)</f>
        <v>27</v>
      </c>
      <c r="P39" s="5">
        <f>IFERROR(HLOOKUP(E39,Standings!$F$3:$BA$5,3,FALSE),0)</f>
        <v>18</v>
      </c>
      <c r="Q39" s="5">
        <f>IFERROR(HLOOKUP(F39,Standings!$F$3:$BA$5,3,FALSE),0)</f>
        <v>4</v>
      </c>
      <c r="R39" s="5">
        <f>IFERROR(HLOOKUP(G39,Standings!$F$3:$BA$5,3,FALSE),0)</f>
        <v>0</v>
      </c>
      <c r="S39" s="5">
        <f>IFERROR(HLOOKUP(H39,Standings!$F$3:$BA$5,3,FALSE),0)</f>
        <v>0</v>
      </c>
      <c r="T39" s="5">
        <f>IFERROR(HLOOKUP(I39,Standings!$F$3:$BA$5,3,FALSE),0)</f>
        <v>0</v>
      </c>
      <c r="U39" s="5">
        <f>IFERROR(HLOOKUP(J39,Standings!$F$3:$BA$5,3,FALSE),0)</f>
        <v>0</v>
      </c>
      <c r="V39" s="5">
        <f>IFERROR(HLOOKUP(K39,Standings!$F$3:$BA$5,3,FALSE),0)</f>
        <v>0</v>
      </c>
      <c r="W39" s="5">
        <f>-IFERROR(HLOOKUP(L39,Standings!$F$3:$BA$5,3,FALSE),0)</f>
        <v>-19</v>
      </c>
      <c r="X39" s="5">
        <f t="shared" si="1"/>
        <v>100</v>
      </c>
    </row>
    <row r="40" spans="2:24" x14ac:dyDescent="0.25">
      <c r="B40" s="48" t="s">
        <v>182</v>
      </c>
      <c r="C40" s="5" t="s">
        <v>59</v>
      </c>
      <c r="D40" s="5" t="s">
        <v>45</v>
      </c>
      <c r="E40" s="5" t="s">
        <v>49</v>
      </c>
      <c r="L40" s="5" t="s">
        <v>52</v>
      </c>
      <c r="N40" s="5">
        <f>IFERROR(HLOOKUP(C40,Standings!$F$3:$BA$5,3,FALSE),0)</f>
        <v>68</v>
      </c>
      <c r="O40" s="5">
        <f>IFERROR(HLOOKUP(D40,Standings!$F$3:$BA$5,3,FALSE),0)</f>
        <v>70</v>
      </c>
      <c r="P40" s="5">
        <f>IFERROR(HLOOKUP(E40,Standings!$F$3:$BA$5,3,FALSE),0)</f>
        <v>16</v>
      </c>
      <c r="Q40" s="5">
        <f>IFERROR(HLOOKUP(F40,Standings!$F$3:$BA$5,3,FALSE),0)</f>
        <v>0</v>
      </c>
      <c r="R40" s="5">
        <f>IFERROR(HLOOKUP(G40,Standings!$F$3:$BA$5,3,FALSE),0)</f>
        <v>0</v>
      </c>
      <c r="S40" s="5">
        <f>IFERROR(HLOOKUP(H40,Standings!$F$3:$BA$5,3,FALSE),0)</f>
        <v>0</v>
      </c>
      <c r="T40" s="5">
        <f>IFERROR(HLOOKUP(I40,Standings!$F$3:$BA$5,3,FALSE),0)</f>
        <v>0</v>
      </c>
      <c r="U40" s="5">
        <f>IFERROR(HLOOKUP(J40,Standings!$F$3:$BA$5,3,FALSE),0)</f>
        <v>0</v>
      </c>
      <c r="V40" s="5">
        <f>IFERROR(HLOOKUP(K40,Standings!$F$3:$BA$5,3,FALSE),0)</f>
        <v>0</v>
      </c>
      <c r="W40" s="5">
        <f>-IFERROR(HLOOKUP(L40,Standings!$F$3:$BA$5,3,FALSE),0)</f>
        <v>-54</v>
      </c>
      <c r="X40" s="5">
        <f t="shared" si="1"/>
        <v>100</v>
      </c>
    </row>
    <row r="41" spans="2:24" x14ac:dyDescent="0.25">
      <c r="B41" s="48" t="s">
        <v>184</v>
      </c>
      <c r="C41" s="5" t="s">
        <v>38</v>
      </c>
      <c r="D41" s="5" t="s">
        <v>40</v>
      </c>
      <c r="E41" s="5" t="s">
        <v>41</v>
      </c>
      <c r="F41" s="5" t="s">
        <v>62</v>
      </c>
      <c r="G41" s="5" t="s">
        <v>50</v>
      </c>
      <c r="H41" s="5" t="s">
        <v>77</v>
      </c>
      <c r="L41" s="5" t="s">
        <v>61</v>
      </c>
      <c r="N41" s="5">
        <f>IFERROR(HLOOKUP(C41,Standings!$F$3:$BA$5,3,FALSE),0)</f>
        <v>45</v>
      </c>
      <c r="O41" s="5">
        <f>IFERROR(HLOOKUP(D41,Standings!$F$3:$BA$5,3,FALSE),0)</f>
        <v>35</v>
      </c>
      <c r="P41" s="5">
        <f>IFERROR(HLOOKUP(E41,Standings!$F$3:$BA$5,3,FALSE),0)</f>
        <v>20</v>
      </c>
      <c r="Q41" s="5">
        <f>IFERROR(HLOOKUP(F41,Standings!$F$3:$BA$5,3,FALSE),0)</f>
        <v>21</v>
      </c>
      <c r="R41" s="5">
        <f>IFERROR(HLOOKUP(G41,Standings!$F$3:$BA$5,3,FALSE),0)</f>
        <v>23</v>
      </c>
      <c r="S41" s="5">
        <f>IFERROR(HLOOKUP(H41,Standings!$F$3:$BA$5,3,FALSE),0)</f>
        <v>6</v>
      </c>
      <c r="T41" s="5">
        <f>IFERROR(HLOOKUP(I41,Standings!$F$3:$BA$5,3,FALSE),0)</f>
        <v>0</v>
      </c>
      <c r="U41" s="5">
        <f>IFERROR(HLOOKUP(J41,Standings!$F$3:$BA$5,3,FALSE),0)</f>
        <v>0</v>
      </c>
      <c r="V41" s="5">
        <f>IFERROR(HLOOKUP(K41,Standings!$F$3:$BA$5,3,FALSE),0)</f>
        <v>0</v>
      </c>
      <c r="W41" s="5">
        <f>-IFERROR(HLOOKUP(L41,Standings!$F$3:$BA$5,3,FALSE),0)</f>
        <v>-50</v>
      </c>
      <c r="X41" s="5">
        <f t="shared" si="1"/>
        <v>100</v>
      </c>
    </row>
    <row r="42" spans="2:24" x14ac:dyDescent="0.25">
      <c r="B42" s="48" t="s">
        <v>185</v>
      </c>
      <c r="C42" s="5" t="s">
        <v>75</v>
      </c>
      <c r="D42" s="5" t="s">
        <v>65</v>
      </c>
      <c r="E42" s="5" t="s">
        <v>54</v>
      </c>
      <c r="F42" s="5" t="s">
        <v>39</v>
      </c>
      <c r="G42" s="5" t="s">
        <v>42</v>
      </c>
      <c r="H42" s="5" t="s">
        <v>92</v>
      </c>
      <c r="I42" s="5" t="s">
        <v>60</v>
      </c>
      <c r="J42" s="5" t="s">
        <v>72</v>
      </c>
      <c r="L42" s="5" t="s">
        <v>51</v>
      </c>
      <c r="N42" s="5">
        <f>IFERROR(HLOOKUP(C42,Standings!$F$3:$BA$5,3,FALSE),0)</f>
        <v>9</v>
      </c>
      <c r="O42" s="5">
        <f>IFERROR(HLOOKUP(D42,Standings!$F$3:$BA$5,3,FALSE),0)</f>
        <v>13</v>
      </c>
      <c r="P42" s="5">
        <f>IFERROR(HLOOKUP(E42,Standings!$F$3:$BA$5,3,FALSE),0)</f>
        <v>17</v>
      </c>
      <c r="Q42" s="5">
        <f>IFERROR(HLOOKUP(F42,Standings!$F$3:$BA$5,3,FALSE),0)</f>
        <v>30</v>
      </c>
      <c r="R42" s="5">
        <f>IFERROR(HLOOKUP(G42,Standings!$F$3:$BA$5,3,FALSE),0)</f>
        <v>27</v>
      </c>
      <c r="S42" s="5">
        <f>IFERROR(HLOOKUP(H42,Standings!$F$3:$BA$5,3,FALSE),0)</f>
        <v>4</v>
      </c>
      <c r="T42" s="5">
        <f>IFERROR(HLOOKUP(I42,Standings!$F$3:$BA$5,3,FALSE),0)</f>
        <v>26</v>
      </c>
      <c r="U42" s="5">
        <f>IFERROR(HLOOKUP(J42,Standings!$F$3:$BA$5,3,FALSE),0)</f>
        <v>25</v>
      </c>
      <c r="V42" s="5">
        <f>IFERROR(HLOOKUP(K42,Standings!$F$3:$BA$5,3,FALSE),0)</f>
        <v>0</v>
      </c>
      <c r="W42" s="5">
        <f>-IFERROR(HLOOKUP(L42,Standings!$F$3:$BA$5,3,FALSE),0)</f>
        <v>-52</v>
      </c>
      <c r="X42" s="5">
        <f t="shared" si="1"/>
        <v>99</v>
      </c>
    </row>
    <row r="43" spans="2:24" x14ac:dyDescent="0.25">
      <c r="B43" s="48" t="s">
        <v>187</v>
      </c>
      <c r="C43" s="5" t="s">
        <v>75</v>
      </c>
      <c r="D43" s="5" t="s">
        <v>65</v>
      </c>
      <c r="E43" s="5" t="s">
        <v>54</v>
      </c>
      <c r="F43" s="5" t="s">
        <v>59</v>
      </c>
      <c r="G43" s="5" t="s">
        <v>42</v>
      </c>
      <c r="H43" s="5" t="s">
        <v>92</v>
      </c>
      <c r="I43" s="5" t="s">
        <v>48</v>
      </c>
      <c r="L43" s="5" t="s">
        <v>51</v>
      </c>
      <c r="N43" s="5">
        <f>IFERROR(HLOOKUP(C43,Standings!$F$3:$BA$5,3,FALSE),0)</f>
        <v>9</v>
      </c>
      <c r="O43" s="5">
        <f>IFERROR(HLOOKUP(D43,Standings!$F$3:$BA$5,3,FALSE),0)</f>
        <v>13</v>
      </c>
      <c r="P43" s="5">
        <f>IFERROR(HLOOKUP(E43,Standings!$F$3:$BA$5,3,FALSE),0)</f>
        <v>17</v>
      </c>
      <c r="Q43" s="5">
        <f>IFERROR(HLOOKUP(F43,Standings!$F$3:$BA$5,3,FALSE),0)</f>
        <v>68</v>
      </c>
      <c r="R43" s="5">
        <f>IFERROR(HLOOKUP(G43,Standings!$F$3:$BA$5,3,FALSE),0)</f>
        <v>27</v>
      </c>
      <c r="S43" s="5">
        <f>IFERROR(HLOOKUP(H43,Standings!$F$3:$BA$5,3,FALSE),0)</f>
        <v>4</v>
      </c>
      <c r="T43" s="5">
        <f>IFERROR(HLOOKUP(I43,Standings!$F$3:$BA$5,3,FALSE),0)</f>
        <v>12</v>
      </c>
      <c r="U43" s="5">
        <f>IFERROR(HLOOKUP(J43,Standings!$F$3:$BA$5,3,FALSE),0)</f>
        <v>0</v>
      </c>
      <c r="V43" s="5">
        <f>IFERROR(HLOOKUP(K43,Standings!$F$3:$BA$5,3,FALSE),0)</f>
        <v>0</v>
      </c>
      <c r="W43" s="5">
        <f>-IFERROR(HLOOKUP(L43,Standings!$F$3:$BA$5,3,FALSE),0)</f>
        <v>-52</v>
      </c>
      <c r="X43" s="5">
        <f t="shared" si="1"/>
        <v>98</v>
      </c>
    </row>
    <row r="44" spans="2:24" x14ac:dyDescent="0.25">
      <c r="B44" s="48" t="s">
        <v>188</v>
      </c>
      <c r="C44" s="5" t="s">
        <v>90</v>
      </c>
      <c r="D44" s="5" t="s">
        <v>66</v>
      </c>
      <c r="E44" s="5" t="s">
        <v>65</v>
      </c>
      <c r="F44" s="5" t="s">
        <v>55</v>
      </c>
      <c r="G44" s="5" t="s">
        <v>89</v>
      </c>
      <c r="H44" s="5" t="s">
        <v>77</v>
      </c>
      <c r="I44" s="5" t="s">
        <v>49</v>
      </c>
      <c r="J44" s="5" t="s">
        <v>76</v>
      </c>
      <c r="K44" s="5" t="s">
        <v>40</v>
      </c>
      <c r="L44" s="5" t="s">
        <v>62</v>
      </c>
      <c r="N44" s="5">
        <f>IFERROR(HLOOKUP(C44,Standings!$F$3:$BA$5,3,FALSE),0)</f>
        <v>10</v>
      </c>
      <c r="O44" s="5">
        <f>IFERROR(HLOOKUP(D44,Standings!$F$3:$BA$5,3,FALSE),0)</f>
        <v>7</v>
      </c>
      <c r="P44" s="5">
        <f>IFERROR(HLOOKUP(E44,Standings!$F$3:$BA$5,3,FALSE),0)</f>
        <v>13</v>
      </c>
      <c r="Q44" s="5">
        <f>IFERROR(HLOOKUP(F44,Standings!$F$3:$BA$5,3,FALSE),0)</f>
        <v>12</v>
      </c>
      <c r="R44" s="5">
        <f>IFERROR(HLOOKUP(G44,Standings!$F$3:$BA$5,3,FALSE),0)</f>
        <v>11</v>
      </c>
      <c r="S44" s="5">
        <f>IFERROR(HLOOKUP(H44,Standings!$F$3:$BA$5,3,FALSE),0)</f>
        <v>6</v>
      </c>
      <c r="T44" s="5">
        <f>IFERROR(HLOOKUP(I44,Standings!$F$3:$BA$5,3,FALSE),0)</f>
        <v>16</v>
      </c>
      <c r="U44" s="5">
        <f>IFERROR(HLOOKUP(J44,Standings!$F$3:$BA$5,3,FALSE),0)</f>
        <v>8</v>
      </c>
      <c r="V44" s="5">
        <f>IFERROR(HLOOKUP(K44,Standings!$F$3:$BA$5,3,FALSE),0)</f>
        <v>35</v>
      </c>
      <c r="W44" s="5">
        <f>-IFERROR(HLOOKUP(L44,Standings!$F$3:$BA$5,3,FALSE),0)</f>
        <v>-21</v>
      </c>
      <c r="X44" s="5">
        <f t="shared" si="1"/>
        <v>97</v>
      </c>
    </row>
    <row r="45" spans="2:24" x14ac:dyDescent="0.25">
      <c r="B45" s="48" t="s">
        <v>190</v>
      </c>
      <c r="C45" s="5" t="s">
        <v>40</v>
      </c>
      <c r="D45" s="5" t="s">
        <v>49</v>
      </c>
      <c r="E45" s="5" t="s">
        <v>62</v>
      </c>
      <c r="F45" s="5" t="s">
        <v>71</v>
      </c>
      <c r="G45" s="5" t="s">
        <v>68</v>
      </c>
      <c r="N45" s="5">
        <f>IFERROR(HLOOKUP(C45,Standings!$F$3:$BA$5,3,FALSE),0)</f>
        <v>35</v>
      </c>
      <c r="O45" s="5">
        <f>IFERROR(HLOOKUP(D45,Standings!$F$3:$BA$5,3,FALSE),0)</f>
        <v>16</v>
      </c>
      <c r="P45" s="5">
        <f>IFERROR(HLOOKUP(E45,Standings!$F$3:$BA$5,3,FALSE),0)</f>
        <v>21</v>
      </c>
      <c r="Q45" s="5">
        <f>IFERROR(HLOOKUP(F45,Standings!$F$3:$BA$5,3,FALSE),0)</f>
        <v>10</v>
      </c>
      <c r="R45" s="5">
        <f>IFERROR(HLOOKUP(G45,Standings!$F$3:$BA$5,3,FALSE),0)</f>
        <v>18</v>
      </c>
      <c r="S45" s="5">
        <f>IFERROR(HLOOKUP(H45,Standings!$F$3:$BA$5,3,FALSE),0)</f>
        <v>0</v>
      </c>
      <c r="T45" s="5">
        <f>IFERROR(HLOOKUP(I45,Standings!$F$3:$BA$5,3,FALSE),0)</f>
        <v>0</v>
      </c>
      <c r="U45" s="5">
        <f>IFERROR(HLOOKUP(J45,Standings!$F$3:$BA$5,3,FALSE),0)</f>
        <v>0</v>
      </c>
      <c r="V45" s="5">
        <f>IFERROR(HLOOKUP(K45,Standings!$F$3:$BA$5,3,FALSE),0)</f>
        <v>0</v>
      </c>
      <c r="W45" s="5">
        <f>-IFERROR(HLOOKUP(L45,Standings!$F$3:$BA$5,3,FALSE),0)</f>
        <v>0</v>
      </c>
      <c r="X45" s="5">
        <f t="shared" si="1"/>
        <v>100</v>
      </c>
    </row>
    <row r="46" spans="2:24" x14ac:dyDescent="0.25">
      <c r="B46" s="48" t="s">
        <v>192</v>
      </c>
      <c r="C46" s="5" t="s">
        <v>54</v>
      </c>
      <c r="D46" s="5" t="s">
        <v>41</v>
      </c>
      <c r="E46" s="5" t="s">
        <v>50</v>
      </c>
      <c r="F46" s="5" t="s">
        <v>89</v>
      </c>
      <c r="G46" s="5" t="s">
        <v>49</v>
      </c>
      <c r="H46" s="5" t="s">
        <v>65</v>
      </c>
      <c r="N46" s="5">
        <f>IFERROR(HLOOKUP(C46,Standings!$F$3:$BA$5,3,FALSE),0)</f>
        <v>17</v>
      </c>
      <c r="O46" s="5">
        <f>IFERROR(HLOOKUP(D46,Standings!$F$3:$BA$5,3,FALSE),0)</f>
        <v>20</v>
      </c>
      <c r="P46" s="5">
        <f>IFERROR(HLOOKUP(E46,Standings!$F$3:$BA$5,3,FALSE),0)</f>
        <v>23</v>
      </c>
      <c r="Q46" s="5">
        <f>IFERROR(HLOOKUP(F46,Standings!$F$3:$BA$5,3,FALSE),0)</f>
        <v>11</v>
      </c>
      <c r="R46" s="5">
        <f>IFERROR(HLOOKUP(G46,Standings!$F$3:$BA$5,3,FALSE),0)</f>
        <v>16</v>
      </c>
      <c r="S46" s="5">
        <f>IFERROR(HLOOKUP(H46,Standings!$F$3:$BA$5,3,FALSE),0)</f>
        <v>13</v>
      </c>
      <c r="T46" s="5">
        <f>IFERROR(HLOOKUP(I46,Standings!$F$3:$BA$5,3,FALSE),0)</f>
        <v>0</v>
      </c>
      <c r="U46" s="5">
        <f>IFERROR(HLOOKUP(J46,Standings!$F$3:$BA$5,3,FALSE),0)</f>
        <v>0</v>
      </c>
      <c r="V46" s="5">
        <f>IFERROR(HLOOKUP(K46,Standings!$F$3:$BA$5,3,FALSE),0)</f>
        <v>0</v>
      </c>
      <c r="W46" s="5">
        <f>-IFERROR(HLOOKUP(L46,Standings!$F$3:$BA$5,3,FALSE),0)</f>
        <v>0</v>
      </c>
      <c r="X46" s="5">
        <f t="shared" si="1"/>
        <v>100</v>
      </c>
    </row>
    <row r="47" spans="2:24" x14ac:dyDescent="0.25">
      <c r="B47" s="48" t="s">
        <v>194</v>
      </c>
      <c r="C47" s="5" t="s">
        <v>59</v>
      </c>
      <c r="D47" s="5" t="s">
        <v>71</v>
      </c>
      <c r="E47" s="5" t="s">
        <v>67</v>
      </c>
      <c r="F47" s="5" t="s">
        <v>54</v>
      </c>
      <c r="L47" s="5" t="s">
        <v>57</v>
      </c>
      <c r="N47" s="5">
        <f>IFERROR(HLOOKUP(C47,Standings!$F$3:$BA$5,3,FALSE),0)</f>
        <v>68</v>
      </c>
      <c r="O47" s="5">
        <f>IFERROR(HLOOKUP(D47,Standings!$F$3:$BA$5,3,FALSE),0)</f>
        <v>10</v>
      </c>
      <c r="P47" s="5">
        <f>IFERROR(HLOOKUP(E47,Standings!$F$3:$BA$5,3,FALSE),0)</f>
        <v>19</v>
      </c>
      <c r="Q47" s="5">
        <f>IFERROR(HLOOKUP(F47,Standings!$F$3:$BA$5,3,FALSE),0)</f>
        <v>17</v>
      </c>
      <c r="R47" s="5">
        <f>IFERROR(HLOOKUP(G47,Standings!$F$3:$BA$5,3,FALSE),0)</f>
        <v>0</v>
      </c>
      <c r="S47" s="5">
        <f>IFERROR(HLOOKUP(H47,Standings!$F$3:$BA$5,3,FALSE),0)</f>
        <v>0</v>
      </c>
      <c r="T47" s="5">
        <f>IFERROR(HLOOKUP(I47,Standings!$F$3:$BA$5,3,FALSE),0)</f>
        <v>0</v>
      </c>
      <c r="U47" s="5">
        <f>IFERROR(HLOOKUP(J47,Standings!$F$3:$BA$5,3,FALSE),0)</f>
        <v>0</v>
      </c>
      <c r="V47" s="5">
        <f>IFERROR(HLOOKUP(K47,Standings!$F$3:$BA$5,3,FALSE),0)</f>
        <v>0</v>
      </c>
      <c r="W47" s="5">
        <f>-IFERROR(HLOOKUP(L47,Standings!$F$3:$BA$5,3,FALSE),0)</f>
        <v>-14</v>
      </c>
      <c r="X47" s="5">
        <f t="shared" si="1"/>
        <v>100</v>
      </c>
    </row>
    <row r="48" spans="2:24" x14ac:dyDescent="0.25">
      <c r="B48" s="48" t="s">
        <v>195</v>
      </c>
      <c r="C48" s="5" t="s">
        <v>61</v>
      </c>
      <c r="D48" s="5" t="s">
        <v>53</v>
      </c>
      <c r="E48" s="5" t="s">
        <v>62</v>
      </c>
      <c r="F48" s="5" t="s">
        <v>69</v>
      </c>
      <c r="N48" s="5">
        <f>IFERROR(HLOOKUP(C48,Standings!$F$3:$BA$5,3,FALSE),0)</f>
        <v>50</v>
      </c>
      <c r="O48" s="5">
        <f>IFERROR(HLOOKUP(D48,Standings!$F$3:$BA$5,3,FALSE),0)</f>
        <v>20</v>
      </c>
      <c r="P48" s="5">
        <f>IFERROR(HLOOKUP(E48,Standings!$F$3:$BA$5,3,FALSE),0)</f>
        <v>21</v>
      </c>
      <c r="Q48" s="5">
        <f>IFERROR(HLOOKUP(F48,Standings!$F$3:$BA$5,3,FALSE),0)</f>
        <v>9</v>
      </c>
      <c r="R48" s="5">
        <f>IFERROR(HLOOKUP(G48,Standings!$F$3:$BA$5,3,FALSE),0)</f>
        <v>0</v>
      </c>
      <c r="S48" s="5">
        <f>IFERROR(HLOOKUP(H48,Standings!$F$3:$BA$5,3,FALSE),0)</f>
        <v>0</v>
      </c>
      <c r="T48" s="5">
        <f>IFERROR(HLOOKUP(I48,Standings!$F$3:$BA$5,3,FALSE),0)</f>
        <v>0</v>
      </c>
      <c r="U48" s="5">
        <f>IFERROR(HLOOKUP(J48,Standings!$F$3:$BA$5,3,FALSE),0)</f>
        <v>0</v>
      </c>
      <c r="V48" s="5">
        <f>IFERROR(HLOOKUP(K48,Standings!$F$3:$BA$5,3,FALSE),0)</f>
        <v>0</v>
      </c>
      <c r="W48" s="5">
        <f>-IFERROR(HLOOKUP(L48,Standings!$F$3:$BA$5,3,FALSE),0)</f>
        <v>0</v>
      </c>
      <c r="X48" s="5">
        <f t="shared" si="1"/>
        <v>100</v>
      </c>
    </row>
    <row r="49" spans="2:24" x14ac:dyDescent="0.25">
      <c r="B49" s="48" t="s">
        <v>196</v>
      </c>
      <c r="C49" s="5" t="s">
        <v>44</v>
      </c>
      <c r="D49" s="5" t="s">
        <v>72</v>
      </c>
      <c r="E49" s="5" t="s">
        <v>62</v>
      </c>
      <c r="F49" s="5" t="s">
        <v>41</v>
      </c>
      <c r="G49" s="5" t="s">
        <v>68</v>
      </c>
      <c r="L49" s="5" t="s">
        <v>38</v>
      </c>
      <c r="N49" s="5">
        <f>IFERROR(HLOOKUP(C49,Standings!$F$3:$BA$5,3,FALSE),0)</f>
        <v>60</v>
      </c>
      <c r="O49" s="5">
        <f>IFERROR(HLOOKUP(D49,Standings!$F$3:$BA$5,3,FALSE),0)</f>
        <v>25</v>
      </c>
      <c r="P49" s="5">
        <f>IFERROR(HLOOKUP(E49,Standings!$F$3:$BA$5,3,FALSE),0)</f>
        <v>21</v>
      </c>
      <c r="Q49" s="5">
        <f>IFERROR(HLOOKUP(F49,Standings!$F$3:$BA$5,3,FALSE),0)</f>
        <v>20</v>
      </c>
      <c r="R49" s="5">
        <f>IFERROR(HLOOKUP(G49,Standings!$F$3:$BA$5,3,FALSE),0)</f>
        <v>18</v>
      </c>
      <c r="S49" s="5">
        <f>IFERROR(HLOOKUP(H49,Standings!$F$3:$BA$5,3,FALSE),0)</f>
        <v>0</v>
      </c>
      <c r="T49" s="5">
        <f>IFERROR(HLOOKUP(I49,Standings!$F$3:$BA$5,3,FALSE),0)</f>
        <v>0</v>
      </c>
      <c r="U49" s="5">
        <f>IFERROR(HLOOKUP(J49,Standings!$F$3:$BA$5,3,FALSE),0)</f>
        <v>0</v>
      </c>
      <c r="V49" s="5">
        <f>IFERROR(HLOOKUP(K49,Standings!$F$3:$BA$5,3,FALSE),0)</f>
        <v>0</v>
      </c>
      <c r="W49" s="5">
        <f>-IFERROR(HLOOKUP(L49,Standings!$F$3:$BA$5,3,FALSE),0)</f>
        <v>-45</v>
      </c>
      <c r="X49" s="5">
        <f t="shared" si="1"/>
        <v>99</v>
      </c>
    </row>
    <row r="50" spans="2:24" x14ac:dyDescent="0.25">
      <c r="B50" s="48" t="s">
        <v>198</v>
      </c>
      <c r="C50" s="5" t="s">
        <v>68</v>
      </c>
      <c r="D50" s="5" t="s">
        <v>60</v>
      </c>
      <c r="E50" s="5" t="s">
        <v>72</v>
      </c>
      <c r="F50" s="5" t="s">
        <v>67</v>
      </c>
      <c r="G50" s="5" t="s">
        <v>49</v>
      </c>
      <c r="H50" s="5" t="s">
        <v>71</v>
      </c>
      <c r="I50" s="5" t="s">
        <v>55</v>
      </c>
      <c r="J50" s="5" t="s">
        <v>39</v>
      </c>
      <c r="K50" s="5" t="s">
        <v>48</v>
      </c>
      <c r="L50" s="5" t="s">
        <v>59</v>
      </c>
      <c r="N50" s="5">
        <f>IFERROR(HLOOKUP(C50,Standings!$F$3:$BA$5,3,FALSE),0)</f>
        <v>18</v>
      </c>
      <c r="O50" s="5">
        <f>IFERROR(HLOOKUP(D50,Standings!$F$3:$BA$5,3,FALSE),0)</f>
        <v>26</v>
      </c>
      <c r="P50" s="5">
        <f>IFERROR(HLOOKUP(E50,Standings!$F$3:$BA$5,3,FALSE),0)</f>
        <v>25</v>
      </c>
      <c r="Q50" s="5">
        <f>IFERROR(HLOOKUP(F50,Standings!$F$3:$BA$5,3,FALSE),0)</f>
        <v>19</v>
      </c>
      <c r="R50" s="5">
        <f>IFERROR(HLOOKUP(G50,Standings!$F$3:$BA$5,3,FALSE),0)</f>
        <v>16</v>
      </c>
      <c r="S50" s="5">
        <f>IFERROR(HLOOKUP(H50,Standings!$F$3:$BA$5,3,FALSE),0)</f>
        <v>10</v>
      </c>
      <c r="T50" s="5">
        <f>IFERROR(HLOOKUP(I50,Standings!$F$3:$BA$5,3,FALSE),0)</f>
        <v>12</v>
      </c>
      <c r="U50" s="5">
        <f>IFERROR(HLOOKUP(J50,Standings!$F$3:$BA$5,3,FALSE),0)</f>
        <v>30</v>
      </c>
      <c r="V50" s="5">
        <f>IFERROR(HLOOKUP(K50,Standings!$F$3:$BA$5,3,FALSE),0)</f>
        <v>12</v>
      </c>
      <c r="W50" s="5">
        <f>-IFERROR(HLOOKUP(L50,Standings!$F$3:$BA$5,3,FALSE),0)</f>
        <v>-68</v>
      </c>
      <c r="X50" s="5">
        <f t="shared" si="1"/>
        <v>100</v>
      </c>
    </row>
    <row r="51" spans="2:24" x14ac:dyDescent="0.25">
      <c r="B51" s="48" t="s">
        <v>199</v>
      </c>
      <c r="C51" s="5" t="s">
        <v>45</v>
      </c>
      <c r="D51" s="5" t="s">
        <v>47</v>
      </c>
      <c r="E51" s="5" t="s">
        <v>62</v>
      </c>
      <c r="F51" s="5" t="s">
        <v>48</v>
      </c>
      <c r="G51" s="5" t="s">
        <v>89</v>
      </c>
      <c r="L51" s="5" t="s">
        <v>51</v>
      </c>
      <c r="N51" s="5">
        <f>IFERROR(HLOOKUP(C51,Standings!$F$3:$BA$5,3,FALSE),0)</f>
        <v>70</v>
      </c>
      <c r="O51" s="5">
        <f>IFERROR(HLOOKUP(D51,Standings!$F$3:$BA$5,3,FALSE),0)</f>
        <v>38</v>
      </c>
      <c r="P51" s="5">
        <f>IFERROR(HLOOKUP(E51,Standings!$F$3:$BA$5,3,FALSE),0)</f>
        <v>21</v>
      </c>
      <c r="Q51" s="5">
        <f>IFERROR(HLOOKUP(F51,Standings!$F$3:$BA$5,3,FALSE),0)</f>
        <v>12</v>
      </c>
      <c r="R51" s="5">
        <f>IFERROR(HLOOKUP(G51,Standings!$F$3:$BA$5,3,FALSE),0)</f>
        <v>11</v>
      </c>
      <c r="S51" s="5">
        <f>IFERROR(HLOOKUP(H51,Standings!$F$3:$BA$5,3,FALSE),0)</f>
        <v>0</v>
      </c>
      <c r="T51" s="5">
        <f>IFERROR(HLOOKUP(I51,Standings!$F$3:$BA$5,3,FALSE),0)</f>
        <v>0</v>
      </c>
      <c r="U51" s="5">
        <f>IFERROR(HLOOKUP(J51,Standings!$F$3:$BA$5,3,FALSE),0)</f>
        <v>0</v>
      </c>
      <c r="V51" s="5">
        <f>IFERROR(HLOOKUP(K51,Standings!$F$3:$BA$5,3,FALSE),0)</f>
        <v>0</v>
      </c>
      <c r="W51" s="5">
        <f>-IFERROR(HLOOKUP(L51,Standings!$F$3:$BA$5,3,FALSE),0)</f>
        <v>-52</v>
      </c>
      <c r="X51" s="5">
        <f t="shared" si="1"/>
        <v>100</v>
      </c>
    </row>
    <row r="52" spans="2:24" x14ac:dyDescent="0.25">
      <c r="B52" s="48" t="s">
        <v>201</v>
      </c>
      <c r="C52" s="5" t="s">
        <v>76</v>
      </c>
      <c r="D52" s="5" t="s">
        <v>77</v>
      </c>
      <c r="E52" s="5" t="s">
        <v>89</v>
      </c>
      <c r="F52" s="5" t="s">
        <v>65</v>
      </c>
      <c r="G52" s="5" t="s">
        <v>41</v>
      </c>
      <c r="H52" s="5" t="s">
        <v>62</v>
      </c>
      <c r="I52" s="5" t="s">
        <v>70</v>
      </c>
      <c r="J52" s="5" t="s">
        <v>54</v>
      </c>
      <c r="K52" s="5" t="s">
        <v>49</v>
      </c>
      <c r="L52" s="5" t="s">
        <v>53</v>
      </c>
      <c r="N52" s="5">
        <f>IFERROR(HLOOKUP(C52,Standings!$F$3:$BA$5,3,FALSE),0)</f>
        <v>8</v>
      </c>
      <c r="O52" s="5">
        <f>IFERROR(HLOOKUP(D52,Standings!$F$3:$BA$5,3,FALSE),0)</f>
        <v>6</v>
      </c>
      <c r="P52" s="5">
        <f>IFERROR(HLOOKUP(E52,Standings!$F$3:$BA$5,3,FALSE),0)</f>
        <v>11</v>
      </c>
      <c r="Q52" s="5">
        <f>IFERROR(HLOOKUP(F52,Standings!$F$3:$BA$5,3,FALSE),0)</f>
        <v>13</v>
      </c>
      <c r="R52" s="5">
        <f>IFERROR(HLOOKUP(G52,Standings!$F$3:$BA$5,3,FALSE),0)</f>
        <v>20</v>
      </c>
      <c r="S52" s="5">
        <f>IFERROR(HLOOKUP(H52,Standings!$F$3:$BA$5,3,FALSE),0)</f>
        <v>21</v>
      </c>
      <c r="T52" s="5">
        <f>IFERROR(HLOOKUP(I52,Standings!$F$3:$BA$5,3,FALSE),0)</f>
        <v>7</v>
      </c>
      <c r="U52" s="5">
        <f>IFERROR(HLOOKUP(J52,Standings!$F$3:$BA$5,3,FALSE),0)</f>
        <v>17</v>
      </c>
      <c r="V52" s="5">
        <f>IFERROR(HLOOKUP(K52,Standings!$F$3:$BA$5,3,FALSE),0)</f>
        <v>16</v>
      </c>
      <c r="W52" s="5">
        <f>-IFERROR(HLOOKUP(L52,Standings!$F$3:$BA$5,3,FALSE),0)</f>
        <v>-20</v>
      </c>
      <c r="X52" s="5">
        <f t="shared" si="1"/>
        <v>99</v>
      </c>
    </row>
    <row r="53" spans="2:24" x14ac:dyDescent="0.25">
      <c r="B53" s="48" t="s">
        <v>203</v>
      </c>
      <c r="C53" s="5" t="s">
        <v>51</v>
      </c>
      <c r="D53" s="5" t="s">
        <v>62</v>
      </c>
      <c r="E53" s="5" t="s">
        <v>44</v>
      </c>
      <c r="F53" s="5" t="s">
        <v>48</v>
      </c>
      <c r="L53" s="5" t="s">
        <v>38</v>
      </c>
      <c r="N53" s="5">
        <f>IFERROR(HLOOKUP(C53,Standings!$F$3:$BA$5,3,FALSE),0)</f>
        <v>52</v>
      </c>
      <c r="O53" s="5">
        <f>IFERROR(HLOOKUP(D53,Standings!$F$3:$BA$5,3,FALSE),0)</f>
        <v>21</v>
      </c>
      <c r="P53" s="5">
        <f>IFERROR(HLOOKUP(E53,Standings!$F$3:$BA$5,3,FALSE),0)</f>
        <v>60</v>
      </c>
      <c r="Q53" s="5">
        <f>IFERROR(HLOOKUP(F53,Standings!$F$3:$BA$5,3,FALSE),0)</f>
        <v>12</v>
      </c>
      <c r="R53" s="5">
        <f>IFERROR(HLOOKUP(G53,Standings!$F$3:$BA$5,3,FALSE),0)</f>
        <v>0</v>
      </c>
      <c r="S53" s="5">
        <f>IFERROR(HLOOKUP(H53,Standings!$F$3:$BA$5,3,FALSE),0)</f>
        <v>0</v>
      </c>
      <c r="T53" s="5">
        <f>IFERROR(HLOOKUP(I53,Standings!$F$3:$BA$5,3,FALSE),0)</f>
        <v>0</v>
      </c>
      <c r="U53" s="5">
        <f>IFERROR(HLOOKUP(J53,Standings!$F$3:$BA$5,3,FALSE),0)</f>
        <v>0</v>
      </c>
      <c r="V53" s="5">
        <f>IFERROR(HLOOKUP(K53,Standings!$F$3:$BA$5,3,FALSE),0)</f>
        <v>0</v>
      </c>
      <c r="W53" s="5">
        <f>-IFERROR(HLOOKUP(L53,Standings!$F$3:$BA$5,3,FALSE),0)</f>
        <v>-45</v>
      </c>
      <c r="X53" s="5">
        <f t="shared" si="1"/>
        <v>100</v>
      </c>
    </row>
    <row r="54" spans="2:24" x14ac:dyDescent="0.25">
      <c r="B54" s="48" t="s">
        <v>204</v>
      </c>
      <c r="C54" s="5" t="s">
        <v>42</v>
      </c>
      <c r="D54" s="5" t="s">
        <v>48</v>
      </c>
      <c r="E54" s="5" t="s">
        <v>65</v>
      </c>
      <c r="F54" s="5" t="s">
        <v>67</v>
      </c>
      <c r="G54" s="5" t="s">
        <v>72</v>
      </c>
      <c r="H54" s="5" t="s">
        <v>49</v>
      </c>
      <c r="I54" s="5" t="s">
        <v>50</v>
      </c>
      <c r="L54" s="5" t="s">
        <v>40</v>
      </c>
      <c r="N54" s="5">
        <f>IFERROR(HLOOKUP(C54,Standings!$F$3:$BA$5,3,FALSE),0)</f>
        <v>27</v>
      </c>
      <c r="O54" s="5">
        <f>IFERROR(HLOOKUP(D54,Standings!$F$3:$BA$5,3,FALSE),0)</f>
        <v>12</v>
      </c>
      <c r="P54" s="5">
        <f>IFERROR(HLOOKUP(E54,Standings!$F$3:$BA$5,3,FALSE),0)</f>
        <v>13</v>
      </c>
      <c r="Q54" s="5">
        <f>IFERROR(HLOOKUP(F54,Standings!$F$3:$BA$5,3,FALSE),0)</f>
        <v>19</v>
      </c>
      <c r="R54" s="5">
        <f>IFERROR(HLOOKUP(G54,Standings!$F$3:$BA$5,3,FALSE),0)</f>
        <v>25</v>
      </c>
      <c r="S54" s="5">
        <f>IFERROR(HLOOKUP(H54,Standings!$F$3:$BA$5,3,FALSE),0)</f>
        <v>16</v>
      </c>
      <c r="T54" s="5">
        <f>IFERROR(HLOOKUP(I54,Standings!$F$3:$BA$5,3,FALSE),0)</f>
        <v>23</v>
      </c>
      <c r="U54" s="5">
        <f>IFERROR(HLOOKUP(J54,Standings!$F$3:$BA$5,3,FALSE),0)</f>
        <v>0</v>
      </c>
      <c r="V54" s="5">
        <f>IFERROR(HLOOKUP(K54,Standings!$F$3:$BA$5,3,FALSE),0)</f>
        <v>0</v>
      </c>
      <c r="W54" s="5">
        <f>-IFERROR(HLOOKUP(L54,Standings!$F$3:$BA$5,3,FALSE),0)</f>
        <v>-35</v>
      </c>
      <c r="X54" s="5">
        <f t="shared" si="1"/>
        <v>100</v>
      </c>
    </row>
    <row r="55" spans="2:24" x14ac:dyDescent="0.25">
      <c r="B55" s="48" t="s">
        <v>206</v>
      </c>
      <c r="C55" s="5" t="s">
        <v>62</v>
      </c>
      <c r="D55" s="5" t="s">
        <v>69</v>
      </c>
      <c r="E55" s="5" t="s">
        <v>40</v>
      </c>
      <c r="F55" s="5" t="s">
        <v>54</v>
      </c>
      <c r="G55" s="5" t="s">
        <v>44</v>
      </c>
      <c r="H55" s="5" t="s">
        <v>48</v>
      </c>
      <c r="L55" s="5" t="s">
        <v>52</v>
      </c>
      <c r="N55" s="5">
        <f>IFERROR(HLOOKUP(C55,Standings!$F$3:$BA$5,3,FALSE),0)</f>
        <v>21</v>
      </c>
      <c r="O55" s="5">
        <f>IFERROR(HLOOKUP(D55,Standings!$F$3:$BA$5,3,FALSE),0)</f>
        <v>9</v>
      </c>
      <c r="P55" s="5">
        <f>IFERROR(HLOOKUP(E55,Standings!$F$3:$BA$5,3,FALSE),0)</f>
        <v>35</v>
      </c>
      <c r="Q55" s="5">
        <f>IFERROR(HLOOKUP(F55,Standings!$F$3:$BA$5,3,FALSE),0)</f>
        <v>17</v>
      </c>
      <c r="R55" s="5">
        <f>IFERROR(HLOOKUP(G55,Standings!$F$3:$BA$5,3,FALSE),0)</f>
        <v>60</v>
      </c>
      <c r="S55" s="5">
        <f>IFERROR(HLOOKUP(H55,Standings!$F$3:$BA$5,3,FALSE),0)</f>
        <v>12</v>
      </c>
      <c r="T55" s="5">
        <f>IFERROR(HLOOKUP(I55,Standings!$F$3:$BA$5,3,FALSE),0)</f>
        <v>0</v>
      </c>
      <c r="U55" s="5">
        <f>IFERROR(HLOOKUP(J55,Standings!$F$3:$BA$5,3,FALSE),0)</f>
        <v>0</v>
      </c>
      <c r="V55" s="5">
        <f>IFERROR(HLOOKUP(K55,Standings!$F$3:$BA$5,3,FALSE),0)</f>
        <v>0</v>
      </c>
      <c r="W55" s="5">
        <f>-IFERROR(HLOOKUP(L55,Standings!$F$3:$BA$5,3,FALSE),0)</f>
        <v>-54</v>
      </c>
      <c r="X55" s="5">
        <f t="shared" si="1"/>
        <v>100</v>
      </c>
    </row>
    <row r="56" spans="2:24" x14ac:dyDescent="0.25">
      <c r="B56" s="48" t="s">
        <v>208</v>
      </c>
      <c r="C56" s="5" t="s">
        <v>57</v>
      </c>
      <c r="D56" s="5" t="s">
        <v>39</v>
      </c>
      <c r="E56" s="5" t="s">
        <v>42</v>
      </c>
      <c r="F56" s="5" t="s">
        <v>54</v>
      </c>
      <c r="G56" s="5" t="s">
        <v>47</v>
      </c>
      <c r="H56" s="5" t="s">
        <v>69</v>
      </c>
      <c r="L56" s="5" t="s">
        <v>40</v>
      </c>
      <c r="N56" s="5">
        <f>IFERROR(HLOOKUP(C56,Standings!$F$3:$BA$5,3,FALSE),0)</f>
        <v>14</v>
      </c>
      <c r="O56" s="5">
        <f>IFERROR(HLOOKUP(D56,Standings!$F$3:$BA$5,3,FALSE),0)</f>
        <v>30</v>
      </c>
      <c r="P56" s="5">
        <f>IFERROR(HLOOKUP(E56,Standings!$F$3:$BA$5,3,FALSE),0)</f>
        <v>27</v>
      </c>
      <c r="Q56" s="5">
        <f>IFERROR(HLOOKUP(F56,Standings!$F$3:$BA$5,3,FALSE),0)</f>
        <v>17</v>
      </c>
      <c r="R56" s="5">
        <f>IFERROR(HLOOKUP(G56,Standings!$F$3:$BA$5,3,FALSE),0)</f>
        <v>38</v>
      </c>
      <c r="S56" s="5">
        <f>IFERROR(HLOOKUP(H56,Standings!$F$3:$BA$5,3,FALSE),0)</f>
        <v>9</v>
      </c>
      <c r="T56" s="5">
        <f>IFERROR(HLOOKUP(I56,Standings!$F$3:$BA$5,3,FALSE),0)</f>
        <v>0</v>
      </c>
      <c r="U56" s="5">
        <f>IFERROR(HLOOKUP(J56,Standings!$F$3:$BA$5,3,FALSE),0)</f>
        <v>0</v>
      </c>
      <c r="V56" s="5">
        <f>IFERROR(HLOOKUP(K56,Standings!$F$3:$BA$5,3,FALSE),0)</f>
        <v>0</v>
      </c>
      <c r="W56" s="5">
        <f>-IFERROR(HLOOKUP(L56,Standings!$F$3:$BA$5,3,FALSE),0)</f>
        <v>-35</v>
      </c>
      <c r="X56" s="5">
        <f t="shared" si="1"/>
        <v>100</v>
      </c>
    </row>
    <row r="57" spans="2:24" x14ac:dyDescent="0.25">
      <c r="B57" s="48" t="s">
        <v>209</v>
      </c>
      <c r="C57" s="5" t="s">
        <v>51</v>
      </c>
      <c r="D57" s="5" t="s">
        <v>52</v>
      </c>
      <c r="E57" s="5" t="s">
        <v>65</v>
      </c>
      <c r="L57" s="5" t="s">
        <v>41</v>
      </c>
      <c r="N57" s="5">
        <f>IFERROR(HLOOKUP(C57,Standings!$F$3:$BA$5,3,FALSE),0)</f>
        <v>52</v>
      </c>
      <c r="O57" s="5">
        <f>IFERROR(HLOOKUP(D57,Standings!$F$3:$BA$5,3,FALSE),0)</f>
        <v>54</v>
      </c>
      <c r="P57" s="5">
        <f>IFERROR(HLOOKUP(E57,Standings!$F$3:$BA$5,3,FALSE),0)</f>
        <v>13</v>
      </c>
      <c r="Q57" s="5">
        <f>IFERROR(HLOOKUP(F57,Standings!$F$3:$BA$5,3,FALSE),0)</f>
        <v>0</v>
      </c>
      <c r="R57" s="5">
        <f>IFERROR(HLOOKUP(G57,Standings!$F$3:$BA$5,3,FALSE),0)</f>
        <v>0</v>
      </c>
      <c r="S57" s="5">
        <f>IFERROR(HLOOKUP(H57,Standings!$F$3:$BA$5,3,FALSE),0)</f>
        <v>0</v>
      </c>
      <c r="T57" s="5">
        <f>IFERROR(HLOOKUP(I57,Standings!$F$3:$BA$5,3,FALSE),0)</f>
        <v>0</v>
      </c>
      <c r="U57" s="5">
        <f>IFERROR(HLOOKUP(J57,Standings!$F$3:$BA$5,3,FALSE),0)</f>
        <v>0</v>
      </c>
      <c r="V57" s="5">
        <f>IFERROR(HLOOKUP(K57,Standings!$F$3:$BA$5,3,FALSE),0)</f>
        <v>0</v>
      </c>
      <c r="W57" s="5">
        <f>-IFERROR(HLOOKUP(L57,Standings!$F$3:$BA$5,3,FALSE),0)</f>
        <v>-20</v>
      </c>
      <c r="X57" s="5">
        <f t="shared" si="1"/>
        <v>99</v>
      </c>
    </row>
    <row r="58" spans="2:24" x14ac:dyDescent="0.25">
      <c r="B58" s="48" t="s">
        <v>211</v>
      </c>
      <c r="C58" s="5" t="s">
        <v>61</v>
      </c>
      <c r="D58" s="5" t="s">
        <v>40</v>
      </c>
      <c r="E58" s="5" t="s">
        <v>72</v>
      </c>
      <c r="L58" s="5" t="s">
        <v>90</v>
      </c>
      <c r="N58" s="5">
        <f>IFERROR(HLOOKUP(C58,Standings!$F$3:$BA$5,3,FALSE),0)</f>
        <v>50</v>
      </c>
      <c r="O58" s="5">
        <f>IFERROR(HLOOKUP(D58,Standings!$F$3:$BA$5,3,FALSE),0)</f>
        <v>35</v>
      </c>
      <c r="P58" s="5">
        <f>IFERROR(HLOOKUP(E58,Standings!$F$3:$BA$5,3,FALSE),0)</f>
        <v>25</v>
      </c>
      <c r="Q58" s="5">
        <f>IFERROR(HLOOKUP(F58,Standings!$F$3:$BA$5,3,FALSE),0)</f>
        <v>0</v>
      </c>
      <c r="R58" s="5">
        <f>IFERROR(HLOOKUP(G58,Standings!$F$3:$BA$5,3,FALSE),0)</f>
        <v>0</v>
      </c>
      <c r="S58" s="5">
        <f>IFERROR(HLOOKUP(H58,Standings!$F$3:$BA$5,3,FALSE),0)</f>
        <v>0</v>
      </c>
      <c r="T58" s="5">
        <f>IFERROR(HLOOKUP(I58,Standings!$F$3:$BA$5,3,FALSE),0)</f>
        <v>0</v>
      </c>
      <c r="U58" s="5">
        <f>IFERROR(HLOOKUP(J58,Standings!$F$3:$BA$5,3,FALSE),0)</f>
        <v>0</v>
      </c>
      <c r="V58" s="5">
        <f>IFERROR(HLOOKUP(K58,Standings!$F$3:$BA$5,3,FALSE),0)</f>
        <v>0</v>
      </c>
      <c r="W58" s="5">
        <f>-IFERROR(HLOOKUP(L58,Standings!$F$3:$BA$5,3,FALSE),0)</f>
        <v>-10</v>
      </c>
      <c r="X58" s="5">
        <f t="shared" si="1"/>
        <v>100</v>
      </c>
    </row>
    <row r="59" spans="2:24" x14ac:dyDescent="0.25">
      <c r="B59" s="48" t="s">
        <v>212</v>
      </c>
      <c r="C59" s="5" t="s">
        <v>50</v>
      </c>
      <c r="D59" s="5" t="s">
        <v>47</v>
      </c>
      <c r="E59" s="5" t="s">
        <v>39</v>
      </c>
      <c r="F59" s="5" t="s">
        <v>62</v>
      </c>
      <c r="L59" s="5" t="s">
        <v>55</v>
      </c>
      <c r="N59" s="5">
        <f>IFERROR(HLOOKUP(C59,Standings!$F$3:$BA$5,3,FALSE),0)</f>
        <v>23</v>
      </c>
      <c r="O59" s="5">
        <f>IFERROR(HLOOKUP(D59,Standings!$F$3:$BA$5,3,FALSE),0)</f>
        <v>38</v>
      </c>
      <c r="P59" s="5">
        <f>IFERROR(HLOOKUP(E59,Standings!$F$3:$BA$5,3,FALSE),0)</f>
        <v>30</v>
      </c>
      <c r="Q59" s="5">
        <f>IFERROR(HLOOKUP(F59,Standings!$F$3:$BA$5,3,FALSE),0)</f>
        <v>21</v>
      </c>
      <c r="R59" s="5">
        <f>IFERROR(HLOOKUP(G59,Standings!$F$3:$BA$5,3,FALSE),0)</f>
        <v>0</v>
      </c>
      <c r="S59" s="5">
        <f>IFERROR(HLOOKUP(H59,Standings!$F$3:$BA$5,3,FALSE),0)</f>
        <v>0</v>
      </c>
      <c r="T59" s="5">
        <f>IFERROR(HLOOKUP(I59,Standings!$F$3:$BA$5,3,FALSE),0)</f>
        <v>0</v>
      </c>
      <c r="U59" s="5">
        <f>IFERROR(HLOOKUP(J59,Standings!$F$3:$BA$5,3,FALSE),0)</f>
        <v>0</v>
      </c>
      <c r="V59" s="5">
        <f>IFERROR(HLOOKUP(K59,Standings!$F$3:$BA$5,3,FALSE),0)</f>
        <v>0</v>
      </c>
      <c r="W59" s="5">
        <f>-IFERROR(HLOOKUP(L59,Standings!$F$3:$BA$5,3,FALSE),0)</f>
        <v>-12</v>
      </c>
      <c r="X59" s="5">
        <f t="shared" si="1"/>
        <v>100</v>
      </c>
    </row>
    <row r="60" spans="2:24" x14ac:dyDescent="0.25">
      <c r="B60" s="48" t="s">
        <v>213</v>
      </c>
      <c r="C60" s="5" t="s">
        <v>61</v>
      </c>
      <c r="D60" s="5" t="s">
        <v>50</v>
      </c>
      <c r="E60" s="5" t="s">
        <v>67</v>
      </c>
      <c r="F60" s="5" t="s">
        <v>42</v>
      </c>
      <c r="L60" s="5" t="s">
        <v>53</v>
      </c>
      <c r="N60" s="5">
        <f>IFERROR(HLOOKUP(C60,Standings!$F$3:$BA$5,3,FALSE),0)</f>
        <v>50</v>
      </c>
      <c r="O60" s="5">
        <f>IFERROR(HLOOKUP(D60,Standings!$F$3:$BA$5,3,FALSE),0)</f>
        <v>23</v>
      </c>
      <c r="P60" s="5">
        <f>IFERROR(HLOOKUP(E60,Standings!$F$3:$BA$5,3,FALSE),0)</f>
        <v>19</v>
      </c>
      <c r="Q60" s="5">
        <f>IFERROR(HLOOKUP(F60,Standings!$F$3:$BA$5,3,FALSE),0)</f>
        <v>27</v>
      </c>
      <c r="R60" s="5">
        <f>IFERROR(HLOOKUP(G60,Standings!$F$3:$BA$5,3,FALSE),0)</f>
        <v>0</v>
      </c>
      <c r="S60" s="5">
        <f>IFERROR(HLOOKUP(H60,Standings!$F$3:$BA$5,3,FALSE),0)</f>
        <v>0</v>
      </c>
      <c r="T60" s="5">
        <f>IFERROR(HLOOKUP(I60,Standings!$F$3:$BA$5,3,FALSE),0)</f>
        <v>0</v>
      </c>
      <c r="U60" s="5">
        <f>IFERROR(HLOOKUP(J60,Standings!$F$3:$BA$5,3,FALSE),0)</f>
        <v>0</v>
      </c>
      <c r="V60" s="5">
        <f>IFERROR(HLOOKUP(K60,Standings!$F$3:$BA$5,3,FALSE),0)</f>
        <v>0</v>
      </c>
      <c r="W60" s="5">
        <f>-IFERROR(HLOOKUP(L60,Standings!$F$3:$BA$5,3,FALSE),0)</f>
        <v>-20</v>
      </c>
      <c r="X60" s="5">
        <f t="shared" si="1"/>
        <v>99</v>
      </c>
    </row>
    <row r="61" spans="2:24" x14ac:dyDescent="0.25">
      <c r="B61" s="48" t="s">
        <v>215</v>
      </c>
      <c r="C61" s="5" t="s">
        <v>44</v>
      </c>
      <c r="D61" s="5" t="s">
        <v>55</v>
      </c>
      <c r="E61" s="5" t="s">
        <v>39</v>
      </c>
      <c r="F61" s="5" t="s">
        <v>57</v>
      </c>
      <c r="G61" s="5" t="s">
        <v>58</v>
      </c>
      <c r="L61" s="5" t="s">
        <v>41</v>
      </c>
      <c r="N61" s="5">
        <f>IFERROR(HLOOKUP(C61,Standings!$F$3:$BA$5,3,FALSE),0)</f>
        <v>60</v>
      </c>
      <c r="O61" s="5">
        <f>IFERROR(HLOOKUP(D61,Standings!$F$3:$BA$5,3,FALSE),0)</f>
        <v>12</v>
      </c>
      <c r="P61" s="5">
        <f>IFERROR(HLOOKUP(E61,Standings!$F$3:$BA$5,3,FALSE),0)</f>
        <v>30</v>
      </c>
      <c r="Q61" s="5">
        <f>IFERROR(HLOOKUP(F61,Standings!$F$3:$BA$5,3,FALSE),0)</f>
        <v>14</v>
      </c>
      <c r="R61" s="5">
        <f>IFERROR(HLOOKUP(G61,Standings!$F$3:$BA$5,3,FALSE),0)</f>
        <v>4</v>
      </c>
      <c r="S61" s="5">
        <f>IFERROR(HLOOKUP(H61,Standings!$F$3:$BA$5,3,FALSE),0)</f>
        <v>0</v>
      </c>
      <c r="T61" s="5">
        <f>IFERROR(HLOOKUP(I61,Standings!$F$3:$BA$5,3,FALSE),0)</f>
        <v>0</v>
      </c>
      <c r="U61" s="5">
        <f>IFERROR(HLOOKUP(J61,Standings!$F$3:$BA$5,3,FALSE),0)</f>
        <v>0</v>
      </c>
      <c r="V61" s="5">
        <f>IFERROR(HLOOKUP(K61,Standings!$F$3:$BA$5,3,FALSE),0)</f>
        <v>0</v>
      </c>
      <c r="W61" s="5">
        <f>-IFERROR(HLOOKUP(L61,Standings!$F$3:$BA$5,3,FALSE),0)</f>
        <v>-20</v>
      </c>
      <c r="X61" s="5">
        <f t="shared" si="1"/>
        <v>100</v>
      </c>
    </row>
    <row r="62" spans="2:24" x14ac:dyDescent="0.25">
      <c r="B62" s="48" t="s">
        <v>216</v>
      </c>
      <c r="C62" s="5" t="s">
        <v>51</v>
      </c>
      <c r="D62" s="5" t="s">
        <v>47</v>
      </c>
      <c r="E62" s="5" t="s">
        <v>89</v>
      </c>
      <c r="F62" s="5" t="s">
        <v>65</v>
      </c>
      <c r="L62" s="5" t="s">
        <v>57</v>
      </c>
      <c r="N62" s="5">
        <f>IFERROR(HLOOKUP(C62,Standings!$F$3:$BA$5,3,FALSE),0)</f>
        <v>52</v>
      </c>
      <c r="O62" s="5">
        <f>IFERROR(HLOOKUP(D62,Standings!$F$3:$BA$5,3,FALSE),0)</f>
        <v>38</v>
      </c>
      <c r="P62" s="5">
        <f>IFERROR(HLOOKUP(E62,Standings!$F$3:$BA$5,3,FALSE),0)</f>
        <v>11</v>
      </c>
      <c r="Q62" s="5">
        <f>IFERROR(HLOOKUP(F62,Standings!$F$3:$BA$5,3,FALSE),0)</f>
        <v>13</v>
      </c>
      <c r="R62" s="5">
        <f>IFERROR(HLOOKUP(G62,Standings!$F$3:$BA$5,3,FALSE),0)</f>
        <v>0</v>
      </c>
      <c r="S62" s="5">
        <f>IFERROR(HLOOKUP(H62,Standings!$F$3:$BA$5,3,FALSE),0)</f>
        <v>0</v>
      </c>
      <c r="T62" s="5">
        <f>IFERROR(HLOOKUP(I62,Standings!$F$3:$BA$5,3,FALSE),0)</f>
        <v>0</v>
      </c>
      <c r="U62" s="5">
        <f>IFERROR(HLOOKUP(J62,Standings!$F$3:$BA$5,3,FALSE),0)</f>
        <v>0</v>
      </c>
      <c r="V62" s="5">
        <f>IFERROR(HLOOKUP(K62,Standings!$F$3:$BA$5,3,FALSE),0)</f>
        <v>0</v>
      </c>
      <c r="W62" s="5">
        <f>-IFERROR(HLOOKUP(L62,Standings!$F$3:$BA$5,3,FALSE),0)</f>
        <v>-14</v>
      </c>
      <c r="X62" s="5">
        <f t="shared" si="1"/>
        <v>100</v>
      </c>
    </row>
    <row r="63" spans="2:24" x14ac:dyDescent="0.25">
      <c r="B63" s="48" t="s">
        <v>218</v>
      </c>
      <c r="C63" s="5" t="s">
        <v>50</v>
      </c>
      <c r="D63" s="5" t="s">
        <v>40</v>
      </c>
      <c r="E63" s="5" t="s">
        <v>38</v>
      </c>
      <c r="L63" s="5" t="s">
        <v>56</v>
      </c>
      <c r="N63" s="5">
        <f>IFERROR(HLOOKUP(C63,Standings!$F$3:$BA$5,3,FALSE),0)</f>
        <v>23</v>
      </c>
      <c r="O63" s="5">
        <f>IFERROR(HLOOKUP(D63,Standings!$F$3:$BA$5,3,FALSE),0)</f>
        <v>35</v>
      </c>
      <c r="P63" s="5">
        <f>IFERROR(HLOOKUP(E63,Standings!$F$3:$BA$5,3,FALSE),0)</f>
        <v>45</v>
      </c>
      <c r="Q63" s="5">
        <f>IFERROR(HLOOKUP(F63,Standings!$F$3:$BA$5,3,FALSE),0)</f>
        <v>0</v>
      </c>
      <c r="R63" s="5">
        <f>IFERROR(HLOOKUP(G63,Standings!$F$3:$BA$5,3,FALSE),0)</f>
        <v>0</v>
      </c>
      <c r="S63" s="5">
        <f>IFERROR(HLOOKUP(H63,Standings!$F$3:$BA$5,3,FALSE),0)</f>
        <v>0</v>
      </c>
      <c r="T63" s="5">
        <f>IFERROR(HLOOKUP(I63,Standings!$F$3:$BA$5,3,FALSE),0)</f>
        <v>0</v>
      </c>
      <c r="U63" s="5">
        <f>IFERROR(HLOOKUP(J63,Standings!$F$3:$BA$5,3,FALSE),0)</f>
        <v>0</v>
      </c>
      <c r="V63" s="5">
        <f>IFERROR(HLOOKUP(K63,Standings!$F$3:$BA$5,3,FALSE),0)</f>
        <v>0</v>
      </c>
      <c r="W63" s="5">
        <f>-IFERROR(HLOOKUP(L63,Standings!$F$3:$BA$5,3,FALSE),0)</f>
        <v>-3</v>
      </c>
      <c r="X63" s="5">
        <f t="shared" si="1"/>
        <v>100</v>
      </c>
    </row>
    <row r="64" spans="2:24" x14ac:dyDescent="0.25">
      <c r="B64" s="48" t="s">
        <v>220</v>
      </c>
      <c r="C64" s="5" t="s">
        <v>41</v>
      </c>
      <c r="D64" s="5" t="s">
        <v>72</v>
      </c>
      <c r="E64" s="5" t="s">
        <v>68</v>
      </c>
      <c r="F64" s="5" t="s">
        <v>49</v>
      </c>
      <c r="G64" s="5" t="s">
        <v>48</v>
      </c>
      <c r="H64" s="5" t="s">
        <v>89</v>
      </c>
      <c r="L64" s="5" t="s">
        <v>43</v>
      </c>
      <c r="N64" s="5">
        <f>IFERROR(HLOOKUP(C64,Standings!$F$3:$BA$5,3,FALSE),0)</f>
        <v>20</v>
      </c>
      <c r="O64" s="5">
        <f>IFERROR(HLOOKUP(D64,Standings!$F$3:$BA$5,3,FALSE),0)</f>
        <v>25</v>
      </c>
      <c r="P64" s="5">
        <f>IFERROR(HLOOKUP(E64,Standings!$F$3:$BA$5,3,FALSE),0)</f>
        <v>18</v>
      </c>
      <c r="Q64" s="5">
        <f>IFERROR(HLOOKUP(F64,Standings!$F$3:$BA$5,3,FALSE),0)</f>
        <v>16</v>
      </c>
      <c r="R64" s="5">
        <f>IFERROR(HLOOKUP(G64,Standings!$F$3:$BA$5,3,FALSE),0)</f>
        <v>12</v>
      </c>
      <c r="S64" s="5">
        <f>IFERROR(HLOOKUP(H64,Standings!$F$3:$BA$5,3,FALSE),0)</f>
        <v>11</v>
      </c>
      <c r="T64" s="5">
        <f>IFERROR(HLOOKUP(I64,Standings!$F$3:$BA$5,3,FALSE),0)</f>
        <v>0</v>
      </c>
      <c r="U64" s="5">
        <f>IFERROR(HLOOKUP(J64,Standings!$F$3:$BA$5,3,FALSE),0)</f>
        <v>0</v>
      </c>
      <c r="V64" s="5">
        <f>IFERROR(HLOOKUP(K64,Standings!$F$3:$BA$5,3,FALSE),0)</f>
        <v>0</v>
      </c>
      <c r="W64" s="5">
        <f>-IFERROR(HLOOKUP(L64,Standings!$F$3:$BA$5,3,FALSE),0)</f>
        <v>-3</v>
      </c>
      <c r="X64" s="5">
        <f t="shared" si="1"/>
        <v>99</v>
      </c>
    </row>
    <row r="65" spans="2:24" x14ac:dyDescent="0.25">
      <c r="B65" s="48" t="s">
        <v>221</v>
      </c>
      <c r="C65" s="5" t="s">
        <v>62</v>
      </c>
      <c r="D65" s="5" t="s">
        <v>70</v>
      </c>
      <c r="E65" s="5" t="s">
        <v>48</v>
      </c>
      <c r="F65" s="5" t="s">
        <v>65</v>
      </c>
      <c r="G65" s="5" t="s">
        <v>77</v>
      </c>
      <c r="H65" s="5" t="s">
        <v>91</v>
      </c>
      <c r="I65" s="5" t="s">
        <v>38</v>
      </c>
      <c r="J65" s="5" t="s">
        <v>73</v>
      </c>
      <c r="K65" s="5" t="s">
        <v>89</v>
      </c>
      <c r="L65" s="5" t="s">
        <v>40</v>
      </c>
      <c r="N65" s="5">
        <f>IFERROR(HLOOKUP(C65,Standings!$F$3:$BA$5,3,FALSE),0)</f>
        <v>21</v>
      </c>
      <c r="O65" s="5">
        <f>IFERROR(HLOOKUP(D65,Standings!$F$3:$BA$5,3,FALSE),0)</f>
        <v>7</v>
      </c>
      <c r="P65" s="5">
        <f>IFERROR(HLOOKUP(E65,Standings!$F$3:$BA$5,3,FALSE),0)</f>
        <v>12</v>
      </c>
      <c r="Q65" s="5">
        <f>IFERROR(HLOOKUP(F65,Standings!$F$3:$BA$5,3,FALSE),0)</f>
        <v>13</v>
      </c>
      <c r="R65" s="5">
        <f>IFERROR(HLOOKUP(G65,Standings!$F$3:$BA$5,3,FALSE),0)</f>
        <v>6</v>
      </c>
      <c r="S65" s="5">
        <f>IFERROR(HLOOKUP(H65,Standings!$F$3:$BA$5,3,FALSE),0)</f>
        <v>13</v>
      </c>
      <c r="T65" s="5">
        <f>IFERROR(HLOOKUP(I65,Standings!$F$3:$BA$5,3,FALSE),0)</f>
        <v>45</v>
      </c>
      <c r="U65" s="5">
        <f>IFERROR(HLOOKUP(J65,Standings!$F$3:$BA$5,3,FALSE),0)</f>
        <v>7</v>
      </c>
      <c r="V65" s="5">
        <f>IFERROR(HLOOKUP(K65,Standings!$F$3:$BA$5,3,FALSE),0)</f>
        <v>11</v>
      </c>
      <c r="W65" s="5">
        <f>-IFERROR(HLOOKUP(L65,Standings!$F$3:$BA$5,3,FALSE),0)</f>
        <v>-35</v>
      </c>
      <c r="X65" s="5">
        <f t="shared" si="1"/>
        <v>100</v>
      </c>
    </row>
    <row r="66" spans="2:24" x14ac:dyDescent="0.25">
      <c r="B66" s="48" t="s">
        <v>223</v>
      </c>
      <c r="C66" s="5" t="s">
        <v>59</v>
      </c>
      <c r="D66" s="5" t="s">
        <v>47</v>
      </c>
      <c r="E66" s="5" t="s">
        <v>62</v>
      </c>
      <c r="F66" s="5" t="s">
        <v>39</v>
      </c>
      <c r="G66" s="5" t="s">
        <v>43</v>
      </c>
      <c r="L66" s="5" t="s">
        <v>44</v>
      </c>
      <c r="N66" s="5">
        <f>IFERROR(HLOOKUP(C66,Standings!$F$3:$BA$5,3,FALSE),0)</f>
        <v>68</v>
      </c>
      <c r="O66" s="5">
        <f>IFERROR(HLOOKUP(D66,Standings!$F$3:$BA$5,3,FALSE),0)</f>
        <v>38</v>
      </c>
      <c r="P66" s="5">
        <f>IFERROR(HLOOKUP(E66,Standings!$F$3:$BA$5,3,FALSE),0)</f>
        <v>21</v>
      </c>
      <c r="Q66" s="5">
        <f>IFERROR(HLOOKUP(F66,Standings!$F$3:$BA$5,3,FALSE),0)</f>
        <v>30</v>
      </c>
      <c r="R66" s="5">
        <f>IFERROR(HLOOKUP(G66,Standings!$F$3:$BA$5,3,FALSE),0)</f>
        <v>3</v>
      </c>
      <c r="S66" s="5">
        <f>IFERROR(HLOOKUP(H66,Standings!$F$3:$BA$5,3,FALSE),0)</f>
        <v>0</v>
      </c>
      <c r="T66" s="5">
        <f>IFERROR(HLOOKUP(I66,Standings!$F$3:$BA$5,3,FALSE),0)</f>
        <v>0</v>
      </c>
      <c r="U66" s="5">
        <f>IFERROR(HLOOKUP(J66,Standings!$F$3:$BA$5,3,FALSE),0)</f>
        <v>0</v>
      </c>
      <c r="V66" s="5">
        <f>IFERROR(HLOOKUP(K66,Standings!$F$3:$BA$5,3,FALSE),0)</f>
        <v>0</v>
      </c>
      <c r="W66" s="5">
        <f>-IFERROR(HLOOKUP(L66,Standings!$F$3:$BA$5,3,FALSE),0)</f>
        <v>-60</v>
      </c>
      <c r="X66" s="5">
        <f t="shared" ref="X66:X75" si="2">SUM(N66:W66)</f>
        <v>100</v>
      </c>
    </row>
    <row r="67" spans="2:24" x14ac:dyDescent="0.25">
      <c r="B67" s="48" t="s">
        <v>225</v>
      </c>
      <c r="C67" s="5" t="s">
        <v>71</v>
      </c>
      <c r="D67" s="5" t="s">
        <v>41</v>
      </c>
      <c r="E67" s="5" t="s">
        <v>52</v>
      </c>
      <c r="F67" s="5" t="s">
        <v>67</v>
      </c>
      <c r="G67" s="5" t="s">
        <v>38</v>
      </c>
      <c r="L67" s="5" t="s">
        <v>61</v>
      </c>
      <c r="N67" s="5">
        <f>IFERROR(HLOOKUP(C67,Standings!$F$3:$BA$5,3,FALSE),0)</f>
        <v>10</v>
      </c>
      <c r="O67" s="5">
        <f>IFERROR(HLOOKUP(D67,Standings!$F$3:$BA$5,3,FALSE),0)</f>
        <v>20</v>
      </c>
      <c r="P67" s="5">
        <f>IFERROR(HLOOKUP(E67,Standings!$F$3:$BA$5,3,FALSE),0)</f>
        <v>54</v>
      </c>
      <c r="Q67" s="5">
        <f>IFERROR(HLOOKUP(F67,Standings!$F$3:$BA$5,3,FALSE),0)</f>
        <v>19</v>
      </c>
      <c r="R67" s="5">
        <f>IFERROR(HLOOKUP(G67,Standings!$F$3:$BA$5,3,FALSE),0)</f>
        <v>45</v>
      </c>
      <c r="S67" s="5">
        <f>IFERROR(HLOOKUP(H67,Standings!$F$3:$BA$5,3,FALSE),0)</f>
        <v>0</v>
      </c>
      <c r="T67" s="5">
        <f>IFERROR(HLOOKUP(I67,Standings!$F$3:$BA$5,3,FALSE),0)</f>
        <v>0</v>
      </c>
      <c r="U67" s="5">
        <f>IFERROR(HLOOKUP(J67,Standings!$F$3:$BA$5,3,FALSE),0)</f>
        <v>0</v>
      </c>
      <c r="V67" s="5">
        <f>IFERROR(HLOOKUP(K67,Standings!$F$3:$BA$5,3,FALSE),0)</f>
        <v>0</v>
      </c>
      <c r="W67" s="5">
        <f>-IFERROR(HLOOKUP(L67,Standings!$F$3:$BA$5,3,FALSE),0)</f>
        <v>-50</v>
      </c>
      <c r="X67" s="5">
        <f t="shared" si="2"/>
        <v>98</v>
      </c>
    </row>
    <row r="68" spans="2:24" x14ac:dyDescent="0.25">
      <c r="B68" s="48" t="s">
        <v>228</v>
      </c>
      <c r="C68" s="5" t="s">
        <v>38</v>
      </c>
      <c r="D68" s="5" t="s">
        <v>51</v>
      </c>
      <c r="E68" s="5" t="s">
        <v>50</v>
      </c>
      <c r="F68" s="5" t="s">
        <v>71</v>
      </c>
      <c r="L68" s="5" t="s">
        <v>39</v>
      </c>
      <c r="N68" s="5">
        <f>IFERROR(HLOOKUP(C68,Standings!$F$3:$BA$5,3,FALSE),0)</f>
        <v>45</v>
      </c>
      <c r="O68" s="5">
        <f>IFERROR(HLOOKUP(D68,Standings!$F$3:$BA$5,3,FALSE),0)</f>
        <v>52</v>
      </c>
      <c r="P68" s="5">
        <f>IFERROR(HLOOKUP(E68,Standings!$F$3:$BA$5,3,FALSE),0)</f>
        <v>23</v>
      </c>
      <c r="Q68" s="5">
        <f>IFERROR(HLOOKUP(F68,Standings!$F$3:$BA$5,3,FALSE),0)</f>
        <v>10</v>
      </c>
      <c r="R68" s="5">
        <f>IFERROR(HLOOKUP(G68,Standings!$F$3:$BA$5,3,FALSE),0)</f>
        <v>0</v>
      </c>
      <c r="S68" s="5">
        <f>IFERROR(HLOOKUP(H68,Standings!$F$3:$BA$5,3,FALSE),0)</f>
        <v>0</v>
      </c>
      <c r="T68" s="5">
        <f>IFERROR(HLOOKUP(I68,Standings!$F$3:$BA$5,3,FALSE),0)</f>
        <v>0</v>
      </c>
      <c r="U68" s="5">
        <f>IFERROR(HLOOKUP(J68,Standings!$F$3:$BA$5,3,FALSE),0)</f>
        <v>0</v>
      </c>
      <c r="V68" s="5">
        <f>IFERROR(HLOOKUP(K68,Standings!$F$3:$BA$5,3,FALSE),0)</f>
        <v>0</v>
      </c>
      <c r="W68" s="5">
        <f>-IFERROR(HLOOKUP(L68,Standings!$F$3:$BA$5,3,FALSE),0)</f>
        <v>-30</v>
      </c>
      <c r="X68" s="5">
        <f t="shared" si="2"/>
        <v>100</v>
      </c>
    </row>
    <row r="69" spans="2:24" x14ac:dyDescent="0.25">
      <c r="B69" s="48" t="s">
        <v>230</v>
      </c>
      <c r="C69" s="5" t="s">
        <v>61</v>
      </c>
      <c r="D69" s="5" t="s">
        <v>47</v>
      </c>
      <c r="E69" s="5" t="s">
        <v>60</v>
      </c>
      <c r="F69" s="5" t="s">
        <v>54</v>
      </c>
      <c r="G69" s="5" t="s">
        <v>49</v>
      </c>
      <c r="H69" s="5" t="s">
        <v>89</v>
      </c>
      <c r="I69" s="5" t="s">
        <v>71</v>
      </c>
      <c r="L69" s="5" t="s">
        <v>59</v>
      </c>
      <c r="N69" s="5">
        <f>IFERROR(HLOOKUP(C69,Standings!$F$3:$BA$5,3,FALSE),0)</f>
        <v>50</v>
      </c>
      <c r="O69" s="5">
        <f>IFERROR(HLOOKUP(D69,Standings!$F$3:$BA$5,3,FALSE),0)</f>
        <v>38</v>
      </c>
      <c r="P69" s="5">
        <f>IFERROR(HLOOKUP(E69,Standings!$F$3:$BA$5,3,FALSE),0)</f>
        <v>26</v>
      </c>
      <c r="Q69" s="5">
        <f>IFERROR(HLOOKUP(F69,Standings!$F$3:$BA$5,3,FALSE),0)</f>
        <v>17</v>
      </c>
      <c r="R69" s="5">
        <f>IFERROR(HLOOKUP(G69,Standings!$F$3:$BA$5,3,FALSE),0)</f>
        <v>16</v>
      </c>
      <c r="S69" s="5">
        <f>IFERROR(HLOOKUP(H69,Standings!$F$3:$BA$5,3,FALSE),0)</f>
        <v>11</v>
      </c>
      <c r="T69" s="5">
        <f>IFERROR(HLOOKUP(I69,Standings!$F$3:$BA$5,3,FALSE),0)</f>
        <v>10</v>
      </c>
      <c r="U69" s="5">
        <f>IFERROR(HLOOKUP(J69,Standings!$F$3:$BA$5,3,FALSE),0)</f>
        <v>0</v>
      </c>
      <c r="V69" s="5">
        <f>IFERROR(HLOOKUP(K69,Standings!$F$3:$BA$5,3,FALSE),0)</f>
        <v>0</v>
      </c>
      <c r="W69" s="5">
        <f>-IFERROR(HLOOKUP(L69,Standings!$F$3:$BA$5,3,FALSE),0)</f>
        <v>-68</v>
      </c>
      <c r="X69" s="5">
        <f t="shared" si="2"/>
        <v>100</v>
      </c>
    </row>
    <row r="70" spans="2:24" x14ac:dyDescent="0.25">
      <c r="B70" s="48" t="s">
        <v>231</v>
      </c>
      <c r="C70" s="5" t="s">
        <v>61</v>
      </c>
      <c r="D70" s="5" t="s">
        <v>47</v>
      </c>
      <c r="E70" s="5" t="s">
        <v>40</v>
      </c>
      <c r="F70" s="5" t="s">
        <v>54</v>
      </c>
      <c r="G70" s="5" t="s">
        <v>49</v>
      </c>
      <c r="H70" s="5" t="s">
        <v>89</v>
      </c>
      <c r="L70" s="5" t="s">
        <v>59</v>
      </c>
      <c r="N70" s="5">
        <f>IFERROR(HLOOKUP(C70,Standings!$F$3:$BA$5,3,FALSE),0)</f>
        <v>50</v>
      </c>
      <c r="O70" s="5">
        <f>IFERROR(HLOOKUP(D70,Standings!$F$3:$BA$5,3,FALSE),0)</f>
        <v>38</v>
      </c>
      <c r="P70" s="5">
        <f>IFERROR(HLOOKUP(E70,Standings!$F$3:$BA$5,3,FALSE),0)</f>
        <v>35</v>
      </c>
      <c r="Q70" s="5">
        <f>IFERROR(HLOOKUP(F70,Standings!$F$3:$BA$5,3,FALSE),0)</f>
        <v>17</v>
      </c>
      <c r="R70" s="5">
        <f>IFERROR(HLOOKUP(G70,Standings!$F$3:$BA$5,3,FALSE),0)</f>
        <v>16</v>
      </c>
      <c r="S70" s="5">
        <f>IFERROR(HLOOKUP(H70,Standings!$F$3:$BA$5,3,FALSE),0)</f>
        <v>11</v>
      </c>
      <c r="T70" s="5">
        <f>IFERROR(HLOOKUP(I70,Standings!$F$3:$BA$5,3,FALSE),0)</f>
        <v>0</v>
      </c>
      <c r="U70" s="5">
        <f>IFERROR(HLOOKUP(J70,Standings!$F$3:$BA$5,3,FALSE),0)</f>
        <v>0</v>
      </c>
      <c r="V70" s="5">
        <f>IFERROR(HLOOKUP(K70,Standings!$F$3:$BA$5,3,FALSE),0)</f>
        <v>0</v>
      </c>
      <c r="W70" s="5">
        <f>-IFERROR(HLOOKUP(L70,Standings!$F$3:$BA$5,3,FALSE),0)</f>
        <v>-68</v>
      </c>
      <c r="X70" s="5">
        <f t="shared" si="2"/>
        <v>99</v>
      </c>
    </row>
    <row r="71" spans="2:24" x14ac:dyDescent="0.25">
      <c r="B71" s="48" t="s">
        <v>232</v>
      </c>
      <c r="C71" s="5" t="s">
        <v>45</v>
      </c>
      <c r="D71" s="5" t="s">
        <v>61</v>
      </c>
      <c r="E71" s="5" t="s">
        <v>53</v>
      </c>
      <c r="F71" s="5" t="s">
        <v>54</v>
      </c>
      <c r="G71" s="5" t="s">
        <v>89</v>
      </c>
      <c r="L71" s="5" t="s">
        <v>59</v>
      </c>
      <c r="N71" s="5">
        <f>IFERROR(HLOOKUP(C71,Standings!$F$3:$BA$5,3,FALSE),0)</f>
        <v>70</v>
      </c>
      <c r="O71" s="5">
        <f>IFERROR(HLOOKUP(D71,Standings!$F$3:$BA$5,3,FALSE),0)</f>
        <v>50</v>
      </c>
      <c r="P71" s="5">
        <f>IFERROR(HLOOKUP(E71,Standings!$F$3:$BA$5,3,FALSE),0)</f>
        <v>20</v>
      </c>
      <c r="Q71" s="5">
        <f>IFERROR(HLOOKUP(F71,Standings!$F$3:$BA$5,3,FALSE),0)</f>
        <v>17</v>
      </c>
      <c r="R71" s="5">
        <f>IFERROR(HLOOKUP(G71,Standings!$F$3:$BA$5,3,FALSE),0)</f>
        <v>11</v>
      </c>
      <c r="S71" s="5">
        <f>IFERROR(HLOOKUP(H71,Standings!$F$3:$BA$5,3,FALSE),0)</f>
        <v>0</v>
      </c>
      <c r="T71" s="5">
        <f>IFERROR(HLOOKUP(I71,Standings!$F$3:$BA$5,3,FALSE),0)</f>
        <v>0</v>
      </c>
      <c r="U71" s="5">
        <f>IFERROR(HLOOKUP(J71,Standings!$F$3:$BA$5,3,FALSE),0)</f>
        <v>0</v>
      </c>
      <c r="V71" s="5">
        <f>IFERROR(HLOOKUP(K71,Standings!$F$3:$BA$5,3,FALSE),0)</f>
        <v>0</v>
      </c>
      <c r="W71" s="5">
        <f>-IFERROR(HLOOKUP(L71,Standings!$F$3:$BA$5,3,FALSE),0)</f>
        <v>-68</v>
      </c>
      <c r="X71" s="5">
        <f t="shared" si="2"/>
        <v>100</v>
      </c>
    </row>
    <row r="72" spans="2:24" x14ac:dyDescent="0.25">
      <c r="B72" s="48" t="s">
        <v>233</v>
      </c>
      <c r="C72" s="5" t="s">
        <v>61</v>
      </c>
      <c r="D72" s="5" t="s">
        <v>89</v>
      </c>
      <c r="E72" s="5" t="s">
        <v>59</v>
      </c>
      <c r="F72" s="5" t="s">
        <v>49</v>
      </c>
      <c r="G72" s="5" t="s">
        <v>70</v>
      </c>
      <c r="L72" s="5" t="s">
        <v>51</v>
      </c>
      <c r="N72" s="5">
        <f>IFERROR(HLOOKUP(C72,Standings!$F$3:$BA$5,3,FALSE),0)</f>
        <v>50</v>
      </c>
      <c r="O72" s="5">
        <f>IFERROR(HLOOKUP(D72,Standings!$F$3:$BA$5,3,FALSE),0)</f>
        <v>11</v>
      </c>
      <c r="P72" s="5">
        <f>IFERROR(HLOOKUP(E72,Standings!$F$3:$BA$5,3,FALSE),0)</f>
        <v>68</v>
      </c>
      <c r="Q72" s="5">
        <f>IFERROR(HLOOKUP(F72,Standings!$F$3:$BA$5,3,FALSE),0)</f>
        <v>16</v>
      </c>
      <c r="R72" s="5">
        <f>IFERROR(HLOOKUP(G72,Standings!$F$3:$BA$5,3,FALSE),0)</f>
        <v>7</v>
      </c>
      <c r="S72" s="5">
        <f>IFERROR(HLOOKUP(H72,Standings!$F$3:$BA$5,3,FALSE),0)</f>
        <v>0</v>
      </c>
      <c r="T72" s="5">
        <f>IFERROR(HLOOKUP(I72,Standings!$F$3:$BA$5,3,FALSE),0)</f>
        <v>0</v>
      </c>
      <c r="U72" s="5">
        <f>IFERROR(HLOOKUP(J72,Standings!$F$3:$BA$5,3,FALSE),0)</f>
        <v>0</v>
      </c>
      <c r="V72" s="5">
        <f>IFERROR(HLOOKUP(K72,Standings!$F$3:$BA$5,3,FALSE),0)</f>
        <v>0</v>
      </c>
      <c r="W72" s="5">
        <f>-IFERROR(HLOOKUP(L72,Standings!$F$3:$BA$5,3,FALSE),0)</f>
        <v>-52</v>
      </c>
      <c r="X72" s="5">
        <f t="shared" si="2"/>
        <v>100</v>
      </c>
    </row>
    <row r="73" spans="2:24" x14ac:dyDescent="0.25">
      <c r="B73" s="48" t="s">
        <v>235</v>
      </c>
      <c r="C73" s="5" t="s">
        <v>52</v>
      </c>
      <c r="D73" s="5" t="s">
        <v>50</v>
      </c>
      <c r="E73" s="5" t="s">
        <v>49</v>
      </c>
      <c r="F73" s="5" t="s">
        <v>73</v>
      </c>
      <c r="N73" s="5">
        <f>IFERROR(HLOOKUP(C73,Standings!$F$3:$BA$5,3,FALSE),0)</f>
        <v>54</v>
      </c>
      <c r="O73" s="5">
        <f>IFERROR(HLOOKUP(D73,Standings!$F$3:$BA$5,3,FALSE),0)</f>
        <v>23</v>
      </c>
      <c r="P73" s="5">
        <f>IFERROR(HLOOKUP(E73,Standings!$F$3:$BA$5,3,FALSE),0)</f>
        <v>16</v>
      </c>
      <c r="Q73" s="5">
        <f>IFERROR(HLOOKUP(F73,Standings!$F$3:$BA$5,3,FALSE),0)</f>
        <v>7</v>
      </c>
      <c r="R73" s="5">
        <f>IFERROR(HLOOKUP(G73,Standings!$F$3:$BA$5,3,FALSE),0)</f>
        <v>0</v>
      </c>
      <c r="S73" s="5">
        <f>IFERROR(HLOOKUP(H73,Standings!$F$3:$BA$5,3,FALSE),0)</f>
        <v>0</v>
      </c>
      <c r="T73" s="5">
        <f>IFERROR(HLOOKUP(I73,Standings!$F$3:$BA$5,3,FALSE),0)</f>
        <v>0</v>
      </c>
      <c r="U73" s="5">
        <f>IFERROR(HLOOKUP(J73,Standings!$F$3:$BA$5,3,FALSE),0)</f>
        <v>0</v>
      </c>
      <c r="V73" s="5">
        <f>IFERROR(HLOOKUP(K73,Standings!$F$3:$BA$5,3,FALSE),0)</f>
        <v>0</v>
      </c>
      <c r="W73" s="5">
        <f>-IFERROR(HLOOKUP(L73,Standings!$F$3:$BA$5,3,FALSE),0)</f>
        <v>0</v>
      </c>
      <c r="X73" s="5">
        <f t="shared" si="2"/>
        <v>100</v>
      </c>
    </row>
    <row r="74" spans="2:24" x14ac:dyDescent="0.25">
      <c r="B74" s="48" t="s">
        <v>237</v>
      </c>
      <c r="C74" s="5" t="s">
        <v>70</v>
      </c>
      <c r="D74" s="5" t="s">
        <v>71</v>
      </c>
      <c r="E74" s="5" t="s">
        <v>45</v>
      </c>
      <c r="F74" s="5" t="s">
        <v>52</v>
      </c>
      <c r="G74" s="5" t="s">
        <v>58</v>
      </c>
      <c r="L74" s="5" t="s">
        <v>38</v>
      </c>
      <c r="N74" s="5">
        <f>IFERROR(HLOOKUP(C74,Standings!$F$3:$BA$5,3,FALSE),0)</f>
        <v>7</v>
      </c>
      <c r="O74" s="5">
        <f>IFERROR(HLOOKUP(D74,Standings!$F$3:$BA$5,3,FALSE),0)</f>
        <v>10</v>
      </c>
      <c r="P74" s="5">
        <f>IFERROR(HLOOKUP(E74,Standings!$F$3:$BA$5,3,FALSE),0)</f>
        <v>70</v>
      </c>
      <c r="Q74" s="5">
        <f>IFERROR(HLOOKUP(F74,Standings!$F$3:$BA$5,3,FALSE),0)</f>
        <v>54</v>
      </c>
      <c r="R74" s="5">
        <f>IFERROR(HLOOKUP(G74,Standings!$F$3:$BA$5,3,FALSE),0)</f>
        <v>4</v>
      </c>
      <c r="S74" s="5">
        <f>IFERROR(HLOOKUP(H74,Standings!$F$3:$BA$5,3,FALSE),0)</f>
        <v>0</v>
      </c>
      <c r="T74" s="5">
        <f>IFERROR(HLOOKUP(I74,Standings!$F$3:$BA$5,3,FALSE),0)</f>
        <v>0</v>
      </c>
      <c r="U74" s="5">
        <f>IFERROR(HLOOKUP(J74,Standings!$F$3:$BA$5,3,FALSE),0)</f>
        <v>0</v>
      </c>
      <c r="V74" s="5">
        <f>IFERROR(HLOOKUP(K74,Standings!$F$3:$BA$5,3,FALSE),0)</f>
        <v>0</v>
      </c>
      <c r="W74" s="5">
        <f>-IFERROR(HLOOKUP(L74,Standings!$F$3:$BA$5,3,FALSE),0)</f>
        <v>-45</v>
      </c>
      <c r="X74" s="5">
        <f t="shared" si="2"/>
        <v>100</v>
      </c>
    </row>
    <row r="75" spans="2:24" x14ac:dyDescent="0.25">
      <c r="B75" s="48" t="s">
        <v>239</v>
      </c>
      <c r="C75" s="5" t="s">
        <v>40</v>
      </c>
      <c r="D75" s="5" t="s">
        <v>47</v>
      </c>
      <c r="E75" s="5" t="s">
        <v>51</v>
      </c>
      <c r="L75" s="5" t="s">
        <v>72</v>
      </c>
      <c r="N75" s="5">
        <f>IFERROR(HLOOKUP(C75,Standings!$F$3:$BA$5,3,FALSE),0)</f>
        <v>35</v>
      </c>
      <c r="O75" s="5">
        <f>IFERROR(HLOOKUP(D75,Standings!$F$3:$BA$5,3,FALSE),0)</f>
        <v>38</v>
      </c>
      <c r="P75" s="5">
        <f>IFERROR(HLOOKUP(E75,Standings!$F$3:$BA$5,3,FALSE),0)</f>
        <v>52</v>
      </c>
      <c r="Q75" s="5">
        <f>IFERROR(HLOOKUP(F75,Standings!$F$3:$BA$5,3,FALSE),0)</f>
        <v>0</v>
      </c>
      <c r="R75" s="5">
        <f>IFERROR(HLOOKUP(G75,Standings!$F$3:$BA$5,3,FALSE),0)</f>
        <v>0</v>
      </c>
      <c r="S75" s="5">
        <f>IFERROR(HLOOKUP(H75,Standings!$F$3:$BA$5,3,FALSE),0)</f>
        <v>0</v>
      </c>
      <c r="T75" s="5">
        <f>IFERROR(HLOOKUP(I75,Standings!$F$3:$BA$5,3,FALSE),0)</f>
        <v>0</v>
      </c>
      <c r="U75" s="5">
        <f>IFERROR(HLOOKUP(J75,Standings!$F$3:$BA$5,3,FALSE),0)</f>
        <v>0</v>
      </c>
      <c r="V75" s="5">
        <f>IFERROR(HLOOKUP(K75,Standings!$F$3:$BA$5,3,FALSE),0)</f>
        <v>0</v>
      </c>
      <c r="W75" s="5">
        <f>-IFERROR(HLOOKUP(L75,Standings!$F$3:$BA$5,3,FALSE),0)</f>
        <v>-25</v>
      </c>
      <c r="X75" s="5">
        <f t="shared" si="2"/>
        <v>100</v>
      </c>
    </row>
    <row r="76" spans="2:24" x14ac:dyDescent="0.25">
      <c r="B76" s="48" t="s">
        <v>240</v>
      </c>
      <c r="C76" s="5" t="s">
        <v>59</v>
      </c>
      <c r="D76" s="5" t="s">
        <v>49</v>
      </c>
      <c r="E76" s="5" t="s">
        <v>57</v>
      </c>
      <c r="F76" s="5" t="s">
        <v>62</v>
      </c>
      <c r="G76" s="5" t="s">
        <v>71</v>
      </c>
      <c r="H76" s="5" t="s">
        <v>48</v>
      </c>
      <c r="I76" s="5" t="s">
        <v>75</v>
      </c>
      <c r="L76" s="5" t="s">
        <v>61</v>
      </c>
      <c r="N76" s="5">
        <f>IFERROR(HLOOKUP(C76,Standings!$F$3:$BA$5,3,FALSE),0)</f>
        <v>68</v>
      </c>
      <c r="O76" s="5">
        <f>IFERROR(HLOOKUP(D76,Standings!$F$3:$BA$5,3,FALSE),0)</f>
        <v>16</v>
      </c>
      <c r="P76" s="5">
        <f>IFERROR(HLOOKUP(E76,Standings!$F$3:$BA$5,3,FALSE),0)</f>
        <v>14</v>
      </c>
      <c r="Q76" s="5">
        <f>IFERROR(HLOOKUP(F76,Standings!$F$3:$BA$5,3,FALSE),0)</f>
        <v>21</v>
      </c>
      <c r="R76" s="5">
        <f>IFERROR(HLOOKUP(G76,Standings!$F$3:$BA$5,3,FALSE),0)</f>
        <v>10</v>
      </c>
      <c r="S76" s="5">
        <f>IFERROR(HLOOKUP(H76,Standings!$F$3:$BA$5,3,FALSE),0)</f>
        <v>12</v>
      </c>
      <c r="T76" s="5">
        <f>IFERROR(HLOOKUP(I76,Standings!$F$3:$BA$5,3,FALSE),0)</f>
        <v>9</v>
      </c>
      <c r="U76" s="5">
        <f>IFERROR(HLOOKUP(J76,Standings!$F$3:$BA$5,3,FALSE),0)</f>
        <v>0</v>
      </c>
      <c r="V76" s="5">
        <f>IFERROR(HLOOKUP(K76,Standings!$F$3:$BA$5,3,FALSE),0)</f>
        <v>0</v>
      </c>
      <c r="W76" s="5">
        <f>-IFERROR(HLOOKUP(L76,Standings!$F$3:$BA$5,3,FALSE),0)</f>
        <v>-50</v>
      </c>
      <c r="X76" s="5">
        <f t="shared" ref="X76:X101" si="3">SUM(N76:W76)</f>
        <v>100</v>
      </c>
    </row>
    <row r="77" spans="2:24" x14ac:dyDescent="0.25">
      <c r="B77" s="48" t="s">
        <v>242</v>
      </c>
      <c r="C77" s="5" t="s">
        <v>45</v>
      </c>
      <c r="D77" s="5" t="s">
        <v>41</v>
      </c>
      <c r="E77" s="5" t="s">
        <v>65</v>
      </c>
      <c r="L77" s="5" t="s">
        <v>56</v>
      </c>
      <c r="N77" s="5">
        <f>IFERROR(HLOOKUP(C77,Standings!$F$3:$BA$5,3,FALSE),0)</f>
        <v>70</v>
      </c>
      <c r="O77" s="5">
        <f>IFERROR(HLOOKUP(D77,Standings!$F$3:$BA$5,3,FALSE),0)</f>
        <v>20</v>
      </c>
      <c r="P77" s="5">
        <f>IFERROR(HLOOKUP(E77,Standings!$F$3:$BA$5,3,FALSE),0)</f>
        <v>13</v>
      </c>
      <c r="Q77" s="5">
        <f>IFERROR(HLOOKUP(F77,Standings!$F$3:$BA$5,3,FALSE),0)</f>
        <v>0</v>
      </c>
      <c r="R77" s="5">
        <f>IFERROR(HLOOKUP(G77,Standings!$F$3:$BA$5,3,FALSE),0)</f>
        <v>0</v>
      </c>
      <c r="S77" s="5">
        <f>IFERROR(HLOOKUP(H77,Standings!$F$3:$BA$5,3,FALSE),0)</f>
        <v>0</v>
      </c>
      <c r="T77" s="5">
        <f>IFERROR(HLOOKUP(I77,Standings!$F$3:$BA$5,3,FALSE),0)</f>
        <v>0</v>
      </c>
      <c r="U77" s="5">
        <f>IFERROR(HLOOKUP(J77,Standings!$F$3:$BA$5,3,FALSE),0)</f>
        <v>0</v>
      </c>
      <c r="V77" s="5">
        <f>IFERROR(HLOOKUP(K77,Standings!$F$3:$BA$5,3,FALSE),0)</f>
        <v>0</v>
      </c>
      <c r="W77" s="5">
        <f>-IFERROR(HLOOKUP(L77,Standings!$F$3:$BA$5,3,FALSE),0)</f>
        <v>-3</v>
      </c>
      <c r="X77" s="5">
        <f t="shared" si="3"/>
        <v>100</v>
      </c>
    </row>
    <row r="78" spans="2:24" x14ac:dyDescent="0.25">
      <c r="B78" s="48" t="s">
        <v>244</v>
      </c>
      <c r="C78" s="5" t="s">
        <v>47</v>
      </c>
      <c r="D78" s="5" t="s">
        <v>39</v>
      </c>
      <c r="E78" s="5" t="s">
        <v>50</v>
      </c>
      <c r="F78" s="5" t="s">
        <v>75</v>
      </c>
      <c r="N78" s="5">
        <f>IFERROR(HLOOKUP(C78,Standings!$F$3:$BA$5,3,FALSE),0)</f>
        <v>38</v>
      </c>
      <c r="O78" s="5">
        <f>IFERROR(HLOOKUP(D78,Standings!$F$3:$BA$5,3,FALSE),0)</f>
        <v>30</v>
      </c>
      <c r="P78" s="5">
        <f>IFERROR(HLOOKUP(E78,Standings!$F$3:$BA$5,3,FALSE),0)</f>
        <v>23</v>
      </c>
      <c r="Q78" s="5">
        <f>IFERROR(HLOOKUP(F78,Standings!$F$3:$BA$5,3,FALSE),0)</f>
        <v>9</v>
      </c>
      <c r="R78" s="5">
        <f>IFERROR(HLOOKUP(G78,Standings!$F$3:$BA$5,3,FALSE),0)</f>
        <v>0</v>
      </c>
      <c r="S78" s="5">
        <f>IFERROR(HLOOKUP(H78,Standings!$F$3:$BA$5,3,FALSE),0)</f>
        <v>0</v>
      </c>
      <c r="T78" s="5">
        <f>IFERROR(HLOOKUP(I78,Standings!$F$3:$BA$5,3,FALSE),0)</f>
        <v>0</v>
      </c>
      <c r="U78" s="5">
        <f>IFERROR(HLOOKUP(J78,Standings!$F$3:$BA$5,3,FALSE),0)</f>
        <v>0</v>
      </c>
      <c r="V78" s="5">
        <f>IFERROR(HLOOKUP(K78,Standings!$F$3:$BA$5,3,FALSE),0)</f>
        <v>0</v>
      </c>
      <c r="W78" s="5">
        <f>-IFERROR(HLOOKUP(L78,Standings!$F$3:$BA$5,3,FALSE),0)</f>
        <v>0</v>
      </c>
      <c r="X78" s="5">
        <f t="shared" si="3"/>
        <v>100</v>
      </c>
    </row>
    <row r="79" spans="2:24" x14ac:dyDescent="0.25">
      <c r="B79" s="48" t="s">
        <v>245</v>
      </c>
      <c r="C79" s="5" t="s">
        <v>40</v>
      </c>
      <c r="D79" s="5" t="s">
        <v>72</v>
      </c>
      <c r="E79" s="5" t="s">
        <v>46</v>
      </c>
      <c r="F79" s="5" t="s">
        <v>38</v>
      </c>
      <c r="L79" s="5" t="s">
        <v>65</v>
      </c>
      <c r="N79" s="5">
        <f>IFERROR(HLOOKUP(C79,Standings!$F$3:$BA$5,3,FALSE),0)</f>
        <v>35</v>
      </c>
      <c r="O79" s="5">
        <f>IFERROR(HLOOKUP(D79,Standings!$F$3:$BA$5,3,FALSE),0)</f>
        <v>25</v>
      </c>
      <c r="P79" s="5">
        <f>IFERROR(HLOOKUP(E79,Standings!$F$3:$BA$5,3,FALSE),0)</f>
        <v>8</v>
      </c>
      <c r="Q79" s="5">
        <f>IFERROR(HLOOKUP(F79,Standings!$F$3:$BA$5,3,FALSE),0)</f>
        <v>45</v>
      </c>
      <c r="R79" s="5">
        <f>IFERROR(HLOOKUP(G79,Standings!$F$3:$BA$5,3,FALSE),0)</f>
        <v>0</v>
      </c>
      <c r="S79" s="5">
        <f>IFERROR(HLOOKUP(H79,Standings!$F$3:$BA$5,3,FALSE),0)</f>
        <v>0</v>
      </c>
      <c r="T79" s="5">
        <f>IFERROR(HLOOKUP(I79,Standings!$F$3:$BA$5,3,FALSE),0)</f>
        <v>0</v>
      </c>
      <c r="U79" s="5">
        <f>IFERROR(HLOOKUP(J79,Standings!$F$3:$BA$5,3,FALSE),0)</f>
        <v>0</v>
      </c>
      <c r="V79" s="5">
        <f>IFERROR(HLOOKUP(K79,Standings!$F$3:$BA$5,3,FALSE),0)</f>
        <v>0</v>
      </c>
      <c r="W79" s="5">
        <f>-IFERROR(HLOOKUP(L79,Standings!$F$3:$BA$5,3,FALSE),0)</f>
        <v>-13</v>
      </c>
      <c r="X79" s="5">
        <f t="shared" si="3"/>
        <v>100</v>
      </c>
    </row>
    <row r="80" spans="2:24" x14ac:dyDescent="0.25">
      <c r="B80" s="48" t="s">
        <v>247</v>
      </c>
      <c r="C80" s="5" t="s">
        <v>41</v>
      </c>
      <c r="D80" s="5" t="s">
        <v>51</v>
      </c>
      <c r="E80" s="5" t="s">
        <v>39</v>
      </c>
      <c r="F80" s="5" t="s">
        <v>54</v>
      </c>
      <c r="G80" s="5" t="s">
        <v>77</v>
      </c>
      <c r="H80" s="5" t="s">
        <v>91</v>
      </c>
      <c r="I80" s="5" t="s">
        <v>68</v>
      </c>
      <c r="J80" s="5" t="s">
        <v>58</v>
      </c>
      <c r="L80" s="5" t="s">
        <v>44</v>
      </c>
      <c r="N80" s="5">
        <f>IFERROR(HLOOKUP(C80,Standings!$F$3:$BA$5,3,FALSE),0)</f>
        <v>20</v>
      </c>
      <c r="O80" s="5">
        <f>IFERROR(HLOOKUP(D80,Standings!$F$3:$BA$5,3,FALSE),0)</f>
        <v>52</v>
      </c>
      <c r="P80" s="5">
        <f>IFERROR(HLOOKUP(E80,Standings!$F$3:$BA$5,3,FALSE),0)</f>
        <v>30</v>
      </c>
      <c r="Q80" s="5">
        <f>IFERROR(HLOOKUP(F80,Standings!$F$3:$BA$5,3,FALSE),0)</f>
        <v>17</v>
      </c>
      <c r="R80" s="5">
        <f>IFERROR(HLOOKUP(G80,Standings!$F$3:$BA$5,3,FALSE),0)</f>
        <v>6</v>
      </c>
      <c r="S80" s="5">
        <f>IFERROR(HLOOKUP(H80,Standings!$F$3:$BA$5,3,FALSE),0)</f>
        <v>13</v>
      </c>
      <c r="T80" s="5">
        <f>IFERROR(HLOOKUP(I80,Standings!$F$3:$BA$5,3,FALSE),0)</f>
        <v>18</v>
      </c>
      <c r="U80" s="5">
        <f>IFERROR(HLOOKUP(J80,Standings!$F$3:$BA$5,3,FALSE),0)</f>
        <v>4</v>
      </c>
      <c r="V80" s="5">
        <f>IFERROR(HLOOKUP(K80,Standings!$F$3:$BA$5,3,FALSE),0)</f>
        <v>0</v>
      </c>
      <c r="W80" s="5">
        <f>-IFERROR(HLOOKUP(L80,Standings!$F$3:$BA$5,3,FALSE),0)</f>
        <v>-60</v>
      </c>
      <c r="X80" s="5">
        <f t="shared" si="3"/>
        <v>100</v>
      </c>
    </row>
    <row r="81" spans="2:24" x14ac:dyDescent="0.25">
      <c r="B81" s="48" t="s">
        <v>249</v>
      </c>
      <c r="C81" s="5" t="s">
        <v>59</v>
      </c>
      <c r="D81" s="5" t="s">
        <v>50</v>
      </c>
      <c r="E81" s="5" t="s">
        <v>38</v>
      </c>
      <c r="F81" s="5" t="s">
        <v>49</v>
      </c>
      <c r="G81" s="5" t="s">
        <v>46</v>
      </c>
      <c r="L81" s="5" t="s">
        <v>44</v>
      </c>
      <c r="N81" s="5">
        <f>IFERROR(HLOOKUP(C81,Standings!$F$3:$BA$5,3,FALSE),0)</f>
        <v>68</v>
      </c>
      <c r="O81" s="5">
        <f>IFERROR(HLOOKUP(D81,Standings!$F$3:$BA$5,3,FALSE),0)</f>
        <v>23</v>
      </c>
      <c r="P81" s="5">
        <f>IFERROR(HLOOKUP(E81,Standings!$F$3:$BA$5,3,FALSE),0)</f>
        <v>45</v>
      </c>
      <c r="Q81" s="5">
        <f>IFERROR(HLOOKUP(F81,Standings!$F$3:$BA$5,3,FALSE),0)</f>
        <v>16</v>
      </c>
      <c r="R81" s="5">
        <f>IFERROR(HLOOKUP(G81,Standings!$F$3:$BA$5,3,FALSE),0)</f>
        <v>8</v>
      </c>
      <c r="S81" s="5">
        <f>IFERROR(HLOOKUP(H81,Standings!$F$3:$BA$5,3,FALSE),0)</f>
        <v>0</v>
      </c>
      <c r="T81" s="5">
        <f>IFERROR(HLOOKUP(I81,Standings!$F$3:$BA$5,3,FALSE),0)</f>
        <v>0</v>
      </c>
      <c r="U81" s="5">
        <f>IFERROR(HLOOKUP(J81,Standings!$F$3:$BA$5,3,FALSE),0)</f>
        <v>0</v>
      </c>
      <c r="V81" s="5">
        <f>IFERROR(HLOOKUP(K81,Standings!$F$3:$BA$5,3,FALSE),0)</f>
        <v>0</v>
      </c>
      <c r="W81" s="5">
        <f>-IFERROR(HLOOKUP(L81,Standings!$F$3:$BA$5,3,FALSE),0)</f>
        <v>-60</v>
      </c>
      <c r="X81" s="5">
        <f t="shared" si="3"/>
        <v>100</v>
      </c>
    </row>
    <row r="82" spans="2:24" x14ac:dyDescent="0.25">
      <c r="B82" s="48" t="s">
        <v>251</v>
      </c>
      <c r="C82" s="5" t="s">
        <v>52</v>
      </c>
      <c r="D82" s="5" t="s">
        <v>40</v>
      </c>
      <c r="E82" s="5" t="s">
        <v>51</v>
      </c>
      <c r="F82" s="5" t="s">
        <v>62</v>
      </c>
      <c r="G82" s="5" t="s">
        <v>76</v>
      </c>
      <c r="L82" s="5" t="s">
        <v>45</v>
      </c>
      <c r="N82" s="5">
        <f>IFERROR(HLOOKUP(C82,Standings!$F$3:$BA$5,3,FALSE),0)</f>
        <v>54</v>
      </c>
      <c r="O82" s="5">
        <f>IFERROR(HLOOKUP(D82,Standings!$F$3:$BA$5,3,FALSE),0)</f>
        <v>35</v>
      </c>
      <c r="P82" s="5">
        <f>IFERROR(HLOOKUP(E82,Standings!$F$3:$BA$5,3,FALSE),0)</f>
        <v>52</v>
      </c>
      <c r="Q82" s="5">
        <f>IFERROR(HLOOKUP(F82,Standings!$F$3:$BA$5,3,FALSE),0)</f>
        <v>21</v>
      </c>
      <c r="R82" s="5">
        <f>IFERROR(HLOOKUP(G82,Standings!$F$3:$BA$5,3,FALSE),0)</f>
        <v>8</v>
      </c>
      <c r="S82" s="5">
        <f>IFERROR(HLOOKUP(H82,Standings!$F$3:$BA$5,3,FALSE),0)</f>
        <v>0</v>
      </c>
      <c r="T82" s="5">
        <f>IFERROR(HLOOKUP(I82,Standings!$F$3:$BA$5,3,FALSE),0)</f>
        <v>0</v>
      </c>
      <c r="U82" s="5">
        <f>IFERROR(HLOOKUP(J82,Standings!$F$3:$BA$5,3,FALSE),0)</f>
        <v>0</v>
      </c>
      <c r="V82" s="5">
        <f>IFERROR(HLOOKUP(K82,Standings!$F$3:$BA$5,3,FALSE),0)</f>
        <v>0</v>
      </c>
      <c r="W82" s="5">
        <f>-IFERROR(HLOOKUP(L82,Standings!$F$3:$BA$5,3,FALSE),0)</f>
        <v>-70</v>
      </c>
      <c r="X82" s="5">
        <f t="shared" si="3"/>
        <v>100</v>
      </c>
    </row>
    <row r="83" spans="2:24" x14ac:dyDescent="0.25">
      <c r="B83" s="48" t="s">
        <v>253</v>
      </c>
      <c r="C83" s="5" t="s">
        <v>38</v>
      </c>
      <c r="D83" s="5" t="s">
        <v>62</v>
      </c>
      <c r="E83" s="5" t="s">
        <v>47</v>
      </c>
      <c r="F83" s="5" t="s">
        <v>42</v>
      </c>
      <c r="G83" s="5" t="s">
        <v>72</v>
      </c>
      <c r="H83" s="5" t="s">
        <v>48</v>
      </c>
      <c r="L83" s="5" t="s">
        <v>59</v>
      </c>
      <c r="N83" s="5">
        <f>IFERROR(HLOOKUP(C83,Standings!$F$3:$BA$5,3,FALSE),0)</f>
        <v>45</v>
      </c>
      <c r="O83" s="5">
        <f>IFERROR(HLOOKUP(D83,Standings!$F$3:$BA$5,3,FALSE),0)</f>
        <v>21</v>
      </c>
      <c r="P83" s="5">
        <f>IFERROR(HLOOKUP(E83,Standings!$F$3:$BA$5,3,FALSE),0)</f>
        <v>38</v>
      </c>
      <c r="Q83" s="5">
        <f>IFERROR(HLOOKUP(F83,Standings!$F$3:$BA$5,3,FALSE),0)</f>
        <v>27</v>
      </c>
      <c r="R83" s="5">
        <f>IFERROR(HLOOKUP(G83,Standings!$F$3:$BA$5,3,FALSE),0)</f>
        <v>25</v>
      </c>
      <c r="S83" s="5">
        <f>IFERROR(HLOOKUP(H83,Standings!$F$3:$BA$5,3,FALSE),0)</f>
        <v>12</v>
      </c>
      <c r="T83" s="5">
        <f>IFERROR(HLOOKUP(I83,Standings!$F$3:$BA$5,3,FALSE),0)</f>
        <v>0</v>
      </c>
      <c r="U83" s="5">
        <f>IFERROR(HLOOKUP(J83,Standings!$F$3:$BA$5,3,FALSE),0)</f>
        <v>0</v>
      </c>
      <c r="V83" s="5">
        <f>IFERROR(HLOOKUP(K83,Standings!$F$3:$BA$5,3,FALSE),0)</f>
        <v>0</v>
      </c>
      <c r="W83" s="5">
        <f>-IFERROR(HLOOKUP(L83,Standings!$F$3:$BA$5,3,FALSE),0)</f>
        <v>-68</v>
      </c>
      <c r="X83" s="5">
        <f t="shared" si="3"/>
        <v>100</v>
      </c>
    </row>
    <row r="84" spans="2:24" x14ac:dyDescent="0.25">
      <c r="B84" s="48" t="s">
        <v>255</v>
      </c>
      <c r="C84" s="5" t="s">
        <v>39</v>
      </c>
      <c r="D84" s="5" t="s">
        <v>72</v>
      </c>
      <c r="E84" s="5" t="s">
        <v>41</v>
      </c>
      <c r="F84" s="5" t="s">
        <v>54</v>
      </c>
      <c r="G84" s="5" t="s">
        <v>47</v>
      </c>
      <c r="H84" s="5" t="s">
        <v>68</v>
      </c>
      <c r="I84" s="5" t="s">
        <v>48</v>
      </c>
      <c r="J84" s="5" t="s">
        <v>69</v>
      </c>
      <c r="L84" s="5" t="s">
        <v>45</v>
      </c>
      <c r="N84" s="5">
        <f>IFERROR(HLOOKUP(C84,Standings!$F$3:$BA$5,3,FALSE),0)</f>
        <v>30</v>
      </c>
      <c r="O84" s="5">
        <f>IFERROR(HLOOKUP(D84,Standings!$F$3:$BA$5,3,FALSE),0)</f>
        <v>25</v>
      </c>
      <c r="P84" s="5">
        <f>IFERROR(HLOOKUP(E84,Standings!$F$3:$BA$5,3,FALSE),0)</f>
        <v>20</v>
      </c>
      <c r="Q84" s="5">
        <f>IFERROR(HLOOKUP(F84,Standings!$F$3:$BA$5,3,FALSE),0)</f>
        <v>17</v>
      </c>
      <c r="R84" s="5">
        <f>IFERROR(HLOOKUP(G84,Standings!$F$3:$BA$5,3,FALSE),0)</f>
        <v>38</v>
      </c>
      <c r="S84" s="5">
        <f>IFERROR(HLOOKUP(H84,Standings!$F$3:$BA$5,3,FALSE),0)</f>
        <v>18</v>
      </c>
      <c r="T84" s="5">
        <f>IFERROR(HLOOKUP(I84,Standings!$F$3:$BA$5,3,FALSE),0)</f>
        <v>12</v>
      </c>
      <c r="U84" s="5">
        <f>IFERROR(HLOOKUP(J84,Standings!$F$3:$BA$5,3,FALSE),0)</f>
        <v>9</v>
      </c>
      <c r="V84" s="5">
        <f>IFERROR(HLOOKUP(K84,Standings!$F$3:$BA$5,3,FALSE),0)</f>
        <v>0</v>
      </c>
      <c r="W84" s="5">
        <f>-IFERROR(HLOOKUP(L84,Standings!$F$3:$BA$5,3,FALSE),0)</f>
        <v>-70</v>
      </c>
      <c r="X84" s="5">
        <f t="shared" si="3"/>
        <v>99</v>
      </c>
    </row>
    <row r="85" spans="2:24" x14ac:dyDescent="0.25">
      <c r="B85" s="48" t="s">
        <v>257</v>
      </c>
      <c r="C85" s="5" t="s">
        <v>61</v>
      </c>
      <c r="D85" s="5" t="s">
        <v>40</v>
      </c>
      <c r="E85" s="5" t="s">
        <v>62</v>
      </c>
      <c r="F85" s="5" t="s">
        <v>65</v>
      </c>
      <c r="G85" s="5" t="s">
        <v>89</v>
      </c>
      <c r="L85" s="5" t="s">
        <v>39</v>
      </c>
      <c r="N85" s="5">
        <f>IFERROR(HLOOKUP(C85,Standings!$F$3:$BA$5,3,FALSE),0)</f>
        <v>50</v>
      </c>
      <c r="O85" s="5">
        <f>IFERROR(HLOOKUP(D85,Standings!$F$3:$BA$5,3,FALSE),0)</f>
        <v>35</v>
      </c>
      <c r="P85" s="5">
        <f>IFERROR(HLOOKUP(E85,Standings!$F$3:$BA$5,3,FALSE),0)</f>
        <v>21</v>
      </c>
      <c r="Q85" s="5">
        <f>IFERROR(HLOOKUP(F85,Standings!$F$3:$BA$5,3,FALSE),0)</f>
        <v>13</v>
      </c>
      <c r="R85" s="5">
        <f>IFERROR(HLOOKUP(G85,Standings!$F$3:$BA$5,3,FALSE),0)</f>
        <v>11</v>
      </c>
      <c r="S85" s="5">
        <f>IFERROR(HLOOKUP(H85,Standings!$F$3:$BA$5,3,FALSE),0)</f>
        <v>0</v>
      </c>
      <c r="T85" s="5">
        <f>IFERROR(HLOOKUP(I85,Standings!$F$3:$BA$5,3,FALSE),0)</f>
        <v>0</v>
      </c>
      <c r="U85" s="5">
        <f>IFERROR(HLOOKUP(J85,Standings!$F$3:$BA$5,3,FALSE),0)</f>
        <v>0</v>
      </c>
      <c r="V85" s="5">
        <f>IFERROR(HLOOKUP(K85,Standings!$F$3:$BA$5,3,FALSE),0)</f>
        <v>0</v>
      </c>
      <c r="W85" s="5">
        <f>-IFERROR(HLOOKUP(L85,Standings!$F$3:$BA$5,3,FALSE),0)</f>
        <v>-30</v>
      </c>
      <c r="X85" s="5">
        <f t="shared" si="3"/>
        <v>100</v>
      </c>
    </row>
    <row r="86" spans="2:24" x14ac:dyDescent="0.25">
      <c r="B86" s="48" t="s">
        <v>259</v>
      </c>
      <c r="C86" s="5" t="s">
        <v>51</v>
      </c>
      <c r="D86" s="5" t="s">
        <v>61</v>
      </c>
      <c r="E86" s="5" t="s">
        <v>53</v>
      </c>
      <c r="F86" s="5" t="s">
        <v>65</v>
      </c>
      <c r="L86" s="5" t="s">
        <v>40</v>
      </c>
      <c r="N86" s="5">
        <f>IFERROR(HLOOKUP(C86,Standings!$F$3:$BA$5,3,FALSE),0)</f>
        <v>52</v>
      </c>
      <c r="O86" s="5">
        <f>IFERROR(HLOOKUP(D86,Standings!$F$3:$BA$5,3,FALSE),0)</f>
        <v>50</v>
      </c>
      <c r="P86" s="5">
        <f>IFERROR(HLOOKUP(E86,Standings!$F$3:$BA$5,3,FALSE),0)</f>
        <v>20</v>
      </c>
      <c r="Q86" s="5">
        <f>IFERROR(HLOOKUP(F86,Standings!$F$3:$BA$5,3,FALSE),0)</f>
        <v>13</v>
      </c>
      <c r="R86" s="5">
        <f>IFERROR(HLOOKUP(G86,Standings!$F$3:$BA$5,3,FALSE),0)</f>
        <v>0</v>
      </c>
      <c r="S86" s="5">
        <f>IFERROR(HLOOKUP(H86,Standings!$F$3:$BA$5,3,FALSE),0)</f>
        <v>0</v>
      </c>
      <c r="T86" s="5">
        <f>IFERROR(HLOOKUP(I86,Standings!$F$3:$BA$5,3,FALSE),0)</f>
        <v>0</v>
      </c>
      <c r="U86" s="5">
        <f>IFERROR(HLOOKUP(J86,Standings!$F$3:$BA$5,3,FALSE),0)</f>
        <v>0</v>
      </c>
      <c r="V86" s="5">
        <f>IFERROR(HLOOKUP(K86,Standings!$F$3:$BA$5,3,FALSE),0)</f>
        <v>0</v>
      </c>
      <c r="W86" s="5">
        <f>-IFERROR(HLOOKUP(L86,Standings!$F$3:$BA$5,3,FALSE),0)</f>
        <v>-35</v>
      </c>
      <c r="X86" s="5">
        <f t="shared" si="3"/>
        <v>100</v>
      </c>
    </row>
    <row r="87" spans="2:24" x14ac:dyDescent="0.25">
      <c r="B87" s="48" t="s">
        <v>260</v>
      </c>
      <c r="C87" s="5" t="s">
        <v>45</v>
      </c>
      <c r="D87" s="5" t="s">
        <v>59</v>
      </c>
      <c r="E87" s="5" t="s">
        <v>49</v>
      </c>
      <c r="L87" s="5" t="s">
        <v>52</v>
      </c>
      <c r="N87" s="5">
        <f>IFERROR(HLOOKUP(C87,Standings!$F$3:$BA$5,3,FALSE),0)</f>
        <v>70</v>
      </c>
      <c r="O87" s="5">
        <f>IFERROR(HLOOKUP(D87,Standings!$F$3:$BA$5,3,FALSE),0)</f>
        <v>68</v>
      </c>
      <c r="P87" s="5">
        <f>IFERROR(HLOOKUP(E87,Standings!$F$3:$BA$5,3,FALSE),0)</f>
        <v>16</v>
      </c>
      <c r="Q87" s="5">
        <f>IFERROR(HLOOKUP(F87,Standings!$F$3:$BA$5,3,FALSE),0)</f>
        <v>0</v>
      </c>
      <c r="R87" s="5">
        <f>IFERROR(HLOOKUP(G87,Standings!$F$3:$BA$5,3,FALSE),0)</f>
        <v>0</v>
      </c>
      <c r="S87" s="5">
        <f>IFERROR(HLOOKUP(H87,Standings!$F$3:$BA$5,3,FALSE),0)</f>
        <v>0</v>
      </c>
      <c r="T87" s="5">
        <f>IFERROR(HLOOKUP(I87,Standings!$F$3:$BA$5,3,FALSE),0)</f>
        <v>0</v>
      </c>
      <c r="U87" s="5">
        <f>IFERROR(HLOOKUP(J87,Standings!$F$3:$BA$5,3,FALSE),0)</f>
        <v>0</v>
      </c>
      <c r="V87" s="5">
        <f>IFERROR(HLOOKUP(K87,Standings!$F$3:$BA$5,3,FALSE),0)</f>
        <v>0</v>
      </c>
      <c r="W87" s="5">
        <f>-IFERROR(HLOOKUP(L87,Standings!$F$3:$BA$5,3,FALSE),0)</f>
        <v>-54</v>
      </c>
      <c r="X87" s="5">
        <f t="shared" si="3"/>
        <v>100</v>
      </c>
    </row>
    <row r="88" spans="2:24" x14ac:dyDescent="0.25">
      <c r="B88" s="48" t="s">
        <v>261</v>
      </c>
      <c r="C88" s="5" t="s">
        <v>67</v>
      </c>
      <c r="D88" s="5" t="s">
        <v>50</v>
      </c>
      <c r="E88" s="5" t="s">
        <v>58</v>
      </c>
      <c r="F88" s="5" t="s">
        <v>44</v>
      </c>
      <c r="L88" s="5" t="s">
        <v>88</v>
      </c>
      <c r="N88" s="5">
        <f>IFERROR(HLOOKUP(C88,Standings!$F$3:$BA$5,3,FALSE),0)</f>
        <v>19</v>
      </c>
      <c r="O88" s="5">
        <f>IFERROR(HLOOKUP(D88,Standings!$F$3:$BA$5,3,FALSE),0)</f>
        <v>23</v>
      </c>
      <c r="P88" s="5">
        <f>IFERROR(HLOOKUP(E88,Standings!$F$3:$BA$5,3,FALSE),0)</f>
        <v>4</v>
      </c>
      <c r="Q88" s="5">
        <f>IFERROR(HLOOKUP(F88,Standings!$F$3:$BA$5,3,FALSE),0)</f>
        <v>60</v>
      </c>
      <c r="R88" s="5">
        <f>IFERROR(HLOOKUP(G88,Standings!$F$3:$BA$5,3,FALSE),0)</f>
        <v>0</v>
      </c>
      <c r="S88" s="5">
        <f>IFERROR(HLOOKUP(H88,Standings!$F$3:$BA$5,3,FALSE),0)</f>
        <v>0</v>
      </c>
      <c r="T88" s="5">
        <f>IFERROR(HLOOKUP(I88,Standings!$F$3:$BA$5,3,FALSE),0)</f>
        <v>0</v>
      </c>
      <c r="U88" s="5">
        <f>IFERROR(HLOOKUP(J88,Standings!$F$3:$BA$5,3,FALSE),0)</f>
        <v>0</v>
      </c>
      <c r="V88" s="5">
        <f>IFERROR(HLOOKUP(K88,Standings!$F$3:$BA$5,3,FALSE),0)</f>
        <v>0</v>
      </c>
      <c r="W88" s="5">
        <f>-IFERROR(HLOOKUP(L88,Standings!$F$3:$BA$5,3,FALSE),0)</f>
        <v>-6</v>
      </c>
      <c r="X88" s="5">
        <f t="shared" si="3"/>
        <v>100</v>
      </c>
    </row>
    <row r="89" spans="2:24" x14ac:dyDescent="0.25">
      <c r="B89" s="48" t="s">
        <v>263</v>
      </c>
      <c r="C89" s="5" t="s">
        <v>61</v>
      </c>
      <c r="D89" s="5" t="s">
        <v>72</v>
      </c>
      <c r="E89" s="5" t="s">
        <v>54</v>
      </c>
      <c r="F89" s="5" t="s">
        <v>41</v>
      </c>
      <c r="G89" s="5" t="s">
        <v>60</v>
      </c>
      <c r="L89" s="5" t="s">
        <v>47</v>
      </c>
      <c r="N89" s="5">
        <f>IFERROR(HLOOKUP(C89,Standings!$F$3:$BA$5,3,FALSE),0)</f>
        <v>50</v>
      </c>
      <c r="O89" s="5">
        <f>IFERROR(HLOOKUP(D89,Standings!$F$3:$BA$5,3,FALSE),0)</f>
        <v>25</v>
      </c>
      <c r="P89" s="5">
        <f>IFERROR(HLOOKUP(E89,Standings!$F$3:$BA$5,3,FALSE),0)</f>
        <v>17</v>
      </c>
      <c r="Q89" s="5">
        <f>IFERROR(HLOOKUP(F89,Standings!$F$3:$BA$5,3,FALSE),0)</f>
        <v>20</v>
      </c>
      <c r="R89" s="5">
        <f>IFERROR(HLOOKUP(G89,Standings!$F$3:$BA$5,3,FALSE),0)</f>
        <v>26</v>
      </c>
      <c r="S89" s="5">
        <f>IFERROR(HLOOKUP(H89,Standings!$F$3:$BA$5,3,FALSE),0)</f>
        <v>0</v>
      </c>
      <c r="T89" s="5">
        <f>IFERROR(HLOOKUP(I89,Standings!$F$3:$BA$5,3,FALSE),0)</f>
        <v>0</v>
      </c>
      <c r="U89" s="5">
        <f>IFERROR(HLOOKUP(J89,Standings!$F$3:$BA$5,3,FALSE),0)</f>
        <v>0</v>
      </c>
      <c r="V89" s="5">
        <f>IFERROR(HLOOKUP(K89,Standings!$F$3:$BA$5,3,FALSE),0)</f>
        <v>0</v>
      </c>
      <c r="W89" s="5">
        <f>-IFERROR(HLOOKUP(L89,Standings!$F$3:$BA$5,3,FALSE),0)</f>
        <v>-38</v>
      </c>
      <c r="X89" s="5">
        <f t="shared" si="3"/>
        <v>100</v>
      </c>
    </row>
    <row r="90" spans="2:24" x14ac:dyDescent="0.25">
      <c r="B90" s="48" t="s">
        <v>265</v>
      </c>
      <c r="C90" s="5" t="s">
        <v>61</v>
      </c>
      <c r="D90" s="5" t="s">
        <v>52</v>
      </c>
      <c r="E90" s="5" t="s">
        <v>60</v>
      </c>
      <c r="L90" s="5" t="s">
        <v>39</v>
      </c>
      <c r="N90" s="5">
        <f>IFERROR(HLOOKUP(C90,Standings!$F$3:$BA$5,3,FALSE),0)</f>
        <v>50</v>
      </c>
      <c r="O90" s="5">
        <f>IFERROR(HLOOKUP(D90,Standings!$F$3:$BA$5,3,FALSE),0)</f>
        <v>54</v>
      </c>
      <c r="P90" s="5">
        <f>IFERROR(HLOOKUP(E90,Standings!$F$3:$BA$5,3,FALSE),0)</f>
        <v>26</v>
      </c>
      <c r="Q90" s="5">
        <f>IFERROR(HLOOKUP(F90,Standings!$F$3:$BA$5,3,FALSE),0)</f>
        <v>0</v>
      </c>
      <c r="R90" s="5">
        <f>IFERROR(HLOOKUP(G90,Standings!$F$3:$BA$5,3,FALSE),0)</f>
        <v>0</v>
      </c>
      <c r="S90" s="5">
        <f>IFERROR(HLOOKUP(H90,Standings!$F$3:$BA$5,3,FALSE),0)</f>
        <v>0</v>
      </c>
      <c r="T90" s="5">
        <f>IFERROR(HLOOKUP(I90,Standings!$F$3:$BA$5,3,FALSE),0)</f>
        <v>0</v>
      </c>
      <c r="U90" s="5">
        <f>IFERROR(HLOOKUP(J90,Standings!$F$3:$BA$5,3,FALSE),0)</f>
        <v>0</v>
      </c>
      <c r="V90" s="5">
        <f>IFERROR(HLOOKUP(K90,Standings!$F$3:$BA$5,3,FALSE),0)</f>
        <v>0</v>
      </c>
      <c r="W90" s="5">
        <f>-IFERROR(HLOOKUP(L90,Standings!$F$3:$BA$5,3,FALSE),0)</f>
        <v>-30</v>
      </c>
      <c r="X90" s="5">
        <f t="shared" si="3"/>
        <v>100</v>
      </c>
    </row>
    <row r="91" spans="2:24" x14ac:dyDescent="0.25">
      <c r="B91" s="48" t="s">
        <v>267</v>
      </c>
      <c r="C91" s="5" t="s">
        <v>67</v>
      </c>
      <c r="D91" s="5" t="s">
        <v>60</v>
      </c>
      <c r="E91" s="5" t="s">
        <v>90</v>
      </c>
      <c r="F91" s="5" t="s">
        <v>43</v>
      </c>
      <c r="G91" s="5" t="s">
        <v>42</v>
      </c>
      <c r="H91" s="5" t="s">
        <v>88</v>
      </c>
      <c r="I91" s="5" t="s">
        <v>89</v>
      </c>
      <c r="J91" s="5" t="s">
        <v>55</v>
      </c>
      <c r="K91" s="5" t="s">
        <v>52</v>
      </c>
      <c r="L91" s="5" t="s">
        <v>59</v>
      </c>
      <c r="N91" s="5">
        <f>IFERROR(HLOOKUP(C91,Standings!$F$3:$BA$5,3,FALSE),0)</f>
        <v>19</v>
      </c>
      <c r="O91" s="5">
        <f>IFERROR(HLOOKUP(D91,Standings!$F$3:$BA$5,3,FALSE),0)</f>
        <v>26</v>
      </c>
      <c r="P91" s="5">
        <f>IFERROR(HLOOKUP(E91,Standings!$F$3:$BA$5,3,FALSE),0)</f>
        <v>10</v>
      </c>
      <c r="Q91" s="5">
        <f>IFERROR(HLOOKUP(F91,Standings!$F$3:$BA$5,3,FALSE),0)</f>
        <v>3</v>
      </c>
      <c r="R91" s="5">
        <f>IFERROR(HLOOKUP(G91,Standings!$F$3:$BA$5,3,FALSE),0)</f>
        <v>27</v>
      </c>
      <c r="S91" s="5">
        <f>IFERROR(HLOOKUP(H91,Standings!$F$3:$BA$5,3,FALSE),0)</f>
        <v>6</v>
      </c>
      <c r="T91" s="5">
        <f>IFERROR(HLOOKUP(I91,Standings!$F$3:$BA$5,3,FALSE),0)</f>
        <v>11</v>
      </c>
      <c r="U91" s="5">
        <f>IFERROR(HLOOKUP(J91,Standings!$F$3:$BA$5,3,FALSE),0)</f>
        <v>12</v>
      </c>
      <c r="V91" s="5">
        <f>IFERROR(HLOOKUP(K91,Standings!$F$3:$BA$5,3,FALSE),0)</f>
        <v>54</v>
      </c>
      <c r="W91" s="5">
        <f>-IFERROR(HLOOKUP(L91,Standings!$F$3:$BA$5,3,FALSE),0)</f>
        <v>-68</v>
      </c>
      <c r="X91" s="5">
        <f t="shared" si="3"/>
        <v>100</v>
      </c>
    </row>
    <row r="92" spans="2:24" x14ac:dyDescent="0.25">
      <c r="B92" s="48" t="s">
        <v>269</v>
      </c>
      <c r="C92" s="5" t="s">
        <v>60</v>
      </c>
      <c r="D92" s="5" t="s">
        <v>41</v>
      </c>
      <c r="E92" s="5" t="s">
        <v>72</v>
      </c>
      <c r="F92" s="5" t="s">
        <v>62</v>
      </c>
      <c r="G92" s="5" t="s">
        <v>53</v>
      </c>
      <c r="L92" s="5" t="s">
        <v>65</v>
      </c>
      <c r="N92" s="5">
        <f>IFERROR(HLOOKUP(C92,Standings!$F$3:$BA$5,3,FALSE),0)</f>
        <v>26</v>
      </c>
      <c r="O92" s="5">
        <f>IFERROR(HLOOKUP(D92,Standings!$F$3:$BA$5,3,FALSE),0)</f>
        <v>20</v>
      </c>
      <c r="P92" s="5">
        <f>IFERROR(HLOOKUP(E92,Standings!$F$3:$BA$5,3,FALSE),0)</f>
        <v>25</v>
      </c>
      <c r="Q92" s="5">
        <f>IFERROR(HLOOKUP(F92,Standings!$F$3:$BA$5,3,FALSE),0)</f>
        <v>21</v>
      </c>
      <c r="R92" s="5">
        <f>IFERROR(HLOOKUP(G92,Standings!$F$3:$BA$5,3,FALSE),0)</f>
        <v>20</v>
      </c>
      <c r="S92" s="5">
        <f>IFERROR(HLOOKUP(H92,Standings!$F$3:$BA$5,3,FALSE),0)</f>
        <v>0</v>
      </c>
      <c r="T92" s="5">
        <f>IFERROR(HLOOKUP(I92,Standings!$F$3:$BA$5,3,FALSE),0)</f>
        <v>0</v>
      </c>
      <c r="U92" s="5">
        <f>IFERROR(HLOOKUP(J92,Standings!$F$3:$BA$5,3,FALSE),0)</f>
        <v>0</v>
      </c>
      <c r="V92" s="5">
        <f>IFERROR(HLOOKUP(K92,Standings!$F$3:$BA$5,3,FALSE),0)</f>
        <v>0</v>
      </c>
      <c r="W92" s="5">
        <f>-IFERROR(HLOOKUP(L92,Standings!$F$3:$BA$5,3,FALSE),0)</f>
        <v>-13</v>
      </c>
      <c r="X92" s="5">
        <f t="shared" si="3"/>
        <v>99</v>
      </c>
    </row>
    <row r="93" spans="2:24" x14ac:dyDescent="0.25">
      <c r="B93" s="48" t="s">
        <v>271</v>
      </c>
      <c r="C93" s="5" t="s">
        <v>44</v>
      </c>
      <c r="D93" s="5" t="s">
        <v>50</v>
      </c>
      <c r="E93" s="5" t="s">
        <v>68</v>
      </c>
      <c r="F93" s="5" t="s">
        <v>39</v>
      </c>
      <c r="G93" s="5" t="s">
        <v>57</v>
      </c>
      <c r="L93" s="5" t="s">
        <v>38</v>
      </c>
      <c r="N93" s="5">
        <f>IFERROR(HLOOKUP(C93,Standings!$F$3:$BA$5,3,FALSE),0)</f>
        <v>60</v>
      </c>
      <c r="O93" s="5">
        <f>IFERROR(HLOOKUP(D93,Standings!$F$3:$BA$5,3,FALSE),0)</f>
        <v>23</v>
      </c>
      <c r="P93" s="5">
        <f>IFERROR(HLOOKUP(E93,Standings!$F$3:$BA$5,3,FALSE),0)</f>
        <v>18</v>
      </c>
      <c r="Q93" s="5">
        <f>IFERROR(HLOOKUP(F93,Standings!$F$3:$BA$5,3,FALSE),0)</f>
        <v>30</v>
      </c>
      <c r="R93" s="5">
        <f>IFERROR(HLOOKUP(G93,Standings!$F$3:$BA$5,3,FALSE),0)</f>
        <v>14</v>
      </c>
      <c r="S93" s="5">
        <f>IFERROR(HLOOKUP(H93,Standings!$F$3:$BA$5,3,FALSE),0)</f>
        <v>0</v>
      </c>
      <c r="T93" s="5">
        <f>IFERROR(HLOOKUP(I93,Standings!$F$3:$BA$5,3,FALSE),0)</f>
        <v>0</v>
      </c>
      <c r="U93" s="5">
        <f>IFERROR(HLOOKUP(J93,Standings!$F$3:$BA$5,3,FALSE),0)</f>
        <v>0</v>
      </c>
      <c r="V93" s="5">
        <f>IFERROR(HLOOKUP(K93,Standings!$F$3:$BA$5,3,FALSE),0)</f>
        <v>0</v>
      </c>
      <c r="W93" s="5">
        <f>-IFERROR(HLOOKUP(L93,Standings!$F$3:$BA$5,3,FALSE),0)</f>
        <v>-45</v>
      </c>
      <c r="X93" s="5">
        <f t="shared" si="3"/>
        <v>100</v>
      </c>
    </row>
    <row r="94" spans="2:24" x14ac:dyDescent="0.25">
      <c r="B94" s="48" t="s">
        <v>272</v>
      </c>
      <c r="C94" s="5" t="s">
        <v>47</v>
      </c>
      <c r="D94" s="5" t="s">
        <v>42</v>
      </c>
      <c r="E94" s="5" t="s">
        <v>41</v>
      </c>
      <c r="F94" s="5" t="s">
        <v>50</v>
      </c>
      <c r="L94" s="5" t="s">
        <v>76</v>
      </c>
      <c r="N94" s="5">
        <f>IFERROR(HLOOKUP(C94,Standings!$F$3:$BA$5,3,FALSE),0)</f>
        <v>38</v>
      </c>
      <c r="O94" s="5">
        <f>IFERROR(HLOOKUP(D94,Standings!$F$3:$BA$5,3,FALSE),0)</f>
        <v>27</v>
      </c>
      <c r="P94" s="5">
        <f>IFERROR(HLOOKUP(E94,Standings!$F$3:$BA$5,3,FALSE),0)</f>
        <v>20</v>
      </c>
      <c r="Q94" s="5">
        <f>IFERROR(HLOOKUP(F94,Standings!$F$3:$BA$5,3,FALSE),0)</f>
        <v>23</v>
      </c>
      <c r="R94" s="5">
        <f>IFERROR(HLOOKUP(G94,Standings!$F$3:$BA$5,3,FALSE),0)</f>
        <v>0</v>
      </c>
      <c r="S94" s="5">
        <f>IFERROR(HLOOKUP(H94,Standings!$F$3:$BA$5,3,FALSE),0)</f>
        <v>0</v>
      </c>
      <c r="T94" s="5">
        <f>IFERROR(HLOOKUP(I94,Standings!$F$3:$BA$5,3,FALSE),0)</f>
        <v>0</v>
      </c>
      <c r="U94" s="5">
        <f>IFERROR(HLOOKUP(J94,Standings!$F$3:$BA$5,3,FALSE),0)</f>
        <v>0</v>
      </c>
      <c r="V94" s="5">
        <f>IFERROR(HLOOKUP(K94,Standings!$F$3:$BA$5,3,FALSE),0)</f>
        <v>0</v>
      </c>
      <c r="W94" s="5">
        <f>-IFERROR(HLOOKUP(L94,Standings!$F$3:$BA$5,3,FALSE),0)</f>
        <v>-8</v>
      </c>
      <c r="X94" s="5">
        <f t="shared" si="3"/>
        <v>100</v>
      </c>
    </row>
    <row r="95" spans="2:24" x14ac:dyDescent="0.25">
      <c r="B95" s="48" t="s">
        <v>274</v>
      </c>
      <c r="C95" s="5" t="s">
        <v>61</v>
      </c>
      <c r="D95" s="5" t="s">
        <v>60</v>
      </c>
      <c r="E95" s="5" t="s">
        <v>72</v>
      </c>
      <c r="F95" s="5" t="s">
        <v>62</v>
      </c>
      <c r="G95" s="5" t="s">
        <v>41</v>
      </c>
      <c r="H95" s="5" t="s">
        <v>54</v>
      </c>
      <c r="L95" s="5" t="s">
        <v>44</v>
      </c>
      <c r="N95" s="5">
        <f>IFERROR(HLOOKUP(C95,Standings!$F$3:$BA$5,3,FALSE),0)</f>
        <v>50</v>
      </c>
      <c r="O95" s="5">
        <f>IFERROR(HLOOKUP(D95,Standings!$F$3:$BA$5,3,FALSE),0)</f>
        <v>26</v>
      </c>
      <c r="P95" s="5">
        <f>IFERROR(HLOOKUP(E95,Standings!$F$3:$BA$5,3,FALSE),0)</f>
        <v>25</v>
      </c>
      <c r="Q95" s="5">
        <f>IFERROR(HLOOKUP(F95,Standings!$F$3:$BA$5,3,FALSE),0)</f>
        <v>21</v>
      </c>
      <c r="R95" s="5">
        <f>IFERROR(HLOOKUP(G95,Standings!$F$3:$BA$5,3,FALSE),0)</f>
        <v>20</v>
      </c>
      <c r="S95" s="5">
        <f>IFERROR(HLOOKUP(H95,Standings!$F$3:$BA$5,3,FALSE),0)</f>
        <v>17</v>
      </c>
      <c r="T95" s="5">
        <f>IFERROR(HLOOKUP(I95,Standings!$F$3:$BA$5,3,FALSE),0)</f>
        <v>0</v>
      </c>
      <c r="U95" s="5">
        <f>IFERROR(HLOOKUP(J95,Standings!$F$3:$BA$5,3,FALSE),0)</f>
        <v>0</v>
      </c>
      <c r="V95" s="5">
        <f>IFERROR(HLOOKUP(K95,Standings!$F$3:$BA$5,3,FALSE),0)</f>
        <v>0</v>
      </c>
      <c r="W95" s="5">
        <f>-IFERROR(HLOOKUP(L95,Standings!$F$3:$BA$5,3,FALSE),0)</f>
        <v>-60</v>
      </c>
      <c r="X95" s="5">
        <f t="shared" si="3"/>
        <v>99</v>
      </c>
    </row>
    <row r="96" spans="2:24" x14ac:dyDescent="0.25">
      <c r="B96" s="48" t="s">
        <v>277</v>
      </c>
      <c r="C96" s="5" t="s">
        <v>42</v>
      </c>
      <c r="D96" s="5" t="s">
        <v>60</v>
      </c>
      <c r="E96" s="5" t="s">
        <v>41</v>
      </c>
      <c r="F96" s="5" t="s">
        <v>67</v>
      </c>
      <c r="G96" s="5" t="s">
        <v>48</v>
      </c>
      <c r="H96" s="5" t="s">
        <v>49</v>
      </c>
      <c r="I96" s="5" t="s">
        <v>71</v>
      </c>
      <c r="L96" s="5" t="s">
        <v>39</v>
      </c>
      <c r="N96" s="5">
        <f>IFERROR(HLOOKUP(C96,Standings!$F$3:$BA$5,3,FALSE),0)</f>
        <v>27</v>
      </c>
      <c r="O96" s="5">
        <f>IFERROR(HLOOKUP(D96,Standings!$F$3:$BA$5,3,FALSE),0)</f>
        <v>26</v>
      </c>
      <c r="P96" s="5">
        <f>IFERROR(HLOOKUP(E96,Standings!$F$3:$BA$5,3,FALSE),0)</f>
        <v>20</v>
      </c>
      <c r="Q96" s="5">
        <f>IFERROR(HLOOKUP(F96,Standings!$F$3:$BA$5,3,FALSE),0)</f>
        <v>19</v>
      </c>
      <c r="R96" s="5">
        <f>IFERROR(HLOOKUP(G96,Standings!$F$3:$BA$5,3,FALSE),0)</f>
        <v>12</v>
      </c>
      <c r="S96" s="5">
        <f>IFERROR(HLOOKUP(H96,Standings!$F$3:$BA$5,3,FALSE),0)</f>
        <v>16</v>
      </c>
      <c r="T96" s="5">
        <f>IFERROR(HLOOKUP(I96,Standings!$F$3:$BA$5,3,FALSE),0)</f>
        <v>10</v>
      </c>
      <c r="U96" s="5">
        <f>IFERROR(HLOOKUP(J96,Standings!$F$3:$BA$5,3,FALSE),0)</f>
        <v>0</v>
      </c>
      <c r="V96" s="5">
        <f>IFERROR(HLOOKUP(K96,Standings!$F$3:$BA$5,3,FALSE),0)</f>
        <v>0</v>
      </c>
      <c r="W96" s="5">
        <f>-IFERROR(HLOOKUP(L96,Standings!$F$3:$BA$5,3,FALSE),0)</f>
        <v>-30</v>
      </c>
      <c r="X96" s="5">
        <f t="shared" si="3"/>
        <v>100</v>
      </c>
    </row>
    <row r="97" spans="2:24" x14ac:dyDescent="0.25">
      <c r="B97" s="48" t="s">
        <v>276</v>
      </c>
      <c r="C97" s="5" t="s">
        <v>64</v>
      </c>
      <c r="D97" s="5" t="s">
        <v>48</v>
      </c>
      <c r="E97" s="5" t="s">
        <v>41</v>
      </c>
      <c r="F97" s="5" t="s">
        <v>65</v>
      </c>
      <c r="G97" s="5" t="s">
        <v>54</v>
      </c>
      <c r="H97" s="5" t="s">
        <v>49</v>
      </c>
      <c r="I97" s="5" t="s">
        <v>71</v>
      </c>
      <c r="J97" s="5" t="s">
        <v>53</v>
      </c>
      <c r="L97" s="5" t="s">
        <v>91</v>
      </c>
      <c r="N97" s="5">
        <f>IFERROR(HLOOKUP(C97,Standings!$F$3:$BA$5,3,FALSE),0)</f>
        <v>5</v>
      </c>
      <c r="O97" s="5">
        <f>IFERROR(HLOOKUP(D97,Standings!$F$3:$BA$5,3,FALSE),0)</f>
        <v>12</v>
      </c>
      <c r="P97" s="5">
        <f>IFERROR(HLOOKUP(E97,Standings!$F$3:$BA$5,3,FALSE),0)</f>
        <v>20</v>
      </c>
      <c r="Q97" s="5">
        <f>IFERROR(HLOOKUP(F97,Standings!$F$3:$BA$5,3,FALSE),0)</f>
        <v>13</v>
      </c>
      <c r="R97" s="5">
        <f>IFERROR(HLOOKUP(G97,Standings!$F$3:$BA$5,3,FALSE),0)</f>
        <v>17</v>
      </c>
      <c r="S97" s="5">
        <f>IFERROR(HLOOKUP(H97,Standings!$F$3:$BA$5,3,FALSE),0)</f>
        <v>16</v>
      </c>
      <c r="T97" s="5">
        <f>IFERROR(HLOOKUP(I97,Standings!$F$3:$BA$5,3,FALSE),0)</f>
        <v>10</v>
      </c>
      <c r="U97" s="5">
        <f>IFERROR(HLOOKUP(J97,Standings!$F$3:$BA$5,3,FALSE),0)</f>
        <v>20</v>
      </c>
      <c r="V97" s="5">
        <f>IFERROR(HLOOKUP(K97,Standings!$F$3:$BA$5,3,FALSE),0)</f>
        <v>0</v>
      </c>
      <c r="W97" s="5">
        <f>-IFERROR(HLOOKUP(L97,Standings!$F$3:$BA$5,3,FALSE),0)</f>
        <v>-13</v>
      </c>
      <c r="X97" s="5">
        <f t="shared" si="3"/>
        <v>100</v>
      </c>
    </row>
    <row r="98" spans="2:24" x14ac:dyDescent="0.25">
      <c r="B98" s="48" t="s">
        <v>278</v>
      </c>
      <c r="C98" s="5" t="s">
        <v>45</v>
      </c>
      <c r="D98" s="5" t="s">
        <v>44</v>
      </c>
      <c r="E98" s="5" t="s">
        <v>41</v>
      </c>
      <c r="L98" s="5" t="s">
        <v>61</v>
      </c>
      <c r="N98" s="5">
        <f>IFERROR(HLOOKUP(C98,Standings!$F$3:$BA$5,3,FALSE),0)</f>
        <v>70</v>
      </c>
      <c r="O98" s="5">
        <f>IFERROR(HLOOKUP(D98,Standings!$F$3:$BA$5,3,FALSE),0)</f>
        <v>60</v>
      </c>
      <c r="P98" s="5">
        <f>IFERROR(HLOOKUP(E98,Standings!$F$3:$BA$5,3,FALSE),0)</f>
        <v>20</v>
      </c>
      <c r="Q98" s="5">
        <f>IFERROR(HLOOKUP(F98,Standings!$F$3:$BA$5,3,FALSE),0)</f>
        <v>0</v>
      </c>
      <c r="R98" s="5">
        <f>IFERROR(HLOOKUP(G98,Standings!$F$3:$BA$5,3,FALSE),0)</f>
        <v>0</v>
      </c>
      <c r="S98" s="5">
        <f>IFERROR(HLOOKUP(H98,Standings!$F$3:$BA$5,3,FALSE),0)</f>
        <v>0</v>
      </c>
      <c r="T98" s="5">
        <f>IFERROR(HLOOKUP(I98,Standings!$F$3:$BA$5,3,FALSE),0)</f>
        <v>0</v>
      </c>
      <c r="U98" s="5">
        <f>IFERROR(HLOOKUP(J98,Standings!$F$3:$BA$5,3,FALSE),0)</f>
        <v>0</v>
      </c>
      <c r="V98" s="5">
        <f>IFERROR(HLOOKUP(K98,Standings!$F$3:$BA$5,3,FALSE),0)</f>
        <v>0</v>
      </c>
      <c r="W98" s="5">
        <f>-IFERROR(HLOOKUP(L98,Standings!$F$3:$BA$5,3,FALSE),0)</f>
        <v>-50</v>
      </c>
      <c r="X98" s="5">
        <f t="shared" si="3"/>
        <v>100</v>
      </c>
    </row>
    <row r="99" spans="2:24" x14ac:dyDescent="0.25">
      <c r="B99" s="48" t="s">
        <v>279</v>
      </c>
      <c r="C99" s="5" t="s">
        <v>51</v>
      </c>
      <c r="D99" s="5" t="s">
        <v>59</v>
      </c>
      <c r="E99" s="5" t="s">
        <v>50</v>
      </c>
      <c r="F99" s="5" t="s">
        <v>64</v>
      </c>
      <c r="L99" s="5" t="s">
        <v>61</v>
      </c>
      <c r="N99" s="5">
        <f>IFERROR(HLOOKUP(C99,Standings!$F$3:$BA$5,3,FALSE),0)</f>
        <v>52</v>
      </c>
      <c r="O99" s="5">
        <f>IFERROR(HLOOKUP(D99,Standings!$F$3:$BA$5,3,FALSE),0)</f>
        <v>68</v>
      </c>
      <c r="P99" s="5">
        <f>IFERROR(HLOOKUP(E99,Standings!$F$3:$BA$5,3,FALSE),0)</f>
        <v>23</v>
      </c>
      <c r="Q99" s="5">
        <f>IFERROR(HLOOKUP(F99,Standings!$F$3:$BA$5,3,FALSE),0)</f>
        <v>5</v>
      </c>
      <c r="R99" s="5">
        <f>IFERROR(HLOOKUP(G99,Standings!$F$3:$BA$5,3,FALSE),0)</f>
        <v>0</v>
      </c>
      <c r="S99" s="5">
        <f>IFERROR(HLOOKUP(H99,Standings!$F$3:$BA$5,3,FALSE),0)</f>
        <v>0</v>
      </c>
      <c r="T99" s="5">
        <f>IFERROR(HLOOKUP(I99,Standings!$F$3:$BA$5,3,FALSE),0)</f>
        <v>0</v>
      </c>
      <c r="U99" s="5">
        <f>IFERROR(HLOOKUP(J99,Standings!$F$3:$BA$5,3,FALSE),0)</f>
        <v>0</v>
      </c>
      <c r="V99" s="5">
        <f>IFERROR(HLOOKUP(K99,Standings!$F$3:$BA$5,3,FALSE),0)</f>
        <v>0</v>
      </c>
      <c r="W99" s="5">
        <f>-IFERROR(HLOOKUP(L99,Standings!$F$3:$BA$5,3,FALSE),0)</f>
        <v>-50</v>
      </c>
      <c r="X99" s="5">
        <f t="shared" si="3"/>
        <v>98</v>
      </c>
    </row>
    <row r="100" spans="2:24" x14ac:dyDescent="0.25">
      <c r="B100" s="48" t="s">
        <v>280</v>
      </c>
      <c r="C100" s="5" t="s">
        <v>59</v>
      </c>
      <c r="D100" s="5" t="s">
        <v>44</v>
      </c>
      <c r="E100" s="5" t="s">
        <v>62</v>
      </c>
      <c r="L100" s="5" t="s">
        <v>61</v>
      </c>
      <c r="N100" s="5">
        <f>IFERROR(HLOOKUP(C100,Standings!$F$3:$BA$5,3,FALSE),0)</f>
        <v>68</v>
      </c>
      <c r="O100" s="5">
        <f>IFERROR(HLOOKUP(D100,Standings!$F$3:$BA$5,3,FALSE),0)</f>
        <v>60</v>
      </c>
      <c r="P100" s="5">
        <f>IFERROR(HLOOKUP(E100,Standings!$F$3:$BA$5,3,FALSE),0)</f>
        <v>21</v>
      </c>
      <c r="Q100" s="5">
        <f>IFERROR(HLOOKUP(F100,Standings!$F$3:$BA$5,3,FALSE),0)</f>
        <v>0</v>
      </c>
      <c r="R100" s="5">
        <f>IFERROR(HLOOKUP(G100,Standings!$F$3:$BA$5,3,FALSE),0)</f>
        <v>0</v>
      </c>
      <c r="S100" s="5">
        <f>IFERROR(HLOOKUP(H100,Standings!$F$3:$BA$5,3,FALSE),0)</f>
        <v>0</v>
      </c>
      <c r="T100" s="5">
        <f>IFERROR(HLOOKUP(I100,Standings!$F$3:$BA$5,3,FALSE),0)</f>
        <v>0</v>
      </c>
      <c r="U100" s="5">
        <f>IFERROR(HLOOKUP(J100,Standings!$F$3:$BA$5,3,FALSE),0)</f>
        <v>0</v>
      </c>
      <c r="V100" s="5">
        <f>IFERROR(HLOOKUP(K100,Standings!$F$3:$BA$5,3,FALSE),0)</f>
        <v>0</v>
      </c>
      <c r="W100" s="5">
        <f>-IFERROR(HLOOKUP(L100,Standings!$F$3:$BA$5,3,FALSE),0)</f>
        <v>-50</v>
      </c>
      <c r="X100" s="5">
        <f t="shared" si="3"/>
        <v>99</v>
      </c>
    </row>
    <row r="101" spans="2:24" x14ac:dyDescent="0.25">
      <c r="B101" s="48" t="s">
        <v>281</v>
      </c>
      <c r="C101" s="5" t="s">
        <v>41</v>
      </c>
      <c r="D101" s="5" t="s">
        <v>72</v>
      </c>
      <c r="E101" s="5" t="s">
        <v>50</v>
      </c>
      <c r="F101" s="5" t="s">
        <v>55</v>
      </c>
      <c r="G101" s="5" t="s">
        <v>67</v>
      </c>
      <c r="H101" s="5" t="s">
        <v>62</v>
      </c>
      <c r="I101" s="5" t="s">
        <v>75</v>
      </c>
      <c r="J101" s="5" t="s">
        <v>65</v>
      </c>
      <c r="K101" s="5" t="s">
        <v>46</v>
      </c>
      <c r="L101" s="5" t="s">
        <v>61</v>
      </c>
      <c r="N101" s="5">
        <f>IFERROR(HLOOKUP(C101,Standings!$F$3:$BA$5,3,FALSE),0)</f>
        <v>20</v>
      </c>
      <c r="O101" s="5">
        <f>IFERROR(HLOOKUP(D101,Standings!$F$3:$BA$5,3,FALSE),0)</f>
        <v>25</v>
      </c>
      <c r="P101" s="5">
        <f>IFERROR(HLOOKUP(E101,Standings!$F$3:$BA$5,3,FALSE),0)</f>
        <v>23</v>
      </c>
      <c r="Q101" s="5">
        <f>IFERROR(HLOOKUP(F101,Standings!$F$3:$BA$5,3,FALSE),0)</f>
        <v>12</v>
      </c>
      <c r="R101" s="5">
        <f>IFERROR(HLOOKUP(G101,Standings!$F$3:$BA$5,3,FALSE),0)</f>
        <v>19</v>
      </c>
      <c r="S101" s="5">
        <f>IFERROR(HLOOKUP(H101,Standings!$F$3:$BA$5,3,FALSE),0)</f>
        <v>21</v>
      </c>
      <c r="T101" s="5">
        <f>IFERROR(HLOOKUP(I101,Standings!$F$3:$BA$5,3,FALSE),0)</f>
        <v>9</v>
      </c>
      <c r="U101" s="5">
        <f>IFERROR(HLOOKUP(J101,Standings!$F$3:$BA$5,3,FALSE),0)</f>
        <v>13</v>
      </c>
      <c r="V101" s="5">
        <f>IFERROR(HLOOKUP(K101,Standings!$F$3:$BA$5,3,FALSE),0)</f>
        <v>8</v>
      </c>
      <c r="W101" s="5">
        <f>-IFERROR(HLOOKUP(L101,Standings!$F$3:$BA$5,3,FALSE),0)</f>
        <v>-50</v>
      </c>
      <c r="X101" s="5">
        <f t="shared" si="3"/>
        <v>100</v>
      </c>
    </row>
    <row r="102" spans="2:24" x14ac:dyDescent="0.25">
      <c r="B102" t="s">
        <v>283</v>
      </c>
    </row>
  </sheetData>
  <conditionalFormatting sqref="X2:X108">
    <cfRule type="expression" dxfId="6027" priority="1">
      <formula>(X2&gt;100)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B130"/>
  <sheetViews>
    <sheetView tabSelected="1" zoomScale="85" zoomScaleNormal="85" workbookViewId="0">
      <pane xSplit="5" ySplit="9" topLeftCell="F28" activePane="bottomRight" state="frozen"/>
      <selection pane="topRight" activeCell="F1" sqref="F1"/>
      <selection pane="bottomLeft" activeCell="A7" sqref="A7"/>
      <selection pane="bottomRight" activeCell="A44" sqref="A44:XFD44"/>
    </sheetView>
  </sheetViews>
  <sheetFormatPr defaultRowHeight="15" x14ac:dyDescent="0.25"/>
  <cols>
    <col min="1" max="1" width="3" customWidth="1"/>
    <col min="2" max="2" width="3.42578125" hidden="1" customWidth="1"/>
    <col min="3" max="3" width="26.42578125" customWidth="1"/>
    <col min="4" max="5" width="3.7109375" bestFit="1" customWidth="1"/>
    <col min="6" max="53" width="4.7109375" customWidth="1"/>
    <col min="54" max="54" width="5.42578125" hidden="1" customWidth="1"/>
    <col min="55" max="55" width="6.7109375" hidden="1" customWidth="1"/>
    <col min="56" max="56" width="6" hidden="1" customWidth="1"/>
    <col min="57" max="57" width="5.42578125" hidden="1" customWidth="1"/>
    <col min="58" max="58" width="2.7109375" hidden="1" customWidth="1"/>
    <col min="59" max="106" width="4.28515625" hidden="1" customWidth="1"/>
  </cols>
  <sheetData>
    <row r="1" spans="1:106" s="29" customFormat="1" ht="5.25" customHeight="1" thickBot="1" x14ac:dyDescent="0.3"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</row>
    <row r="2" spans="1:106" s="27" customFormat="1" ht="21" customHeight="1" x14ac:dyDescent="0.35">
      <c r="D2" s="28"/>
      <c r="E2" s="28"/>
      <c r="F2" s="49" t="s">
        <v>78</v>
      </c>
      <c r="G2" s="50"/>
      <c r="H2" s="50"/>
      <c r="I2" s="51"/>
      <c r="J2" s="49" t="s">
        <v>79</v>
      </c>
      <c r="K2" s="50"/>
      <c r="L2" s="50"/>
      <c r="M2" s="51"/>
      <c r="N2" s="49" t="s">
        <v>80</v>
      </c>
      <c r="O2" s="50"/>
      <c r="P2" s="50"/>
      <c r="Q2" s="51"/>
      <c r="R2" s="49" t="s">
        <v>81</v>
      </c>
      <c r="S2" s="50"/>
      <c r="T2" s="50"/>
      <c r="U2" s="51"/>
      <c r="V2" s="49" t="s">
        <v>82</v>
      </c>
      <c r="W2" s="50"/>
      <c r="X2" s="50"/>
      <c r="Y2" s="51"/>
      <c r="Z2" s="49" t="s">
        <v>83</v>
      </c>
      <c r="AA2" s="50"/>
      <c r="AB2" s="50"/>
      <c r="AC2" s="51"/>
      <c r="AD2" s="49" t="s">
        <v>84</v>
      </c>
      <c r="AE2" s="50"/>
      <c r="AF2" s="50"/>
      <c r="AG2" s="51"/>
      <c r="AH2" s="49" t="s">
        <v>85</v>
      </c>
      <c r="AI2" s="50"/>
      <c r="AJ2" s="50"/>
      <c r="AK2" s="51"/>
      <c r="AL2" s="49" t="s">
        <v>284</v>
      </c>
      <c r="AM2" s="50"/>
      <c r="AN2" s="50"/>
      <c r="AO2" s="51"/>
      <c r="AP2" s="49" t="s">
        <v>285</v>
      </c>
      <c r="AQ2" s="50"/>
      <c r="AR2" s="50"/>
      <c r="AS2" s="51"/>
      <c r="AT2" s="49" t="s">
        <v>286</v>
      </c>
      <c r="AU2" s="50"/>
      <c r="AV2" s="50"/>
      <c r="AW2" s="51"/>
      <c r="AX2" s="49" t="s">
        <v>287</v>
      </c>
      <c r="AY2" s="50"/>
      <c r="AZ2" s="50"/>
      <c r="BA2" s="51"/>
      <c r="BB2" s="28"/>
    </row>
    <row r="3" spans="1:106" ht="73.5" customHeight="1" thickBot="1" x14ac:dyDescent="0.3">
      <c r="D3" s="2" t="s">
        <v>86</v>
      </c>
      <c r="E3" s="2" t="s">
        <v>87</v>
      </c>
      <c r="F3" s="33" t="s">
        <v>42</v>
      </c>
      <c r="G3" s="19" t="s">
        <v>88</v>
      </c>
      <c r="H3" s="19" t="s">
        <v>89</v>
      </c>
      <c r="I3" s="34" t="s">
        <v>55</v>
      </c>
      <c r="J3" s="33" t="s">
        <v>67</v>
      </c>
      <c r="K3" s="19" t="s">
        <v>60</v>
      </c>
      <c r="L3" s="19" t="s">
        <v>43</v>
      </c>
      <c r="M3" s="34" t="s">
        <v>90</v>
      </c>
      <c r="N3" s="33" t="s">
        <v>52</v>
      </c>
      <c r="O3" s="19" t="s">
        <v>62</v>
      </c>
      <c r="P3" s="19" t="s">
        <v>63</v>
      </c>
      <c r="Q3" s="34" t="s">
        <v>69</v>
      </c>
      <c r="R3" s="33" t="s">
        <v>50</v>
      </c>
      <c r="S3" s="19" t="s">
        <v>91</v>
      </c>
      <c r="T3" s="19" t="s">
        <v>70</v>
      </c>
      <c r="U3" s="34" t="s">
        <v>53</v>
      </c>
      <c r="V3" s="33" t="s">
        <v>38</v>
      </c>
      <c r="W3" s="19" t="s">
        <v>74</v>
      </c>
      <c r="X3" s="19" t="s">
        <v>75</v>
      </c>
      <c r="Y3" s="34" t="s">
        <v>54</v>
      </c>
      <c r="Z3" s="33" t="s">
        <v>40</v>
      </c>
      <c r="AA3" s="19" t="s">
        <v>41</v>
      </c>
      <c r="AB3" s="19" t="s">
        <v>73</v>
      </c>
      <c r="AC3" s="34" t="s">
        <v>57</v>
      </c>
      <c r="AD3" s="33" t="s">
        <v>47</v>
      </c>
      <c r="AE3" s="19" t="s">
        <v>71</v>
      </c>
      <c r="AF3" s="19" t="s">
        <v>76</v>
      </c>
      <c r="AG3" s="34" t="s">
        <v>58</v>
      </c>
      <c r="AH3" s="33" t="s">
        <v>45</v>
      </c>
      <c r="AI3" s="19" t="s">
        <v>92</v>
      </c>
      <c r="AJ3" s="19" t="s">
        <v>93</v>
      </c>
      <c r="AK3" s="34" t="s">
        <v>68</v>
      </c>
      <c r="AL3" s="33" t="s">
        <v>59</v>
      </c>
      <c r="AM3" s="19" t="s">
        <v>65</v>
      </c>
      <c r="AN3" s="19" t="s">
        <v>39</v>
      </c>
      <c r="AO3" s="34" t="s">
        <v>94</v>
      </c>
      <c r="AP3" s="33" t="s">
        <v>51</v>
      </c>
      <c r="AQ3" s="19" t="s">
        <v>46</v>
      </c>
      <c r="AR3" s="19" t="s">
        <v>48</v>
      </c>
      <c r="AS3" s="34" t="s">
        <v>56</v>
      </c>
      <c r="AT3" s="33" t="s">
        <v>61</v>
      </c>
      <c r="AU3" s="19" t="s">
        <v>95</v>
      </c>
      <c r="AV3" s="19" t="s">
        <v>72</v>
      </c>
      <c r="AW3" s="34" t="s">
        <v>77</v>
      </c>
      <c r="AX3" s="33" t="s">
        <v>44</v>
      </c>
      <c r="AY3" s="19" t="s">
        <v>49</v>
      </c>
      <c r="AZ3" s="19" t="s">
        <v>66</v>
      </c>
      <c r="BA3" s="34" t="s">
        <v>64</v>
      </c>
      <c r="BB3" s="20" t="s">
        <v>96</v>
      </c>
      <c r="BC3" s="20" t="s">
        <v>97</v>
      </c>
      <c r="BD3" s="20" t="s">
        <v>98</v>
      </c>
      <c r="BE3" s="20" t="s">
        <v>99</v>
      </c>
      <c r="BG3" s="19" t="s">
        <v>42</v>
      </c>
      <c r="BH3" s="19" t="s">
        <v>88</v>
      </c>
      <c r="BI3" s="19" t="s">
        <v>89</v>
      </c>
      <c r="BJ3" s="19" t="s">
        <v>55</v>
      </c>
      <c r="BK3" s="19" t="s">
        <v>67</v>
      </c>
      <c r="BL3" s="19" t="s">
        <v>60</v>
      </c>
      <c r="BM3" s="19" t="s">
        <v>43</v>
      </c>
      <c r="BN3" s="19" t="s">
        <v>90</v>
      </c>
      <c r="BO3" s="19" t="s">
        <v>52</v>
      </c>
      <c r="BP3" s="19" t="s">
        <v>62</v>
      </c>
      <c r="BQ3" s="19" t="s">
        <v>63</v>
      </c>
      <c r="BR3" s="19" t="s">
        <v>69</v>
      </c>
      <c r="BS3" s="19" t="s">
        <v>50</v>
      </c>
      <c r="BT3" s="19" t="s">
        <v>91</v>
      </c>
      <c r="BU3" s="19" t="s">
        <v>70</v>
      </c>
      <c r="BV3" s="19" t="s">
        <v>53</v>
      </c>
      <c r="BW3" s="19" t="s">
        <v>38</v>
      </c>
      <c r="BX3" s="19" t="s">
        <v>74</v>
      </c>
      <c r="BY3" s="19" t="s">
        <v>75</v>
      </c>
      <c r="BZ3" s="19" t="s">
        <v>54</v>
      </c>
      <c r="CA3" s="19" t="s">
        <v>40</v>
      </c>
      <c r="CB3" s="19" t="s">
        <v>41</v>
      </c>
      <c r="CC3" s="19" t="s">
        <v>73</v>
      </c>
      <c r="CD3" s="19" t="s">
        <v>57</v>
      </c>
      <c r="CE3" s="19" t="s">
        <v>47</v>
      </c>
      <c r="CF3" s="19" t="s">
        <v>71</v>
      </c>
      <c r="CG3" s="19" t="s">
        <v>76</v>
      </c>
      <c r="CH3" s="19" t="s">
        <v>58</v>
      </c>
      <c r="CI3" s="19" t="s">
        <v>45</v>
      </c>
      <c r="CJ3" s="19" t="s">
        <v>92</v>
      </c>
      <c r="CK3" s="19" t="s">
        <v>93</v>
      </c>
      <c r="CL3" s="19" t="s">
        <v>68</v>
      </c>
      <c r="CM3" s="19" t="s">
        <v>59</v>
      </c>
      <c r="CN3" s="19" t="s">
        <v>65</v>
      </c>
      <c r="CO3" s="19" t="s">
        <v>39</v>
      </c>
      <c r="CP3" s="19" t="s">
        <v>94</v>
      </c>
      <c r="CQ3" s="19" t="s">
        <v>51</v>
      </c>
      <c r="CR3" s="19" t="s">
        <v>46</v>
      </c>
      <c r="CS3" s="19" t="s">
        <v>48</v>
      </c>
      <c r="CT3" s="19" t="s">
        <v>56</v>
      </c>
      <c r="CU3" s="19" t="s">
        <v>61</v>
      </c>
      <c r="CV3" s="19" t="s">
        <v>95</v>
      </c>
      <c r="CW3" s="19" t="s">
        <v>72</v>
      </c>
      <c r="CX3" s="19" t="s">
        <v>77</v>
      </c>
      <c r="CY3" s="19" t="s">
        <v>44</v>
      </c>
      <c r="CZ3" s="19" t="s">
        <v>49</v>
      </c>
      <c r="DA3" s="19" t="s">
        <v>66</v>
      </c>
      <c r="DB3" s="19" t="s">
        <v>64</v>
      </c>
    </row>
    <row r="4" spans="1:106" ht="15.75" hidden="1" customHeight="1" thickBot="1" x14ac:dyDescent="0.3">
      <c r="C4" s="14" t="s">
        <v>100</v>
      </c>
      <c r="D4" s="3"/>
      <c r="E4" s="6"/>
      <c r="F4" s="7" t="e">
        <f>COUNTIF(#REF!,"x")</f>
        <v>#REF!</v>
      </c>
      <c r="G4" s="7" t="e">
        <f>COUNTIF(#REF!,"x")</f>
        <v>#REF!</v>
      </c>
      <c r="H4" s="7" t="e">
        <f>COUNTIF(#REF!,"x")</f>
        <v>#REF!</v>
      </c>
      <c r="I4" s="35" t="e">
        <f>COUNTIF(#REF!,"x")</f>
        <v>#REF!</v>
      </c>
      <c r="J4" s="7" t="e">
        <f>COUNTIF(#REF!,"x")</f>
        <v>#REF!</v>
      </c>
      <c r="K4" s="7" t="e">
        <f>COUNTIF(#REF!,"x")</f>
        <v>#REF!</v>
      </c>
      <c r="L4" s="7" t="e">
        <f>COUNTIF(#REF!,"x")</f>
        <v>#REF!</v>
      </c>
      <c r="M4" s="35" t="e">
        <f>COUNTIF(#REF!,"x")</f>
        <v>#REF!</v>
      </c>
      <c r="N4" s="7" t="e">
        <f>COUNTIF(#REF!,"x")</f>
        <v>#REF!</v>
      </c>
      <c r="O4" s="7" t="e">
        <f>COUNTIF(#REF!,"x")</f>
        <v>#REF!</v>
      </c>
      <c r="P4" s="7" t="e">
        <f>COUNTIF(#REF!,"x")</f>
        <v>#REF!</v>
      </c>
      <c r="Q4" s="35" t="e">
        <f>COUNTIF(#REF!,"x")</f>
        <v>#REF!</v>
      </c>
      <c r="R4" s="7" t="e">
        <f>COUNTIF(#REF!,"x")</f>
        <v>#REF!</v>
      </c>
      <c r="S4" s="7" t="e">
        <f>COUNTIF(#REF!,"x")</f>
        <v>#REF!</v>
      </c>
      <c r="T4" s="7" t="e">
        <f>COUNTIF(#REF!,"x")</f>
        <v>#REF!</v>
      </c>
      <c r="U4" s="35" t="e">
        <f>COUNTIF(#REF!,"x")</f>
        <v>#REF!</v>
      </c>
      <c r="V4" s="7" t="e">
        <f>COUNTIF(#REF!,"x")</f>
        <v>#REF!</v>
      </c>
      <c r="W4" s="7" t="e">
        <f>COUNTIF(#REF!,"x")</f>
        <v>#REF!</v>
      </c>
      <c r="X4" s="7" t="e">
        <f>COUNTIF(#REF!,"x")</f>
        <v>#REF!</v>
      </c>
      <c r="Y4" s="35" t="e">
        <f>COUNTIF(#REF!,"x")</f>
        <v>#REF!</v>
      </c>
      <c r="Z4" s="7" t="e">
        <f>COUNTIF(#REF!,"x")</f>
        <v>#REF!</v>
      </c>
      <c r="AA4" s="7" t="e">
        <f>COUNTIF(#REF!,"x")</f>
        <v>#REF!</v>
      </c>
      <c r="AB4" s="7" t="e">
        <f>COUNTIF(#REF!,"x")</f>
        <v>#REF!</v>
      </c>
      <c r="AC4" s="35" t="e">
        <f>COUNTIF(#REF!,"x")</f>
        <v>#REF!</v>
      </c>
      <c r="AD4" s="7" t="e">
        <f>COUNTIF(#REF!,"x")</f>
        <v>#REF!</v>
      </c>
      <c r="AE4" s="7" t="e">
        <f>COUNTIF(#REF!,"x")</f>
        <v>#REF!</v>
      </c>
      <c r="AF4" s="7" t="e">
        <f>COUNTIF(#REF!,"x")</f>
        <v>#REF!</v>
      </c>
      <c r="AG4" s="35" t="e">
        <f>COUNTIF(#REF!,"x")</f>
        <v>#REF!</v>
      </c>
      <c r="AH4" s="7" t="e">
        <f>COUNTIF(#REF!,"x")</f>
        <v>#REF!</v>
      </c>
      <c r="AI4" s="7" t="e">
        <f>COUNTIF(#REF!,"x")</f>
        <v>#REF!</v>
      </c>
      <c r="AJ4" s="7" t="e">
        <f>COUNTIF(#REF!,"x")</f>
        <v>#REF!</v>
      </c>
      <c r="AK4" s="35" t="e">
        <f>COUNTIF(#REF!,"x")</f>
        <v>#REF!</v>
      </c>
      <c r="AL4" s="7" t="e">
        <f>COUNTIF(#REF!,"x")</f>
        <v>#REF!</v>
      </c>
      <c r="AM4" s="7" t="e">
        <f>COUNTIF(#REF!,"x")</f>
        <v>#REF!</v>
      </c>
      <c r="AN4" s="7" t="e">
        <f>COUNTIF(#REF!,"x")</f>
        <v>#REF!</v>
      </c>
      <c r="AO4" s="35" t="e">
        <f>COUNTIF(#REF!,"x")</f>
        <v>#REF!</v>
      </c>
      <c r="AP4" s="7" t="e">
        <f>COUNTIF(#REF!,"x")</f>
        <v>#REF!</v>
      </c>
      <c r="AQ4" s="7" t="e">
        <f>COUNTIF(#REF!,"x")</f>
        <v>#REF!</v>
      </c>
      <c r="AR4" s="7" t="e">
        <f>COUNTIF(#REF!,"x")</f>
        <v>#REF!</v>
      </c>
      <c r="AS4" s="35" t="e">
        <f>COUNTIF(#REF!,"x")</f>
        <v>#REF!</v>
      </c>
      <c r="AT4" s="7" t="e">
        <f>COUNTIF(#REF!,"x")</f>
        <v>#REF!</v>
      </c>
      <c r="AU4" s="7" t="e">
        <f>COUNTIF(#REF!,"x")</f>
        <v>#REF!</v>
      </c>
      <c r="AV4" s="7" t="e">
        <f>COUNTIF(#REF!,"x")</f>
        <v>#REF!</v>
      </c>
      <c r="AW4" s="35" t="e">
        <f>COUNTIF(#REF!,"x")</f>
        <v>#REF!</v>
      </c>
      <c r="AX4" s="7" t="e">
        <f>COUNTIF(#REF!,"x")</f>
        <v>#REF!</v>
      </c>
      <c r="AY4" s="7" t="e">
        <f>COUNTIF(#REF!,"x")</f>
        <v>#REF!</v>
      </c>
      <c r="AZ4" s="7" t="e">
        <f>COUNTIF(#REF!,"x")</f>
        <v>#REF!</v>
      </c>
      <c r="BA4" s="35" t="e">
        <f>COUNTIF(#REF!,"x")</f>
        <v>#REF!</v>
      </c>
    </row>
    <row r="5" spans="1:106" ht="15.75" customHeight="1" thickBot="1" x14ac:dyDescent="0.3">
      <c r="C5" s="13" t="s">
        <v>101</v>
      </c>
      <c r="D5" s="3"/>
      <c r="E5" s="6"/>
      <c r="F5" s="8">
        <v>27</v>
      </c>
      <c r="G5" s="8">
        <v>6</v>
      </c>
      <c r="H5" s="8">
        <v>11</v>
      </c>
      <c r="I5" s="25">
        <v>12</v>
      </c>
      <c r="J5" s="8">
        <v>19</v>
      </c>
      <c r="K5" s="8">
        <v>26</v>
      </c>
      <c r="L5" s="8">
        <v>3</v>
      </c>
      <c r="M5" s="25">
        <v>10</v>
      </c>
      <c r="N5" s="8">
        <v>54</v>
      </c>
      <c r="O5" s="8">
        <v>21</v>
      </c>
      <c r="P5" s="8">
        <v>5</v>
      </c>
      <c r="Q5" s="25">
        <v>9</v>
      </c>
      <c r="R5" s="8">
        <v>23</v>
      </c>
      <c r="S5" s="8">
        <v>13</v>
      </c>
      <c r="T5" s="8">
        <v>7</v>
      </c>
      <c r="U5" s="25">
        <v>20</v>
      </c>
      <c r="V5" s="8">
        <v>45</v>
      </c>
      <c r="W5" s="8">
        <v>3</v>
      </c>
      <c r="X5" s="8">
        <v>9</v>
      </c>
      <c r="Y5" s="25">
        <v>17</v>
      </c>
      <c r="Z5" s="8">
        <v>35</v>
      </c>
      <c r="AA5" s="8">
        <v>20</v>
      </c>
      <c r="AB5" s="8">
        <v>7</v>
      </c>
      <c r="AC5" s="25">
        <v>14</v>
      </c>
      <c r="AD5" s="8">
        <v>38</v>
      </c>
      <c r="AE5" s="8">
        <v>10</v>
      </c>
      <c r="AF5" s="8">
        <v>8</v>
      </c>
      <c r="AG5" s="25">
        <v>4</v>
      </c>
      <c r="AH5" s="8">
        <v>70</v>
      </c>
      <c r="AI5" s="8">
        <v>4</v>
      </c>
      <c r="AJ5" s="8">
        <v>5</v>
      </c>
      <c r="AK5" s="25">
        <v>18</v>
      </c>
      <c r="AL5" s="8">
        <v>68</v>
      </c>
      <c r="AM5" s="8">
        <v>13</v>
      </c>
      <c r="AN5" s="8">
        <v>30</v>
      </c>
      <c r="AO5" s="25">
        <v>5</v>
      </c>
      <c r="AP5" s="8">
        <v>52</v>
      </c>
      <c r="AQ5" s="8">
        <v>8</v>
      </c>
      <c r="AR5" s="8">
        <v>12</v>
      </c>
      <c r="AS5" s="25">
        <v>3</v>
      </c>
      <c r="AT5" s="8">
        <v>50</v>
      </c>
      <c r="AU5" s="8">
        <v>5</v>
      </c>
      <c r="AV5" s="8">
        <v>25</v>
      </c>
      <c r="AW5" s="25">
        <v>6</v>
      </c>
      <c r="AX5" s="8">
        <v>60</v>
      </c>
      <c r="AY5" s="8">
        <v>16</v>
      </c>
      <c r="AZ5" s="8">
        <v>7</v>
      </c>
      <c r="BA5" s="25">
        <v>5</v>
      </c>
    </row>
    <row r="6" spans="1:106" ht="15.75" customHeight="1" thickBot="1" x14ac:dyDescent="0.3">
      <c r="C6" s="13" t="s">
        <v>102</v>
      </c>
      <c r="D6" s="3"/>
      <c r="E6" s="6"/>
      <c r="F6" s="8">
        <f>HLOOKUP(F3,'Match Results'!$B$1:$AW$10,10,FALSE)</f>
        <v>2</v>
      </c>
      <c r="G6" s="8">
        <f>HLOOKUP(G3,'Match Results'!$B$1:$AW$10,10,FALSE)</f>
        <v>0</v>
      </c>
      <c r="H6" s="8">
        <f>HLOOKUP(H3,'Match Results'!$B$1:$AW$10,10,FALSE)</f>
        <v>2</v>
      </c>
      <c r="I6" s="25">
        <f>HLOOKUP(I3,'Match Results'!$B$1:$AW$10,10,FALSE)</f>
        <v>0</v>
      </c>
      <c r="J6" s="8">
        <f>HLOOKUP(J3,'Match Results'!$B$1:$AW$10,10,FALSE)</f>
        <v>1</v>
      </c>
      <c r="K6" s="8">
        <f>HLOOKUP(K3,'Match Results'!$B$1:$AW$10,10,FALSE)</f>
        <v>1</v>
      </c>
      <c r="L6" s="8">
        <f>HLOOKUP(L3,'Match Results'!$B$1:$AW$10,10,FALSE)</f>
        <v>1</v>
      </c>
      <c r="M6" s="25">
        <f>HLOOKUP(M3,'Match Results'!$B$1:$AW$10,10,FALSE)</f>
        <v>1</v>
      </c>
      <c r="N6" s="8">
        <f>HLOOKUP(N3,'Match Results'!$B$1:$AW$10,10,FALSE)</f>
        <v>1</v>
      </c>
      <c r="O6" s="8">
        <f>HLOOKUP(O3,'Match Results'!$B$1:$AW$10,10,FALSE)</f>
        <v>1</v>
      </c>
      <c r="P6" s="8">
        <f>HLOOKUP(P3,'Match Results'!$B$1:$AW$10,10,FALSE)</f>
        <v>0</v>
      </c>
      <c r="Q6" s="25">
        <f>HLOOKUP(Q3,'Match Results'!$B$1:$AW$10,10,FALSE)</f>
        <v>2</v>
      </c>
      <c r="R6" s="8">
        <f>HLOOKUP(R3,'Match Results'!$B$1:$AW$10,10,FALSE)</f>
        <v>2</v>
      </c>
      <c r="S6" s="8">
        <f>HLOOKUP(S3,'Match Results'!$B$1:$AW$10,10,FALSE)</f>
        <v>0</v>
      </c>
      <c r="T6" s="8">
        <f>HLOOKUP(T3,'Match Results'!$B$1:$AW$10,10,FALSE)</f>
        <v>2</v>
      </c>
      <c r="U6" s="25">
        <f>HLOOKUP(U3,'Match Results'!$B$1:$AW$10,10,FALSE)</f>
        <v>0</v>
      </c>
      <c r="V6" s="8">
        <f>HLOOKUP(V3,'Match Results'!$B$1:$AW$10,10,FALSE)</f>
        <v>2</v>
      </c>
      <c r="W6" s="8">
        <f>HLOOKUP(W3,'Match Results'!$B$1:$AW$10,10,FALSE)</f>
        <v>0</v>
      </c>
      <c r="X6" s="8">
        <f>HLOOKUP(X3,'Match Results'!$B$1:$AW$10,10,FALSE)</f>
        <v>2</v>
      </c>
      <c r="Y6" s="25">
        <f>HLOOKUP(Y3,'Match Results'!$B$1:$AW$10,10,FALSE)</f>
        <v>0</v>
      </c>
      <c r="Z6" s="8">
        <f>HLOOKUP(Z3,'Match Results'!$B$1:$AW$10,10,FALSE)</f>
        <v>1</v>
      </c>
      <c r="AA6" s="8">
        <f>HLOOKUP(AA3,'Match Results'!$B$1:$AW$10,10,FALSE)</f>
        <v>1</v>
      </c>
      <c r="AB6" s="8">
        <f>HLOOKUP(AB3,'Match Results'!$B$1:$AW$10,10,FALSE)</f>
        <v>0</v>
      </c>
      <c r="AC6" s="25">
        <f>HLOOKUP(AC3,'Match Results'!$B$1:$AW$10,10,FALSE)</f>
        <v>2</v>
      </c>
      <c r="AD6" s="8">
        <f>HLOOKUP(AD3,'Match Results'!$B$1:$AW$10,10,FALSE)</f>
        <v>1</v>
      </c>
      <c r="AE6" s="8">
        <f>HLOOKUP(AE3,'Match Results'!$B$1:$AW$10,10,FALSE)</f>
        <v>1</v>
      </c>
      <c r="AF6" s="8">
        <f>HLOOKUP(AF3,'Match Results'!$B$1:$AW$10,10,FALSE)</f>
        <v>1</v>
      </c>
      <c r="AG6" s="25">
        <f>HLOOKUP(AG3,'Match Results'!$B$1:$AW$10,10,FALSE)</f>
        <v>1</v>
      </c>
      <c r="AH6" s="8">
        <f>HLOOKUP(AH3,'Match Results'!$B$1:$AW$10,10,FALSE)</f>
        <v>1</v>
      </c>
      <c r="AI6" s="8">
        <f>HLOOKUP(AI3,'Match Results'!$B$1:$AW$10,10,FALSE)</f>
        <v>1</v>
      </c>
      <c r="AJ6" s="8">
        <f>HLOOKUP(AJ3,'Match Results'!$B$1:$AW$10,10,FALSE)</f>
        <v>1</v>
      </c>
      <c r="AK6" s="25">
        <f>HLOOKUP(AK3,'Match Results'!$B$1:$AW$10,10,FALSE)</f>
        <v>1</v>
      </c>
      <c r="AL6" s="8">
        <f>HLOOKUP(AL3,'Match Results'!$B$1:$AW$10,10,FALSE)</f>
        <v>0</v>
      </c>
      <c r="AM6" s="8">
        <f>HLOOKUP(AM3,'Match Results'!$B$1:$AW$10,10,FALSE)</f>
        <v>0</v>
      </c>
      <c r="AN6" s="8">
        <f>HLOOKUP(AN3,'Match Results'!$B$1:$AW$10,10,FALSE)</f>
        <v>0</v>
      </c>
      <c r="AO6" s="25">
        <f>HLOOKUP(AO3,'Match Results'!$B$1:$AW$10,10,FALSE)</f>
        <v>0</v>
      </c>
      <c r="AP6" s="8">
        <f>HLOOKUP(AP3,'Match Results'!$B$1:$AW$10,10,FALSE)</f>
        <v>0</v>
      </c>
      <c r="AQ6" s="8">
        <f>HLOOKUP(AQ3,'Match Results'!$B$1:$AW$10,10,FALSE)</f>
        <v>0</v>
      </c>
      <c r="AR6" s="8">
        <f>HLOOKUP(AR3,'Match Results'!$B$1:$AW$10,10,FALSE)</f>
        <v>0</v>
      </c>
      <c r="AS6" s="25">
        <f>HLOOKUP(AS3,'Match Results'!$B$1:$AW$10,10,FALSE)</f>
        <v>0</v>
      </c>
      <c r="AT6" s="8">
        <f>HLOOKUP(AT3,'Match Results'!$B$1:$AW$10,10,FALSE)</f>
        <v>0</v>
      </c>
      <c r="AU6" s="8">
        <f>HLOOKUP(AU3,'Match Results'!$B$1:$AW$10,10,FALSE)</f>
        <v>0</v>
      </c>
      <c r="AV6" s="8">
        <f>HLOOKUP(AV3,'Match Results'!$B$1:$AW$10,10,FALSE)</f>
        <v>0</v>
      </c>
      <c r="AW6" s="25">
        <f>HLOOKUP(AW3,'Match Results'!$B$1:$AW$10,10,FALSE)</f>
        <v>0</v>
      </c>
      <c r="AX6" s="8">
        <f>HLOOKUP(AX3,'Match Results'!$B$1:$AW$10,10,FALSE)</f>
        <v>0</v>
      </c>
      <c r="AY6" s="8">
        <f>HLOOKUP(AY3,'Match Results'!$B$1:$AW$10,10,FALSE)</f>
        <v>0</v>
      </c>
      <c r="AZ6" s="8">
        <f>HLOOKUP(AZ3,'Match Results'!$B$1:$AW$10,10,FALSE)</f>
        <v>0</v>
      </c>
      <c r="BA6" s="25">
        <f>HLOOKUP(BA3,'Match Results'!$B$1:$AW$10,10,FALSE)</f>
        <v>0</v>
      </c>
    </row>
    <row r="7" spans="1:106" ht="15.75" customHeight="1" thickBot="1" x14ac:dyDescent="0.3">
      <c r="C7" s="13" t="s">
        <v>103</v>
      </c>
      <c r="D7" s="3"/>
      <c r="E7" s="6"/>
      <c r="F7" s="8">
        <f>COUNTIF(BG:BG,"x")</f>
        <v>21</v>
      </c>
      <c r="G7" s="8">
        <f>COUNTIF(BH:BH,"x")</f>
        <v>2</v>
      </c>
      <c r="H7" s="8">
        <f>COUNTIF(BI:BI,"x")</f>
        <v>14</v>
      </c>
      <c r="I7" s="25">
        <f>COUNTIF(BJ:BJ,"x")</f>
        <v>8</v>
      </c>
      <c r="J7" s="8">
        <f>COUNTIF(BK:BK,"x")</f>
        <v>17</v>
      </c>
      <c r="K7" s="8">
        <f>COUNTIF(BL:BL,"x")</f>
        <v>17</v>
      </c>
      <c r="L7" s="8">
        <f>COUNTIF(BM:BM,"x")</f>
        <v>7</v>
      </c>
      <c r="M7" s="25">
        <f>COUNTIF(BN:BN,"x")</f>
        <v>2</v>
      </c>
      <c r="N7" s="8">
        <f>COUNTIF(BO:BO,"x")</f>
        <v>9</v>
      </c>
      <c r="O7" s="8">
        <f>COUNTIF(BP:BP,"x")</f>
        <v>24</v>
      </c>
      <c r="P7" s="8">
        <f>COUNTIF(BQ:BQ,"x")</f>
        <v>1</v>
      </c>
      <c r="Q7" s="25">
        <f>COUNTIF(BR:BR,"x")</f>
        <v>9</v>
      </c>
      <c r="R7" s="8">
        <f>COUNTIF(BS:BS,"x")</f>
        <v>24</v>
      </c>
      <c r="S7" s="8">
        <f>COUNTIF(BT:BT,"x")</f>
        <v>2</v>
      </c>
      <c r="T7" s="8">
        <f>COUNTIF(BU:BU,"x")</f>
        <v>7</v>
      </c>
      <c r="U7" s="25">
        <f>COUNTIF(BV:BV,"x")</f>
        <v>8</v>
      </c>
      <c r="V7" s="8">
        <f>COUNTIF(BW:BW,"x")</f>
        <v>14</v>
      </c>
      <c r="W7" s="8">
        <f>COUNTIF(BX:BX,"x")</f>
        <v>5</v>
      </c>
      <c r="X7" s="8">
        <f>COUNTIF(BY:BY,"x")</f>
        <v>7</v>
      </c>
      <c r="Y7" s="25">
        <f>COUNTIF(BZ:BZ,"x")</f>
        <v>23</v>
      </c>
      <c r="Z7" s="8">
        <f>COUNTIF(CA:CA,"x")</f>
        <v>19</v>
      </c>
      <c r="AA7" s="8">
        <f>COUNTIF(CB:CB,"x")</f>
        <v>29</v>
      </c>
      <c r="AB7" s="8">
        <f>COUNTIF(CC:CC,"x")</f>
        <v>5</v>
      </c>
      <c r="AC7" s="25">
        <f>COUNTIF(CD:CD,"x")</f>
        <v>6</v>
      </c>
      <c r="AD7" s="8">
        <f>COUNTIF(CE:CE,"x")</f>
        <v>19</v>
      </c>
      <c r="AE7" s="8">
        <f>COUNTIF(CF:CF,"x")</f>
        <v>18</v>
      </c>
      <c r="AF7" s="8">
        <f>COUNTIF(CG:CG,"x")</f>
        <v>7</v>
      </c>
      <c r="AG7" s="25">
        <f>COUNTIF(CH:CH,"x")</f>
        <v>7</v>
      </c>
      <c r="AH7" s="8">
        <f>COUNTIF(CI:CI,"x")</f>
        <v>12</v>
      </c>
      <c r="AI7" s="8">
        <f>COUNTIF(CJ:CJ,"x")</f>
        <v>4</v>
      </c>
      <c r="AJ7" s="8">
        <f>COUNTIF(CK:CK,"x")</f>
        <v>2</v>
      </c>
      <c r="AK7" s="25">
        <f>COUNTIF(CL:CL,"x")</f>
        <v>13</v>
      </c>
      <c r="AL7" s="8">
        <f>COUNTIF(CM:CM,"x")</f>
        <v>21</v>
      </c>
      <c r="AM7" s="8">
        <f>COUNTIF(CN:CN,"x")</f>
        <v>22</v>
      </c>
      <c r="AN7" s="8">
        <f>COUNTIF(CO:CO,"x")</f>
        <v>13</v>
      </c>
      <c r="AO7" s="25">
        <f>COUNTIF(CP:CP,"x")</f>
        <v>0</v>
      </c>
      <c r="AP7" s="8">
        <f>COUNTIF(CQ:CQ,"x")</f>
        <v>15</v>
      </c>
      <c r="AQ7" s="8">
        <f>COUNTIF(CR:CR,"x")</f>
        <v>6</v>
      </c>
      <c r="AR7" s="8">
        <f>COUNTIF(CS:CS,"x")</f>
        <v>21</v>
      </c>
      <c r="AS7" s="25">
        <f>COUNTIF(CT:CT,"x")</f>
        <v>6</v>
      </c>
      <c r="AT7" s="8">
        <f>COUNTIF(CU:CU,"x")</f>
        <v>15</v>
      </c>
      <c r="AU7" s="8">
        <f>COUNTIF(CV:CV,"x")</f>
        <v>1</v>
      </c>
      <c r="AV7" s="8">
        <f>COUNTIF(CW:CW,"x")</f>
        <v>17</v>
      </c>
      <c r="AW7" s="25">
        <f>COUNTIF(CX:CX,"x")</f>
        <v>5</v>
      </c>
      <c r="AX7" s="8">
        <f>COUNTIF(CY:CY,"x")</f>
        <v>14</v>
      </c>
      <c r="AY7" s="8">
        <f>COUNTIF(CZ:CZ,"x")</f>
        <v>29</v>
      </c>
      <c r="AZ7" s="8">
        <f>COUNTIF(DA:DA,"x")</f>
        <v>3</v>
      </c>
      <c r="BA7" s="25">
        <f>COUNTIF(DB:DB,"x")</f>
        <v>5</v>
      </c>
    </row>
    <row r="8" spans="1:106" ht="15.75" customHeight="1" thickBot="1" x14ac:dyDescent="0.3">
      <c r="C8" s="13" t="s">
        <v>104</v>
      </c>
      <c r="D8" s="3"/>
      <c r="E8" s="6"/>
      <c r="F8" s="8">
        <f>COUNTIF(BG:BG,"S")</f>
        <v>0</v>
      </c>
      <c r="G8" s="8">
        <f>COUNTIF(BH:BH,"S")</f>
        <v>1</v>
      </c>
      <c r="H8" s="8">
        <f>COUNTIF(BI:BI,"S")</f>
        <v>0</v>
      </c>
      <c r="I8" s="25">
        <f>COUNTIF(BJ:BJ,"S")</f>
        <v>1</v>
      </c>
      <c r="J8" s="8">
        <f>COUNTIF(BK:BK,"S")</f>
        <v>1</v>
      </c>
      <c r="K8" s="8">
        <f>COUNTIF(BL:BL,"S")</f>
        <v>1</v>
      </c>
      <c r="L8" s="8">
        <f>COUNTIF(BM:BM,"S")</f>
        <v>1</v>
      </c>
      <c r="M8" s="25">
        <f>COUNTIF(BN:BN,"S")</f>
        <v>1</v>
      </c>
      <c r="N8" s="8">
        <f>COUNTIF(BO:BO,"S")</f>
        <v>5</v>
      </c>
      <c r="O8" s="8">
        <f>COUNTIF(BP:BP,"S")</f>
        <v>1</v>
      </c>
      <c r="P8" s="8">
        <f>COUNTIF(BQ:BQ,"S")</f>
        <v>0</v>
      </c>
      <c r="Q8" s="25">
        <f>COUNTIF(BR:BR,"S")</f>
        <v>0</v>
      </c>
      <c r="R8" s="8">
        <f>COUNTIF(BS:BS,"S")</f>
        <v>2</v>
      </c>
      <c r="S8" s="8">
        <f>COUNTIF(BT:BT,"S")</f>
        <v>2</v>
      </c>
      <c r="T8" s="8">
        <f>COUNTIF(BU:BU,"S")</f>
        <v>0</v>
      </c>
      <c r="U8" s="25">
        <f>COUNTIF(BV:BV,"S")</f>
        <v>4</v>
      </c>
      <c r="V8" s="8">
        <f>COUNTIF(BW:BW,"S")</f>
        <v>7</v>
      </c>
      <c r="W8" s="8">
        <f>COUNTIF(BX:BX,"S")</f>
        <v>0</v>
      </c>
      <c r="X8" s="8">
        <f>COUNTIF(BY:BY,"S")</f>
        <v>0</v>
      </c>
      <c r="Y8" s="25">
        <f>COUNTIF(BZ:BZ,"S")</f>
        <v>0</v>
      </c>
      <c r="Z8" s="8">
        <f>COUNTIF(CA:CA,"S")</f>
        <v>6</v>
      </c>
      <c r="AA8" s="8">
        <f>COUNTIF(CB:CB,"S")</f>
        <v>3</v>
      </c>
      <c r="AB8" s="8">
        <f>COUNTIF(CC:CC,"S")</f>
        <v>0</v>
      </c>
      <c r="AC8" s="25">
        <f>COUNTIF(CD:CD,"S")</f>
        <v>3</v>
      </c>
      <c r="AD8" s="8">
        <f>COUNTIF(CE:CE,"S")</f>
        <v>5</v>
      </c>
      <c r="AE8" s="8">
        <f>COUNTIF(CF:CF,"S")</f>
        <v>0</v>
      </c>
      <c r="AF8" s="8">
        <f>COUNTIF(CG:CG,"S")</f>
        <v>1</v>
      </c>
      <c r="AG8" s="25">
        <f>COUNTIF(CH:CH,"S")</f>
        <v>0</v>
      </c>
      <c r="AH8" s="8">
        <f>COUNTIF(CI:CI,"S")</f>
        <v>6</v>
      </c>
      <c r="AI8" s="8">
        <f>COUNTIF(CJ:CJ,"S")</f>
        <v>0</v>
      </c>
      <c r="AJ8" s="8">
        <f>COUNTIF(CK:CK,"S")</f>
        <v>0</v>
      </c>
      <c r="AK8" s="25">
        <f>COUNTIF(CL:CL,"S")</f>
        <v>0</v>
      </c>
      <c r="AL8" s="8">
        <f>COUNTIF(CM:CM,"S")</f>
        <v>10</v>
      </c>
      <c r="AM8" s="8">
        <f>COUNTIF(CN:CN,"S")</f>
        <v>2</v>
      </c>
      <c r="AN8" s="8">
        <f>COUNTIF(CO:CO,"S")</f>
        <v>5</v>
      </c>
      <c r="AO8" s="25">
        <f>COUNTIF(CP:CP,"S")</f>
        <v>0</v>
      </c>
      <c r="AP8" s="8">
        <f>COUNTIF(CQ:CQ,"S")</f>
        <v>6</v>
      </c>
      <c r="AQ8" s="8">
        <f>COUNTIF(CR:CR,"S")</f>
        <v>0</v>
      </c>
      <c r="AR8" s="8">
        <f>COUNTIF(CS:CS,"S")</f>
        <v>0</v>
      </c>
      <c r="AS8" s="25">
        <f>COUNTIF(CT:CT,"S")</f>
        <v>2</v>
      </c>
      <c r="AT8" s="8">
        <f>COUNTIF(CU:CU,"S")</f>
        <v>8</v>
      </c>
      <c r="AU8" s="8">
        <f>COUNTIF(CV:CV,"S")</f>
        <v>0</v>
      </c>
      <c r="AV8" s="8">
        <f>COUNTIF(CW:CW,"S")</f>
        <v>1</v>
      </c>
      <c r="AW8" s="25">
        <f>COUNTIF(CX:CX,"S")</f>
        <v>0</v>
      </c>
      <c r="AX8" s="8">
        <f>COUNTIF(CY:CY,"S")</f>
        <v>8</v>
      </c>
      <c r="AY8" s="8">
        <f>COUNTIF(CZ:CZ,"S")</f>
        <v>0</v>
      </c>
      <c r="AZ8" s="8">
        <f>COUNTIF(DA:DA,"S")</f>
        <v>0</v>
      </c>
      <c r="BA8" s="25">
        <f>COUNTIF(DB:DB,"S")</f>
        <v>0</v>
      </c>
    </row>
    <row r="9" spans="1:106" ht="15.75" customHeight="1" thickBot="1" x14ac:dyDescent="0.3">
      <c r="C9" s="13" t="s">
        <v>105</v>
      </c>
      <c r="D9" s="3"/>
      <c r="E9" s="6"/>
      <c r="F9" s="24">
        <f t="shared" ref="F9:BA9" si="0">F6/F5</f>
        <v>7.407407407407407E-2</v>
      </c>
      <c r="G9" s="24">
        <f t="shared" si="0"/>
        <v>0</v>
      </c>
      <c r="H9" s="24">
        <f t="shared" si="0"/>
        <v>0.18181818181818182</v>
      </c>
      <c r="I9" s="26">
        <f t="shared" si="0"/>
        <v>0</v>
      </c>
      <c r="J9" s="24">
        <f t="shared" si="0"/>
        <v>5.2631578947368418E-2</v>
      </c>
      <c r="K9" s="24">
        <f t="shared" si="0"/>
        <v>3.8461538461538464E-2</v>
      </c>
      <c r="L9" s="24">
        <f t="shared" si="0"/>
        <v>0.33333333333333331</v>
      </c>
      <c r="M9" s="26">
        <f t="shared" si="0"/>
        <v>0.1</v>
      </c>
      <c r="N9" s="24">
        <f t="shared" si="0"/>
        <v>1.8518518518518517E-2</v>
      </c>
      <c r="O9" s="24">
        <f t="shared" si="0"/>
        <v>4.7619047619047616E-2</v>
      </c>
      <c r="P9" s="24">
        <f t="shared" si="0"/>
        <v>0</v>
      </c>
      <c r="Q9" s="26">
        <f t="shared" si="0"/>
        <v>0.22222222222222221</v>
      </c>
      <c r="R9" s="24">
        <f t="shared" si="0"/>
        <v>8.6956521739130432E-2</v>
      </c>
      <c r="S9" s="24">
        <f t="shared" si="0"/>
        <v>0</v>
      </c>
      <c r="T9" s="24">
        <f t="shared" si="0"/>
        <v>0.2857142857142857</v>
      </c>
      <c r="U9" s="26">
        <f t="shared" si="0"/>
        <v>0</v>
      </c>
      <c r="V9" s="24">
        <f t="shared" si="0"/>
        <v>4.4444444444444446E-2</v>
      </c>
      <c r="W9" s="24">
        <f t="shared" si="0"/>
        <v>0</v>
      </c>
      <c r="X9" s="24">
        <f t="shared" si="0"/>
        <v>0.22222222222222221</v>
      </c>
      <c r="Y9" s="26">
        <f t="shared" si="0"/>
        <v>0</v>
      </c>
      <c r="Z9" s="24">
        <f t="shared" si="0"/>
        <v>2.8571428571428571E-2</v>
      </c>
      <c r="AA9" s="24">
        <f t="shared" si="0"/>
        <v>0.05</v>
      </c>
      <c r="AB9" s="24">
        <f t="shared" si="0"/>
        <v>0</v>
      </c>
      <c r="AC9" s="26">
        <f t="shared" si="0"/>
        <v>0.14285714285714285</v>
      </c>
      <c r="AD9" s="24">
        <f t="shared" si="0"/>
        <v>2.6315789473684209E-2</v>
      </c>
      <c r="AE9" s="24">
        <f t="shared" si="0"/>
        <v>0.1</v>
      </c>
      <c r="AF9" s="24">
        <f t="shared" si="0"/>
        <v>0.125</v>
      </c>
      <c r="AG9" s="26">
        <f t="shared" si="0"/>
        <v>0.25</v>
      </c>
      <c r="AH9" s="24">
        <f t="shared" si="0"/>
        <v>1.4285714285714285E-2</v>
      </c>
      <c r="AI9" s="24">
        <f t="shared" si="0"/>
        <v>0.25</v>
      </c>
      <c r="AJ9" s="24">
        <f t="shared" si="0"/>
        <v>0.2</v>
      </c>
      <c r="AK9" s="26">
        <f t="shared" si="0"/>
        <v>5.5555555555555552E-2</v>
      </c>
      <c r="AL9" s="24">
        <f t="shared" si="0"/>
        <v>0</v>
      </c>
      <c r="AM9" s="24">
        <f t="shared" si="0"/>
        <v>0</v>
      </c>
      <c r="AN9" s="24">
        <f t="shared" si="0"/>
        <v>0</v>
      </c>
      <c r="AO9" s="26">
        <f t="shared" si="0"/>
        <v>0</v>
      </c>
      <c r="AP9" s="24">
        <f t="shared" si="0"/>
        <v>0</v>
      </c>
      <c r="AQ9" s="24">
        <f t="shared" si="0"/>
        <v>0</v>
      </c>
      <c r="AR9" s="24">
        <f t="shared" si="0"/>
        <v>0</v>
      </c>
      <c r="AS9" s="26">
        <f t="shared" si="0"/>
        <v>0</v>
      </c>
      <c r="AT9" s="24">
        <f t="shared" si="0"/>
        <v>0</v>
      </c>
      <c r="AU9" s="24">
        <f t="shared" si="0"/>
        <v>0</v>
      </c>
      <c r="AV9" s="24">
        <f t="shared" si="0"/>
        <v>0</v>
      </c>
      <c r="AW9" s="26">
        <f t="shared" si="0"/>
        <v>0</v>
      </c>
      <c r="AX9" s="24">
        <f t="shared" si="0"/>
        <v>0</v>
      </c>
      <c r="AY9" s="24">
        <f t="shared" si="0"/>
        <v>0</v>
      </c>
      <c r="AZ9" s="24">
        <f t="shared" si="0"/>
        <v>0</v>
      </c>
      <c r="BA9" s="26">
        <f t="shared" si="0"/>
        <v>0</v>
      </c>
    </row>
    <row r="10" spans="1:106" x14ac:dyDescent="0.25">
      <c r="A10" s="18"/>
      <c r="B10">
        <v>26</v>
      </c>
      <c r="C10" t="str">
        <f>Entries!B91</f>
        <v>NTourville1</v>
      </c>
      <c r="D10" s="4">
        <f>IF(C10="","",RANK(E10,$E$10:$E$111))</f>
        <v>1</v>
      </c>
      <c r="E10" s="31">
        <f>IF(C10="","",ROUND(SUM(F10:AK10),0))</f>
        <v>9</v>
      </c>
      <c r="F10" s="40">
        <f>IF(BG10="","",IF(BG10="x",F$6,0)+IF(BG10="S",-F$6-0.00001,0))</f>
        <v>2</v>
      </c>
      <c r="G10" s="41">
        <f>IF(BH10="","",IF(BH10="x",G$6,0)+IF(BH10="S",-G$6-0.00001,0))</f>
        <v>0</v>
      </c>
      <c r="H10" s="41">
        <f>IF(BI10="","",IF(BI10="x",H$6,0)+IF(BI10="S",-H$6-0.00001,0))</f>
        <v>2</v>
      </c>
      <c r="I10" s="42">
        <f>IF(BJ10="","",IF(BJ10="x",I$6,0)+IF(BJ10="S",-I$6-0.00001,0))</f>
        <v>0</v>
      </c>
      <c r="J10" s="40">
        <f>IF(BK10="","",IF(BK10="x",J$6,0)+IF(BK10="S",-J$6-0.00001,0))</f>
        <v>1</v>
      </c>
      <c r="K10" s="41">
        <f>IF(BL10="","",IF(BL10="x",K$6,0)+IF(BL10="S",-K$6-0.00001,0))</f>
        <v>1</v>
      </c>
      <c r="L10" s="41">
        <f>IF(BM10="","",IF(BM10="x",L$6,0)+IF(BM10="S",-L$6-0.00001,0))</f>
        <v>1</v>
      </c>
      <c r="M10" s="42">
        <f>IF(BN10="","",IF(BN10="x",M$6,0)+IF(BN10="S",-M$6-0.00001,0))</f>
        <v>1</v>
      </c>
      <c r="N10" s="43">
        <f>IF(BO10="","",IF(BO10="x",N$6,0)+IF(BO10="S",-N$6-0.00001,0))</f>
        <v>1</v>
      </c>
      <c r="O10" s="41" t="str">
        <f>IF(BP10="","",IF(BP10="x",O$6,0)+IF(BP10="S",-O$6-0.00001,0))</f>
        <v/>
      </c>
      <c r="P10" s="41" t="str">
        <f>IF(BQ10="","",IF(BQ10="x",P$6,0)+IF(BQ10="S",-P$6-0.00001,0))</f>
        <v/>
      </c>
      <c r="Q10" s="42" t="str">
        <f>IF(BR10="","",IF(BR10="x",Q$6,0)+IF(BR10="S",-Q$6-0.00001,0))</f>
        <v/>
      </c>
      <c r="R10" s="40" t="str">
        <f>IF(BS10="","",IF(BS10="x",R$6,0)+IF(BS10="S",-R$6-0.00001,0))</f>
        <v/>
      </c>
      <c r="S10" s="41" t="str">
        <f>IF(BT10="","",IF(BT10="x",S$6,0)+IF(BT10="S",-S$6-0.00001,0))</f>
        <v/>
      </c>
      <c r="T10" s="43" t="str">
        <f>IF(BU10="","",IF(BU10="x",T$6,0)+IF(BU10="S",-T$6-0.00001,0))</f>
        <v/>
      </c>
      <c r="U10" s="42" t="str">
        <f>IF(BV10="","",IF(BV10="x",U$6,0)+IF(BV10="S",-U$6-0.00001,0))</f>
        <v/>
      </c>
      <c r="V10" s="40" t="str">
        <f>IF(BW10="","",IF(BW10="x",V$6,0)+IF(BW10="S",-V$6-0.00001,0))</f>
        <v/>
      </c>
      <c r="W10" s="41" t="str">
        <f>IF(BX10="","",IF(BX10="x",W$6,0)+IF(BX10="S",-W$6-0.00001,0))</f>
        <v/>
      </c>
      <c r="X10" s="41" t="str">
        <f>IF(BY10="","",IF(BY10="x",X$6,0)+IF(BY10="S",-X$6-0.00001,0))</f>
        <v/>
      </c>
      <c r="Y10" s="42" t="str">
        <f>IF(BZ10="","",IF(BZ10="x",Y$6,0)+IF(BZ10="S",-Y$6-0.00001,0))</f>
        <v/>
      </c>
      <c r="Z10" s="40" t="str">
        <f>IF(CA10="","",IF(CA10="x",Z$6,0)+IF(CA10="S",-Z$6-0.00001,0))</f>
        <v/>
      </c>
      <c r="AA10" s="41" t="str">
        <f>IF(CB10="","",IF(CB10="x",AA$6,0)+IF(CB10="S",-AA$6-0.00001,0))</f>
        <v/>
      </c>
      <c r="AB10" s="41" t="str">
        <f>IF(CC10="","",IF(CC10="x",AB$6,0)+IF(CC10="S",-AB$6-0.00001,0))</f>
        <v/>
      </c>
      <c r="AC10" s="42" t="str">
        <f>IF(CD10="","",IF(CD10="x",AC$6,0)+IF(CD10="S",-AC$6-0.00001,0))</f>
        <v/>
      </c>
      <c r="AD10" s="40" t="str">
        <f>IF(CE10="","",IF(CE10="x",AD$6,0)+IF(CE10="S",-AD$6-0.00001,0))</f>
        <v/>
      </c>
      <c r="AE10" s="41" t="str">
        <f>IF(CF10="","",IF(CF10="x",AE$6,0)+IF(CF10="S",-AE$6-0.00001,0))</f>
        <v/>
      </c>
      <c r="AF10" s="41" t="str">
        <f>IF(CG10="","",IF(CG10="x",AF$6,0)+IF(CG10="S",-AF$6-0.00001,0))</f>
        <v/>
      </c>
      <c r="AG10" s="42" t="str">
        <f>IF(CH10="","",IF(CH10="x",AG$6,0)+IF(CH10="S",-AG$6-0.00001,0))</f>
        <v/>
      </c>
      <c r="AH10" s="40" t="str">
        <f>IF(CI10="","",IF(CI10="x",AH$6,0)+IF(CI10="S",-AH$6-0.00001,0))</f>
        <v/>
      </c>
      <c r="AI10" s="41" t="str">
        <f>IF(CJ10="","",IF(CJ10="x",AI$6,0)+IF(CJ10="S",-AI$6-0.00001,0))</f>
        <v/>
      </c>
      <c r="AJ10" s="41" t="str">
        <f>IF(CK10="","",IF(CK10="x",AJ$6,0)+IF(CK10="S",-AJ$6-0.00001,0))</f>
        <v/>
      </c>
      <c r="AK10" s="42" t="str">
        <f>IF(CL10="","",IF(CL10="x",AK$6,0)+IF(CL10="S",-AK$6-0.00001,0))</f>
        <v/>
      </c>
      <c r="AL10" s="40">
        <f>IF(CM10="","",IF(CM10="x",AL$6,0)+IF(CM10="S",-AL$6-0.00001,0))</f>
        <v>-1.0000000000000001E-5</v>
      </c>
      <c r="AM10" s="41" t="str">
        <f>IF(CN10="","",IF(CN10="x",AM$6,0)+IF(CN10="S",-AM$6-0.00001,0))</f>
        <v/>
      </c>
      <c r="AN10" s="41" t="str">
        <f>IF(CO10="","",IF(CO10="x",AN$6,0)+IF(CO10="S",-AN$6-0.00001,0))</f>
        <v/>
      </c>
      <c r="AO10" s="42" t="str">
        <f>IF(CP10="","",IF(CP10="x",AO$6,0)+IF(CP10="S",-AO$6-0.00001,0))</f>
        <v/>
      </c>
      <c r="AP10" s="40" t="str">
        <f>IF(CQ10="","",IF(CQ10="x",AP$6,0)+IF(CQ10="S",-AP$6-0.00001,0))</f>
        <v/>
      </c>
      <c r="AQ10" s="41" t="str">
        <f>IF(CR10="","",IF(CR10="x",AQ$6,0)+IF(CR10="S",-AQ$6-0.00001,0))</f>
        <v/>
      </c>
      <c r="AR10" s="41" t="str">
        <f>IF(CS10="","",IF(CS10="x",AR$6,0)+IF(CS10="S",-AR$6-0.00001,0))</f>
        <v/>
      </c>
      <c r="AS10" s="42" t="str">
        <f>IF(CT10="","",IF(CT10="x",AS$6,0)+IF(CT10="S",-AS$6-0.00001,0))</f>
        <v/>
      </c>
      <c r="AT10" s="40" t="str">
        <f>IF(CU10="","",IF(CU10="x",AT$6,0)+IF(CU10="S",-AT$6-0.00001,0))</f>
        <v/>
      </c>
      <c r="AU10" s="41" t="str">
        <f>IF(CV10="","",IF(CV10="x",AU$6,0)+IF(CV10="S",-AU$6-0.00001,0))</f>
        <v/>
      </c>
      <c r="AV10" s="41" t="str">
        <f>IF(CW10="","",IF(CW10="x",AV$6,0)+IF(CW10="S",-AV$6-0.00001,0))</f>
        <v/>
      </c>
      <c r="AW10" s="42" t="str">
        <f>IF(CX10="","",IF(CX10="x",AW$6,0)+IF(CX10="S",-AW$6-0.00001,0))</f>
        <v/>
      </c>
      <c r="AX10" s="40" t="str">
        <f>IF(CY10="","",IF(CY10="x",AX$6,0)+IF(CY10="S",-AX$6-0.00001,0))</f>
        <v/>
      </c>
      <c r="AY10" s="41" t="str">
        <f>IF(CZ10="","",IF(CZ10="x",AY$6,0)+IF(CZ10="S",-AY$6-0.00001,0))</f>
        <v/>
      </c>
      <c r="AZ10" s="41" t="str">
        <f>IF(DA10="","",IF(DA10="x",AZ$6,0)+IF(DA10="S",-AZ$6-0.00001,0))</f>
        <v/>
      </c>
      <c r="BA10" s="42" t="str">
        <f>IF(DB10="","",IF(DB10="x",BA$6,0)+IF(DB10="S",-BA$6-0.00001,0))</f>
        <v/>
      </c>
      <c r="BB10" s="37" t="s">
        <v>106</v>
      </c>
      <c r="BC10" s="21"/>
      <c r="BD10" s="21"/>
      <c r="BG10" t="str">
        <f>IF(NOT(ISERROR(HLOOKUP(Standings!BG$3,Entries!$C91:$K91,1,FALSE))),"x",IF(NOT(ISERROR(HLOOKUP(Standings!BG$3,Entries!$L91:$L91,1,FALSE))),"S",""))</f>
        <v>x</v>
      </c>
      <c r="BH10" t="str">
        <f>IF(NOT(ISERROR(HLOOKUP(Standings!BH$3,Entries!$C91:$K91,1,FALSE))),"x",IF(NOT(ISERROR(HLOOKUP(Standings!BH$3,Entries!$L91:$L91,1,FALSE))),"S",""))</f>
        <v>x</v>
      </c>
      <c r="BI10" t="str">
        <f>IF(NOT(ISERROR(HLOOKUP(Standings!BI$3,Entries!$C91:$K91,1,FALSE))),"x",IF(NOT(ISERROR(HLOOKUP(Standings!BI$3,Entries!$L91:$L91,1,FALSE))),"S",""))</f>
        <v>x</v>
      </c>
      <c r="BJ10" t="str">
        <f>IF(NOT(ISERROR(HLOOKUP(Standings!BJ$3,Entries!$C91:$K91,1,FALSE))),"x",IF(NOT(ISERROR(HLOOKUP(Standings!BJ$3,Entries!$L91:$L91,1,FALSE))),"S",""))</f>
        <v>x</v>
      </c>
      <c r="BK10" t="str">
        <f>IF(NOT(ISERROR(HLOOKUP(Standings!BK$3,Entries!$C91:$K91,1,FALSE))),"x",IF(NOT(ISERROR(HLOOKUP(Standings!BK$3,Entries!$L91:$L91,1,FALSE))),"S",""))</f>
        <v>x</v>
      </c>
      <c r="BL10" t="str">
        <f>IF(NOT(ISERROR(HLOOKUP(Standings!BL$3,Entries!$C91:$K91,1,FALSE))),"x",IF(NOT(ISERROR(HLOOKUP(Standings!BL$3,Entries!$L91:$L91,1,FALSE))),"S",""))</f>
        <v>x</v>
      </c>
      <c r="BM10" t="str">
        <f>IF(NOT(ISERROR(HLOOKUP(Standings!BM$3,Entries!$C91:$K91,1,FALSE))),"x",IF(NOT(ISERROR(HLOOKUP(Standings!BM$3,Entries!$L91:$L91,1,FALSE))),"S",""))</f>
        <v>x</v>
      </c>
      <c r="BN10" t="str">
        <f>IF(NOT(ISERROR(HLOOKUP(Standings!BN$3,Entries!$C91:$K91,1,FALSE))),"x",IF(NOT(ISERROR(HLOOKUP(Standings!BN$3,Entries!$L91:$L91,1,FALSE))),"S",""))</f>
        <v>x</v>
      </c>
      <c r="BO10" t="str">
        <f>IF(NOT(ISERROR(HLOOKUP(Standings!BO$3,Entries!$C91:$K91,1,FALSE))),"x",IF(NOT(ISERROR(HLOOKUP(Standings!BO$3,Entries!$L91:$L91,1,FALSE))),"S",""))</f>
        <v>x</v>
      </c>
      <c r="BP10" t="str">
        <f>IF(NOT(ISERROR(HLOOKUP(Standings!BP$3,Entries!$C91:$K91,1,FALSE))),"x",IF(NOT(ISERROR(HLOOKUP(Standings!BP$3,Entries!$L91:$L91,1,FALSE))),"S",""))</f>
        <v/>
      </c>
      <c r="BQ10" t="str">
        <f>IF(NOT(ISERROR(HLOOKUP(Standings!BQ$3,Entries!$C91:$K91,1,FALSE))),"x",IF(NOT(ISERROR(HLOOKUP(Standings!BQ$3,Entries!$L91:$L91,1,FALSE))),"S",""))</f>
        <v/>
      </c>
      <c r="BR10" t="str">
        <f>IF(NOT(ISERROR(HLOOKUP(Standings!BR$3,Entries!$C91:$K91,1,FALSE))),"x",IF(NOT(ISERROR(HLOOKUP(Standings!BR$3,Entries!$L91:$L91,1,FALSE))),"S",""))</f>
        <v/>
      </c>
      <c r="BS10" t="str">
        <f>IF(NOT(ISERROR(HLOOKUP(Standings!BS$3,Entries!$C91:$K91,1,FALSE))),"x",IF(NOT(ISERROR(HLOOKUP(Standings!BS$3,Entries!$L91:$L91,1,FALSE))),"S",""))</f>
        <v/>
      </c>
      <c r="BT10" t="str">
        <f>IF(NOT(ISERROR(HLOOKUP(Standings!BT$3,Entries!$C91:$K91,1,FALSE))),"x",IF(NOT(ISERROR(HLOOKUP(Standings!BT$3,Entries!$L91:$L91,1,FALSE))),"S",""))</f>
        <v/>
      </c>
      <c r="BU10" t="str">
        <f>IF(NOT(ISERROR(HLOOKUP(Standings!BU$3,Entries!$C91:$K91,1,FALSE))),"x",IF(NOT(ISERROR(HLOOKUP(Standings!BU$3,Entries!$L91:$L91,1,FALSE))),"S",""))</f>
        <v/>
      </c>
      <c r="BV10" t="str">
        <f>IF(NOT(ISERROR(HLOOKUP(Standings!BV$3,Entries!$C91:$K91,1,FALSE))),"x",IF(NOT(ISERROR(HLOOKUP(Standings!BV$3,Entries!$L91:$L91,1,FALSE))),"S",""))</f>
        <v/>
      </c>
      <c r="BW10" t="str">
        <f>IF(NOT(ISERROR(HLOOKUP(Standings!BW$3,Entries!$C91:$K91,1,FALSE))),"x",IF(NOT(ISERROR(HLOOKUP(Standings!BW$3,Entries!$L91:$L91,1,FALSE))),"S",""))</f>
        <v/>
      </c>
      <c r="BX10" t="str">
        <f>IF(NOT(ISERROR(HLOOKUP(Standings!BX$3,Entries!$C91:$K91,1,FALSE))),"x",IF(NOT(ISERROR(HLOOKUP(Standings!BX$3,Entries!$L91:$L91,1,FALSE))),"S",""))</f>
        <v/>
      </c>
      <c r="BY10" t="str">
        <f>IF(NOT(ISERROR(HLOOKUP(Standings!BY$3,Entries!$C91:$K91,1,FALSE))),"x",IF(NOT(ISERROR(HLOOKUP(Standings!BY$3,Entries!$L91:$L91,1,FALSE))),"S",""))</f>
        <v/>
      </c>
      <c r="BZ10" t="str">
        <f>IF(NOT(ISERROR(HLOOKUP(Standings!BZ$3,Entries!$C91:$K91,1,FALSE))),"x",IF(NOT(ISERROR(HLOOKUP(Standings!BZ$3,Entries!$L91:$L91,1,FALSE))),"S",""))</f>
        <v/>
      </c>
      <c r="CA10" t="str">
        <f>IF(NOT(ISERROR(HLOOKUP(Standings!CA$3,Entries!$C91:$K91,1,FALSE))),"x",IF(NOT(ISERROR(HLOOKUP(Standings!CA$3,Entries!$L91:$L91,1,FALSE))),"S",""))</f>
        <v/>
      </c>
      <c r="CB10" t="str">
        <f>IF(NOT(ISERROR(HLOOKUP(Standings!CB$3,Entries!$C91:$K91,1,FALSE))),"x",IF(NOT(ISERROR(HLOOKUP(Standings!CB$3,Entries!$L91:$L91,1,FALSE))),"S",""))</f>
        <v/>
      </c>
      <c r="CC10" t="str">
        <f>IF(NOT(ISERROR(HLOOKUP(Standings!CC$3,Entries!$C91:$K91,1,FALSE))),"x",IF(NOT(ISERROR(HLOOKUP(Standings!CC$3,Entries!$L91:$L91,1,FALSE))),"S",""))</f>
        <v/>
      </c>
      <c r="CD10" t="str">
        <f>IF(NOT(ISERROR(HLOOKUP(Standings!CD$3,Entries!$C91:$K91,1,FALSE))),"x",IF(NOT(ISERROR(HLOOKUP(Standings!CD$3,Entries!$L91:$L91,1,FALSE))),"S",""))</f>
        <v/>
      </c>
      <c r="CE10" t="str">
        <f>IF(NOT(ISERROR(HLOOKUP(Standings!CE$3,Entries!$C91:$K91,1,FALSE))),"x",IF(NOT(ISERROR(HLOOKUP(Standings!CE$3,Entries!$L91:$L91,1,FALSE))),"S",""))</f>
        <v/>
      </c>
      <c r="CF10" t="str">
        <f>IF(NOT(ISERROR(HLOOKUP(Standings!CF$3,Entries!$C91:$K91,1,FALSE))),"x",IF(NOT(ISERROR(HLOOKUP(Standings!CF$3,Entries!$L91:$L91,1,FALSE))),"S",""))</f>
        <v/>
      </c>
      <c r="CG10" t="str">
        <f>IF(NOT(ISERROR(HLOOKUP(Standings!CG$3,Entries!$C91:$K91,1,FALSE))),"x",IF(NOT(ISERROR(HLOOKUP(Standings!CG$3,Entries!$L91:$L91,1,FALSE))),"S",""))</f>
        <v/>
      </c>
      <c r="CH10" t="str">
        <f>IF(NOT(ISERROR(HLOOKUP(Standings!CH$3,Entries!$C91:$K91,1,FALSE))),"x",IF(NOT(ISERROR(HLOOKUP(Standings!CH$3,Entries!$L91:$L91,1,FALSE))),"S",""))</f>
        <v/>
      </c>
      <c r="CI10" t="str">
        <f>IF(NOT(ISERROR(HLOOKUP(Standings!CI$3,Entries!$C91:$K91,1,FALSE))),"x",IF(NOT(ISERROR(HLOOKUP(Standings!CI$3,Entries!$L91:$L91,1,FALSE))),"S",""))</f>
        <v/>
      </c>
      <c r="CJ10" t="str">
        <f>IF(NOT(ISERROR(HLOOKUP(Standings!CJ$3,Entries!$C91:$K91,1,FALSE))),"x",IF(NOT(ISERROR(HLOOKUP(Standings!CJ$3,Entries!$L91:$L91,1,FALSE))),"S",""))</f>
        <v/>
      </c>
      <c r="CK10" t="str">
        <f>IF(NOT(ISERROR(HLOOKUP(Standings!CK$3,Entries!$C91:$K91,1,FALSE))),"x",IF(NOT(ISERROR(HLOOKUP(Standings!CK$3,Entries!$L91:$L91,1,FALSE))),"S",""))</f>
        <v/>
      </c>
      <c r="CL10" t="str">
        <f>IF(NOT(ISERROR(HLOOKUP(Standings!CL$3,Entries!$C91:$K91,1,FALSE))),"x",IF(NOT(ISERROR(HLOOKUP(Standings!CL$3,Entries!$L91:$L91,1,FALSE))),"S",""))</f>
        <v/>
      </c>
      <c r="CM10" t="str">
        <f>IF(NOT(ISERROR(HLOOKUP(Standings!CM$3,Entries!$C91:$K91,1,FALSE))),"x",IF(NOT(ISERROR(HLOOKUP(Standings!CM$3,Entries!$L91:$L91,1,FALSE))),"S",""))</f>
        <v>S</v>
      </c>
      <c r="CN10" t="str">
        <f>IF(NOT(ISERROR(HLOOKUP(Standings!CN$3,Entries!$C91:$K91,1,FALSE))),"x",IF(NOT(ISERROR(HLOOKUP(Standings!CN$3,Entries!$L91:$L91,1,FALSE))),"S",""))</f>
        <v/>
      </c>
      <c r="CO10" t="str">
        <f>IF(NOT(ISERROR(HLOOKUP(Standings!CO$3,Entries!$C91:$K91,1,FALSE))),"x",IF(NOT(ISERROR(HLOOKUP(Standings!CO$3,Entries!$L91:$L91,1,FALSE))),"S",""))</f>
        <v/>
      </c>
      <c r="CP10" t="str">
        <f>IF(NOT(ISERROR(HLOOKUP(Standings!CP$3,Entries!$C91:$K91,1,FALSE))),"x",IF(NOT(ISERROR(HLOOKUP(Standings!CP$3,Entries!$L91:$L91,1,FALSE))),"S",""))</f>
        <v/>
      </c>
      <c r="CQ10" t="str">
        <f>IF(NOT(ISERROR(HLOOKUP(Standings!CQ$3,Entries!$C91:$K91,1,FALSE))),"x",IF(NOT(ISERROR(HLOOKUP(Standings!CQ$3,Entries!$L91:$L91,1,FALSE))),"S",""))</f>
        <v/>
      </c>
      <c r="CR10" t="str">
        <f>IF(NOT(ISERROR(HLOOKUP(Standings!CR$3,Entries!$C91:$K91,1,FALSE))),"x",IF(NOT(ISERROR(HLOOKUP(Standings!CR$3,Entries!$L91:$L91,1,FALSE))),"S",""))</f>
        <v/>
      </c>
      <c r="CS10" t="str">
        <f>IF(NOT(ISERROR(HLOOKUP(Standings!CS$3,Entries!$C91:$K91,1,FALSE))),"x",IF(NOT(ISERROR(HLOOKUP(Standings!CS$3,Entries!$L91:$L91,1,FALSE))),"S",""))</f>
        <v/>
      </c>
      <c r="CT10" t="str">
        <f>IF(NOT(ISERROR(HLOOKUP(Standings!CT$3,Entries!$C91:$K91,1,FALSE))),"x",IF(NOT(ISERROR(HLOOKUP(Standings!CT$3,Entries!$L91:$L91,1,FALSE))),"S",""))</f>
        <v/>
      </c>
      <c r="CU10" t="str">
        <f>IF(NOT(ISERROR(HLOOKUP(Standings!CU$3,Entries!$C91:$K91,1,FALSE))),"x",IF(NOT(ISERROR(HLOOKUP(Standings!CU$3,Entries!$L91:$L91,1,FALSE))),"S",""))</f>
        <v/>
      </c>
      <c r="CV10" t="str">
        <f>IF(NOT(ISERROR(HLOOKUP(Standings!CV$3,Entries!$C91:$K91,1,FALSE))),"x",IF(NOT(ISERROR(HLOOKUP(Standings!CV$3,Entries!$L91:$L91,1,FALSE))),"S",""))</f>
        <v/>
      </c>
      <c r="CW10" t="str">
        <f>IF(NOT(ISERROR(HLOOKUP(Standings!CW$3,Entries!$C91:$K91,1,FALSE))),"x",IF(NOT(ISERROR(HLOOKUP(Standings!CW$3,Entries!$L91:$L91,1,FALSE))),"S",""))</f>
        <v/>
      </c>
      <c r="CX10" t="str">
        <f>IF(NOT(ISERROR(HLOOKUP(Standings!CX$3,Entries!$C91:$K91,1,FALSE))),"x",IF(NOT(ISERROR(HLOOKUP(Standings!CX$3,Entries!$L91:$L91,1,FALSE))),"S",""))</f>
        <v/>
      </c>
      <c r="CY10" t="str">
        <f>IF(NOT(ISERROR(HLOOKUP(Standings!CY$3,Entries!$C91:$K91,1,FALSE))),"x",IF(NOT(ISERROR(HLOOKUP(Standings!CY$3,Entries!$L91:$L91,1,FALSE))),"S",""))</f>
        <v/>
      </c>
      <c r="CZ10" t="str">
        <f>IF(NOT(ISERROR(HLOOKUP(Standings!CZ$3,Entries!$C91:$K91,1,FALSE))),"x",IF(NOT(ISERROR(HLOOKUP(Standings!CZ$3,Entries!$L91:$L91,1,FALSE))),"S",""))</f>
        <v/>
      </c>
      <c r="DA10" t="str">
        <f>IF(NOT(ISERROR(HLOOKUP(Standings!DA$3,Entries!$C91:$K91,1,FALSE))),"x",IF(NOT(ISERROR(HLOOKUP(Standings!DA$3,Entries!$L91:$L91,1,FALSE))),"S",""))</f>
        <v/>
      </c>
      <c r="DB10" t="str">
        <f>IF(NOT(ISERROR(HLOOKUP(Standings!DB$3,Entries!$C91:$K91,1,FALSE))),"x",IF(NOT(ISERROR(HLOOKUP(Standings!DB$3,Entries!$L91:$L91,1,FALSE))),"S",""))</f>
        <v/>
      </c>
    </row>
    <row r="11" spans="1:106" x14ac:dyDescent="0.25">
      <c r="A11" s="18"/>
      <c r="B11">
        <v>18</v>
      </c>
      <c r="C11" t="str">
        <f>Entries!B31</f>
        <v>Sean ODonnell1</v>
      </c>
      <c r="D11" s="4">
        <f>IF(C11="","",RANK(E11,$E$10:$E$111))</f>
        <v>1</v>
      </c>
      <c r="E11" s="31">
        <f>IF(C11="","",ROUND(SUM(F11:AK11),0))</f>
        <v>9</v>
      </c>
      <c r="F11" s="40" t="str">
        <f>IF(BG11="","",IF(BG11="x",F$6,0)+IF(BG11="S",-F$6-0.00001,0))</f>
        <v/>
      </c>
      <c r="G11" s="41" t="str">
        <f>IF(BH11="","",IF(BH11="x",G$6,0)+IF(BH11="S",-G$6-0.00001,0))</f>
        <v/>
      </c>
      <c r="H11" s="41">
        <f>IF(BI11="","",IF(BI11="x",H$6,0)+IF(BI11="S",-H$6-0.00001,0))</f>
        <v>2</v>
      </c>
      <c r="I11" s="42" t="str">
        <f>IF(BJ11="","",IF(BJ11="x",I$6,0)+IF(BJ11="S",-I$6-0.00001,0))</f>
        <v/>
      </c>
      <c r="J11" s="40" t="str">
        <f>IF(BK11="","",IF(BK11="x",J$6,0)+IF(BK11="S",-J$6-0.00001,0))</f>
        <v/>
      </c>
      <c r="K11" s="41">
        <f>IF(BL11="","",IF(BL11="x",K$6,0)+IF(BL11="S",-K$6-0.00001,0))</f>
        <v>1</v>
      </c>
      <c r="L11" s="41" t="str">
        <f>IF(BM11="","",IF(BM11="x",L$6,0)+IF(BM11="S",-L$6-0.00001,0))</f>
        <v/>
      </c>
      <c r="M11" s="42" t="str">
        <f>IF(BN11="","",IF(BN11="x",M$6,0)+IF(BN11="S",-M$6-0.00001,0))</f>
        <v/>
      </c>
      <c r="N11" s="43" t="str">
        <f>IF(BO11="","",IF(BO11="x",N$6,0)+IF(BO11="S",-N$6-0.00001,0))</f>
        <v/>
      </c>
      <c r="O11" s="41" t="str">
        <f>IF(BP11="","",IF(BP11="x",O$6,0)+IF(BP11="S",-O$6-0.00001,0))</f>
        <v/>
      </c>
      <c r="P11" s="41" t="str">
        <f>IF(BQ11="","",IF(BQ11="x",P$6,0)+IF(BQ11="S",-P$6-0.00001,0))</f>
        <v/>
      </c>
      <c r="Q11" s="42">
        <f>IF(BR11="","",IF(BR11="x",Q$6,0)+IF(BR11="S",-Q$6-0.00001,0))</f>
        <v>2</v>
      </c>
      <c r="R11" s="40">
        <f>IF(BS11="","",IF(BS11="x",R$6,0)+IF(BS11="S",-R$6-0.00001,0))</f>
        <v>2</v>
      </c>
      <c r="S11" s="41" t="str">
        <f>IF(BT11="","",IF(BT11="x",S$6,0)+IF(BT11="S",-S$6-0.00001,0))</f>
        <v/>
      </c>
      <c r="T11" s="43" t="str">
        <f>IF(BU11="","",IF(BU11="x",T$6,0)+IF(BU11="S",-T$6-0.00001,0))</f>
        <v/>
      </c>
      <c r="U11" s="42" t="str">
        <f>IF(BV11="","",IF(BV11="x",U$6,0)+IF(BV11="S",-U$6-0.00001,0))</f>
        <v/>
      </c>
      <c r="V11" s="40">
        <f>IF(BW11="","",IF(BW11="x",V$6,0)+IF(BW11="S",-V$6-0.00001,0))</f>
        <v>-2.0000100000000001</v>
      </c>
      <c r="W11" s="41" t="str">
        <f>IF(BX11="","",IF(BX11="x",W$6,0)+IF(BX11="S",-W$6-0.00001,0))</f>
        <v/>
      </c>
      <c r="X11" s="41">
        <f>IF(BY11="","",IF(BY11="x",X$6,0)+IF(BY11="S",-X$6-0.00001,0))</f>
        <v>2</v>
      </c>
      <c r="Y11" s="42">
        <f>IF(BZ11="","",IF(BZ11="x",Y$6,0)+IF(BZ11="S",-Y$6-0.00001,0))</f>
        <v>0</v>
      </c>
      <c r="Z11" s="40" t="str">
        <f>IF(CA11="","",IF(CA11="x",Z$6,0)+IF(CA11="S",-Z$6-0.00001,0))</f>
        <v/>
      </c>
      <c r="AA11" s="41" t="str">
        <f>IF(CB11="","",IF(CB11="x",AA$6,0)+IF(CB11="S",-AA$6-0.00001,0))</f>
        <v/>
      </c>
      <c r="AB11" s="41">
        <f>IF(CC11="","",IF(CC11="x",AB$6,0)+IF(CC11="S",-AB$6-0.00001,0))</f>
        <v>0</v>
      </c>
      <c r="AC11" s="42" t="str">
        <f>IF(CD11="","",IF(CD11="x",AC$6,0)+IF(CD11="S",-AC$6-0.00001,0))</f>
        <v/>
      </c>
      <c r="AD11" s="40">
        <f>IF(CE11="","",IF(CE11="x",AD$6,0)+IF(CE11="S",-AD$6-0.00001,0))</f>
        <v>1</v>
      </c>
      <c r="AE11" s="41" t="str">
        <f>IF(CF11="","",IF(CF11="x",AE$6,0)+IF(CF11="S",-AE$6-0.00001,0))</f>
        <v/>
      </c>
      <c r="AF11" s="41" t="str">
        <f>IF(CG11="","",IF(CG11="x",AF$6,0)+IF(CG11="S",-AF$6-0.00001,0))</f>
        <v/>
      </c>
      <c r="AG11" s="42" t="str">
        <f>IF(CH11="","",IF(CH11="x",AG$6,0)+IF(CH11="S",-AG$6-0.00001,0))</f>
        <v/>
      </c>
      <c r="AH11" s="40" t="str">
        <f>IF(CI11="","",IF(CI11="x",AH$6,0)+IF(CI11="S",-AH$6-0.00001,0))</f>
        <v/>
      </c>
      <c r="AI11" s="41" t="str">
        <f>IF(CJ11="","",IF(CJ11="x",AI$6,0)+IF(CJ11="S",-AI$6-0.00001,0))</f>
        <v/>
      </c>
      <c r="AJ11" s="41">
        <f>IF(CK11="","",IF(CK11="x",AJ$6,0)+IF(CK11="S",-AJ$6-0.00001,0))</f>
        <v>1</v>
      </c>
      <c r="AK11" s="42" t="str">
        <f>IF(CL11="","",IF(CL11="x",AK$6,0)+IF(CL11="S",-AK$6-0.00001,0))</f>
        <v/>
      </c>
      <c r="AL11" s="40" t="str">
        <f>IF(CM11="","",IF(CM11="x",AL$6,0)+IF(CM11="S",-AL$6-0.00001,0))</f>
        <v/>
      </c>
      <c r="AM11" s="41" t="str">
        <f>IF(CN11="","",IF(CN11="x",AM$6,0)+IF(CN11="S",-AM$6-0.00001,0))</f>
        <v/>
      </c>
      <c r="AN11" s="41" t="str">
        <f>IF(CO11="","",IF(CO11="x",AN$6,0)+IF(CO11="S",-AN$6-0.00001,0))</f>
        <v/>
      </c>
      <c r="AO11" s="42" t="str">
        <f>IF(CP11="","",IF(CP11="x",AO$6,0)+IF(CP11="S",-AO$6-0.00001,0))</f>
        <v/>
      </c>
      <c r="AP11" s="40" t="str">
        <f>IF(CQ11="","",IF(CQ11="x",AP$6,0)+IF(CQ11="S",-AP$6-0.00001,0))</f>
        <v/>
      </c>
      <c r="AQ11" s="41" t="str">
        <f>IF(CR11="","",IF(CR11="x",AQ$6,0)+IF(CR11="S",-AQ$6-0.00001,0))</f>
        <v/>
      </c>
      <c r="AR11" s="41" t="str">
        <f>IF(CS11="","",IF(CS11="x",AR$6,0)+IF(CS11="S",-AR$6-0.00001,0))</f>
        <v/>
      </c>
      <c r="AS11" s="42" t="str">
        <f>IF(CT11="","",IF(CT11="x",AS$6,0)+IF(CT11="S",-AS$6-0.00001,0))</f>
        <v/>
      </c>
      <c r="AT11" s="40" t="str">
        <f>IF(CU11="","",IF(CU11="x",AT$6,0)+IF(CU11="S",-AT$6-0.00001,0))</f>
        <v/>
      </c>
      <c r="AU11" s="41" t="str">
        <f>IF(CV11="","",IF(CV11="x",AU$6,0)+IF(CV11="S",-AU$6-0.00001,0))</f>
        <v/>
      </c>
      <c r="AV11" s="41" t="str">
        <f>IF(CW11="","",IF(CW11="x",AV$6,0)+IF(CW11="S",-AV$6-0.00001,0))</f>
        <v/>
      </c>
      <c r="AW11" s="42" t="str">
        <f>IF(CX11="","",IF(CX11="x",AW$6,0)+IF(CX11="S",-AW$6-0.00001,0))</f>
        <v/>
      </c>
      <c r="AX11" s="40" t="str">
        <f>IF(CY11="","",IF(CY11="x",AX$6,0)+IF(CY11="S",-AX$6-0.00001,0))</f>
        <v/>
      </c>
      <c r="AY11" s="41" t="str">
        <f>IF(CZ11="","",IF(CZ11="x",AY$6,0)+IF(CZ11="S",-AY$6-0.00001,0))</f>
        <v/>
      </c>
      <c r="AZ11" s="41" t="str">
        <f>IF(DA11="","",IF(DA11="x",AZ$6,0)+IF(DA11="S",-AZ$6-0.00001,0))</f>
        <v/>
      </c>
      <c r="BA11" s="42" t="str">
        <f>IF(DB11="","",IF(DB11="x",BA$6,0)+IF(DB11="S",-BA$6-0.00001,0))</f>
        <v/>
      </c>
      <c r="BB11" s="37" t="s">
        <v>106</v>
      </c>
      <c r="BC11" s="21"/>
      <c r="BD11" s="21"/>
      <c r="BG11" t="str">
        <f>IF(NOT(ISERROR(HLOOKUP(Standings!BG$3,Entries!$C31:$K31,1,FALSE))),"x",IF(NOT(ISERROR(HLOOKUP(Standings!BG$3,Entries!$L31:$L31,1,FALSE))),"S",""))</f>
        <v/>
      </c>
      <c r="BH11" t="str">
        <f>IF(NOT(ISERROR(HLOOKUP(Standings!BH$3,Entries!$C31:$K31,1,FALSE))),"x",IF(NOT(ISERROR(HLOOKUP(Standings!BH$3,Entries!$L31:$L31,1,FALSE))),"S",""))</f>
        <v/>
      </c>
      <c r="BI11" t="str">
        <f>IF(NOT(ISERROR(HLOOKUP(Standings!BI$3,Entries!$C31:$K31,1,FALSE))),"x",IF(NOT(ISERROR(HLOOKUP(Standings!BI$3,Entries!$L31:$L31,1,FALSE))),"S",""))</f>
        <v>x</v>
      </c>
      <c r="BJ11" t="str">
        <f>IF(NOT(ISERROR(HLOOKUP(Standings!BJ$3,Entries!$C31:$K31,1,FALSE))),"x",IF(NOT(ISERROR(HLOOKUP(Standings!BJ$3,Entries!$L31:$L31,1,FALSE))),"S",""))</f>
        <v/>
      </c>
      <c r="BK11" t="str">
        <f>IF(NOT(ISERROR(HLOOKUP(Standings!BK$3,Entries!$C31:$K31,1,FALSE))),"x",IF(NOT(ISERROR(HLOOKUP(Standings!BK$3,Entries!$L31:$L31,1,FALSE))),"S",""))</f>
        <v/>
      </c>
      <c r="BL11" t="str">
        <f>IF(NOT(ISERROR(HLOOKUP(Standings!BL$3,Entries!$C31:$K31,1,FALSE))),"x",IF(NOT(ISERROR(HLOOKUP(Standings!BL$3,Entries!$L31:$L31,1,FALSE))),"S",""))</f>
        <v>x</v>
      </c>
      <c r="BM11" t="str">
        <f>IF(NOT(ISERROR(HLOOKUP(Standings!BM$3,Entries!$C31:$K31,1,FALSE))),"x",IF(NOT(ISERROR(HLOOKUP(Standings!BM$3,Entries!$L31:$L31,1,FALSE))),"S",""))</f>
        <v/>
      </c>
      <c r="BN11" t="str">
        <f>IF(NOT(ISERROR(HLOOKUP(Standings!BN$3,Entries!$C31:$K31,1,FALSE))),"x",IF(NOT(ISERROR(HLOOKUP(Standings!BN$3,Entries!$L31:$L31,1,FALSE))),"S",""))</f>
        <v/>
      </c>
      <c r="BO11" t="str">
        <f>IF(NOT(ISERROR(HLOOKUP(Standings!BO$3,Entries!$C31:$K31,1,FALSE))),"x",IF(NOT(ISERROR(HLOOKUP(Standings!BO$3,Entries!$L31:$L31,1,FALSE))),"S",""))</f>
        <v/>
      </c>
      <c r="BP11" t="str">
        <f>IF(NOT(ISERROR(HLOOKUP(Standings!BP$3,Entries!$C31:$K31,1,FALSE))),"x",IF(NOT(ISERROR(HLOOKUP(Standings!BP$3,Entries!$L31:$L31,1,FALSE))),"S",""))</f>
        <v/>
      </c>
      <c r="BQ11" t="str">
        <f>IF(NOT(ISERROR(HLOOKUP(Standings!BQ$3,Entries!$C31:$K31,1,FALSE))),"x",IF(NOT(ISERROR(HLOOKUP(Standings!BQ$3,Entries!$L31:$L31,1,FALSE))),"S",""))</f>
        <v/>
      </c>
      <c r="BR11" t="str">
        <f>IF(NOT(ISERROR(HLOOKUP(Standings!BR$3,Entries!$C31:$K31,1,FALSE))),"x",IF(NOT(ISERROR(HLOOKUP(Standings!BR$3,Entries!$L31:$L31,1,FALSE))),"S",""))</f>
        <v>x</v>
      </c>
      <c r="BS11" t="str">
        <f>IF(NOT(ISERROR(HLOOKUP(Standings!BS$3,Entries!$C31:$K31,1,FALSE))),"x",IF(NOT(ISERROR(HLOOKUP(Standings!BS$3,Entries!$L31:$L31,1,FALSE))),"S",""))</f>
        <v>x</v>
      </c>
      <c r="BT11" t="str">
        <f>IF(NOT(ISERROR(HLOOKUP(Standings!BT$3,Entries!$C31:$K31,1,FALSE))),"x",IF(NOT(ISERROR(HLOOKUP(Standings!BT$3,Entries!$L31:$L31,1,FALSE))),"S",""))</f>
        <v/>
      </c>
      <c r="BU11" t="str">
        <f>IF(NOT(ISERROR(HLOOKUP(Standings!BU$3,Entries!$C31:$K31,1,FALSE))),"x",IF(NOT(ISERROR(HLOOKUP(Standings!BU$3,Entries!$L31:$L31,1,FALSE))),"S",""))</f>
        <v/>
      </c>
      <c r="BV11" t="str">
        <f>IF(NOT(ISERROR(HLOOKUP(Standings!BV$3,Entries!$C31:$K31,1,FALSE))),"x",IF(NOT(ISERROR(HLOOKUP(Standings!BV$3,Entries!$L31:$L31,1,FALSE))),"S",""))</f>
        <v/>
      </c>
      <c r="BW11" t="str">
        <f>IF(NOT(ISERROR(HLOOKUP(Standings!BW$3,Entries!$C31:$K31,1,FALSE))),"x",IF(NOT(ISERROR(HLOOKUP(Standings!BW$3,Entries!$L31:$L31,1,FALSE))),"S",""))</f>
        <v>S</v>
      </c>
      <c r="BX11" t="str">
        <f>IF(NOT(ISERROR(HLOOKUP(Standings!BX$3,Entries!$C31:$K31,1,FALSE))),"x",IF(NOT(ISERROR(HLOOKUP(Standings!BX$3,Entries!$L31:$L31,1,FALSE))),"S",""))</f>
        <v/>
      </c>
      <c r="BY11" t="str">
        <f>IF(NOT(ISERROR(HLOOKUP(Standings!BY$3,Entries!$C31:$K31,1,FALSE))),"x",IF(NOT(ISERROR(HLOOKUP(Standings!BY$3,Entries!$L31:$L31,1,FALSE))),"S",""))</f>
        <v>x</v>
      </c>
      <c r="BZ11" t="str">
        <f>IF(NOT(ISERROR(HLOOKUP(Standings!BZ$3,Entries!$C31:$K31,1,FALSE))),"x",IF(NOT(ISERROR(HLOOKUP(Standings!BZ$3,Entries!$L31:$L31,1,FALSE))),"S",""))</f>
        <v>x</v>
      </c>
      <c r="CA11" t="str">
        <f>IF(NOT(ISERROR(HLOOKUP(Standings!CA$3,Entries!$C31:$K31,1,FALSE))),"x",IF(NOT(ISERROR(HLOOKUP(Standings!CA$3,Entries!$L31:$L31,1,FALSE))),"S",""))</f>
        <v/>
      </c>
      <c r="CB11" t="str">
        <f>IF(NOT(ISERROR(HLOOKUP(Standings!CB$3,Entries!$C31:$K31,1,FALSE))),"x",IF(NOT(ISERROR(HLOOKUP(Standings!CB$3,Entries!$L31:$L31,1,FALSE))),"S",""))</f>
        <v/>
      </c>
      <c r="CC11" t="str">
        <f>IF(NOT(ISERROR(HLOOKUP(Standings!CC$3,Entries!$C31:$K31,1,FALSE))),"x",IF(NOT(ISERROR(HLOOKUP(Standings!CC$3,Entries!$L31:$L31,1,FALSE))),"S",""))</f>
        <v>x</v>
      </c>
      <c r="CD11" t="str">
        <f>IF(NOT(ISERROR(HLOOKUP(Standings!CD$3,Entries!$C31:$K31,1,FALSE))),"x",IF(NOT(ISERROR(HLOOKUP(Standings!CD$3,Entries!$L31:$L31,1,FALSE))),"S",""))</f>
        <v/>
      </c>
      <c r="CE11" t="str">
        <f>IF(NOT(ISERROR(HLOOKUP(Standings!CE$3,Entries!$C31:$K31,1,FALSE))),"x",IF(NOT(ISERROR(HLOOKUP(Standings!CE$3,Entries!$L31:$L31,1,FALSE))),"S",""))</f>
        <v>x</v>
      </c>
      <c r="CF11" t="str">
        <f>IF(NOT(ISERROR(HLOOKUP(Standings!CF$3,Entries!$C31:$K31,1,FALSE))),"x",IF(NOT(ISERROR(HLOOKUP(Standings!CF$3,Entries!$L31:$L31,1,FALSE))),"S",""))</f>
        <v/>
      </c>
      <c r="CG11" t="str">
        <f>IF(NOT(ISERROR(HLOOKUP(Standings!CG$3,Entries!$C31:$K31,1,FALSE))),"x",IF(NOT(ISERROR(HLOOKUP(Standings!CG$3,Entries!$L31:$L31,1,FALSE))),"S",""))</f>
        <v/>
      </c>
      <c r="CH11" t="str">
        <f>IF(NOT(ISERROR(HLOOKUP(Standings!CH$3,Entries!$C31:$K31,1,FALSE))),"x",IF(NOT(ISERROR(HLOOKUP(Standings!CH$3,Entries!$L31:$L31,1,FALSE))),"S",""))</f>
        <v/>
      </c>
      <c r="CI11" t="str">
        <f>IF(NOT(ISERROR(HLOOKUP(Standings!CI$3,Entries!$C31:$K31,1,FALSE))),"x",IF(NOT(ISERROR(HLOOKUP(Standings!CI$3,Entries!$L31:$L31,1,FALSE))),"S",""))</f>
        <v/>
      </c>
      <c r="CJ11" t="str">
        <f>IF(NOT(ISERROR(HLOOKUP(Standings!CJ$3,Entries!$C31:$K31,1,FALSE))),"x",IF(NOT(ISERROR(HLOOKUP(Standings!CJ$3,Entries!$L31:$L31,1,FALSE))),"S",""))</f>
        <v/>
      </c>
      <c r="CK11" t="str">
        <f>IF(NOT(ISERROR(HLOOKUP(Standings!CK$3,Entries!$C31:$K31,1,FALSE))),"x",IF(NOT(ISERROR(HLOOKUP(Standings!CK$3,Entries!$L31:$L31,1,FALSE))),"S",""))</f>
        <v>x</v>
      </c>
      <c r="CL11" t="str">
        <f>IF(NOT(ISERROR(HLOOKUP(Standings!CL$3,Entries!$C31:$K31,1,FALSE))),"x",IF(NOT(ISERROR(HLOOKUP(Standings!CL$3,Entries!$L31:$L31,1,FALSE))),"S",""))</f>
        <v/>
      </c>
      <c r="CM11" t="str">
        <f>IF(NOT(ISERROR(HLOOKUP(Standings!CM$3,Entries!$C31:$K31,1,FALSE))),"x",IF(NOT(ISERROR(HLOOKUP(Standings!CM$3,Entries!$L31:$L31,1,FALSE))),"S",""))</f>
        <v/>
      </c>
      <c r="CN11" t="str">
        <f>IF(NOT(ISERROR(HLOOKUP(Standings!CN$3,Entries!$C31:$K31,1,FALSE))),"x",IF(NOT(ISERROR(HLOOKUP(Standings!CN$3,Entries!$L31:$L31,1,FALSE))),"S",""))</f>
        <v/>
      </c>
      <c r="CO11" t="str">
        <f>IF(NOT(ISERROR(HLOOKUP(Standings!CO$3,Entries!$C31:$K31,1,FALSE))),"x",IF(NOT(ISERROR(HLOOKUP(Standings!CO$3,Entries!$L31:$L31,1,FALSE))),"S",""))</f>
        <v/>
      </c>
      <c r="CP11" t="str">
        <f>IF(NOT(ISERROR(HLOOKUP(Standings!CP$3,Entries!$C31:$K31,1,FALSE))),"x",IF(NOT(ISERROR(HLOOKUP(Standings!CP$3,Entries!$L31:$L31,1,FALSE))),"S",""))</f>
        <v/>
      </c>
      <c r="CQ11" t="str">
        <f>IF(NOT(ISERROR(HLOOKUP(Standings!CQ$3,Entries!$C31:$K31,1,FALSE))),"x",IF(NOT(ISERROR(HLOOKUP(Standings!CQ$3,Entries!$L31:$L31,1,FALSE))),"S",""))</f>
        <v/>
      </c>
      <c r="CR11" t="str">
        <f>IF(NOT(ISERROR(HLOOKUP(Standings!CR$3,Entries!$C31:$K31,1,FALSE))),"x",IF(NOT(ISERROR(HLOOKUP(Standings!CR$3,Entries!$L31:$L31,1,FALSE))),"S",""))</f>
        <v/>
      </c>
      <c r="CS11" t="str">
        <f>IF(NOT(ISERROR(HLOOKUP(Standings!CS$3,Entries!$C31:$K31,1,FALSE))),"x",IF(NOT(ISERROR(HLOOKUP(Standings!CS$3,Entries!$L31:$L31,1,FALSE))),"S",""))</f>
        <v/>
      </c>
      <c r="CT11" t="str">
        <f>IF(NOT(ISERROR(HLOOKUP(Standings!CT$3,Entries!$C31:$K31,1,FALSE))),"x",IF(NOT(ISERROR(HLOOKUP(Standings!CT$3,Entries!$L31:$L31,1,FALSE))),"S",""))</f>
        <v/>
      </c>
      <c r="CU11" t="str">
        <f>IF(NOT(ISERROR(HLOOKUP(Standings!CU$3,Entries!$C31:$K31,1,FALSE))),"x",IF(NOT(ISERROR(HLOOKUP(Standings!CU$3,Entries!$L31:$L31,1,FALSE))),"S",""))</f>
        <v/>
      </c>
      <c r="CV11" t="str">
        <f>IF(NOT(ISERROR(HLOOKUP(Standings!CV$3,Entries!$C31:$K31,1,FALSE))),"x",IF(NOT(ISERROR(HLOOKUP(Standings!CV$3,Entries!$L31:$L31,1,FALSE))),"S",""))</f>
        <v/>
      </c>
      <c r="CW11" t="str">
        <f>IF(NOT(ISERROR(HLOOKUP(Standings!CW$3,Entries!$C31:$K31,1,FALSE))),"x",IF(NOT(ISERROR(HLOOKUP(Standings!CW$3,Entries!$L31:$L31,1,FALSE))),"S",""))</f>
        <v/>
      </c>
      <c r="CX11" t="str">
        <f>IF(NOT(ISERROR(HLOOKUP(Standings!CX$3,Entries!$C31:$K31,1,FALSE))),"x",IF(NOT(ISERROR(HLOOKUP(Standings!CX$3,Entries!$L31:$L31,1,FALSE))),"S",""))</f>
        <v/>
      </c>
      <c r="CY11" t="str">
        <f>IF(NOT(ISERROR(HLOOKUP(Standings!CY$3,Entries!$C31:$K31,1,FALSE))),"x",IF(NOT(ISERROR(HLOOKUP(Standings!CY$3,Entries!$L31:$L31,1,FALSE))),"S",""))</f>
        <v/>
      </c>
      <c r="CZ11" t="str">
        <f>IF(NOT(ISERROR(HLOOKUP(Standings!CZ$3,Entries!$C31:$K31,1,FALSE))),"x",IF(NOT(ISERROR(HLOOKUP(Standings!CZ$3,Entries!$L31:$L31,1,FALSE))),"S",""))</f>
        <v/>
      </c>
      <c r="DA11" t="str">
        <f>IF(NOT(ISERROR(HLOOKUP(Standings!DA$3,Entries!$C31:$K31,1,FALSE))),"x",IF(NOT(ISERROR(HLOOKUP(Standings!DA$3,Entries!$L31:$L31,1,FALSE))),"S",""))</f>
        <v/>
      </c>
      <c r="DB11" t="str">
        <f>IF(NOT(ISERROR(HLOOKUP(Standings!DB$3,Entries!$C31:$K31,1,FALSE))),"x",IF(NOT(ISERROR(HLOOKUP(Standings!DB$3,Entries!$L31:$L31,1,FALSE))),"S",""))</f>
        <v/>
      </c>
    </row>
    <row r="12" spans="1:106" x14ac:dyDescent="0.25">
      <c r="A12" s="18"/>
      <c r="B12">
        <v>2</v>
      </c>
      <c r="C12" t="str">
        <f>Entries!B12</f>
        <v>NickHanson2</v>
      </c>
      <c r="D12" s="4">
        <f>IF(C12="","",RANK(E12,$E$10:$E$111))</f>
        <v>3</v>
      </c>
      <c r="E12" s="31">
        <f>IF(C12="","",ROUND(SUM(F12:AK12),0))</f>
        <v>8</v>
      </c>
      <c r="F12" s="40">
        <f>IF(BG12="","",IF(BG12="x",F$6,0)+IF(BG12="S",-F$6-0.00001,0))</f>
        <v>2</v>
      </c>
      <c r="G12" s="41" t="str">
        <f>IF(BH12="","",IF(BH12="x",G$6,0)+IF(BH12="S",-G$6-0.00001,0))</f>
        <v/>
      </c>
      <c r="H12" s="41" t="str">
        <f>IF(BI12="","",IF(BI12="x",H$6,0)+IF(BI12="S",-H$6-0.00001,0))</f>
        <v/>
      </c>
      <c r="I12" s="42" t="str">
        <f>IF(BJ12="","",IF(BJ12="x",I$6,0)+IF(BJ12="S",-I$6-0.00001,0))</f>
        <v/>
      </c>
      <c r="J12" s="40" t="str">
        <f>IF(BK12="","",IF(BK12="x",J$6,0)+IF(BK12="S",-J$6-0.00001,0))</f>
        <v/>
      </c>
      <c r="K12" s="41" t="str">
        <f>IF(BL12="","",IF(BL12="x",K$6,0)+IF(BL12="S",-K$6-0.00001,0))</f>
        <v/>
      </c>
      <c r="L12" s="41" t="str">
        <f>IF(BM12="","",IF(BM12="x",L$6,0)+IF(BM12="S",-L$6-0.00001,0))</f>
        <v/>
      </c>
      <c r="M12" s="42" t="str">
        <f>IF(BN12="","",IF(BN12="x",M$6,0)+IF(BN12="S",-M$6-0.00001,0))</f>
        <v/>
      </c>
      <c r="N12" s="43">
        <f>IF(BO12="","",IF(BO12="x",N$6,0)+IF(BO12="S",-N$6-0.00001,0))</f>
        <v>1</v>
      </c>
      <c r="O12" s="41" t="str">
        <f>IF(BP12="","",IF(BP12="x",O$6,0)+IF(BP12="S",-O$6-0.00001,0))</f>
        <v/>
      </c>
      <c r="P12" s="41" t="str">
        <f>IF(BQ12="","",IF(BQ12="x",P$6,0)+IF(BQ12="S",-P$6-0.00001,0))</f>
        <v/>
      </c>
      <c r="Q12" s="42" t="str">
        <f>IF(BR12="","",IF(BR12="x",Q$6,0)+IF(BR12="S",-Q$6-0.00001,0))</f>
        <v/>
      </c>
      <c r="R12" s="40" t="str">
        <f>IF(BS12="","",IF(BS12="x",R$6,0)+IF(BS12="S",-R$6-0.00001,0))</f>
        <v/>
      </c>
      <c r="S12" s="41" t="str">
        <f>IF(BT12="","",IF(BT12="x",S$6,0)+IF(BT12="S",-S$6-0.00001,0))</f>
        <v/>
      </c>
      <c r="T12" s="43">
        <f>IF(BU12="","",IF(BU12="x",T$6,0)+IF(BU12="S",-T$6-0.00001,0))</f>
        <v>2</v>
      </c>
      <c r="U12" s="42" t="str">
        <f>IF(BV12="","",IF(BV12="x",U$6,0)+IF(BV12="S",-U$6-0.00001,0))</f>
        <v/>
      </c>
      <c r="V12" s="40">
        <f>IF(BW12="","",IF(BW12="x",V$6,0)+IF(BW12="S",-V$6-0.00001,0))</f>
        <v>2</v>
      </c>
      <c r="W12" s="41" t="str">
        <f>IF(BX12="","",IF(BX12="x",W$6,0)+IF(BX12="S",-W$6-0.00001,0))</f>
        <v/>
      </c>
      <c r="X12" s="41" t="str">
        <f>IF(BY12="","",IF(BY12="x",X$6,0)+IF(BY12="S",-X$6-0.00001,0))</f>
        <v/>
      </c>
      <c r="Y12" s="42">
        <f>IF(BZ12="","",IF(BZ12="x",Y$6,0)+IF(BZ12="S",-Y$6-0.00001,0))</f>
        <v>0</v>
      </c>
      <c r="Z12" s="40" t="str">
        <f>IF(CA12="","",IF(CA12="x",Z$6,0)+IF(CA12="S",-Z$6-0.00001,0))</f>
        <v/>
      </c>
      <c r="AA12" s="41" t="str">
        <f>IF(CB12="","",IF(CB12="x",AA$6,0)+IF(CB12="S",-AA$6-0.00001,0))</f>
        <v/>
      </c>
      <c r="AB12" s="41" t="str">
        <f>IF(CC12="","",IF(CC12="x",AB$6,0)+IF(CC12="S",-AB$6-0.00001,0))</f>
        <v/>
      </c>
      <c r="AC12" s="42" t="str">
        <f>IF(CD12="","",IF(CD12="x",AC$6,0)+IF(CD12="S",-AC$6-0.00001,0))</f>
        <v/>
      </c>
      <c r="AD12" s="40" t="str">
        <f>IF(CE12="","",IF(CE12="x",AD$6,0)+IF(CE12="S",-AD$6-0.00001,0))</f>
        <v/>
      </c>
      <c r="AE12" s="41">
        <f>IF(CF12="","",IF(CF12="x",AE$6,0)+IF(CF12="S",-AE$6-0.00001,0))</f>
        <v>1</v>
      </c>
      <c r="AF12" s="41" t="str">
        <f>IF(CG12="","",IF(CG12="x",AF$6,0)+IF(CG12="S",-AF$6-0.00001,0))</f>
        <v/>
      </c>
      <c r="AG12" s="42" t="str">
        <f>IF(CH12="","",IF(CH12="x",AG$6,0)+IF(CH12="S",-AG$6-0.00001,0))</f>
        <v/>
      </c>
      <c r="AH12" s="40" t="str">
        <f>IF(CI12="","",IF(CI12="x",AH$6,0)+IF(CI12="S",-AH$6-0.00001,0))</f>
        <v/>
      </c>
      <c r="AI12" s="41" t="str">
        <f>IF(CJ12="","",IF(CJ12="x",AI$6,0)+IF(CJ12="S",-AI$6-0.00001,0))</f>
        <v/>
      </c>
      <c r="AJ12" s="41" t="str">
        <f>IF(CK12="","",IF(CK12="x",AJ$6,0)+IF(CK12="S",-AJ$6-0.00001,0))</f>
        <v/>
      </c>
      <c r="AK12" s="42" t="str">
        <f>IF(CL12="","",IF(CL12="x",AK$6,0)+IF(CL12="S",-AK$6-0.00001,0))</f>
        <v/>
      </c>
      <c r="AL12" s="40">
        <f>IF(CM12="","",IF(CM12="x",AL$6,0)+IF(CM12="S",-AL$6-0.00001,0))</f>
        <v>-1.0000000000000001E-5</v>
      </c>
      <c r="AM12" s="41" t="str">
        <f>IF(CN12="","",IF(CN12="x",AM$6,0)+IF(CN12="S",-AM$6-0.00001,0))</f>
        <v/>
      </c>
      <c r="AN12" s="41" t="str">
        <f>IF(CO12="","",IF(CO12="x",AN$6,0)+IF(CO12="S",-AN$6-0.00001,0))</f>
        <v/>
      </c>
      <c r="AO12" s="42" t="str">
        <f>IF(CP12="","",IF(CP12="x",AO$6,0)+IF(CP12="S",-AO$6-0.00001,0))</f>
        <v/>
      </c>
      <c r="AP12" s="40" t="str">
        <f>IF(CQ12="","",IF(CQ12="x",AP$6,0)+IF(CQ12="S",-AP$6-0.00001,0))</f>
        <v/>
      </c>
      <c r="AQ12" s="41">
        <f>IF(CR12="","",IF(CR12="x",AQ$6,0)+IF(CR12="S",-AQ$6-0.00001,0))</f>
        <v>0</v>
      </c>
      <c r="AR12" s="41" t="str">
        <f>IF(CS12="","",IF(CS12="x",AR$6,0)+IF(CS12="S",-AR$6-0.00001,0))</f>
        <v/>
      </c>
      <c r="AS12" s="42" t="str">
        <f>IF(CT12="","",IF(CT12="x",AS$6,0)+IF(CT12="S",-AS$6-0.00001,0))</f>
        <v/>
      </c>
      <c r="AT12" s="40" t="str">
        <f>IF(CU12="","",IF(CU12="x",AT$6,0)+IF(CU12="S",-AT$6-0.00001,0))</f>
        <v/>
      </c>
      <c r="AU12" s="41" t="str">
        <f>IF(CV12="","",IF(CV12="x",AU$6,0)+IF(CV12="S",-AU$6-0.00001,0))</f>
        <v/>
      </c>
      <c r="AV12" s="41" t="str">
        <f>IF(CW12="","",IF(CW12="x",AV$6,0)+IF(CW12="S",-AV$6-0.00001,0))</f>
        <v/>
      </c>
      <c r="AW12" s="42" t="str">
        <f>IF(CX12="","",IF(CX12="x",AW$6,0)+IF(CX12="S",-AW$6-0.00001,0))</f>
        <v/>
      </c>
      <c r="AX12" s="40" t="str">
        <f>IF(CY12="","",IF(CY12="x",AX$6,0)+IF(CY12="S",-AX$6-0.00001,0))</f>
        <v/>
      </c>
      <c r="AY12" s="41" t="str">
        <f>IF(CZ12="","",IF(CZ12="x",AY$6,0)+IF(CZ12="S",-AY$6-0.00001,0))</f>
        <v/>
      </c>
      <c r="AZ12" s="41" t="str">
        <f>IF(DA12="","",IF(DA12="x",AZ$6,0)+IF(DA12="S",-AZ$6-0.00001,0))</f>
        <v/>
      </c>
      <c r="BA12" s="42" t="str">
        <f>IF(DB12="","",IF(DB12="x",BA$6,0)+IF(DB12="S",-BA$6-0.00001,0))</f>
        <v/>
      </c>
      <c r="BB12" s="37" t="s">
        <v>106</v>
      </c>
      <c r="BC12" s="21"/>
      <c r="BD12" s="21"/>
      <c r="BE12" s="5"/>
      <c r="BG12" t="str">
        <f>IF(NOT(ISERROR(HLOOKUP(Standings!BG$3,Entries!$C12:$K12,1,FALSE))),"x",IF(NOT(ISERROR(HLOOKUP(Standings!BG$3,Entries!$L12:$L12,1,FALSE))),"S",""))</f>
        <v>x</v>
      </c>
      <c r="BH12" t="str">
        <f>IF(NOT(ISERROR(HLOOKUP(Standings!BH$3,Entries!$C12:$K12,1,FALSE))),"x",IF(NOT(ISERROR(HLOOKUP(Standings!BH$3,Entries!$L12:$L12,1,FALSE))),"S",""))</f>
        <v/>
      </c>
      <c r="BI12" t="str">
        <f>IF(NOT(ISERROR(HLOOKUP(Standings!BI$3,Entries!$C12:$K12,1,FALSE))),"x",IF(NOT(ISERROR(HLOOKUP(Standings!BI$3,Entries!$L12:$L12,1,FALSE))),"S",""))</f>
        <v/>
      </c>
      <c r="BJ12" t="str">
        <f>IF(NOT(ISERROR(HLOOKUP(Standings!BJ$3,Entries!$C12:$K12,1,FALSE))),"x",IF(NOT(ISERROR(HLOOKUP(Standings!BJ$3,Entries!$L12:$L12,1,FALSE))),"S",""))</f>
        <v/>
      </c>
      <c r="BK12" t="str">
        <f>IF(NOT(ISERROR(HLOOKUP(Standings!BK$3,Entries!$C12:$K12,1,FALSE))),"x",IF(NOT(ISERROR(HLOOKUP(Standings!BK$3,Entries!$L12:$L12,1,FALSE))),"S",""))</f>
        <v/>
      </c>
      <c r="BL12" t="str">
        <f>IF(NOT(ISERROR(HLOOKUP(Standings!BL$3,Entries!$C12:$K12,1,FALSE))),"x",IF(NOT(ISERROR(HLOOKUP(Standings!BL$3,Entries!$L12:$L12,1,FALSE))),"S",""))</f>
        <v/>
      </c>
      <c r="BM12" t="str">
        <f>IF(NOT(ISERROR(HLOOKUP(Standings!BM$3,Entries!$C12:$K12,1,FALSE))),"x",IF(NOT(ISERROR(HLOOKUP(Standings!BM$3,Entries!$L12:$L12,1,FALSE))),"S",""))</f>
        <v/>
      </c>
      <c r="BN12" t="str">
        <f>IF(NOT(ISERROR(HLOOKUP(Standings!BN$3,Entries!$C12:$K12,1,FALSE))),"x",IF(NOT(ISERROR(HLOOKUP(Standings!BN$3,Entries!$L12:$L12,1,FALSE))),"S",""))</f>
        <v/>
      </c>
      <c r="BO12" t="str">
        <f>IF(NOT(ISERROR(HLOOKUP(Standings!BO$3,Entries!$C12:$K12,1,FALSE))),"x",IF(NOT(ISERROR(HLOOKUP(Standings!BO$3,Entries!$L12:$L12,1,FALSE))),"S",""))</f>
        <v>x</v>
      </c>
      <c r="BP12" t="str">
        <f>IF(NOT(ISERROR(HLOOKUP(Standings!BP$3,Entries!$C12:$K12,1,FALSE))),"x",IF(NOT(ISERROR(HLOOKUP(Standings!BP$3,Entries!$L12:$L12,1,FALSE))),"S",""))</f>
        <v/>
      </c>
      <c r="BQ12" t="str">
        <f>IF(NOT(ISERROR(HLOOKUP(Standings!BQ$3,Entries!$C12:$K12,1,FALSE))),"x",IF(NOT(ISERROR(HLOOKUP(Standings!BQ$3,Entries!$L12:$L12,1,FALSE))),"S",""))</f>
        <v/>
      </c>
      <c r="BR12" t="str">
        <f>IF(NOT(ISERROR(HLOOKUP(Standings!BR$3,Entries!$C12:$K12,1,FALSE))),"x",IF(NOT(ISERROR(HLOOKUP(Standings!BR$3,Entries!$L12:$L12,1,FALSE))),"S",""))</f>
        <v/>
      </c>
      <c r="BS12" t="str">
        <f>IF(NOT(ISERROR(HLOOKUP(Standings!BS$3,Entries!$C12:$K12,1,FALSE))),"x",IF(NOT(ISERROR(HLOOKUP(Standings!BS$3,Entries!$L12:$L12,1,FALSE))),"S",""))</f>
        <v/>
      </c>
      <c r="BT12" t="str">
        <f>IF(NOT(ISERROR(HLOOKUP(Standings!BT$3,Entries!$C12:$K12,1,FALSE))),"x",IF(NOT(ISERROR(HLOOKUP(Standings!BT$3,Entries!$L12:$L12,1,FALSE))),"S",""))</f>
        <v/>
      </c>
      <c r="BU12" t="str">
        <f>IF(NOT(ISERROR(HLOOKUP(Standings!BU$3,Entries!$C12:$K12,1,FALSE))),"x",IF(NOT(ISERROR(HLOOKUP(Standings!BU$3,Entries!$L12:$L12,1,FALSE))),"S",""))</f>
        <v>x</v>
      </c>
      <c r="BV12" t="str">
        <f>IF(NOT(ISERROR(HLOOKUP(Standings!BV$3,Entries!$C12:$K12,1,FALSE))),"x",IF(NOT(ISERROR(HLOOKUP(Standings!BV$3,Entries!$L12:$L12,1,FALSE))),"S",""))</f>
        <v/>
      </c>
      <c r="BW12" t="str">
        <f>IF(NOT(ISERROR(HLOOKUP(Standings!BW$3,Entries!$C12:$K12,1,FALSE))),"x",IF(NOT(ISERROR(HLOOKUP(Standings!BW$3,Entries!$L12:$L12,1,FALSE))),"S",""))</f>
        <v>x</v>
      </c>
      <c r="BX12" t="str">
        <f>IF(NOT(ISERROR(HLOOKUP(Standings!BX$3,Entries!$C12:$K12,1,FALSE))),"x",IF(NOT(ISERROR(HLOOKUP(Standings!BX$3,Entries!$L12:$L12,1,FALSE))),"S",""))</f>
        <v/>
      </c>
      <c r="BY12" t="str">
        <f>IF(NOT(ISERROR(HLOOKUP(Standings!BY$3,Entries!$C12:$K12,1,FALSE))),"x",IF(NOT(ISERROR(HLOOKUP(Standings!BY$3,Entries!$L12:$L12,1,FALSE))),"S",""))</f>
        <v/>
      </c>
      <c r="BZ12" t="str">
        <f>IF(NOT(ISERROR(HLOOKUP(Standings!BZ$3,Entries!$C12:$K12,1,FALSE))),"x",IF(NOT(ISERROR(HLOOKUP(Standings!BZ$3,Entries!$L12:$L12,1,FALSE))),"S",""))</f>
        <v>x</v>
      </c>
      <c r="CA12" t="str">
        <f>IF(NOT(ISERROR(HLOOKUP(Standings!CA$3,Entries!$C12:$K12,1,FALSE))),"x",IF(NOT(ISERROR(HLOOKUP(Standings!CA$3,Entries!$L12:$L12,1,FALSE))),"S",""))</f>
        <v/>
      </c>
      <c r="CB12" t="str">
        <f>IF(NOT(ISERROR(HLOOKUP(Standings!CB$3,Entries!$C12:$K12,1,FALSE))),"x",IF(NOT(ISERROR(HLOOKUP(Standings!CB$3,Entries!$L12:$L12,1,FALSE))),"S",""))</f>
        <v/>
      </c>
      <c r="CC12" t="str">
        <f>IF(NOT(ISERROR(HLOOKUP(Standings!CC$3,Entries!$C12:$K12,1,FALSE))),"x",IF(NOT(ISERROR(HLOOKUP(Standings!CC$3,Entries!$L12:$L12,1,FALSE))),"S",""))</f>
        <v/>
      </c>
      <c r="CD12" t="str">
        <f>IF(NOT(ISERROR(HLOOKUP(Standings!CD$3,Entries!$C12:$K12,1,FALSE))),"x",IF(NOT(ISERROR(HLOOKUP(Standings!CD$3,Entries!$L12:$L12,1,FALSE))),"S",""))</f>
        <v/>
      </c>
      <c r="CE12" t="str">
        <f>IF(NOT(ISERROR(HLOOKUP(Standings!CE$3,Entries!$C12:$K12,1,FALSE))),"x",IF(NOT(ISERROR(HLOOKUP(Standings!CE$3,Entries!$L12:$L12,1,FALSE))),"S",""))</f>
        <v/>
      </c>
      <c r="CF12" t="str">
        <f>IF(NOT(ISERROR(HLOOKUP(Standings!CF$3,Entries!$C12:$K12,1,FALSE))),"x",IF(NOT(ISERROR(HLOOKUP(Standings!CF$3,Entries!$L12:$L12,1,FALSE))),"S",""))</f>
        <v>x</v>
      </c>
      <c r="CG12" t="str">
        <f>IF(NOT(ISERROR(HLOOKUP(Standings!CG$3,Entries!$C12:$K12,1,FALSE))),"x",IF(NOT(ISERROR(HLOOKUP(Standings!CG$3,Entries!$L12:$L12,1,FALSE))),"S",""))</f>
        <v/>
      </c>
      <c r="CH12" t="str">
        <f>IF(NOT(ISERROR(HLOOKUP(Standings!CH$3,Entries!$C12:$K12,1,FALSE))),"x",IF(NOT(ISERROR(HLOOKUP(Standings!CH$3,Entries!$L12:$L12,1,FALSE))),"S",""))</f>
        <v/>
      </c>
      <c r="CI12" t="str">
        <f>IF(NOT(ISERROR(HLOOKUP(Standings!CI$3,Entries!$C12:$K12,1,FALSE))),"x",IF(NOT(ISERROR(HLOOKUP(Standings!CI$3,Entries!$L12:$L12,1,FALSE))),"S",""))</f>
        <v/>
      </c>
      <c r="CJ12" t="str">
        <f>IF(NOT(ISERROR(HLOOKUP(Standings!CJ$3,Entries!$C12:$K12,1,FALSE))),"x",IF(NOT(ISERROR(HLOOKUP(Standings!CJ$3,Entries!$L12:$L12,1,FALSE))),"S",""))</f>
        <v/>
      </c>
      <c r="CK12" t="str">
        <f>IF(NOT(ISERROR(HLOOKUP(Standings!CK$3,Entries!$C12:$K12,1,FALSE))),"x",IF(NOT(ISERROR(HLOOKUP(Standings!CK$3,Entries!$L12:$L12,1,FALSE))),"S",""))</f>
        <v/>
      </c>
      <c r="CL12" t="str">
        <f>IF(NOT(ISERROR(HLOOKUP(Standings!CL$3,Entries!$C12:$K12,1,FALSE))),"x",IF(NOT(ISERROR(HLOOKUP(Standings!CL$3,Entries!$L12:$L12,1,FALSE))),"S",""))</f>
        <v/>
      </c>
      <c r="CM12" t="str">
        <f>IF(NOT(ISERROR(HLOOKUP(Standings!CM$3,Entries!$C12:$K12,1,FALSE))),"x",IF(NOT(ISERROR(HLOOKUP(Standings!CM$3,Entries!$L12:$L12,1,FALSE))),"S",""))</f>
        <v>S</v>
      </c>
      <c r="CN12" t="str">
        <f>IF(NOT(ISERROR(HLOOKUP(Standings!CN$3,Entries!$C12:$K12,1,FALSE))),"x",IF(NOT(ISERROR(HLOOKUP(Standings!CN$3,Entries!$L12:$L12,1,FALSE))),"S",""))</f>
        <v/>
      </c>
      <c r="CO12" t="str">
        <f>IF(NOT(ISERROR(HLOOKUP(Standings!CO$3,Entries!$C12:$K12,1,FALSE))),"x",IF(NOT(ISERROR(HLOOKUP(Standings!CO$3,Entries!$L12:$L12,1,FALSE))),"S",""))</f>
        <v/>
      </c>
      <c r="CP12" t="str">
        <f>IF(NOT(ISERROR(HLOOKUP(Standings!CP$3,Entries!$C12:$K12,1,FALSE))),"x",IF(NOT(ISERROR(HLOOKUP(Standings!CP$3,Entries!$L12:$L12,1,FALSE))),"S",""))</f>
        <v/>
      </c>
      <c r="CQ12" t="str">
        <f>IF(NOT(ISERROR(HLOOKUP(Standings!CQ$3,Entries!$C12:$K12,1,FALSE))),"x",IF(NOT(ISERROR(HLOOKUP(Standings!CQ$3,Entries!$L12:$L12,1,FALSE))),"S",""))</f>
        <v/>
      </c>
      <c r="CR12" t="str">
        <f>IF(NOT(ISERROR(HLOOKUP(Standings!CR$3,Entries!$C12:$K12,1,FALSE))),"x",IF(NOT(ISERROR(HLOOKUP(Standings!CR$3,Entries!$L12:$L12,1,FALSE))),"S",""))</f>
        <v>x</v>
      </c>
      <c r="CS12" t="str">
        <f>IF(NOT(ISERROR(HLOOKUP(Standings!CS$3,Entries!$C12:$K12,1,FALSE))),"x",IF(NOT(ISERROR(HLOOKUP(Standings!CS$3,Entries!$L12:$L12,1,FALSE))),"S",""))</f>
        <v/>
      </c>
      <c r="CT12" t="str">
        <f>IF(NOT(ISERROR(HLOOKUP(Standings!CT$3,Entries!$C12:$K12,1,FALSE))),"x",IF(NOT(ISERROR(HLOOKUP(Standings!CT$3,Entries!$L12:$L12,1,FALSE))),"S",""))</f>
        <v/>
      </c>
      <c r="CU12" t="str">
        <f>IF(NOT(ISERROR(HLOOKUP(Standings!CU$3,Entries!$C12:$K12,1,FALSE))),"x",IF(NOT(ISERROR(HLOOKUP(Standings!CU$3,Entries!$L12:$L12,1,FALSE))),"S",""))</f>
        <v/>
      </c>
      <c r="CV12" t="str">
        <f>IF(NOT(ISERROR(HLOOKUP(Standings!CV$3,Entries!$C12:$K12,1,FALSE))),"x",IF(NOT(ISERROR(HLOOKUP(Standings!CV$3,Entries!$L12:$L12,1,FALSE))),"S",""))</f>
        <v/>
      </c>
      <c r="CW12" t="str">
        <f>IF(NOT(ISERROR(HLOOKUP(Standings!CW$3,Entries!$C12:$K12,1,FALSE))),"x",IF(NOT(ISERROR(HLOOKUP(Standings!CW$3,Entries!$L12:$L12,1,FALSE))),"S",""))</f>
        <v/>
      </c>
      <c r="CX12" t="str">
        <f>IF(NOT(ISERROR(HLOOKUP(Standings!CX$3,Entries!$C12:$K12,1,FALSE))),"x",IF(NOT(ISERROR(HLOOKUP(Standings!CX$3,Entries!$L12:$L12,1,FALSE))),"S",""))</f>
        <v/>
      </c>
      <c r="CY12" t="str">
        <f>IF(NOT(ISERROR(HLOOKUP(Standings!CY$3,Entries!$C12:$K12,1,FALSE))),"x",IF(NOT(ISERROR(HLOOKUP(Standings!CY$3,Entries!$L12:$L12,1,FALSE))),"S",""))</f>
        <v/>
      </c>
      <c r="CZ12" t="str">
        <f>IF(NOT(ISERROR(HLOOKUP(Standings!CZ$3,Entries!$C12:$K12,1,FALSE))),"x",IF(NOT(ISERROR(HLOOKUP(Standings!CZ$3,Entries!$L12:$L12,1,FALSE))),"S",""))</f>
        <v/>
      </c>
      <c r="DA12" t="str">
        <f>IF(NOT(ISERROR(HLOOKUP(Standings!DA$3,Entries!$C12:$K12,1,FALSE))),"x",IF(NOT(ISERROR(HLOOKUP(Standings!DA$3,Entries!$L12:$L12,1,FALSE))),"S",""))</f>
        <v/>
      </c>
      <c r="DB12" t="str">
        <f>IF(NOT(ISERROR(HLOOKUP(Standings!DB$3,Entries!$C12:$K12,1,FALSE))),"x",IF(NOT(ISERROR(HLOOKUP(Standings!DB$3,Entries!$L12:$L12,1,FALSE))),"S",""))</f>
        <v/>
      </c>
    </row>
    <row r="13" spans="1:106" x14ac:dyDescent="0.25">
      <c r="A13" s="18"/>
      <c r="B13">
        <v>39</v>
      </c>
      <c r="C13" t="str">
        <f>Entries!B32</f>
        <v>Sean ODonnell2</v>
      </c>
      <c r="D13" s="4">
        <f>IF(C13="","",RANK(E13,$E$10:$E$111))</f>
        <v>3</v>
      </c>
      <c r="E13" s="31">
        <f>IF(C13="","",ROUND(SUM(F13:AK13),0))</f>
        <v>8</v>
      </c>
      <c r="F13" s="40" t="str">
        <f>IF(BG13="","",IF(BG13="x",F$6,0)+IF(BG13="S",-F$6-0.00001,0))</f>
        <v/>
      </c>
      <c r="G13" s="41" t="str">
        <f>IF(BH13="","",IF(BH13="x",G$6,0)+IF(BH13="S",-G$6-0.00001,0))</f>
        <v/>
      </c>
      <c r="H13" s="41" t="str">
        <f>IF(BI13="","",IF(BI13="x",H$6,0)+IF(BI13="S",-H$6-0.00001,0))</f>
        <v/>
      </c>
      <c r="I13" s="42" t="str">
        <f>IF(BJ13="","",IF(BJ13="x",I$6,0)+IF(BJ13="S",-I$6-0.00001,0))</f>
        <v/>
      </c>
      <c r="J13" s="40" t="str">
        <f>IF(BK13="","",IF(BK13="x",J$6,0)+IF(BK13="S",-J$6-0.00001,0))</f>
        <v/>
      </c>
      <c r="K13" s="41" t="str">
        <f>IF(BL13="","",IF(BL13="x",K$6,0)+IF(BL13="S",-K$6-0.00001,0))</f>
        <v/>
      </c>
      <c r="L13" s="41" t="str">
        <f>IF(BM13="","",IF(BM13="x",L$6,0)+IF(BM13="S",-L$6-0.00001,0))</f>
        <v/>
      </c>
      <c r="M13" s="42" t="str">
        <f>IF(BN13="","",IF(BN13="x",M$6,0)+IF(BN13="S",-M$6-0.00001,0))</f>
        <v/>
      </c>
      <c r="N13" s="43" t="str">
        <f>IF(BO13="","",IF(BO13="x",N$6,0)+IF(BO13="S",-N$6-0.00001,0))</f>
        <v/>
      </c>
      <c r="O13" s="41">
        <f>IF(BP13="","",IF(BP13="x",O$6,0)+IF(BP13="S",-O$6-0.00001,0))</f>
        <v>1</v>
      </c>
      <c r="P13" s="41" t="str">
        <f>IF(BQ13="","",IF(BQ13="x",P$6,0)+IF(BQ13="S",-P$6-0.00001,0))</f>
        <v/>
      </c>
      <c r="Q13" s="42">
        <f>IF(BR13="","",IF(BR13="x",Q$6,0)+IF(BR13="S",-Q$6-0.00001,0))</f>
        <v>2</v>
      </c>
      <c r="R13" s="40">
        <f>IF(BS13="","",IF(BS13="x",R$6,0)+IF(BS13="S",-R$6-0.00001,0))</f>
        <v>2</v>
      </c>
      <c r="S13" s="41" t="str">
        <f>IF(BT13="","",IF(BT13="x",S$6,0)+IF(BT13="S",-S$6-0.00001,0))</f>
        <v/>
      </c>
      <c r="T13" s="43" t="str">
        <f>IF(BU13="","",IF(BU13="x",T$6,0)+IF(BU13="S",-T$6-0.00001,0))</f>
        <v/>
      </c>
      <c r="U13" s="42" t="str">
        <f>IF(BV13="","",IF(BV13="x",U$6,0)+IF(BV13="S",-U$6-0.00001,0))</f>
        <v/>
      </c>
      <c r="V13" s="40" t="str">
        <f>IF(BW13="","",IF(BW13="x",V$6,0)+IF(BW13="S",-V$6-0.00001,0))</f>
        <v/>
      </c>
      <c r="W13" s="41" t="str">
        <f>IF(BX13="","",IF(BX13="x",W$6,0)+IF(BX13="S",-W$6-0.00001,0))</f>
        <v/>
      </c>
      <c r="X13" s="41" t="str">
        <f>IF(BY13="","",IF(BY13="x",X$6,0)+IF(BY13="S",-X$6-0.00001,0))</f>
        <v/>
      </c>
      <c r="Y13" s="42" t="str">
        <f>IF(BZ13="","",IF(BZ13="x",Y$6,0)+IF(BZ13="S",-Y$6-0.00001,0))</f>
        <v/>
      </c>
      <c r="Z13" s="40">
        <f>IF(CA13="","",IF(CA13="x",Z$6,0)+IF(CA13="S",-Z$6-0.00001,0))</f>
        <v>1</v>
      </c>
      <c r="AA13" s="41" t="str">
        <f>IF(CB13="","",IF(CB13="x",AA$6,0)+IF(CB13="S",-AA$6-0.00001,0))</f>
        <v/>
      </c>
      <c r="AB13" s="41">
        <f>IF(CC13="","",IF(CC13="x",AB$6,0)+IF(CC13="S",-AB$6-0.00001,0))</f>
        <v>0</v>
      </c>
      <c r="AC13" s="42" t="str">
        <f>IF(CD13="","",IF(CD13="x",AC$6,0)+IF(CD13="S",-AC$6-0.00001,0))</f>
        <v/>
      </c>
      <c r="AD13" s="40">
        <f>IF(CE13="","",IF(CE13="x",AD$6,0)+IF(CE13="S",-AD$6-0.00001,0))</f>
        <v>1</v>
      </c>
      <c r="AE13" s="41" t="str">
        <f>IF(CF13="","",IF(CF13="x",AE$6,0)+IF(CF13="S",-AE$6-0.00001,0))</f>
        <v/>
      </c>
      <c r="AF13" s="41">
        <f>IF(CG13="","",IF(CG13="x",AF$6,0)+IF(CG13="S",-AF$6-0.00001,0))</f>
        <v>1</v>
      </c>
      <c r="AG13" s="42" t="str">
        <f>IF(CH13="","",IF(CH13="x",AG$6,0)+IF(CH13="S",-AG$6-0.00001,0))</f>
        <v/>
      </c>
      <c r="AH13" s="40">
        <f>IF(CI13="","",IF(CI13="x",AH$6,0)+IF(CI13="S",-AH$6-0.00001,0))</f>
        <v>-1.0000100000000001</v>
      </c>
      <c r="AI13" s="41">
        <f>IF(CJ13="","",IF(CJ13="x",AI$6,0)+IF(CJ13="S",-AI$6-0.00001,0))</f>
        <v>1</v>
      </c>
      <c r="AJ13" s="41" t="str">
        <f>IF(CK13="","",IF(CK13="x",AJ$6,0)+IF(CK13="S",-AJ$6-0.00001,0))</f>
        <v/>
      </c>
      <c r="AK13" s="42" t="str">
        <f>IF(CL13="","",IF(CL13="x",AK$6,0)+IF(CL13="S",-AK$6-0.00001,0))</f>
        <v/>
      </c>
      <c r="AL13" s="40" t="str">
        <f>IF(CM13="","",IF(CM13="x",AL$6,0)+IF(CM13="S",-AL$6-0.00001,0))</f>
        <v/>
      </c>
      <c r="AM13" s="41" t="str">
        <f>IF(CN13="","",IF(CN13="x",AM$6,0)+IF(CN13="S",-AM$6-0.00001,0))</f>
        <v/>
      </c>
      <c r="AN13" s="41" t="str">
        <f>IF(CO13="","",IF(CO13="x",AN$6,0)+IF(CO13="S",-AN$6-0.00001,0))</f>
        <v/>
      </c>
      <c r="AO13" s="42" t="str">
        <f>IF(CP13="","",IF(CP13="x",AO$6,0)+IF(CP13="S",-AO$6-0.00001,0))</f>
        <v/>
      </c>
      <c r="AP13" s="40" t="str">
        <f>IF(CQ13="","",IF(CQ13="x",AP$6,0)+IF(CQ13="S",-AP$6-0.00001,0))</f>
        <v/>
      </c>
      <c r="AQ13" s="41" t="str">
        <f>IF(CR13="","",IF(CR13="x",AQ$6,0)+IF(CR13="S",-AQ$6-0.00001,0))</f>
        <v/>
      </c>
      <c r="AR13" s="41" t="str">
        <f>IF(CS13="","",IF(CS13="x",AR$6,0)+IF(CS13="S",-AR$6-0.00001,0))</f>
        <v/>
      </c>
      <c r="AS13" s="42" t="str">
        <f>IF(CT13="","",IF(CT13="x",AS$6,0)+IF(CT13="S",-AS$6-0.00001,0))</f>
        <v/>
      </c>
      <c r="AT13" s="40" t="str">
        <f>IF(CU13="","",IF(CU13="x",AT$6,0)+IF(CU13="S",-AT$6-0.00001,0))</f>
        <v/>
      </c>
      <c r="AU13" s="41" t="str">
        <f>IF(CV13="","",IF(CV13="x",AU$6,0)+IF(CV13="S",-AU$6-0.00001,0))</f>
        <v/>
      </c>
      <c r="AV13" s="41">
        <f>IF(CW13="","",IF(CW13="x",AV$6,0)+IF(CW13="S",-AV$6-0.00001,0))</f>
        <v>0</v>
      </c>
      <c r="AW13" s="42" t="str">
        <f>IF(CX13="","",IF(CX13="x",AW$6,0)+IF(CX13="S",-AW$6-0.00001,0))</f>
        <v/>
      </c>
      <c r="AX13" s="40" t="str">
        <f>IF(CY13="","",IF(CY13="x",AX$6,0)+IF(CY13="S",-AX$6-0.00001,0))</f>
        <v/>
      </c>
      <c r="AY13" s="41" t="str">
        <f>IF(CZ13="","",IF(CZ13="x",AY$6,0)+IF(CZ13="S",-AY$6-0.00001,0))</f>
        <v/>
      </c>
      <c r="AZ13" s="41" t="str">
        <f>IF(DA13="","",IF(DA13="x",AZ$6,0)+IF(DA13="S",-AZ$6-0.00001,0))</f>
        <v/>
      </c>
      <c r="BA13" s="42" t="str">
        <f>IF(DB13="","",IF(DB13="x",BA$6,0)+IF(DB13="S",-BA$6-0.00001,0))</f>
        <v/>
      </c>
      <c r="BB13" s="37" t="s">
        <v>106</v>
      </c>
      <c r="BC13" s="21"/>
      <c r="BD13" s="21"/>
      <c r="BG13" t="str">
        <f>IF(NOT(ISERROR(HLOOKUP(Standings!BG$3,Entries!$C32:$K32,1,FALSE))),"x",IF(NOT(ISERROR(HLOOKUP(Standings!BG$3,Entries!$L32:$L32,1,FALSE))),"S",""))</f>
        <v/>
      </c>
      <c r="BH13" t="str">
        <f>IF(NOT(ISERROR(HLOOKUP(Standings!BH$3,Entries!$C32:$K32,1,FALSE))),"x",IF(NOT(ISERROR(HLOOKUP(Standings!BH$3,Entries!$L32:$L32,1,FALSE))),"S",""))</f>
        <v/>
      </c>
      <c r="BI13" t="str">
        <f>IF(NOT(ISERROR(HLOOKUP(Standings!BI$3,Entries!$C32:$K32,1,FALSE))),"x",IF(NOT(ISERROR(HLOOKUP(Standings!BI$3,Entries!$L32:$L32,1,FALSE))),"S",""))</f>
        <v/>
      </c>
      <c r="BJ13" t="str">
        <f>IF(NOT(ISERROR(HLOOKUP(Standings!BJ$3,Entries!$C32:$K32,1,FALSE))),"x",IF(NOT(ISERROR(HLOOKUP(Standings!BJ$3,Entries!$L32:$L32,1,FALSE))),"S",""))</f>
        <v/>
      </c>
      <c r="BK13" t="str">
        <f>IF(NOT(ISERROR(HLOOKUP(Standings!BK$3,Entries!$C32:$K32,1,FALSE))),"x",IF(NOT(ISERROR(HLOOKUP(Standings!BK$3,Entries!$L32:$L32,1,FALSE))),"S",""))</f>
        <v/>
      </c>
      <c r="BL13" t="str">
        <f>IF(NOT(ISERROR(HLOOKUP(Standings!BL$3,Entries!$C32:$K32,1,FALSE))),"x",IF(NOT(ISERROR(HLOOKUP(Standings!BL$3,Entries!$L32:$L32,1,FALSE))),"S",""))</f>
        <v/>
      </c>
      <c r="BM13" t="str">
        <f>IF(NOT(ISERROR(HLOOKUP(Standings!BM$3,Entries!$C32:$K32,1,FALSE))),"x",IF(NOT(ISERROR(HLOOKUP(Standings!BM$3,Entries!$L32:$L32,1,FALSE))),"S",""))</f>
        <v/>
      </c>
      <c r="BN13" t="str">
        <f>IF(NOT(ISERROR(HLOOKUP(Standings!BN$3,Entries!$C32:$K32,1,FALSE))),"x",IF(NOT(ISERROR(HLOOKUP(Standings!BN$3,Entries!$L32:$L32,1,FALSE))),"S",""))</f>
        <v/>
      </c>
      <c r="BO13" t="str">
        <f>IF(NOT(ISERROR(HLOOKUP(Standings!BO$3,Entries!$C32:$K32,1,FALSE))),"x",IF(NOT(ISERROR(HLOOKUP(Standings!BO$3,Entries!$L32:$L32,1,FALSE))),"S",""))</f>
        <v/>
      </c>
      <c r="BP13" t="str">
        <f>IF(NOT(ISERROR(HLOOKUP(Standings!BP$3,Entries!$C32:$K32,1,FALSE))),"x",IF(NOT(ISERROR(HLOOKUP(Standings!BP$3,Entries!$L32:$L32,1,FALSE))),"S",""))</f>
        <v>x</v>
      </c>
      <c r="BQ13" t="str">
        <f>IF(NOT(ISERROR(HLOOKUP(Standings!BQ$3,Entries!$C32:$K32,1,FALSE))),"x",IF(NOT(ISERROR(HLOOKUP(Standings!BQ$3,Entries!$L32:$L32,1,FALSE))),"S",""))</f>
        <v/>
      </c>
      <c r="BR13" t="str">
        <f>IF(NOT(ISERROR(HLOOKUP(Standings!BR$3,Entries!$C32:$K32,1,FALSE))),"x",IF(NOT(ISERROR(HLOOKUP(Standings!BR$3,Entries!$L32:$L32,1,FALSE))),"S",""))</f>
        <v>x</v>
      </c>
      <c r="BS13" t="str">
        <f>IF(NOT(ISERROR(HLOOKUP(Standings!BS$3,Entries!$C32:$K32,1,FALSE))),"x",IF(NOT(ISERROR(HLOOKUP(Standings!BS$3,Entries!$L32:$L32,1,FALSE))),"S",""))</f>
        <v>x</v>
      </c>
      <c r="BT13" t="str">
        <f>IF(NOT(ISERROR(HLOOKUP(Standings!BT$3,Entries!$C32:$K32,1,FALSE))),"x",IF(NOT(ISERROR(HLOOKUP(Standings!BT$3,Entries!$L32:$L32,1,FALSE))),"S",""))</f>
        <v/>
      </c>
      <c r="BU13" t="str">
        <f>IF(NOT(ISERROR(HLOOKUP(Standings!BU$3,Entries!$C32:$K32,1,FALSE))),"x",IF(NOT(ISERROR(HLOOKUP(Standings!BU$3,Entries!$L32:$L32,1,FALSE))),"S",""))</f>
        <v/>
      </c>
      <c r="BV13" t="str">
        <f>IF(NOT(ISERROR(HLOOKUP(Standings!BV$3,Entries!$C32:$K32,1,FALSE))),"x",IF(NOT(ISERROR(HLOOKUP(Standings!BV$3,Entries!$L32:$L32,1,FALSE))),"S",""))</f>
        <v/>
      </c>
      <c r="BW13" t="str">
        <f>IF(NOT(ISERROR(HLOOKUP(Standings!BW$3,Entries!$C32:$K32,1,FALSE))),"x",IF(NOT(ISERROR(HLOOKUP(Standings!BW$3,Entries!$L32:$L32,1,FALSE))),"S",""))</f>
        <v/>
      </c>
      <c r="BX13" t="str">
        <f>IF(NOT(ISERROR(HLOOKUP(Standings!BX$3,Entries!$C32:$K32,1,FALSE))),"x",IF(NOT(ISERROR(HLOOKUP(Standings!BX$3,Entries!$L32:$L32,1,FALSE))),"S",""))</f>
        <v/>
      </c>
      <c r="BY13" t="str">
        <f>IF(NOT(ISERROR(HLOOKUP(Standings!BY$3,Entries!$C32:$K32,1,FALSE))),"x",IF(NOT(ISERROR(HLOOKUP(Standings!BY$3,Entries!$L32:$L32,1,FALSE))),"S",""))</f>
        <v/>
      </c>
      <c r="BZ13" t="str">
        <f>IF(NOT(ISERROR(HLOOKUP(Standings!BZ$3,Entries!$C32:$K32,1,FALSE))),"x",IF(NOT(ISERROR(HLOOKUP(Standings!BZ$3,Entries!$L32:$L32,1,FALSE))),"S",""))</f>
        <v/>
      </c>
      <c r="CA13" t="str">
        <f>IF(NOT(ISERROR(HLOOKUP(Standings!CA$3,Entries!$C32:$K32,1,FALSE))),"x",IF(NOT(ISERROR(HLOOKUP(Standings!CA$3,Entries!$L32:$L32,1,FALSE))),"S",""))</f>
        <v>x</v>
      </c>
      <c r="CB13" t="str">
        <f>IF(NOT(ISERROR(HLOOKUP(Standings!CB$3,Entries!$C32:$K32,1,FALSE))),"x",IF(NOT(ISERROR(HLOOKUP(Standings!CB$3,Entries!$L32:$L32,1,FALSE))),"S",""))</f>
        <v/>
      </c>
      <c r="CC13" t="str">
        <f>IF(NOT(ISERROR(HLOOKUP(Standings!CC$3,Entries!$C32:$K32,1,FALSE))),"x",IF(NOT(ISERROR(HLOOKUP(Standings!CC$3,Entries!$L32:$L32,1,FALSE))),"S",""))</f>
        <v>x</v>
      </c>
      <c r="CD13" t="str">
        <f>IF(NOT(ISERROR(HLOOKUP(Standings!CD$3,Entries!$C32:$K32,1,FALSE))),"x",IF(NOT(ISERROR(HLOOKUP(Standings!CD$3,Entries!$L32:$L32,1,FALSE))),"S",""))</f>
        <v/>
      </c>
      <c r="CE13" t="str">
        <f>IF(NOT(ISERROR(HLOOKUP(Standings!CE$3,Entries!$C32:$K32,1,FALSE))),"x",IF(NOT(ISERROR(HLOOKUP(Standings!CE$3,Entries!$L32:$L32,1,FALSE))),"S",""))</f>
        <v>x</v>
      </c>
      <c r="CF13" t="str">
        <f>IF(NOT(ISERROR(HLOOKUP(Standings!CF$3,Entries!$C32:$K32,1,FALSE))),"x",IF(NOT(ISERROR(HLOOKUP(Standings!CF$3,Entries!$L32:$L32,1,FALSE))),"S",""))</f>
        <v/>
      </c>
      <c r="CG13" t="str">
        <f>IF(NOT(ISERROR(HLOOKUP(Standings!CG$3,Entries!$C32:$K32,1,FALSE))),"x",IF(NOT(ISERROR(HLOOKUP(Standings!CG$3,Entries!$L32:$L32,1,FALSE))),"S",""))</f>
        <v>x</v>
      </c>
      <c r="CH13" t="str">
        <f>IF(NOT(ISERROR(HLOOKUP(Standings!CH$3,Entries!$C32:$K32,1,FALSE))),"x",IF(NOT(ISERROR(HLOOKUP(Standings!CH$3,Entries!$L32:$L32,1,FALSE))),"S",""))</f>
        <v/>
      </c>
      <c r="CI13" t="str">
        <f>IF(NOT(ISERROR(HLOOKUP(Standings!CI$3,Entries!$C32:$K32,1,FALSE))),"x",IF(NOT(ISERROR(HLOOKUP(Standings!CI$3,Entries!$L32:$L32,1,FALSE))),"S",""))</f>
        <v>S</v>
      </c>
      <c r="CJ13" t="str">
        <f>IF(NOT(ISERROR(HLOOKUP(Standings!CJ$3,Entries!$C32:$K32,1,FALSE))),"x",IF(NOT(ISERROR(HLOOKUP(Standings!CJ$3,Entries!$L32:$L32,1,FALSE))),"S",""))</f>
        <v>x</v>
      </c>
      <c r="CK13" t="str">
        <f>IF(NOT(ISERROR(HLOOKUP(Standings!CK$3,Entries!$C32:$K32,1,FALSE))),"x",IF(NOT(ISERROR(HLOOKUP(Standings!CK$3,Entries!$L32:$L32,1,FALSE))),"S",""))</f>
        <v/>
      </c>
      <c r="CL13" t="str">
        <f>IF(NOT(ISERROR(HLOOKUP(Standings!CL$3,Entries!$C32:$K32,1,FALSE))),"x",IF(NOT(ISERROR(HLOOKUP(Standings!CL$3,Entries!$L32:$L32,1,FALSE))),"S",""))</f>
        <v/>
      </c>
      <c r="CM13" t="str">
        <f>IF(NOT(ISERROR(HLOOKUP(Standings!CM$3,Entries!$C32:$K32,1,FALSE))),"x",IF(NOT(ISERROR(HLOOKUP(Standings!CM$3,Entries!$L32:$L32,1,FALSE))),"S",""))</f>
        <v/>
      </c>
      <c r="CN13" t="str">
        <f>IF(NOT(ISERROR(HLOOKUP(Standings!CN$3,Entries!$C32:$K32,1,FALSE))),"x",IF(NOT(ISERROR(HLOOKUP(Standings!CN$3,Entries!$L32:$L32,1,FALSE))),"S",""))</f>
        <v/>
      </c>
      <c r="CO13" t="str">
        <f>IF(NOT(ISERROR(HLOOKUP(Standings!CO$3,Entries!$C32:$K32,1,FALSE))),"x",IF(NOT(ISERROR(HLOOKUP(Standings!CO$3,Entries!$L32:$L32,1,FALSE))),"S",""))</f>
        <v/>
      </c>
      <c r="CP13" t="str">
        <f>IF(NOT(ISERROR(HLOOKUP(Standings!CP$3,Entries!$C32:$K32,1,FALSE))),"x",IF(NOT(ISERROR(HLOOKUP(Standings!CP$3,Entries!$L32:$L32,1,FALSE))),"S",""))</f>
        <v/>
      </c>
      <c r="CQ13" t="str">
        <f>IF(NOT(ISERROR(HLOOKUP(Standings!CQ$3,Entries!$C32:$K32,1,FALSE))),"x",IF(NOT(ISERROR(HLOOKUP(Standings!CQ$3,Entries!$L32:$L32,1,FALSE))),"S",""))</f>
        <v/>
      </c>
      <c r="CR13" t="str">
        <f>IF(NOT(ISERROR(HLOOKUP(Standings!CR$3,Entries!$C32:$K32,1,FALSE))),"x",IF(NOT(ISERROR(HLOOKUP(Standings!CR$3,Entries!$L32:$L32,1,FALSE))),"S",""))</f>
        <v/>
      </c>
      <c r="CS13" t="str">
        <f>IF(NOT(ISERROR(HLOOKUP(Standings!CS$3,Entries!$C32:$K32,1,FALSE))),"x",IF(NOT(ISERROR(HLOOKUP(Standings!CS$3,Entries!$L32:$L32,1,FALSE))),"S",""))</f>
        <v/>
      </c>
      <c r="CT13" t="str">
        <f>IF(NOT(ISERROR(HLOOKUP(Standings!CT$3,Entries!$C32:$K32,1,FALSE))),"x",IF(NOT(ISERROR(HLOOKUP(Standings!CT$3,Entries!$L32:$L32,1,FALSE))),"S",""))</f>
        <v/>
      </c>
      <c r="CU13" t="str">
        <f>IF(NOT(ISERROR(HLOOKUP(Standings!CU$3,Entries!$C32:$K32,1,FALSE))),"x",IF(NOT(ISERROR(HLOOKUP(Standings!CU$3,Entries!$L32:$L32,1,FALSE))),"S",""))</f>
        <v/>
      </c>
      <c r="CV13" t="str">
        <f>IF(NOT(ISERROR(HLOOKUP(Standings!CV$3,Entries!$C32:$K32,1,FALSE))),"x",IF(NOT(ISERROR(HLOOKUP(Standings!CV$3,Entries!$L32:$L32,1,FALSE))),"S",""))</f>
        <v/>
      </c>
      <c r="CW13" t="str">
        <f>IF(NOT(ISERROR(HLOOKUP(Standings!CW$3,Entries!$C32:$K32,1,FALSE))),"x",IF(NOT(ISERROR(HLOOKUP(Standings!CW$3,Entries!$L32:$L32,1,FALSE))),"S",""))</f>
        <v>x</v>
      </c>
      <c r="CX13" t="str">
        <f>IF(NOT(ISERROR(HLOOKUP(Standings!CX$3,Entries!$C32:$K32,1,FALSE))),"x",IF(NOT(ISERROR(HLOOKUP(Standings!CX$3,Entries!$L32:$L32,1,FALSE))),"S",""))</f>
        <v/>
      </c>
      <c r="CY13" t="str">
        <f>IF(NOT(ISERROR(HLOOKUP(Standings!CY$3,Entries!$C32:$K32,1,FALSE))),"x",IF(NOT(ISERROR(HLOOKUP(Standings!CY$3,Entries!$L32:$L32,1,FALSE))),"S",""))</f>
        <v/>
      </c>
      <c r="CZ13" t="str">
        <f>IF(NOT(ISERROR(HLOOKUP(Standings!CZ$3,Entries!$C32:$K32,1,FALSE))),"x",IF(NOT(ISERROR(HLOOKUP(Standings!CZ$3,Entries!$L32:$L32,1,FALSE))),"S",""))</f>
        <v/>
      </c>
      <c r="DA13" t="str">
        <f>IF(NOT(ISERROR(HLOOKUP(Standings!DA$3,Entries!$C32:$K32,1,FALSE))),"x",IF(NOT(ISERROR(HLOOKUP(Standings!DA$3,Entries!$L32:$L32,1,FALSE))),"S",""))</f>
        <v/>
      </c>
      <c r="DB13" t="str">
        <f>IF(NOT(ISERROR(HLOOKUP(Standings!DB$3,Entries!$C32:$K32,1,FALSE))),"x",IF(NOT(ISERROR(HLOOKUP(Standings!DB$3,Entries!$L32:$L32,1,FALSE))),"S",""))</f>
        <v/>
      </c>
    </row>
    <row r="14" spans="1:106" x14ac:dyDescent="0.25">
      <c r="B14">
        <v>63</v>
      </c>
      <c r="C14" t="str">
        <f>Entries!B2</f>
        <v>Corey Strand</v>
      </c>
      <c r="D14" s="4">
        <f>IF(C14="","",RANK(E14,$E$10:$E$111))</f>
        <v>5</v>
      </c>
      <c r="E14" s="31">
        <f t="shared" ref="E14:E62" si="1">IF(C14="","",ROUND(SUM(F14:AK14),0))</f>
        <v>7</v>
      </c>
      <c r="F14" s="40">
        <f>IF(BG14="","",IF(BG14="x",F$6,0)+IF(BG14="S",-F$6-0.00001,0))</f>
        <v>2</v>
      </c>
      <c r="G14" s="41" t="str">
        <f t="shared" ref="G14:G83" si="2">IF(BH14="","",IF(BH14="x",G$6,0)+IF(BH14="S",-G$6-0.00001,0))</f>
        <v/>
      </c>
      <c r="H14" s="41" t="str">
        <f t="shared" ref="H14:H83" si="3">IF(BI14="","",IF(BI14="x",H$6,0)+IF(BI14="S",-H$6-0.00001,0))</f>
        <v/>
      </c>
      <c r="I14" s="42" t="str">
        <f t="shared" ref="I14:I83" si="4">IF(BJ14="","",IF(BJ14="x",I$6,0)+IF(BJ14="S",-I$6-0.00001,0))</f>
        <v/>
      </c>
      <c r="J14" s="40" t="str">
        <f t="shared" ref="J14:J83" si="5">IF(BK14="","",IF(BK14="x",J$6,0)+IF(BK14="S",-J$6-0.00001,0))</f>
        <v/>
      </c>
      <c r="K14" s="41" t="str">
        <f t="shared" ref="K14:K83" si="6">IF(BL14="","",IF(BL14="x",K$6,0)+IF(BL14="S",-K$6-0.00001,0))</f>
        <v/>
      </c>
      <c r="L14" s="41">
        <f t="shared" ref="L14:L83" si="7">IF(BM14="","",IF(BM14="x",L$6,0)+IF(BM14="S",-L$6-0.00001,0))</f>
        <v>1</v>
      </c>
      <c r="M14" s="42" t="str">
        <f t="shared" ref="M14:M83" si="8">IF(BN14="","",IF(BN14="x",M$6,0)+IF(BN14="S",-M$6-0.00001,0))</f>
        <v/>
      </c>
      <c r="N14" s="43" t="str">
        <f t="shared" ref="N14:N83" si="9">IF(BO14="","",IF(BO14="x",N$6,0)+IF(BO14="S",-N$6-0.00001,0))</f>
        <v/>
      </c>
      <c r="O14" s="41" t="str">
        <f t="shared" ref="O14:O83" si="10">IF(BP14="","",IF(BP14="x",O$6,0)+IF(BP14="S",-O$6-0.00001,0))</f>
        <v/>
      </c>
      <c r="P14" s="41" t="str">
        <f t="shared" ref="P14:P83" si="11">IF(BQ14="","",IF(BQ14="x",P$6,0)+IF(BQ14="S",-P$6-0.00001,0))</f>
        <v/>
      </c>
      <c r="Q14" s="42" t="str">
        <f t="shared" ref="Q14:Q83" si="12">IF(BR14="","",IF(BR14="x",Q$6,0)+IF(BR14="S",-Q$6-0.00001,0))</f>
        <v/>
      </c>
      <c r="R14" s="40" t="str">
        <f t="shared" ref="R14:R83" si="13">IF(BS14="","",IF(BS14="x",R$6,0)+IF(BS14="S",-R$6-0.00001,0))</f>
        <v/>
      </c>
      <c r="S14" s="41" t="str">
        <f t="shared" ref="S14:S83" si="14">IF(BT14="","",IF(BT14="x",S$6,0)+IF(BT14="S",-S$6-0.00001,0))</f>
        <v/>
      </c>
      <c r="T14" s="43" t="str">
        <f t="shared" ref="T14:T83" si="15">IF(BU14="","",IF(BU14="x",T$6,0)+IF(BU14="S",-T$6-0.00001,0))</f>
        <v/>
      </c>
      <c r="U14" s="42" t="str">
        <f t="shared" ref="U14:U83" si="16">IF(BV14="","",IF(BV14="x",U$6,0)+IF(BV14="S",-U$6-0.00001,0))</f>
        <v/>
      </c>
      <c r="V14" s="40">
        <f t="shared" ref="V14:V83" si="17">IF(BW14="","",IF(BW14="x",V$6,0)+IF(BW14="S",-V$6-0.00001,0))</f>
        <v>2</v>
      </c>
      <c r="W14" s="41" t="str">
        <f t="shared" ref="W14:W83" si="18">IF(BX14="","",IF(BX14="x",W$6,0)+IF(BX14="S",-W$6-0.00001,0))</f>
        <v/>
      </c>
      <c r="X14" s="41" t="str">
        <f t="shared" ref="X14:X83" si="19">IF(BY14="","",IF(BY14="x",X$6,0)+IF(BY14="S",-X$6-0.00001,0))</f>
        <v/>
      </c>
      <c r="Y14" s="42" t="str">
        <f t="shared" ref="Y14:Y83" si="20">IF(BZ14="","",IF(BZ14="x",Y$6,0)+IF(BZ14="S",-Y$6-0.00001,0))</f>
        <v/>
      </c>
      <c r="Z14" s="40">
        <f t="shared" ref="Z14:Z83" si="21">IF(CA14="","",IF(CA14="x",Z$6,0)+IF(CA14="S",-Z$6-0.00001,0))</f>
        <v>1</v>
      </c>
      <c r="AA14" s="41">
        <f t="shared" ref="AA14:AA83" si="22">IF(CB14="","",IF(CB14="x",AA$6,0)+IF(CB14="S",-AA$6-0.00001,0))</f>
        <v>1</v>
      </c>
      <c r="AB14" s="41" t="str">
        <f t="shared" ref="AB14:AB83" si="23">IF(CC14="","",IF(CC14="x",AB$6,0)+IF(CC14="S",-AB$6-0.00001,0))</f>
        <v/>
      </c>
      <c r="AC14" s="42" t="str">
        <f t="shared" ref="AC14:AC83" si="24">IF(CD14="","",IF(CD14="x",AC$6,0)+IF(CD14="S",-AC$6-0.00001,0))</f>
        <v/>
      </c>
      <c r="AD14" s="40" t="str">
        <f t="shared" ref="AD14:AD83" si="25">IF(CE14="","",IF(CE14="x",AD$6,0)+IF(CE14="S",-AD$6-0.00001,0))</f>
        <v/>
      </c>
      <c r="AE14" s="41" t="str">
        <f t="shared" ref="AE14:AE83" si="26">IF(CF14="","",IF(CF14="x",AE$6,0)+IF(CF14="S",-AE$6-0.00001,0))</f>
        <v/>
      </c>
      <c r="AF14" s="41" t="str">
        <f t="shared" ref="AF14:AF83" si="27">IF(CG14="","",IF(CG14="x",AF$6,0)+IF(CG14="S",-AF$6-0.00001,0))</f>
        <v/>
      </c>
      <c r="AG14" s="42" t="str">
        <f t="shared" ref="AG14:AG83" si="28">IF(CH14="","",IF(CH14="x",AG$6,0)+IF(CH14="S",-AG$6-0.00001,0))</f>
        <v/>
      </c>
      <c r="AH14" s="40" t="str">
        <f t="shared" ref="AH14:AH83" si="29">IF(CI14="","",IF(CI14="x",AH$6,0)+IF(CI14="S",-AH$6-0.00001,0))</f>
        <v/>
      </c>
      <c r="AI14" s="41" t="str">
        <f t="shared" ref="AI14:AI83" si="30">IF(CJ14="","",IF(CJ14="x",AI$6,0)+IF(CJ14="S",-AI$6-0.00001,0))</f>
        <v/>
      </c>
      <c r="AJ14" s="41" t="str">
        <f t="shared" ref="AJ14:AJ83" si="31">IF(CK14="","",IF(CK14="x",AJ$6,0)+IF(CK14="S",-AJ$6-0.00001,0))</f>
        <v/>
      </c>
      <c r="AK14" s="42" t="str">
        <f t="shared" ref="AK14:AK83" si="32">IF(CL14="","",IF(CL14="x",AK$6,0)+IF(CL14="S",-AK$6-0.00001,0))</f>
        <v/>
      </c>
      <c r="AL14" s="40" t="str">
        <f t="shared" ref="AL14:AL83" si="33">IF(CM14="","",IF(CM14="x",AL$6,0)+IF(CM14="S",-AL$6-0.00001,0))</f>
        <v/>
      </c>
      <c r="AM14" s="41" t="str">
        <f t="shared" ref="AM14:AM83" si="34">IF(CN14="","",IF(CN14="x",AM$6,0)+IF(CN14="S",-AM$6-0.00001,0))</f>
        <v/>
      </c>
      <c r="AN14" s="41">
        <f t="shared" ref="AN14:AN83" si="35">IF(CO14="","",IF(CO14="x",AN$6,0)+IF(CO14="S",-AN$6-0.00001,0))</f>
        <v>0</v>
      </c>
      <c r="AO14" s="42" t="str">
        <f t="shared" ref="AO14:AO83" si="36">IF(CP14="","",IF(CP14="x",AO$6,0)+IF(CP14="S",-AO$6-0.00001,0))</f>
        <v/>
      </c>
      <c r="AP14" s="40" t="str">
        <f t="shared" ref="AP14:AP83" si="37">IF(CQ14="","",IF(CQ14="x",AP$6,0)+IF(CQ14="S",-AP$6-0.00001,0))</f>
        <v/>
      </c>
      <c r="AQ14" s="41" t="str">
        <f t="shared" ref="AQ14:AQ83" si="38">IF(CR14="","",IF(CR14="x",AQ$6,0)+IF(CR14="S",-AQ$6-0.00001,0))</f>
        <v/>
      </c>
      <c r="AR14" s="41" t="str">
        <f t="shared" ref="AR14:AR83" si="39">IF(CS14="","",IF(CS14="x",AR$6,0)+IF(CS14="S",-AR$6-0.00001,0))</f>
        <v/>
      </c>
      <c r="AS14" s="42" t="str">
        <f t="shared" ref="AS14:AS83" si="40">IF(CT14="","",IF(CT14="x",AS$6,0)+IF(CT14="S",-AS$6-0.00001,0))</f>
        <v/>
      </c>
      <c r="AT14" s="40" t="str">
        <f t="shared" ref="AT14:AT83" si="41">IF(CU14="","",IF(CU14="x",AT$6,0)+IF(CU14="S",-AT$6-0.00001,0))</f>
        <v/>
      </c>
      <c r="AU14" s="41" t="str">
        <f t="shared" ref="AU14:AU83" si="42">IF(CV14="","",IF(CV14="x",AU$6,0)+IF(CV14="S",-AU$6-0.00001,0))</f>
        <v/>
      </c>
      <c r="AV14" s="41" t="str">
        <f t="shared" ref="AV14:AV83" si="43">IF(CW14="","",IF(CW14="x",AV$6,0)+IF(CW14="S",-AV$6-0.00001,0))</f>
        <v/>
      </c>
      <c r="AW14" s="42" t="str">
        <f t="shared" ref="AW14:AW83" si="44">IF(CX14="","",IF(CX14="x",AW$6,0)+IF(CX14="S",-AW$6-0.00001,0))</f>
        <v/>
      </c>
      <c r="AX14" s="40">
        <f t="shared" ref="AX14:AX83" si="45">IF(CY14="","",IF(CY14="x",AX$6,0)+IF(CY14="S",-AX$6-0.00001,0))</f>
        <v>-1.0000000000000001E-5</v>
      </c>
      <c r="AY14" s="41" t="str">
        <f t="shared" ref="AY14:AY83" si="46">IF(CZ14="","",IF(CZ14="x",AY$6,0)+IF(CZ14="S",-AY$6-0.00001,0))</f>
        <v/>
      </c>
      <c r="AZ14" s="41" t="str">
        <f t="shared" ref="AZ14:AZ83" si="47">IF(DA14="","",IF(DA14="x",AZ$6,0)+IF(DA14="S",-AZ$6-0.00001,0))</f>
        <v/>
      </c>
      <c r="BA14" s="42" t="str">
        <f t="shared" ref="BA14:BA83" si="48">IF(DB14="","",IF(DB14="x",BA$6,0)+IF(DB14="S",-BA$6-0.00001,0))</f>
        <v/>
      </c>
      <c r="BB14" s="37" t="s">
        <v>106</v>
      </c>
      <c r="BC14" s="21"/>
      <c r="BD14" s="21"/>
      <c r="BE14" s="5"/>
      <c r="BG14" t="str">
        <f>IF(NOT(ISERROR(HLOOKUP(Standings!BG$3,Entries!$C2:$K2,1,FALSE))),"x",IF(NOT(ISERROR(HLOOKUP(Standings!BG$3,Entries!$L2:$L2,1,FALSE))),"S",""))</f>
        <v>x</v>
      </c>
      <c r="BH14" t="str">
        <f>IF(NOT(ISERROR(HLOOKUP(Standings!BH$3,Entries!$C2:$K2,1,FALSE))),"x",IF(NOT(ISERROR(HLOOKUP(Standings!BH$3,Entries!$L2:$L2,1,FALSE))),"S",""))</f>
        <v/>
      </c>
      <c r="BI14" t="str">
        <f>IF(NOT(ISERROR(HLOOKUP(Standings!BI$3,Entries!$C2:$K2,1,FALSE))),"x",IF(NOT(ISERROR(HLOOKUP(Standings!BI$3,Entries!$L2:$L2,1,FALSE))),"S",""))</f>
        <v/>
      </c>
      <c r="BJ14" t="str">
        <f>IF(NOT(ISERROR(HLOOKUP(Standings!BJ$3,Entries!$C2:$K2,1,FALSE))),"x",IF(NOT(ISERROR(HLOOKUP(Standings!BJ$3,Entries!$L2:$L2,1,FALSE))),"S",""))</f>
        <v/>
      </c>
      <c r="BK14" t="str">
        <f>IF(NOT(ISERROR(HLOOKUP(Standings!BK$3,Entries!$C2:$K2,1,FALSE))),"x",IF(NOT(ISERROR(HLOOKUP(Standings!BK$3,Entries!$L2:$L2,1,FALSE))),"S",""))</f>
        <v/>
      </c>
      <c r="BL14" t="str">
        <f>IF(NOT(ISERROR(HLOOKUP(Standings!BL$3,Entries!$C2:$K2,1,FALSE))),"x",IF(NOT(ISERROR(HLOOKUP(Standings!BL$3,Entries!$L2:$L2,1,FALSE))),"S",""))</f>
        <v/>
      </c>
      <c r="BM14" t="str">
        <f>IF(NOT(ISERROR(HLOOKUP(Standings!BM$3,Entries!$C2:$K2,1,FALSE))),"x",IF(NOT(ISERROR(HLOOKUP(Standings!BM$3,Entries!$L2:$L2,1,FALSE))),"S",""))</f>
        <v>x</v>
      </c>
      <c r="BN14" t="str">
        <f>IF(NOT(ISERROR(HLOOKUP(Standings!BN$3,Entries!$C2:$K2,1,FALSE))),"x",IF(NOT(ISERROR(HLOOKUP(Standings!BN$3,Entries!$L2:$L2,1,FALSE))),"S",""))</f>
        <v/>
      </c>
      <c r="BO14" t="str">
        <f>IF(NOT(ISERROR(HLOOKUP(Standings!BO$3,Entries!$C2:$K2,1,FALSE))),"x",IF(NOT(ISERROR(HLOOKUP(Standings!BO$3,Entries!$L2:$L2,1,FALSE))),"S",""))</f>
        <v/>
      </c>
      <c r="BP14" t="str">
        <f>IF(NOT(ISERROR(HLOOKUP(Standings!BP$3,Entries!$C2:$K2,1,FALSE))),"x",IF(NOT(ISERROR(HLOOKUP(Standings!BP$3,Entries!$L2:$L2,1,FALSE))),"S",""))</f>
        <v/>
      </c>
      <c r="BQ14" t="str">
        <f>IF(NOT(ISERROR(HLOOKUP(Standings!BQ$3,Entries!$C2:$K2,1,FALSE))),"x",IF(NOT(ISERROR(HLOOKUP(Standings!BQ$3,Entries!$L2:$L2,1,FALSE))),"S",""))</f>
        <v/>
      </c>
      <c r="BR14" t="str">
        <f>IF(NOT(ISERROR(HLOOKUP(Standings!BR$3,Entries!$C2:$K2,1,FALSE))),"x",IF(NOT(ISERROR(HLOOKUP(Standings!BR$3,Entries!$L2:$L2,1,FALSE))),"S",""))</f>
        <v/>
      </c>
      <c r="BS14" t="str">
        <f>IF(NOT(ISERROR(HLOOKUP(Standings!BS$3,Entries!$C2:$K2,1,FALSE))),"x",IF(NOT(ISERROR(HLOOKUP(Standings!BS$3,Entries!$L2:$L2,1,FALSE))),"S",""))</f>
        <v/>
      </c>
      <c r="BT14" t="str">
        <f>IF(NOT(ISERROR(HLOOKUP(Standings!BT$3,Entries!$C2:$K2,1,FALSE))),"x",IF(NOT(ISERROR(HLOOKUP(Standings!BT$3,Entries!$L2:$L2,1,FALSE))),"S",""))</f>
        <v/>
      </c>
      <c r="BU14" t="str">
        <f>IF(NOT(ISERROR(HLOOKUP(Standings!BU$3,Entries!$C2:$K2,1,FALSE))),"x",IF(NOT(ISERROR(HLOOKUP(Standings!BU$3,Entries!$L2:$L2,1,FALSE))),"S",""))</f>
        <v/>
      </c>
      <c r="BV14" t="str">
        <f>IF(NOT(ISERROR(HLOOKUP(Standings!BV$3,Entries!$C2:$K2,1,FALSE))),"x",IF(NOT(ISERROR(HLOOKUP(Standings!BV$3,Entries!$L2:$L2,1,FALSE))),"S",""))</f>
        <v/>
      </c>
      <c r="BW14" t="str">
        <f>IF(NOT(ISERROR(HLOOKUP(Standings!BW$3,Entries!$C2:$K2,1,FALSE))),"x",IF(NOT(ISERROR(HLOOKUP(Standings!BW$3,Entries!$L2:$L2,1,FALSE))),"S",""))</f>
        <v>x</v>
      </c>
      <c r="BX14" t="str">
        <f>IF(NOT(ISERROR(HLOOKUP(Standings!BX$3,Entries!$C2:$K2,1,FALSE))),"x",IF(NOT(ISERROR(HLOOKUP(Standings!BX$3,Entries!$L2:$L2,1,FALSE))),"S",""))</f>
        <v/>
      </c>
      <c r="BY14" t="str">
        <f>IF(NOT(ISERROR(HLOOKUP(Standings!BY$3,Entries!$C2:$K2,1,FALSE))),"x",IF(NOT(ISERROR(HLOOKUP(Standings!BY$3,Entries!$L2:$L2,1,FALSE))),"S",""))</f>
        <v/>
      </c>
      <c r="BZ14" t="str">
        <f>IF(NOT(ISERROR(HLOOKUP(Standings!BZ$3,Entries!$C2:$K2,1,FALSE))),"x",IF(NOT(ISERROR(HLOOKUP(Standings!BZ$3,Entries!$L2:$L2,1,FALSE))),"S",""))</f>
        <v/>
      </c>
      <c r="CA14" t="str">
        <f>IF(NOT(ISERROR(HLOOKUP(Standings!CA$3,Entries!$C2:$K2,1,FALSE))),"x",IF(NOT(ISERROR(HLOOKUP(Standings!CA$3,Entries!$L2:$L2,1,FALSE))),"S",""))</f>
        <v>x</v>
      </c>
      <c r="CB14" t="str">
        <f>IF(NOT(ISERROR(HLOOKUP(Standings!CB$3,Entries!$C2:$K2,1,FALSE))),"x",IF(NOT(ISERROR(HLOOKUP(Standings!CB$3,Entries!$L2:$L2,1,FALSE))),"S",""))</f>
        <v>x</v>
      </c>
      <c r="CC14" t="str">
        <f>IF(NOT(ISERROR(HLOOKUP(Standings!CC$3,Entries!$C2:$K2,1,FALSE))),"x",IF(NOT(ISERROR(HLOOKUP(Standings!CC$3,Entries!$L2:$L2,1,FALSE))),"S",""))</f>
        <v/>
      </c>
      <c r="CD14" t="str">
        <f>IF(NOT(ISERROR(HLOOKUP(Standings!CD$3,Entries!$C2:$K2,1,FALSE))),"x",IF(NOT(ISERROR(HLOOKUP(Standings!CD$3,Entries!$L2:$L2,1,FALSE))),"S",""))</f>
        <v/>
      </c>
      <c r="CE14" t="str">
        <f>IF(NOT(ISERROR(HLOOKUP(Standings!CE$3,Entries!$C2:$K2,1,FALSE))),"x",IF(NOT(ISERROR(HLOOKUP(Standings!CE$3,Entries!$L2:$L2,1,FALSE))),"S",""))</f>
        <v/>
      </c>
      <c r="CF14" t="str">
        <f>IF(NOT(ISERROR(HLOOKUP(Standings!CF$3,Entries!$C2:$K2,1,FALSE))),"x",IF(NOT(ISERROR(HLOOKUP(Standings!CF$3,Entries!$L2:$L2,1,FALSE))),"S",""))</f>
        <v/>
      </c>
      <c r="CG14" t="str">
        <f>IF(NOT(ISERROR(HLOOKUP(Standings!CG$3,Entries!$C2:$K2,1,FALSE))),"x",IF(NOT(ISERROR(HLOOKUP(Standings!CG$3,Entries!$L2:$L2,1,FALSE))),"S",""))</f>
        <v/>
      </c>
      <c r="CH14" t="str">
        <f>IF(NOT(ISERROR(HLOOKUP(Standings!CH$3,Entries!$C2:$K2,1,FALSE))),"x",IF(NOT(ISERROR(HLOOKUP(Standings!CH$3,Entries!$L2:$L2,1,FALSE))),"S",""))</f>
        <v/>
      </c>
      <c r="CI14" t="str">
        <f>IF(NOT(ISERROR(HLOOKUP(Standings!CI$3,Entries!$C2:$K2,1,FALSE))),"x",IF(NOT(ISERROR(HLOOKUP(Standings!CI$3,Entries!$L2:$L2,1,FALSE))),"S",""))</f>
        <v/>
      </c>
      <c r="CJ14" t="str">
        <f>IF(NOT(ISERROR(HLOOKUP(Standings!CJ$3,Entries!$C2:$K2,1,FALSE))),"x",IF(NOT(ISERROR(HLOOKUP(Standings!CJ$3,Entries!$L2:$L2,1,FALSE))),"S",""))</f>
        <v/>
      </c>
      <c r="CK14" t="str">
        <f>IF(NOT(ISERROR(HLOOKUP(Standings!CK$3,Entries!$C2:$K2,1,FALSE))),"x",IF(NOT(ISERROR(HLOOKUP(Standings!CK$3,Entries!$L2:$L2,1,FALSE))),"S",""))</f>
        <v/>
      </c>
      <c r="CL14" t="str">
        <f>IF(NOT(ISERROR(HLOOKUP(Standings!CL$3,Entries!$C2:$K2,1,FALSE))),"x",IF(NOT(ISERROR(HLOOKUP(Standings!CL$3,Entries!$L2:$L2,1,FALSE))),"S",""))</f>
        <v/>
      </c>
      <c r="CM14" t="str">
        <f>IF(NOT(ISERROR(HLOOKUP(Standings!CM$3,Entries!$C2:$K2,1,FALSE))),"x",IF(NOT(ISERROR(HLOOKUP(Standings!CM$3,Entries!$L2:$L2,1,FALSE))),"S",""))</f>
        <v/>
      </c>
      <c r="CN14" t="str">
        <f>IF(NOT(ISERROR(HLOOKUP(Standings!CN$3,Entries!$C2:$K2,1,FALSE))),"x",IF(NOT(ISERROR(HLOOKUP(Standings!CN$3,Entries!$L2:$L2,1,FALSE))),"S",""))</f>
        <v/>
      </c>
      <c r="CO14" t="str">
        <f>IF(NOT(ISERROR(HLOOKUP(Standings!CO$3,Entries!$C2:$K2,1,FALSE))),"x",IF(NOT(ISERROR(HLOOKUP(Standings!CO$3,Entries!$L2:$L2,1,FALSE))),"S",""))</f>
        <v>x</v>
      </c>
      <c r="CP14" t="str">
        <f>IF(NOT(ISERROR(HLOOKUP(Standings!CP$3,Entries!$C2:$K2,1,FALSE))),"x",IF(NOT(ISERROR(HLOOKUP(Standings!CP$3,Entries!$L2:$L2,1,FALSE))),"S",""))</f>
        <v/>
      </c>
      <c r="CQ14" t="str">
        <f>IF(NOT(ISERROR(HLOOKUP(Standings!CQ$3,Entries!$C2:$K2,1,FALSE))),"x",IF(NOT(ISERROR(HLOOKUP(Standings!CQ$3,Entries!$L2:$L2,1,FALSE))),"S",""))</f>
        <v/>
      </c>
      <c r="CR14" t="str">
        <f>IF(NOT(ISERROR(HLOOKUP(Standings!CR$3,Entries!$C2:$K2,1,FALSE))),"x",IF(NOT(ISERROR(HLOOKUP(Standings!CR$3,Entries!$L2:$L2,1,FALSE))),"S",""))</f>
        <v/>
      </c>
      <c r="CS14" t="str">
        <f>IF(NOT(ISERROR(HLOOKUP(Standings!CS$3,Entries!$C2:$K2,1,FALSE))),"x",IF(NOT(ISERROR(HLOOKUP(Standings!CS$3,Entries!$L2:$L2,1,FALSE))),"S",""))</f>
        <v/>
      </c>
      <c r="CT14" t="str">
        <f>IF(NOT(ISERROR(HLOOKUP(Standings!CT$3,Entries!$C2:$K2,1,FALSE))),"x",IF(NOT(ISERROR(HLOOKUP(Standings!CT$3,Entries!$L2:$L2,1,FALSE))),"S",""))</f>
        <v/>
      </c>
      <c r="CU14" t="str">
        <f>IF(NOT(ISERROR(HLOOKUP(Standings!CU$3,Entries!$C2:$K2,1,FALSE))),"x",IF(NOT(ISERROR(HLOOKUP(Standings!CU$3,Entries!$L2:$L2,1,FALSE))),"S",""))</f>
        <v/>
      </c>
      <c r="CV14" t="str">
        <f>IF(NOT(ISERROR(HLOOKUP(Standings!CV$3,Entries!$C2:$K2,1,FALSE))),"x",IF(NOT(ISERROR(HLOOKUP(Standings!CV$3,Entries!$L2:$L2,1,FALSE))),"S",""))</f>
        <v/>
      </c>
      <c r="CW14" t="str">
        <f>IF(NOT(ISERROR(HLOOKUP(Standings!CW$3,Entries!$C2:$K2,1,FALSE))),"x",IF(NOT(ISERROR(HLOOKUP(Standings!CW$3,Entries!$L2:$L2,1,FALSE))),"S",""))</f>
        <v/>
      </c>
      <c r="CX14" t="str">
        <f>IF(NOT(ISERROR(HLOOKUP(Standings!CX$3,Entries!$C2:$K2,1,FALSE))),"x",IF(NOT(ISERROR(HLOOKUP(Standings!CX$3,Entries!$L2:$L2,1,FALSE))),"S",""))</f>
        <v/>
      </c>
      <c r="CY14" t="str">
        <f>IF(NOT(ISERROR(HLOOKUP(Standings!CY$3,Entries!$C2:$K2,1,FALSE))),"x",IF(NOT(ISERROR(HLOOKUP(Standings!CY$3,Entries!$L2:$L2,1,FALSE))),"S",""))</f>
        <v>S</v>
      </c>
      <c r="CZ14" t="str">
        <f>IF(NOT(ISERROR(HLOOKUP(Standings!CZ$3,Entries!$C2:$K2,1,FALSE))),"x",IF(NOT(ISERROR(HLOOKUP(Standings!CZ$3,Entries!$L2:$L2,1,FALSE))),"S",""))</f>
        <v/>
      </c>
      <c r="DA14" t="str">
        <f>IF(NOT(ISERROR(HLOOKUP(Standings!DA$3,Entries!$C2:$K2,1,FALSE))),"x",IF(NOT(ISERROR(HLOOKUP(Standings!DA$3,Entries!$L2:$L2,1,FALSE))),"S",""))</f>
        <v/>
      </c>
      <c r="DB14" t="str">
        <f>IF(NOT(ISERROR(HLOOKUP(Standings!DB$3,Entries!$C2:$K2,1,FALSE))),"x",IF(NOT(ISERROR(HLOOKUP(Standings!DB$3,Entries!$L2:$L2,1,FALSE))),"S",""))</f>
        <v/>
      </c>
    </row>
    <row r="15" spans="1:106" x14ac:dyDescent="0.25">
      <c r="A15" s="18"/>
      <c r="B15">
        <v>38</v>
      </c>
      <c r="C15" t="str">
        <f>Entries!B17</f>
        <v>JoelsBigShort</v>
      </c>
      <c r="D15" s="4">
        <f>IF(C15="","",RANK(E15,$E$10:$E$111))</f>
        <v>5</v>
      </c>
      <c r="E15" s="31">
        <f>IF(C15="","",ROUND(SUM(F15:AK15),0))</f>
        <v>7</v>
      </c>
      <c r="F15" s="40">
        <f>IF(BG15="","",IF(BG15="x",F$6,0)+IF(BG15="S",-F$6-0.00001,0))</f>
        <v>2</v>
      </c>
      <c r="G15" s="41" t="str">
        <f>IF(BH15="","",IF(BH15="x",G$6,0)+IF(BH15="S",-G$6-0.00001,0))</f>
        <v/>
      </c>
      <c r="H15" s="41" t="str">
        <f>IF(BI15="","",IF(BI15="x",H$6,0)+IF(BI15="S",-H$6-0.00001,0))</f>
        <v/>
      </c>
      <c r="I15" s="42" t="str">
        <f>IF(BJ15="","",IF(BJ15="x",I$6,0)+IF(BJ15="S",-I$6-0.00001,0))</f>
        <v/>
      </c>
      <c r="J15" s="40">
        <f>IF(BK15="","",IF(BK15="x",J$6,0)+IF(BK15="S",-J$6-0.00001,0))</f>
        <v>1</v>
      </c>
      <c r="K15" s="41">
        <f>IF(BL15="","",IF(BL15="x",K$6,0)+IF(BL15="S",-K$6-0.00001,0))</f>
        <v>1</v>
      </c>
      <c r="L15" s="41" t="str">
        <f>IF(BM15="","",IF(BM15="x",L$6,0)+IF(BM15="S",-L$6-0.00001,0))</f>
        <v/>
      </c>
      <c r="M15" s="42" t="str">
        <f>IF(BN15="","",IF(BN15="x",M$6,0)+IF(BN15="S",-M$6-0.00001,0))</f>
        <v/>
      </c>
      <c r="N15" s="43" t="str">
        <f>IF(BO15="","",IF(BO15="x",N$6,0)+IF(BO15="S",-N$6-0.00001,0))</f>
        <v/>
      </c>
      <c r="O15" s="41" t="str">
        <f>IF(BP15="","",IF(BP15="x",O$6,0)+IF(BP15="S",-O$6-0.00001,0))</f>
        <v/>
      </c>
      <c r="P15" s="41" t="str">
        <f>IF(BQ15="","",IF(BQ15="x",P$6,0)+IF(BQ15="S",-P$6-0.00001,0))</f>
        <v/>
      </c>
      <c r="Q15" s="42" t="str">
        <f>IF(BR15="","",IF(BR15="x",Q$6,0)+IF(BR15="S",-Q$6-0.00001,0))</f>
        <v/>
      </c>
      <c r="R15" s="40" t="str">
        <f>IF(BS15="","",IF(BS15="x",R$6,0)+IF(BS15="S",-R$6-0.00001,0))</f>
        <v/>
      </c>
      <c r="S15" s="41" t="str">
        <f>IF(BT15="","",IF(BT15="x",S$6,0)+IF(BT15="S",-S$6-0.00001,0))</f>
        <v/>
      </c>
      <c r="T15" s="43" t="str">
        <f>IF(BU15="","",IF(BU15="x",T$6,0)+IF(BU15="S",-T$6-0.00001,0))</f>
        <v/>
      </c>
      <c r="U15" s="42" t="str">
        <f>IF(BV15="","",IF(BV15="x",U$6,0)+IF(BV15="S",-U$6-0.00001,0))</f>
        <v/>
      </c>
      <c r="V15" s="40" t="str">
        <f>IF(BW15="","",IF(BW15="x",V$6,0)+IF(BW15="S",-V$6-0.00001,0))</f>
        <v/>
      </c>
      <c r="W15" s="41">
        <f>IF(BX15="","",IF(BX15="x",W$6,0)+IF(BX15="S",-W$6-0.00001,0))</f>
        <v>0</v>
      </c>
      <c r="X15" s="41" t="str">
        <f>IF(BY15="","",IF(BY15="x",X$6,0)+IF(BY15="S",-X$6-0.00001,0))</f>
        <v/>
      </c>
      <c r="Y15" s="42" t="str">
        <f>IF(BZ15="","",IF(BZ15="x",Y$6,0)+IF(BZ15="S",-Y$6-0.00001,0))</f>
        <v/>
      </c>
      <c r="Z15" s="40">
        <f>IF(CA15="","",IF(CA15="x",Z$6,0)+IF(CA15="S",-Z$6-0.00001,0))</f>
        <v>1</v>
      </c>
      <c r="AA15" s="41">
        <f>IF(CB15="","",IF(CB15="x",AA$6,0)+IF(CB15="S",-AA$6-0.00001,0))</f>
        <v>1</v>
      </c>
      <c r="AB15" s="41" t="str">
        <f>IF(CC15="","",IF(CC15="x",AB$6,0)+IF(CC15="S",-AB$6-0.00001,0))</f>
        <v/>
      </c>
      <c r="AC15" s="42" t="str">
        <f>IF(CD15="","",IF(CD15="x",AC$6,0)+IF(CD15="S",-AC$6-0.00001,0))</f>
        <v/>
      </c>
      <c r="AD15" s="40" t="str">
        <f>IF(CE15="","",IF(CE15="x",AD$6,0)+IF(CE15="S",-AD$6-0.00001,0))</f>
        <v/>
      </c>
      <c r="AE15" s="41">
        <f>IF(CF15="","",IF(CF15="x",AE$6,0)+IF(CF15="S",-AE$6-0.00001,0))</f>
        <v>1</v>
      </c>
      <c r="AF15" s="41" t="str">
        <f>IF(CG15="","",IF(CG15="x",AF$6,0)+IF(CG15="S",-AF$6-0.00001,0))</f>
        <v/>
      </c>
      <c r="AG15" s="42" t="str">
        <f>IF(CH15="","",IF(CH15="x",AG$6,0)+IF(CH15="S",-AG$6-0.00001,0))</f>
        <v/>
      </c>
      <c r="AH15" s="40" t="str">
        <f>IF(CI15="","",IF(CI15="x",AH$6,0)+IF(CI15="S",-AH$6-0.00001,0))</f>
        <v/>
      </c>
      <c r="AI15" s="41" t="str">
        <f>IF(CJ15="","",IF(CJ15="x",AI$6,0)+IF(CJ15="S",-AI$6-0.00001,0))</f>
        <v/>
      </c>
      <c r="AJ15" s="41" t="str">
        <f>IF(CK15="","",IF(CK15="x",AJ$6,0)+IF(CK15="S",-AJ$6-0.00001,0))</f>
        <v/>
      </c>
      <c r="AK15" s="42" t="str">
        <f>IF(CL15="","",IF(CL15="x",AK$6,0)+IF(CL15="S",-AK$6-0.00001,0))</f>
        <v/>
      </c>
      <c r="AL15" s="40">
        <f>IF(CM15="","",IF(CM15="x",AL$6,0)+IF(CM15="S",-AL$6-0.00001,0))</f>
        <v>-1.0000000000000001E-5</v>
      </c>
      <c r="AM15" s="41" t="str">
        <f>IF(CN15="","",IF(CN15="x",AM$6,0)+IF(CN15="S",-AM$6-0.00001,0))</f>
        <v/>
      </c>
      <c r="AN15" s="41" t="str">
        <f>IF(CO15="","",IF(CO15="x",AN$6,0)+IF(CO15="S",-AN$6-0.00001,0))</f>
        <v/>
      </c>
      <c r="AO15" s="42" t="str">
        <f>IF(CP15="","",IF(CP15="x",AO$6,0)+IF(CP15="S",-AO$6-0.00001,0))</f>
        <v/>
      </c>
      <c r="AP15" s="40" t="str">
        <f>IF(CQ15="","",IF(CQ15="x",AP$6,0)+IF(CQ15="S",-AP$6-0.00001,0))</f>
        <v/>
      </c>
      <c r="AQ15" s="41" t="str">
        <f>IF(CR15="","",IF(CR15="x",AQ$6,0)+IF(CR15="S",-AQ$6-0.00001,0))</f>
        <v/>
      </c>
      <c r="AR15" s="41">
        <f>IF(CS15="","",IF(CS15="x",AR$6,0)+IF(CS15="S",-AR$6-0.00001,0))</f>
        <v>0</v>
      </c>
      <c r="AS15" s="42" t="str">
        <f>IF(CT15="","",IF(CT15="x",AS$6,0)+IF(CT15="S",-AS$6-0.00001,0))</f>
        <v/>
      </c>
      <c r="AT15" s="40" t="str">
        <f>IF(CU15="","",IF(CU15="x",AT$6,0)+IF(CU15="S",-AT$6-0.00001,0))</f>
        <v/>
      </c>
      <c r="AU15" s="41" t="str">
        <f>IF(CV15="","",IF(CV15="x",AU$6,0)+IF(CV15="S",-AU$6-0.00001,0))</f>
        <v/>
      </c>
      <c r="AV15" s="41" t="str">
        <f>IF(CW15="","",IF(CW15="x",AV$6,0)+IF(CW15="S",-AV$6-0.00001,0))</f>
        <v/>
      </c>
      <c r="AW15" s="42" t="str">
        <f>IF(CX15="","",IF(CX15="x",AW$6,0)+IF(CX15="S",-AW$6-0.00001,0))</f>
        <v/>
      </c>
      <c r="AX15" s="40" t="str">
        <f>IF(CY15="","",IF(CY15="x",AX$6,0)+IF(CY15="S",-AX$6-0.00001,0))</f>
        <v/>
      </c>
      <c r="AY15" s="41">
        <f>IF(CZ15="","",IF(CZ15="x",AY$6,0)+IF(CZ15="S",-AY$6-0.00001,0))</f>
        <v>0</v>
      </c>
      <c r="AZ15" s="41" t="str">
        <f>IF(DA15="","",IF(DA15="x",AZ$6,0)+IF(DA15="S",-AZ$6-0.00001,0))</f>
        <v/>
      </c>
      <c r="BA15" s="42" t="str">
        <f>IF(DB15="","",IF(DB15="x",BA$6,0)+IF(DB15="S",-BA$6-0.00001,0))</f>
        <v/>
      </c>
      <c r="BB15" s="37" t="s">
        <v>106</v>
      </c>
      <c r="BC15" s="21"/>
      <c r="BD15" s="21"/>
      <c r="BG15" t="str">
        <f>IF(NOT(ISERROR(HLOOKUP(Standings!BG$3,Entries!$C17:$K17,1,FALSE))),"x",IF(NOT(ISERROR(HLOOKUP(Standings!BG$3,Entries!$L17:$L17,1,FALSE))),"S",""))</f>
        <v>x</v>
      </c>
      <c r="BH15" t="str">
        <f>IF(NOT(ISERROR(HLOOKUP(Standings!BH$3,Entries!$C17:$K17,1,FALSE))),"x",IF(NOT(ISERROR(HLOOKUP(Standings!BH$3,Entries!$L17:$L17,1,FALSE))),"S",""))</f>
        <v/>
      </c>
      <c r="BI15" t="str">
        <f>IF(NOT(ISERROR(HLOOKUP(Standings!BI$3,Entries!$C17:$K17,1,FALSE))),"x",IF(NOT(ISERROR(HLOOKUP(Standings!BI$3,Entries!$L17:$L17,1,FALSE))),"S",""))</f>
        <v/>
      </c>
      <c r="BJ15" t="str">
        <f>IF(NOT(ISERROR(HLOOKUP(Standings!BJ$3,Entries!$C17:$K17,1,FALSE))),"x",IF(NOT(ISERROR(HLOOKUP(Standings!BJ$3,Entries!$L17:$L17,1,FALSE))),"S",""))</f>
        <v/>
      </c>
      <c r="BK15" t="str">
        <f>IF(NOT(ISERROR(HLOOKUP(Standings!BK$3,Entries!$C17:$K17,1,FALSE))),"x",IF(NOT(ISERROR(HLOOKUP(Standings!BK$3,Entries!$L17:$L17,1,FALSE))),"S",""))</f>
        <v>x</v>
      </c>
      <c r="BL15" t="str">
        <f>IF(NOT(ISERROR(HLOOKUP(Standings!BL$3,Entries!$C17:$K17,1,FALSE))),"x",IF(NOT(ISERROR(HLOOKUP(Standings!BL$3,Entries!$L17:$L17,1,FALSE))),"S",""))</f>
        <v>x</v>
      </c>
      <c r="BM15" t="str">
        <f>IF(NOT(ISERROR(HLOOKUP(Standings!BM$3,Entries!$C17:$K17,1,FALSE))),"x",IF(NOT(ISERROR(HLOOKUP(Standings!BM$3,Entries!$L17:$L17,1,FALSE))),"S",""))</f>
        <v/>
      </c>
      <c r="BN15" t="str">
        <f>IF(NOT(ISERROR(HLOOKUP(Standings!BN$3,Entries!$C17:$K17,1,FALSE))),"x",IF(NOT(ISERROR(HLOOKUP(Standings!BN$3,Entries!$L17:$L17,1,FALSE))),"S",""))</f>
        <v/>
      </c>
      <c r="BO15" t="str">
        <f>IF(NOT(ISERROR(HLOOKUP(Standings!BO$3,Entries!$C17:$K17,1,FALSE))),"x",IF(NOT(ISERROR(HLOOKUP(Standings!BO$3,Entries!$L17:$L17,1,FALSE))),"S",""))</f>
        <v/>
      </c>
      <c r="BP15" t="str">
        <f>IF(NOT(ISERROR(HLOOKUP(Standings!BP$3,Entries!$C17:$K17,1,FALSE))),"x",IF(NOT(ISERROR(HLOOKUP(Standings!BP$3,Entries!$L17:$L17,1,FALSE))),"S",""))</f>
        <v/>
      </c>
      <c r="BQ15" t="str">
        <f>IF(NOT(ISERROR(HLOOKUP(Standings!BQ$3,Entries!$C17:$K17,1,FALSE))),"x",IF(NOT(ISERROR(HLOOKUP(Standings!BQ$3,Entries!$L17:$L17,1,FALSE))),"S",""))</f>
        <v/>
      </c>
      <c r="BR15" t="str">
        <f>IF(NOT(ISERROR(HLOOKUP(Standings!BR$3,Entries!$C17:$K17,1,FALSE))),"x",IF(NOT(ISERROR(HLOOKUP(Standings!BR$3,Entries!$L17:$L17,1,FALSE))),"S",""))</f>
        <v/>
      </c>
      <c r="BS15" t="str">
        <f>IF(NOT(ISERROR(HLOOKUP(Standings!BS$3,Entries!$C17:$K17,1,FALSE))),"x",IF(NOT(ISERROR(HLOOKUP(Standings!BS$3,Entries!$L17:$L17,1,FALSE))),"S",""))</f>
        <v/>
      </c>
      <c r="BT15" t="str">
        <f>IF(NOT(ISERROR(HLOOKUP(Standings!BT$3,Entries!$C17:$K17,1,FALSE))),"x",IF(NOT(ISERROR(HLOOKUP(Standings!BT$3,Entries!$L17:$L17,1,FALSE))),"S",""))</f>
        <v/>
      </c>
      <c r="BU15" t="str">
        <f>IF(NOT(ISERROR(HLOOKUP(Standings!BU$3,Entries!$C17:$K17,1,FALSE))),"x",IF(NOT(ISERROR(HLOOKUP(Standings!BU$3,Entries!$L17:$L17,1,FALSE))),"S",""))</f>
        <v/>
      </c>
      <c r="BV15" t="str">
        <f>IF(NOT(ISERROR(HLOOKUP(Standings!BV$3,Entries!$C17:$K17,1,FALSE))),"x",IF(NOT(ISERROR(HLOOKUP(Standings!BV$3,Entries!$L17:$L17,1,FALSE))),"S",""))</f>
        <v/>
      </c>
      <c r="BW15" t="str">
        <f>IF(NOT(ISERROR(HLOOKUP(Standings!BW$3,Entries!$C17:$K17,1,FALSE))),"x",IF(NOT(ISERROR(HLOOKUP(Standings!BW$3,Entries!$L17:$L17,1,FALSE))),"S",""))</f>
        <v/>
      </c>
      <c r="BX15" t="str">
        <f>IF(NOT(ISERROR(HLOOKUP(Standings!BX$3,Entries!$C17:$K17,1,FALSE))),"x",IF(NOT(ISERROR(HLOOKUP(Standings!BX$3,Entries!$L17:$L17,1,FALSE))),"S",""))</f>
        <v>x</v>
      </c>
      <c r="BY15" t="str">
        <f>IF(NOT(ISERROR(HLOOKUP(Standings!BY$3,Entries!$C17:$K17,1,FALSE))),"x",IF(NOT(ISERROR(HLOOKUP(Standings!BY$3,Entries!$L17:$L17,1,FALSE))),"S",""))</f>
        <v/>
      </c>
      <c r="BZ15" t="str">
        <f>IF(NOT(ISERROR(HLOOKUP(Standings!BZ$3,Entries!$C17:$K17,1,FALSE))),"x",IF(NOT(ISERROR(HLOOKUP(Standings!BZ$3,Entries!$L17:$L17,1,FALSE))),"S",""))</f>
        <v/>
      </c>
      <c r="CA15" t="str">
        <f>IF(NOT(ISERROR(HLOOKUP(Standings!CA$3,Entries!$C17:$K17,1,FALSE))),"x",IF(NOT(ISERROR(HLOOKUP(Standings!CA$3,Entries!$L17:$L17,1,FALSE))),"S",""))</f>
        <v>x</v>
      </c>
      <c r="CB15" t="str">
        <f>IF(NOT(ISERROR(HLOOKUP(Standings!CB$3,Entries!$C17:$K17,1,FALSE))),"x",IF(NOT(ISERROR(HLOOKUP(Standings!CB$3,Entries!$L17:$L17,1,FALSE))),"S",""))</f>
        <v>x</v>
      </c>
      <c r="CC15" t="str">
        <f>IF(NOT(ISERROR(HLOOKUP(Standings!CC$3,Entries!$C17:$K17,1,FALSE))),"x",IF(NOT(ISERROR(HLOOKUP(Standings!CC$3,Entries!$L17:$L17,1,FALSE))),"S",""))</f>
        <v/>
      </c>
      <c r="CD15" t="str">
        <f>IF(NOT(ISERROR(HLOOKUP(Standings!CD$3,Entries!$C17:$K17,1,FALSE))),"x",IF(NOT(ISERROR(HLOOKUP(Standings!CD$3,Entries!$L17:$L17,1,FALSE))),"S",""))</f>
        <v/>
      </c>
      <c r="CE15" t="str">
        <f>IF(NOT(ISERROR(HLOOKUP(Standings!CE$3,Entries!$C17:$K17,1,FALSE))),"x",IF(NOT(ISERROR(HLOOKUP(Standings!CE$3,Entries!$L17:$L17,1,FALSE))),"S",""))</f>
        <v/>
      </c>
      <c r="CF15" t="str">
        <f>IF(NOT(ISERROR(HLOOKUP(Standings!CF$3,Entries!$C17:$K17,1,FALSE))),"x",IF(NOT(ISERROR(HLOOKUP(Standings!CF$3,Entries!$L17:$L17,1,FALSE))),"S",""))</f>
        <v>x</v>
      </c>
      <c r="CG15" t="str">
        <f>IF(NOT(ISERROR(HLOOKUP(Standings!CG$3,Entries!$C17:$K17,1,FALSE))),"x",IF(NOT(ISERROR(HLOOKUP(Standings!CG$3,Entries!$L17:$L17,1,FALSE))),"S",""))</f>
        <v/>
      </c>
      <c r="CH15" t="str">
        <f>IF(NOT(ISERROR(HLOOKUP(Standings!CH$3,Entries!$C17:$K17,1,FALSE))),"x",IF(NOT(ISERROR(HLOOKUP(Standings!CH$3,Entries!$L17:$L17,1,FALSE))),"S",""))</f>
        <v/>
      </c>
      <c r="CI15" t="str">
        <f>IF(NOT(ISERROR(HLOOKUP(Standings!CI$3,Entries!$C17:$K17,1,FALSE))),"x",IF(NOT(ISERROR(HLOOKUP(Standings!CI$3,Entries!$L17:$L17,1,FALSE))),"S",""))</f>
        <v/>
      </c>
      <c r="CJ15" t="str">
        <f>IF(NOT(ISERROR(HLOOKUP(Standings!CJ$3,Entries!$C17:$K17,1,FALSE))),"x",IF(NOT(ISERROR(HLOOKUP(Standings!CJ$3,Entries!$L17:$L17,1,FALSE))),"S",""))</f>
        <v/>
      </c>
      <c r="CK15" t="str">
        <f>IF(NOT(ISERROR(HLOOKUP(Standings!CK$3,Entries!$C17:$K17,1,FALSE))),"x",IF(NOT(ISERROR(HLOOKUP(Standings!CK$3,Entries!$L17:$L17,1,FALSE))),"S",""))</f>
        <v/>
      </c>
      <c r="CL15" t="str">
        <f>IF(NOT(ISERROR(HLOOKUP(Standings!CL$3,Entries!$C17:$K17,1,FALSE))),"x",IF(NOT(ISERROR(HLOOKUP(Standings!CL$3,Entries!$L17:$L17,1,FALSE))),"S",""))</f>
        <v/>
      </c>
      <c r="CM15" t="str">
        <f>IF(NOT(ISERROR(HLOOKUP(Standings!CM$3,Entries!$C17:$K17,1,FALSE))),"x",IF(NOT(ISERROR(HLOOKUP(Standings!CM$3,Entries!$L17:$L17,1,FALSE))),"S",""))</f>
        <v>S</v>
      </c>
      <c r="CN15" t="str">
        <f>IF(NOT(ISERROR(HLOOKUP(Standings!CN$3,Entries!$C17:$K17,1,FALSE))),"x",IF(NOT(ISERROR(HLOOKUP(Standings!CN$3,Entries!$L17:$L17,1,FALSE))),"S",""))</f>
        <v/>
      </c>
      <c r="CO15" t="str">
        <f>IF(NOT(ISERROR(HLOOKUP(Standings!CO$3,Entries!$C17:$K17,1,FALSE))),"x",IF(NOT(ISERROR(HLOOKUP(Standings!CO$3,Entries!$L17:$L17,1,FALSE))),"S",""))</f>
        <v/>
      </c>
      <c r="CP15" t="str">
        <f>IF(NOT(ISERROR(HLOOKUP(Standings!CP$3,Entries!$C17:$K17,1,FALSE))),"x",IF(NOT(ISERROR(HLOOKUP(Standings!CP$3,Entries!$L17:$L17,1,FALSE))),"S",""))</f>
        <v/>
      </c>
      <c r="CQ15" t="str">
        <f>IF(NOT(ISERROR(HLOOKUP(Standings!CQ$3,Entries!$C17:$K17,1,FALSE))),"x",IF(NOT(ISERROR(HLOOKUP(Standings!CQ$3,Entries!$L17:$L17,1,FALSE))),"S",""))</f>
        <v/>
      </c>
      <c r="CR15" t="str">
        <f>IF(NOT(ISERROR(HLOOKUP(Standings!CR$3,Entries!$C17:$K17,1,FALSE))),"x",IF(NOT(ISERROR(HLOOKUP(Standings!CR$3,Entries!$L17:$L17,1,FALSE))),"S",""))</f>
        <v/>
      </c>
      <c r="CS15" t="str">
        <f>IF(NOT(ISERROR(HLOOKUP(Standings!CS$3,Entries!$C17:$K17,1,FALSE))),"x",IF(NOT(ISERROR(HLOOKUP(Standings!CS$3,Entries!$L17:$L17,1,FALSE))),"S",""))</f>
        <v>x</v>
      </c>
      <c r="CT15" t="str">
        <f>IF(NOT(ISERROR(HLOOKUP(Standings!CT$3,Entries!$C17:$K17,1,FALSE))),"x",IF(NOT(ISERROR(HLOOKUP(Standings!CT$3,Entries!$L17:$L17,1,FALSE))),"S",""))</f>
        <v/>
      </c>
      <c r="CU15" t="str">
        <f>IF(NOT(ISERROR(HLOOKUP(Standings!CU$3,Entries!$C17:$K17,1,FALSE))),"x",IF(NOT(ISERROR(HLOOKUP(Standings!CU$3,Entries!$L17:$L17,1,FALSE))),"S",""))</f>
        <v/>
      </c>
      <c r="CV15" t="str">
        <f>IF(NOT(ISERROR(HLOOKUP(Standings!CV$3,Entries!$C17:$K17,1,FALSE))),"x",IF(NOT(ISERROR(HLOOKUP(Standings!CV$3,Entries!$L17:$L17,1,FALSE))),"S",""))</f>
        <v/>
      </c>
      <c r="CW15" t="str">
        <f>IF(NOT(ISERROR(HLOOKUP(Standings!CW$3,Entries!$C17:$K17,1,FALSE))),"x",IF(NOT(ISERROR(HLOOKUP(Standings!CW$3,Entries!$L17:$L17,1,FALSE))),"S",""))</f>
        <v/>
      </c>
      <c r="CX15" t="str">
        <f>IF(NOT(ISERROR(HLOOKUP(Standings!CX$3,Entries!$C17:$K17,1,FALSE))),"x",IF(NOT(ISERROR(HLOOKUP(Standings!CX$3,Entries!$L17:$L17,1,FALSE))),"S",""))</f>
        <v/>
      </c>
      <c r="CY15" t="str">
        <f>IF(NOT(ISERROR(HLOOKUP(Standings!CY$3,Entries!$C17:$K17,1,FALSE))),"x",IF(NOT(ISERROR(HLOOKUP(Standings!CY$3,Entries!$L17:$L17,1,FALSE))),"S",""))</f>
        <v/>
      </c>
      <c r="CZ15" t="str">
        <f>IF(NOT(ISERROR(HLOOKUP(Standings!CZ$3,Entries!$C17:$K17,1,FALSE))),"x",IF(NOT(ISERROR(HLOOKUP(Standings!CZ$3,Entries!$L17:$L17,1,FALSE))),"S",""))</f>
        <v>x</v>
      </c>
      <c r="DA15" t="str">
        <f>IF(NOT(ISERROR(HLOOKUP(Standings!DA$3,Entries!$C17:$K17,1,FALSE))),"x",IF(NOT(ISERROR(HLOOKUP(Standings!DA$3,Entries!$L17:$L17,1,FALSE))),"S",""))</f>
        <v/>
      </c>
      <c r="DB15" t="str">
        <f>IF(NOT(ISERROR(HLOOKUP(Standings!DB$3,Entries!$C17:$K17,1,FALSE))),"x",IF(NOT(ISERROR(HLOOKUP(Standings!DB$3,Entries!$L17:$L17,1,FALSE))),"S",""))</f>
        <v/>
      </c>
    </row>
    <row r="16" spans="1:106" x14ac:dyDescent="0.25">
      <c r="A16" s="18"/>
      <c r="B16">
        <v>16</v>
      </c>
      <c r="C16" t="str">
        <f>Entries!B36</f>
        <v>JoshTwohy1</v>
      </c>
      <c r="D16" s="4">
        <f>IF(C16="","",RANK(E16,$E$10:$E$111))</f>
        <v>5</v>
      </c>
      <c r="E16" s="31">
        <f>IF(C16="","",ROUND(SUM(F16:AK16),0))</f>
        <v>7</v>
      </c>
      <c r="F16" s="40">
        <f>IF(BG16="","",IF(BG16="x",F$6,0)+IF(BG16="S",-F$6-0.00001,0))</f>
        <v>2</v>
      </c>
      <c r="G16" s="41" t="str">
        <f>IF(BH16="","",IF(BH16="x",G$6,0)+IF(BH16="S",-G$6-0.00001,0))</f>
        <v/>
      </c>
      <c r="H16" s="41" t="str">
        <f>IF(BI16="","",IF(BI16="x",H$6,0)+IF(BI16="S",-H$6-0.00001,0))</f>
        <v/>
      </c>
      <c r="I16" s="42" t="str">
        <f>IF(BJ16="","",IF(BJ16="x",I$6,0)+IF(BJ16="S",-I$6-0.00001,0))</f>
        <v/>
      </c>
      <c r="J16" s="40">
        <f>IF(BK16="","",IF(BK16="x",J$6,0)+IF(BK16="S",-J$6-0.00001,0))</f>
        <v>1</v>
      </c>
      <c r="K16" s="41">
        <f>IF(BL16="","",IF(BL16="x",K$6,0)+IF(BL16="S",-K$6-0.00001,0))</f>
        <v>1</v>
      </c>
      <c r="L16" s="41" t="str">
        <f>IF(BM16="","",IF(BM16="x",L$6,0)+IF(BM16="S",-L$6-0.00001,0))</f>
        <v/>
      </c>
      <c r="M16" s="42" t="str">
        <f>IF(BN16="","",IF(BN16="x",M$6,0)+IF(BN16="S",-M$6-0.00001,0))</f>
        <v/>
      </c>
      <c r="N16" s="43" t="str">
        <f>IF(BO16="","",IF(BO16="x",N$6,0)+IF(BO16="S",-N$6-0.00001,0))</f>
        <v/>
      </c>
      <c r="O16" s="41" t="str">
        <f>IF(BP16="","",IF(BP16="x",O$6,0)+IF(BP16="S",-O$6-0.00001,0))</f>
        <v/>
      </c>
      <c r="P16" s="41" t="str">
        <f>IF(BQ16="","",IF(BQ16="x",P$6,0)+IF(BQ16="S",-P$6-0.00001,0))</f>
        <v/>
      </c>
      <c r="Q16" s="42" t="str">
        <f>IF(BR16="","",IF(BR16="x",Q$6,0)+IF(BR16="S",-Q$6-0.00001,0))</f>
        <v/>
      </c>
      <c r="R16" s="40" t="str">
        <f>IF(BS16="","",IF(BS16="x",R$6,0)+IF(BS16="S",-R$6-0.00001,0))</f>
        <v/>
      </c>
      <c r="S16" s="41" t="str">
        <f>IF(BT16="","",IF(BT16="x",S$6,0)+IF(BT16="S",-S$6-0.00001,0))</f>
        <v/>
      </c>
      <c r="T16" s="43" t="str">
        <f>IF(BU16="","",IF(BU16="x",T$6,0)+IF(BU16="S",-T$6-0.00001,0))</f>
        <v/>
      </c>
      <c r="U16" s="42" t="str">
        <f>IF(BV16="","",IF(BV16="x",U$6,0)+IF(BV16="S",-U$6-0.00001,0))</f>
        <v/>
      </c>
      <c r="V16" s="40" t="str">
        <f>IF(BW16="","",IF(BW16="x",V$6,0)+IF(BW16="S",-V$6-0.00001,0))</f>
        <v/>
      </c>
      <c r="W16" s="41">
        <f>IF(BX16="","",IF(BX16="x",W$6,0)+IF(BX16="S",-W$6-0.00001,0))</f>
        <v>0</v>
      </c>
      <c r="X16" s="41" t="str">
        <f>IF(BY16="","",IF(BY16="x",X$6,0)+IF(BY16="S",-X$6-0.00001,0))</f>
        <v/>
      </c>
      <c r="Y16" s="42" t="str">
        <f>IF(BZ16="","",IF(BZ16="x",Y$6,0)+IF(BZ16="S",-Y$6-0.00001,0))</f>
        <v/>
      </c>
      <c r="Z16" s="40">
        <f>IF(CA16="","",IF(CA16="x",Z$6,0)+IF(CA16="S",-Z$6-0.00001,0))</f>
        <v>1</v>
      </c>
      <c r="AA16" s="41">
        <f>IF(CB16="","",IF(CB16="x",AA$6,0)+IF(CB16="S",-AA$6-0.00001,0))</f>
        <v>1</v>
      </c>
      <c r="AB16" s="41" t="str">
        <f>IF(CC16="","",IF(CC16="x",AB$6,0)+IF(CC16="S",-AB$6-0.00001,0))</f>
        <v/>
      </c>
      <c r="AC16" s="42" t="str">
        <f>IF(CD16="","",IF(CD16="x",AC$6,0)+IF(CD16="S",-AC$6-0.00001,0))</f>
        <v/>
      </c>
      <c r="AD16" s="40" t="str">
        <f>IF(CE16="","",IF(CE16="x",AD$6,0)+IF(CE16="S",-AD$6-0.00001,0))</f>
        <v/>
      </c>
      <c r="AE16" s="41">
        <f>IF(CF16="","",IF(CF16="x",AE$6,0)+IF(CF16="S",-AE$6-0.00001,0))</f>
        <v>1</v>
      </c>
      <c r="AF16" s="41" t="str">
        <f>IF(CG16="","",IF(CG16="x",AF$6,0)+IF(CG16="S",-AF$6-0.00001,0))</f>
        <v/>
      </c>
      <c r="AG16" s="42" t="str">
        <f>IF(CH16="","",IF(CH16="x",AG$6,0)+IF(CH16="S",-AG$6-0.00001,0))</f>
        <v/>
      </c>
      <c r="AH16" s="40" t="str">
        <f>IF(CI16="","",IF(CI16="x",AH$6,0)+IF(CI16="S",-AH$6-0.00001,0))</f>
        <v/>
      </c>
      <c r="AI16" s="41" t="str">
        <f>IF(CJ16="","",IF(CJ16="x",AI$6,0)+IF(CJ16="S",-AI$6-0.00001,0))</f>
        <v/>
      </c>
      <c r="AJ16" s="41" t="str">
        <f>IF(CK16="","",IF(CK16="x",AJ$6,0)+IF(CK16="S",-AJ$6-0.00001,0))</f>
        <v/>
      </c>
      <c r="AK16" s="42" t="str">
        <f>IF(CL16="","",IF(CL16="x",AK$6,0)+IF(CL16="S",-AK$6-0.00001,0))</f>
        <v/>
      </c>
      <c r="AL16" s="40">
        <f>IF(CM16="","",IF(CM16="x",AL$6,0)+IF(CM16="S",-AL$6-0.00001,0))</f>
        <v>-1.0000000000000001E-5</v>
      </c>
      <c r="AM16" s="41" t="str">
        <f>IF(CN16="","",IF(CN16="x",AM$6,0)+IF(CN16="S",-AM$6-0.00001,0))</f>
        <v/>
      </c>
      <c r="AN16" s="41" t="str">
        <f>IF(CO16="","",IF(CO16="x",AN$6,0)+IF(CO16="S",-AN$6-0.00001,0))</f>
        <v/>
      </c>
      <c r="AO16" s="42" t="str">
        <f>IF(CP16="","",IF(CP16="x",AO$6,0)+IF(CP16="S",-AO$6-0.00001,0))</f>
        <v/>
      </c>
      <c r="AP16" s="40" t="str">
        <f>IF(CQ16="","",IF(CQ16="x",AP$6,0)+IF(CQ16="S",-AP$6-0.00001,0))</f>
        <v/>
      </c>
      <c r="AQ16" s="41" t="str">
        <f>IF(CR16="","",IF(CR16="x",AQ$6,0)+IF(CR16="S",-AQ$6-0.00001,0))</f>
        <v/>
      </c>
      <c r="AR16" s="41">
        <f>IF(CS16="","",IF(CS16="x",AR$6,0)+IF(CS16="S",-AR$6-0.00001,0))</f>
        <v>0</v>
      </c>
      <c r="AS16" s="42" t="str">
        <f>IF(CT16="","",IF(CT16="x",AS$6,0)+IF(CT16="S",-AS$6-0.00001,0))</f>
        <v/>
      </c>
      <c r="AT16" s="40" t="str">
        <f>IF(CU16="","",IF(CU16="x",AT$6,0)+IF(CU16="S",-AT$6-0.00001,0))</f>
        <v/>
      </c>
      <c r="AU16" s="41" t="str">
        <f>IF(CV16="","",IF(CV16="x",AU$6,0)+IF(CV16="S",-AU$6-0.00001,0))</f>
        <v/>
      </c>
      <c r="AV16" s="41" t="str">
        <f>IF(CW16="","",IF(CW16="x",AV$6,0)+IF(CW16="S",-AV$6-0.00001,0))</f>
        <v/>
      </c>
      <c r="AW16" s="42" t="str">
        <f>IF(CX16="","",IF(CX16="x",AW$6,0)+IF(CX16="S",-AW$6-0.00001,0))</f>
        <v/>
      </c>
      <c r="AX16" s="40" t="str">
        <f>IF(CY16="","",IF(CY16="x",AX$6,0)+IF(CY16="S",-AX$6-0.00001,0))</f>
        <v/>
      </c>
      <c r="AY16" s="41">
        <f>IF(CZ16="","",IF(CZ16="x",AY$6,0)+IF(CZ16="S",-AY$6-0.00001,0))</f>
        <v>0</v>
      </c>
      <c r="AZ16" s="41" t="str">
        <f>IF(DA16="","",IF(DA16="x",AZ$6,0)+IF(DA16="S",-AZ$6-0.00001,0))</f>
        <v/>
      </c>
      <c r="BA16" s="42" t="str">
        <f>IF(DB16="","",IF(DB16="x",BA$6,0)+IF(DB16="S",-BA$6-0.00001,0))</f>
        <v/>
      </c>
      <c r="BB16" s="37" t="s">
        <v>106</v>
      </c>
      <c r="BC16" s="21"/>
      <c r="BD16" s="21"/>
      <c r="BG16" t="str">
        <f>IF(NOT(ISERROR(HLOOKUP(Standings!BG$3,Entries!$C36:$K36,1,FALSE))),"x",IF(NOT(ISERROR(HLOOKUP(Standings!BG$3,Entries!$L36:$L36,1,FALSE))),"S",""))</f>
        <v>x</v>
      </c>
      <c r="BH16" t="str">
        <f>IF(NOT(ISERROR(HLOOKUP(Standings!BH$3,Entries!$C36:$K36,1,FALSE))),"x",IF(NOT(ISERROR(HLOOKUP(Standings!BH$3,Entries!$L36:$L36,1,FALSE))),"S",""))</f>
        <v/>
      </c>
      <c r="BI16" t="str">
        <f>IF(NOT(ISERROR(HLOOKUP(Standings!BI$3,Entries!$C36:$K36,1,FALSE))),"x",IF(NOT(ISERROR(HLOOKUP(Standings!BI$3,Entries!$L36:$L36,1,FALSE))),"S",""))</f>
        <v/>
      </c>
      <c r="BJ16" t="str">
        <f>IF(NOT(ISERROR(HLOOKUP(Standings!BJ$3,Entries!$C36:$K36,1,FALSE))),"x",IF(NOT(ISERROR(HLOOKUP(Standings!BJ$3,Entries!$L36:$L36,1,FALSE))),"S",""))</f>
        <v/>
      </c>
      <c r="BK16" t="str">
        <f>IF(NOT(ISERROR(HLOOKUP(Standings!BK$3,Entries!$C36:$K36,1,FALSE))),"x",IF(NOT(ISERROR(HLOOKUP(Standings!BK$3,Entries!$L36:$L36,1,FALSE))),"S",""))</f>
        <v>x</v>
      </c>
      <c r="BL16" t="str">
        <f>IF(NOT(ISERROR(HLOOKUP(Standings!BL$3,Entries!$C36:$K36,1,FALSE))),"x",IF(NOT(ISERROR(HLOOKUP(Standings!BL$3,Entries!$L36:$L36,1,FALSE))),"S",""))</f>
        <v>x</v>
      </c>
      <c r="BM16" t="str">
        <f>IF(NOT(ISERROR(HLOOKUP(Standings!BM$3,Entries!$C36:$K36,1,FALSE))),"x",IF(NOT(ISERROR(HLOOKUP(Standings!BM$3,Entries!$L36:$L36,1,FALSE))),"S",""))</f>
        <v/>
      </c>
      <c r="BN16" t="str">
        <f>IF(NOT(ISERROR(HLOOKUP(Standings!BN$3,Entries!$C36:$K36,1,FALSE))),"x",IF(NOT(ISERROR(HLOOKUP(Standings!BN$3,Entries!$L36:$L36,1,FALSE))),"S",""))</f>
        <v/>
      </c>
      <c r="BO16" t="str">
        <f>IF(NOT(ISERROR(HLOOKUP(Standings!BO$3,Entries!$C36:$K36,1,FALSE))),"x",IF(NOT(ISERROR(HLOOKUP(Standings!BO$3,Entries!$L36:$L36,1,FALSE))),"S",""))</f>
        <v/>
      </c>
      <c r="BP16" t="str">
        <f>IF(NOT(ISERROR(HLOOKUP(Standings!BP$3,Entries!$C36:$K36,1,FALSE))),"x",IF(NOT(ISERROR(HLOOKUP(Standings!BP$3,Entries!$L36:$L36,1,FALSE))),"S",""))</f>
        <v/>
      </c>
      <c r="BQ16" t="str">
        <f>IF(NOT(ISERROR(HLOOKUP(Standings!BQ$3,Entries!$C36:$K36,1,FALSE))),"x",IF(NOT(ISERROR(HLOOKUP(Standings!BQ$3,Entries!$L36:$L36,1,FALSE))),"S",""))</f>
        <v/>
      </c>
      <c r="BR16" t="str">
        <f>IF(NOT(ISERROR(HLOOKUP(Standings!BR$3,Entries!$C36:$K36,1,FALSE))),"x",IF(NOT(ISERROR(HLOOKUP(Standings!BR$3,Entries!$L36:$L36,1,FALSE))),"S",""))</f>
        <v/>
      </c>
      <c r="BS16" t="str">
        <f>IF(NOT(ISERROR(HLOOKUP(Standings!BS$3,Entries!$C36:$K36,1,FALSE))),"x",IF(NOT(ISERROR(HLOOKUP(Standings!BS$3,Entries!$L36:$L36,1,FALSE))),"S",""))</f>
        <v/>
      </c>
      <c r="BT16" t="str">
        <f>IF(NOT(ISERROR(HLOOKUP(Standings!BT$3,Entries!$C36:$K36,1,FALSE))),"x",IF(NOT(ISERROR(HLOOKUP(Standings!BT$3,Entries!$L36:$L36,1,FALSE))),"S",""))</f>
        <v/>
      </c>
      <c r="BU16" t="str">
        <f>IF(NOT(ISERROR(HLOOKUP(Standings!BU$3,Entries!$C36:$K36,1,FALSE))),"x",IF(NOT(ISERROR(HLOOKUP(Standings!BU$3,Entries!$L36:$L36,1,FALSE))),"S",""))</f>
        <v/>
      </c>
      <c r="BV16" t="str">
        <f>IF(NOT(ISERROR(HLOOKUP(Standings!BV$3,Entries!$C36:$K36,1,FALSE))),"x",IF(NOT(ISERROR(HLOOKUP(Standings!BV$3,Entries!$L36:$L36,1,FALSE))),"S",""))</f>
        <v/>
      </c>
      <c r="BW16" t="str">
        <f>IF(NOT(ISERROR(HLOOKUP(Standings!BW$3,Entries!$C36:$K36,1,FALSE))),"x",IF(NOT(ISERROR(HLOOKUP(Standings!BW$3,Entries!$L36:$L36,1,FALSE))),"S",""))</f>
        <v/>
      </c>
      <c r="BX16" t="str">
        <f>IF(NOT(ISERROR(HLOOKUP(Standings!BX$3,Entries!$C36:$K36,1,FALSE))),"x",IF(NOT(ISERROR(HLOOKUP(Standings!BX$3,Entries!$L36:$L36,1,FALSE))),"S",""))</f>
        <v>x</v>
      </c>
      <c r="BY16" t="str">
        <f>IF(NOT(ISERROR(HLOOKUP(Standings!BY$3,Entries!$C36:$K36,1,FALSE))),"x",IF(NOT(ISERROR(HLOOKUP(Standings!BY$3,Entries!$L36:$L36,1,FALSE))),"S",""))</f>
        <v/>
      </c>
      <c r="BZ16" t="str">
        <f>IF(NOT(ISERROR(HLOOKUP(Standings!BZ$3,Entries!$C36:$K36,1,FALSE))),"x",IF(NOT(ISERROR(HLOOKUP(Standings!BZ$3,Entries!$L36:$L36,1,FALSE))),"S",""))</f>
        <v/>
      </c>
      <c r="CA16" t="str">
        <f>IF(NOT(ISERROR(HLOOKUP(Standings!CA$3,Entries!$C36:$K36,1,FALSE))),"x",IF(NOT(ISERROR(HLOOKUP(Standings!CA$3,Entries!$L36:$L36,1,FALSE))),"S",""))</f>
        <v>x</v>
      </c>
      <c r="CB16" t="str">
        <f>IF(NOT(ISERROR(HLOOKUP(Standings!CB$3,Entries!$C36:$K36,1,FALSE))),"x",IF(NOT(ISERROR(HLOOKUP(Standings!CB$3,Entries!$L36:$L36,1,FALSE))),"S",""))</f>
        <v>x</v>
      </c>
      <c r="CC16" t="str">
        <f>IF(NOT(ISERROR(HLOOKUP(Standings!CC$3,Entries!$C36:$K36,1,FALSE))),"x",IF(NOT(ISERROR(HLOOKUP(Standings!CC$3,Entries!$L36:$L36,1,FALSE))),"S",""))</f>
        <v/>
      </c>
      <c r="CD16" t="str">
        <f>IF(NOT(ISERROR(HLOOKUP(Standings!CD$3,Entries!$C36:$K36,1,FALSE))),"x",IF(NOT(ISERROR(HLOOKUP(Standings!CD$3,Entries!$L36:$L36,1,FALSE))),"S",""))</f>
        <v/>
      </c>
      <c r="CE16" t="str">
        <f>IF(NOT(ISERROR(HLOOKUP(Standings!CE$3,Entries!$C36:$K36,1,FALSE))),"x",IF(NOT(ISERROR(HLOOKUP(Standings!CE$3,Entries!$L36:$L36,1,FALSE))),"S",""))</f>
        <v/>
      </c>
      <c r="CF16" t="str">
        <f>IF(NOT(ISERROR(HLOOKUP(Standings!CF$3,Entries!$C36:$K36,1,FALSE))),"x",IF(NOT(ISERROR(HLOOKUP(Standings!CF$3,Entries!$L36:$L36,1,FALSE))),"S",""))</f>
        <v>x</v>
      </c>
      <c r="CG16" t="str">
        <f>IF(NOT(ISERROR(HLOOKUP(Standings!CG$3,Entries!$C36:$K36,1,FALSE))),"x",IF(NOT(ISERROR(HLOOKUP(Standings!CG$3,Entries!$L36:$L36,1,FALSE))),"S",""))</f>
        <v/>
      </c>
      <c r="CH16" t="str">
        <f>IF(NOT(ISERROR(HLOOKUP(Standings!CH$3,Entries!$C36:$K36,1,FALSE))),"x",IF(NOT(ISERROR(HLOOKUP(Standings!CH$3,Entries!$L36:$L36,1,FALSE))),"S",""))</f>
        <v/>
      </c>
      <c r="CI16" t="str">
        <f>IF(NOT(ISERROR(HLOOKUP(Standings!CI$3,Entries!$C36:$K36,1,FALSE))),"x",IF(NOT(ISERROR(HLOOKUP(Standings!CI$3,Entries!$L36:$L36,1,FALSE))),"S",""))</f>
        <v/>
      </c>
      <c r="CJ16" t="str">
        <f>IF(NOT(ISERROR(HLOOKUP(Standings!CJ$3,Entries!$C36:$K36,1,FALSE))),"x",IF(NOT(ISERROR(HLOOKUP(Standings!CJ$3,Entries!$L36:$L36,1,FALSE))),"S",""))</f>
        <v/>
      </c>
      <c r="CK16" t="str">
        <f>IF(NOT(ISERROR(HLOOKUP(Standings!CK$3,Entries!$C36:$K36,1,FALSE))),"x",IF(NOT(ISERROR(HLOOKUP(Standings!CK$3,Entries!$L36:$L36,1,FALSE))),"S",""))</f>
        <v/>
      </c>
      <c r="CL16" t="str">
        <f>IF(NOT(ISERROR(HLOOKUP(Standings!CL$3,Entries!$C36:$K36,1,FALSE))),"x",IF(NOT(ISERROR(HLOOKUP(Standings!CL$3,Entries!$L36:$L36,1,FALSE))),"S",""))</f>
        <v/>
      </c>
      <c r="CM16" t="str">
        <f>IF(NOT(ISERROR(HLOOKUP(Standings!CM$3,Entries!$C36:$K36,1,FALSE))),"x",IF(NOT(ISERROR(HLOOKUP(Standings!CM$3,Entries!$L36:$L36,1,FALSE))),"S",""))</f>
        <v>S</v>
      </c>
      <c r="CN16" t="str">
        <f>IF(NOT(ISERROR(HLOOKUP(Standings!CN$3,Entries!$C36:$K36,1,FALSE))),"x",IF(NOT(ISERROR(HLOOKUP(Standings!CN$3,Entries!$L36:$L36,1,FALSE))),"S",""))</f>
        <v/>
      </c>
      <c r="CO16" t="str">
        <f>IF(NOT(ISERROR(HLOOKUP(Standings!CO$3,Entries!$C36:$K36,1,FALSE))),"x",IF(NOT(ISERROR(HLOOKUP(Standings!CO$3,Entries!$L36:$L36,1,FALSE))),"S",""))</f>
        <v/>
      </c>
      <c r="CP16" t="str">
        <f>IF(NOT(ISERROR(HLOOKUP(Standings!CP$3,Entries!$C36:$K36,1,FALSE))),"x",IF(NOT(ISERROR(HLOOKUP(Standings!CP$3,Entries!$L36:$L36,1,FALSE))),"S",""))</f>
        <v/>
      </c>
      <c r="CQ16" t="str">
        <f>IF(NOT(ISERROR(HLOOKUP(Standings!CQ$3,Entries!$C36:$K36,1,FALSE))),"x",IF(NOT(ISERROR(HLOOKUP(Standings!CQ$3,Entries!$L36:$L36,1,FALSE))),"S",""))</f>
        <v/>
      </c>
      <c r="CR16" t="str">
        <f>IF(NOT(ISERROR(HLOOKUP(Standings!CR$3,Entries!$C36:$K36,1,FALSE))),"x",IF(NOT(ISERROR(HLOOKUP(Standings!CR$3,Entries!$L36:$L36,1,FALSE))),"S",""))</f>
        <v/>
      </c>
      <c r="CS16" t="str">
        <f>IF(NOT(ISERROR(HLOOKUP(Standings!CS$3,Entries!$C36:$K36,1,FALSE))),"x",IF(NOT(ISERROR(HLOOKUP(Standings!CS$3,Entries!$L36:$L36,1,FALSE))),"S",""))</f>
        <v>x</v>
      </c>
      <c r="CT16" t="str">
        <f>IF(NOT(ISERROR(HLOOKUP(Standings!CT$3,Entries!$C36:$K36,1,FALSE))),"x",IF(NOT(ISERROR(HLOOKUP(Standings!CT$3,Entries!$L36:$L36,1,FALSE))),"S",""))</f>
        <v/>
      </c>
      <c r="CU16" t="str">
        <f>IF(NOT(ISERROR(HLOOKUP(Standings!CU$3,Entries!$C36:$K36,1,FALSE))),"x",IF(NOT(ISERROR(HLOOKUP(Standings!CU$3,Entries!$L36:$L36,1,FALSE))),"S",""))</f>
        <v/>
      </c>
      <c r="CV16" t="str">
        <f>IF(NOT(ISERROR(HLOOKUP(Standings!CV$3,Entries!$C36:$K36,1,FALSE))),"x",IF(NOT(ISERROR(HLOOKUP(Standings!CV$3,Entries!$L36:$L36,1,FALSE))),"S",""))</f>
        <v/>
      </c>
      <c r="CW16" t="str">
        <f>IF(NOT(ISERROR(HLOOKUP(Standings!CW$3,Entries!$C36:$K36,1,FALSE))),"x",IF(NOT(ISERROR(HLOOKUP(Standings!CW$3,Entries!$L36:$L36,1,FALSE))),"S",""))</f>
        <v/>
      </c>
      <c r="CX16" t="str">
        <f>IF(NOT(ISERROR(HLOOKUP(Standings!CX$3,Entries!$C36:$K36,1,FALSE))),"x",IF(NOT(ISERROR(HLOOKUP(Standings!CX$3,Entries!$L36:$L36,1,FALSE))),"S",""))</f>
        <v/>
      </c>
      <c r="CY16" t="str">
        <f>IF(NOT(ISERROR(HLOOKUP(Standings!CY$3,Entries!$C36:$K36,1,FALSE))),"x",IF(NOT(ISERROR(HLOOKUP(Standings!CY$3,Entries!$L36:$L36,1,FALSE))),"S",""))</f>
        <v/>
      </c>
      <c r="CZ16" t="str">
        <f>IF(NOT(ISERROR(HLOOKUP(Standings!CZ$3,Entries!$C36:$K36,1,FALSE))),"x",IF(NOT(ISERROR(HLOOKUP(Standings!CZ$3,Entries!$L36:$L36,1,FALSE))),"S",""))</f>
        <v>x</v>
      </c>
      <c r="DA16" t="str">
        <f>IF(NOT(ISERROR(HLOOKUP(Standings!DA$3,Entries!$C36:$K36,1,FALSE))),"x",IF(NOT(ISERROR(HLOOKUP(Standings!DA$3,Entries!$L36:$L36,1,FALSE))),"S",""))</f>
        <v/>
      </c>
      <c r="DB16" t="str">
        <f>IF(NOT(ISERROR(HLOOKUP(Standings!DB$3,Entries!$C36:$K36,1,FALSE))),"x",IF(NOT(ISERROR(HLOOKUP(Standings!DB$3,Entries!$L36:$L36,1,FALSE))),"S",""))</f>
        <v/>
      </c>
    </row>
    <row r="17" spans="1:106" x14ac:dyDescent="0.25">
      <c r="A17" s="18"/>
      <c r="B17">
        <v>13</v>
      </c>
      <c r="C17" t="str">
        <f>Entries!B41</f>
        <v>Niedermaier_2B</v>
      </c>
      <c r="D17" s="4">
        <f>IF(C17="","",RANK(E17,$E$10:$E$111))</f>
        <v>5</v>
      </c>
      <c r="E17" s="31">
        <f>IF(C17="","",ROUND(SUM(F17:AK17),0))</f>
        <v>7</v>
      </c>
      <c r="F17" s="40" t="str">
        <f>IF(BG17="","",IF(BG17="x",F$6,0)+IF(BG17="S",-F$6-0.00001,0))</f>
        <v/>
      </c>
      <c r="G17" s="41" t="str">
        <f>IF(BH17="","",IF(BH17="x",G$6,0)+IF(BH17="S",-G$6-0.00001,0))</f>
        <v/>
      </c>
      <c r="H17" s="41" t="str">
        <f>IF(BI17="","",IF(BI17="x",H$6,0)+IF(BI17="S",-H$6-0.00001,0))</f>
        <v/>
      </c>
      <c r="I17" s="42" t="str">
        <f>IF(BJ17="","",IF(BJ17="x",I$6,0)+IF(BJ17="S",-I$6-0.00001,0))</f>
        <v/>
      </c>
      <c r="J17" s="40" t="str">
        <f>IF(BK17="","",IF(BK17="x",J$6,0)+IF(BK17="S",-J$6-0.00001,0))</f>
        <v/>
      </c>
      <c r="K17" s="41" t="str">
        <f>IF(BL17="","",IF(BL17="x",K$6,0)+IF(BL17="S",-K$6-0.00001,0))</f>
        <v/>
      </c>
      <c r="L17" s="41" t="str">
        <f>IF(BM17="","",IF(BM17="x",L$6,0)+IF(BM17="S",-L$6-0.00001,0))</f>
        <v/>
      </c>
      <c r="M17" s="42" t="str">
        <f>IF(BN17="","",IF(BN17="x",M$6,0)+IF(BN17="S",-M$6-0.00001,0))</f>
        <v/>
      </c>
      <c r="N17" s="43" t="str">
        <f>IF(BO17="","",IF(BO17="x",N$6,0)+IF(BO17="S",-N$6-0.00001,0))</f>
        <v/>
      </c>
      <c r="O17" s="41">
        <f>IF(BP17="","",IF(BP17="x",O$6,0)+IF(BP17="S",-O$6-0.00001,0))</f>
        <v>1</v>
      </c>
      <c r="P17" s="41" t="str">
        <f>IF(BQ17="","",IF(BQ17="x",P$6,0)+IF(BQ17="S",-P$6-0.00001,0))</f>
        <v/>
      </c>
      <c r="Q17" s="42" t="str">
        <f>IF(BR17="","",IF(BR17="x",Q$6,0)+IF(BR17="S",-Q$6-0.00001,0))</f>
        <v/>
      </c>
      <c r="R17" s="40">
        <f>IF(BS17="","",IF(BS17="x",R$6,0)+IF(BS17="S",-R$6-0.00001,0))</f>
        <v>2</v>
      </c>
      <c r="S17" s="41" t="str">
        <f>IF(BT17="","",IF(BT17="x",S$6,0)+IF(BT17="S",-S$6-0.00001,0))</f>
        <v/>
      </c>
      <c r="T17" s="43" t="str">
        <f>IF(BU17="","",IF(BU17="x",T$6,0)+IF(BU17="S",-T$6-0.00001,0))</f>
        <v/>
      </c>
      <c r="U17" s="42" t="str">
        <f>IF(BV17="","",IF(BV17="x",U$6,0)+IF(BV17="S",-U$6-0.00001,0))</f>
        <v/>
      </c>
      <c r="V17" s="40">
        <f>IF(BW17="","",IF(BW17="x",V$6,0)+IF(BW17="S",-V$6-0.00001,0))</f>
        <v>2</v>
      </c>
      <c r="W17" s="41" t="str">
        <f>IF(BX17="","",IF(BX17="x",W$6,0)+IF(BX17="S",-W$6-0.00001,0))</f>
        <v/>
      </c>
      <c r="X17" s="41" t="str">
        <f>IF(BY17="","",IF(BY17="x",X$6,0)+IF(BY17="S",-X$6-0.00001,0))</f>
        <v/>
      </c>
      <c r="Y17" s="42" t="str">
        <f>IF(BZ17="","",IF(BZ17="x",Y$6,0)+IF(BZ17="S",-Y$6-0.00001,0))</f>
        <v/>
      </c>
      <c r="Z17" s="40">
        <f>IF(CA17="","",IF(CA17="x",Z$6,0)+IF(CA17="S",-Z$6-0.00001,0))</f>
        <v>1</v>
      </c>
      <c r="AA17" s="41">
        <f>IF(CB17="","",IF(CB17="x",AA$6,0)+IF(CB17="S",-AA$6-0.00001,0))</f>
        <v>1</v>
      </c>
      <c r="AB17" s="41" t="str">
        <f>IF(CC17="","",IF(CC17="x",AB$6,0)+IF(CC17="S",-AB$6-0.00001,0))</f>
        <v/>
      </c>
      <c r="AC17" s="42" t="str">
        <f>IF(CD17="","",IF(CD17="x",AC$6,0)+IF(CD17="S",-AC$6-0.00001,0))</f>
        <v/>
      </c>
      <c r="AD17" s="40" t="str">
        <f>IF(CE17="","",IF(CE17="x",AD$6,0)+IF(CE17="S",-AD$6-0.00001,0))</f>
        <v/>
      </c>
      <c r="AE17" s="41" t="str">
        <f>IF(CF17="","",IF(CF17="x",AE$6,0)+IF(CF17="S",-AE$6-0.00001,0))</f>
        <v/>
      </c>
      <c r="AF17" s="41" t="str">
        <f>IF(CG17="","",IF(CG17="x",AF$6,0)+IF(CG17="S",-AF$6-0.00001,0))</f>
        <v/>
      </c>
      <c r="AG17" s="42" t="str">
        <f>IF(CH17="","",IF(CH17="x",AG$6,0)+IF(CH17="S",-AG$6-0.00001,0))</f>
        <v/>
      </c>
      <c r="AH17" s="40" t="str">
        <f>IF(CI17="","",IF(CI17="x",AH$6,0)+IF(CI17="S",-AH$6-0.00001,0))</f>
        <v/>
      </c>
      <c r="AI17" s="41" t="str">
        <f>IF(CJ17="","",IF(CJ17="x",AI$6,0)+IF(CJ17="S",-AI$6-0.00001,0))</f>
        <v/>
      </c>
      <c r="AJ17" s="41" t="str">
        <f>IF(CK17="","",IF(CK17="x",AJ$6,0)+IF(CK17="S",-AJ$6-0.00001,0))</f>
        <v/>
      </c>
      <c r="AK17" s="42" t="str">
        <f>IF(CL17="","",IF(CL17="x",AK$6,0)+IF(CL17="S",-AK$6-0.00001,0))</f>
        <v/>
      </c>
      <c r="AL17" s="40" t="str">
        <f>IF(CM17="","",IF(CM17="x",AL$6,0)+IF(CM17="S",-AL$6-0.00001,0))</f>
        <v/>
      </c>
      <c r="AM17" s="41" t="str">
        <f>IF(CN17="","",IF(CN17="x",AM$6,0)+IF(CN17="S",-AM$6-0.00001,0))</f>
        <v/>
      </c>
      <c r="AN17" s="41" t="str">
        <f>IF(CO17="","",IF(CO17="x",AN$6,0)+IF(CO17="S",-AN$6-0.00001,0))</f>
        <v/>
      </c>
      <c r="AO17" s="42" t="str">
        <f>IF(CP17="","",IF(CP17="x",AO$6,0)+IF(CP17="S",-AO$6-0.00001,0))</f>
        <v/>
      </c>
      <c r="AP17" s="40" t="str">
        <f>IF(CQ17="","",IF(CQ17="x",AP$6,0)+IF(CQ17="S",-AP$6-0.00001,0))</f>
        <v/>
      </c>
      <c r="AQ17" s="41" t="str">
        <f>IF(CR17="","",IF(CR17="x",AQ$6,0)+IF(CR17="S",-AQ$6-0.00001,0))</f>
        <v/>
      </c>
      <c r="AR17" s="41" t="str">
        <f>IF(CS17="","",IF(CS17="x",AR$6,0)+IF(CS17="S",-AR$6-0.00001,0))</f>
        <v/>
      </c>
      <c r="AS17" s="42" t="str">
        <f>IF(CT17="","",IF(CT17="x",AS$6,0)+IF(CT17="S",-AS$6-0.00001,0))</f>
        <v/>
      </c>
      <c r="AT17" s="40">
        <f>IF(CU17="","",IF(CU17="x",AT$6,0)+IF(CU17="S",-AT$6-0.00001,0))</f>
        <v>-1.0000000000000001E-5</v>
      </c>
      <c r="AU17" s="41" t="str">
        <f>IF(CV17="","",IF(CV17="x",AU$6,0)+IF(CV17="S",-AU$6-0.00001,0))</f>
        <v/>
      </c>
      <c r="AV17" s="41" t="str">
        <f>IF(CW17="","",IF(CW17="x",AV$6,0)+IF(CW17="S",-AV$6-0.00001,0))</f>
        <v/>
      </c>
      <c r="AW17" s="42">
        <f>IF(CX17="","",IF(CX17="x",AW$6,0)+IF(CX17="S",-AW$6-0.00001,0))</f>
        <v>0</v>
      </c>
      <c r="AX17" s="40" t="str">
        <f>IF(CY17="","",IF(CY17="x",AX$6,0)+IF(CY17="S",-AX$6-0.00001,0))</f>
        <v/>
      </c>
      <c r="AY17" s="41" t="str">
        <f>IF(CZ17="","",IF(CZ17="x",AY$6,0)+IF(CZ17="S",-AY$6-0.00001,0))</f>
        <v/>
      </c>
      <c r="AZ17" s="41" t="str">
        <f>IF(DA17="","",IF(DA17="x",AZ$6,0)+IF(DA17="S",-AZ$6-0.00001,0))</f>
        <v/>
      </c>
      <c r="BA17" s="42" t="str">
        <f>IF(DB17="","",IF(DB17="x",BA$6,0)+IF(DB17="S",-BA$6-0.00001,0))</f>
        <v/>
      </c>
      <c r="BB17" s="37" t="s">
        <v>106</v>
      </c>
      <c r="BC17" s="21"/>
      <c r="BD17" s="21"/>
      <c r="BG17" t="str">
        <f>IF(NOT(ISERROR(HLOOKUP(Standings!BG$3,Entries!$C41:$K41,1,FALSE))),"x",IF(NOT(ISERROR(HLOOKUP(Standings!BG$3,Entries!$L41:$L41,1,FALSE))),"S",""))</f>
        <v/>
      </c>
      <c r="BH17" t="str">
        <f>IF(NOT(ISERROR(HLOOKUP(Standings!BH$3,Entries!$C41:$K41,1,FALSE))),"x",IF(NOT(ISERROR(HLOOKUP(Standings!BH$3,Entries!$L41:$L41,1,FALSE))),"S",""))</f>
        <v/>
      </c>
      <c r="BI17" t="str">
        <f>IF(NOT(ISERROR(HLOOKUP(Standings!BI$3,Entries!$C41:$K41,1,FALSE))),"x",IF(NOT(ISERROR(HLOOKUP(Standings!BI$3,Entries!$L41:$L41,1,FALSE))),"S",""))</f>
        <v/>
      </c>
      <c r="BJ17" t="str">
        <f>IF(NOT(ISERROR(HLOOKUP(Standings!BJ$3,Entries!$C41:$K41,1,FALSE))),"x",IF(NOT(ISERROR(HLOOKUP(Standings!BJ$3,Entries!$L41:$L41,1,FALSE))),"S",""))</f>
        <v/>
      </c>
      <c r="BK17" t="str">
        <f>IF(NOT(ISERROR(HLOOKUP(Standings!BK$3,Entries!$C41:$K41,1,FALSE))),"x",IF(NOT(ISERROR(HLOOKUP(Standings!BK$3,Entries!$L41:$L41,1,FALSE))),"S",""))</f>
        <v/>
      </c>
      <c r="BL17" t="str">
        <f>IF(NOT(ISERROR(HLOOKUP(Standings!BL$3,Entries!$C41:$K41,1,FALSE))),"x",IF(NOT(ISERROR(HLOOKUP(Standings!BL$3,Entries!$L41:$L41,1,FALSE))),"S",""))</f>
        <v/>
      </c>
      <c r="BM17" t="str">
        <f>IF(NOT(ISERROR(HLOOKUP(Standings!BM$3,Entries!$C41:$K41,1,FALSE))),"x",IF(NOT(ISERROR(HLOOKUP(Standings!BM$3,Entries!$L41:$L41,1,FALSE))),"S",""))</f>
        <v/>
      </c>
      <c r="BN17" t="str">
        <f>IF(NOT(ISERROR(HLOOKUP(Standings!BN$3,Entries!$C41:$K41,1,FALSE))),"x",IF(NOT(ISERROR(HLOOKUP(Standings!BN$3,Entries!$L41:$L41,1,FALSE))),"S",""))</f>
        <v/>
      </c>
      <c r="BO17" t="str">
        <f>IF(NOT(ISERROR(HLOOKUP(Standings!BO$3,Entries!$C41:$K41,1,FALSE))),"x",IF(NOT(ISERROR(HLOOKUP(Standings!BO$3,Entries!$L41:$L41,1,FALSE))),"S",""))</f>
        <v/>
      </c>
      <c r="BP17" t="str">
        <f>IF(NOT(ISERROR(HLOOKUP(Standings!BP$3,Entries!$C41:$K41,1,FALSE))),"x",IF(NOT(ISERROR(HLOOKUP(Standings!BP$3,Entries!$L41:$L41,1,FALSE))),"S",""))</f>
        <v>x</v>
      </c>
      <c r="BQ17" t="str">
        <f>IF(NOT(ISERROR(HLOOKUP(Standings!BQ$3,Entries!$C41:$K41,1,FALSE))),"x",IF(NOT(ISERROR(HLOOKUP(Standings!BQ$3,Entries!$L41:$L41,1,FALSE))),"S",""))</f>
        <v/>
      </c>
      <c r="BR17" t="str">
        <f>IF(NOT(ISERROR(HLOOKUP(Standings!BR$3,Entries!$C41:$K41,1,FALSE))),"x",IF(NOT(ISERROR(HLOOKUP(Standings!BR$3,Entries!$L41:$L41,1,FALSE))),"S",""))</f>
        <v/>
      </c>
      <c r="BS17" t="str">
        <f>IF(NOT(ISERROR(HLOOKUP(Standings!BS$3,Entries!$C41:$K41,1,FALSE))),"x",IF(NOT(ISERROR(HLOOKUP(Standings!BS$3,Entries!$L41:$L41,1,FALSE))),"S",""))</f>
        <v>x</v>
      </c>
      <c r="BT17" t="str">
        <f>IF(NOT(ISERROR(HLOOKUP(Standings!BT$3,Entries!$C41:$K41,1,FALSE))),"x",IF(NOT(ISERROR(HLOOKUP(Standings!BT$3,Entries!$L41:$L41,1,FALSE))),"S",""))</f>
        <v/>
      </c>
      <c r="BU17" t="str">
        <f>IF(NOT(ISERROR(HLOOKUP(Standings!BU$3,Entries!$C41:$K41,1,FALSE))),"x",IF(NOT(ISERROR(HLOOKUP(Standings!BU$3,Entries!$L41:$L41,1,FALSE))),"S",""))</f>
        <v/>
      </c>
      <c r="BV17" t="str">
        <f>IF(NOT(ISERROR(HLOOKUP(Standings!BV$3,Entries!$C41:$K41,1,FALSE))),"x",IF(NOT(ISERROR(HLOOKUP(Standings!BV$3,Entries!$L41:$L41,1,FALSE))),"S",""))</f>
        <v/>
      </c>
      <c r="BW17" t="str">
        <f>IF(NOT(ISERROR(HLOOKUP(Standings!BW$3,Entries!$C41:$K41,1,FALSE))),"x",IF(NOT(ISERROR(HLOOKUP(Standings!BW$3,Entries!$L41:$L41,1,FALSE))),"S",""))</f>
        <v>x</v>
      </c>
      <c r="BX17" t="str">
        <f>IF(NOT(ISERROR(HLOOKUP(Standings!BX$3,Entries!$C41:$K41,1,FALSE))),"x",IF(NOT(ISERROR(HLOOKUP(Standings!BX$3,Entries!$L41:$L41,1,FALSE))),"S",""))</f>
        <v/>
      </c>
      <c r="BY17" t="str">
        <f>IF(NOT(ISERROR(HLOOKUP(Standings!BY$3,Entries!$C41:$K41,1,FALSE))),"x",IF(NOT(ISERROR(HLOOKUP(Standings!BY$3,Entries!$L41:$L41,1,FALSE))),"S",""))</f>
        <v/>
      </c>
      <c r="BZ17" t="str">
        <f>IF(NOT(ISERROR(HLOOKUP(Standings!BZ$3,Entries!$C41:$K41,1,FALSE))),"x",IF(NOT(ISERROR(HLOOKUP(Standings!BZ$3,Entries!$L41:$L41,1,FALSE))),"S",""))</f>
        <v/>
      </c>
      <c r="CA17" t="str">
        <f>IF(NOT(ISERROR(HLOOKUP(Standings!CA$3,Entries!$C41:$K41,1,FALSE))),"x",IF(NOT(ISERROR(HLOOKUP(Standings!CA$3,Entries!$L41:$L41,1,FALSE))),"S",""))</f>
        <v>x</v>
      </c>
      <c r="CB17" t="str">
        <f>IF(NOT(ISERROR(HLOOKUP(Standings!CB$3,Entries!$C41:$K41,1,FALSE))),"x",IF(NOT(ISERROR(HLOOKUP(Standings!CB$3,Entries!$L41:$L41,1,FALSE))),"S",""))</f>
        <v>x</v>
      </c>
      <c r="CC17" t="str">
        <f>IF(NOT(ISERROR(HLOOKUP(Standings!CC$3,Entries!$C41:$K41,1,FALSE))),"x",IF(NOT(ISERROR(HLOOKUP(Standings!CC$3,Entries!$L41:$L41,1,FALSE))),"S",""))</f>
        <v/>
      </c>
      <c r="CD17" t="str">
        <f>IF(NOT(ISERROR(HLOOKUP(Standings!CD$3,Entries!$C41:$K41,1,FALSE))),"x",IF(NOT(ISERROR(HLOOKUP(Standings!CD$3,Entries!$L41:$L41,1,FALSE))),"S",""))</f>
        <v/>
      </c>
      <c r="CE17" t="str">
        <f>IF(NOT(ISERROR(HLOOKUP(Standings!CE$3,Entries!$C41:$K41,1,FALSE))),"x",IF(NOT(ISERROR(HLOOKUP(Standings!CE$3,Entries!$L41:$L41,1,FALSE))),"S",""))</f>
        <v/>
      </c>
      <c r="CF17" t="str">
        <f>IF(NOT(ISERROR(HLOOKUP(Standings!CF$3,Entries!$C41:$K41,1,FALSE))),"x",IF(NOT(ISERROR(HLOOKUP(Standings!CF$3,Entries!$L41:$L41,1,FALSE))),"S",""))</f>
        <v/>
      </c>
      <c r="CG17" t="str">
        <f>IF(NOT(ISERROR(HLOOKUP(Standings!CG$3,Entries!$C41:$K41,1,FALSE))),"x",IF(NOT(ISERROR(HLOOKUP(Standings!CG$3,Entries!$L41:$L41,1,FALSE))),"S",""))</f>
        <v/>
      </c>
      <c r="CH17" t="str">
        <f>IF(NOT(ISERROR(HLOOKUP(Standings!CH$3,Entries!$C41:$K41,1,FALSE))),"x",IF(NOT(ISERROR(HLOOKUP(Standings!CH$3,Entries!$L41:$L41,1,FALSE))),"S",""))</f>
        <v/>
      </c>
      <c r="CI17" t="str">
        <f>IF(NOT(ISERROR(HLOOKUP(Standings!CI$3,Entries!$C41:$K41,1,FALSE))),"x",IF(NOT(ISERROR(HLOOKUP(Standings!CI$3,Entries!$L41:$L41,1,FALSE))),"S",""))</f>
        <v/>
      </c>
      <c r="CJ17" t="str">
        <f>IF(NOT(ISERROR(HLOOKUP(Standings!CJ$3,Entries!$C41:$K41,1,FALSE))),"x",IF(NOT(ISERROR(HLOOKUP(Standings!CJ$3,Entries!$L41:$L41,1,FALSE))),"S",""))</f>
        <v/>
      </c>
      <c r="CK17" t="str">
        <f>IF(NOT(ISERROR(HLOOKUP(Standings!CK$3,Entries!$C41:$K41,1,FALSE))),"x",IF(NOT(ISERROR(HLOOKUP(Standings!CK$3,Entries!$L41:$L41,1,FALSE))),"S",""))</f>
        <v/>
      </c>
      <c r="CL17" t="str">
        <f>IF(NOT(ISERROR(HLOOKUP(Standings!CL$3,Entries!$C41:$K41,1,FALSE))),"x",IF(NOT(ISERROR(HLOOKUP(Standings!CL$3,Entries!$L41:$L41,1,FALSE))),"S",""))</f>
        <v/>
      </c>
      <c r="CM17" t="str">
        <f>IF(NOT(ISERROR(HLOOKUP(Standings!CM$3,Entries!$C41:$K41,1,FALSE))),"x",IF(NOT(ISERROR(HLOOKUP(Standings!CM$3,Entries!$L41:$L41,1,FALSE))),"S",""))</f>
        <v/>
      </c>
      <c r="CN17" t="str">
        <f>IF(NOT(ISERROR(HLOOKUP(Standings!CN$3,Entries!$C41:$K41,1,FALSE))),"x",IF(NOT(ISERROR(HLOOKUP(Standings!CN$3,Entries!$L41:$L41,1,FALSE))),"S",""))</f>
        <v/>
      </c>
      <c r="CO17" t="str">
        <f>IF(NOT(ISERROR(HLOOKUP(Standings!CO$3,Entries!$C41:$K41,1,FALSE))),"x",IF(NOT(ISERROR(HLOOKUP(Standings!CO$3,Entries!$L41:$L41,1,FALSE))),"S",""))</f>
        <v/>
      </c>
      <c r="CP17" t="str">
        <f>IF(NOT(ISERROR(HLOOKUP(Standings!CP$3,Entries!$C41:$K41,1,FALSE))),"x",IF(NOT(ISERROR(HLOOKUP(Standings!CP$3,Entries!$L41:$L41,1,FALSE))),"S",""))</f>
        <v/>
      </c>
      <c r="CQ17" t="str">
        <f>IF(NOT(ISERROR(HLOOKUP(Standings!CQ$3,Entries!$C41:$K41,1,FALSE))),"x",IF(NOT(ISERROR(HLOOKUP(Standings!CQ$3,Entries!$L41:$L41,1,FALSE))),"S",""))</f>
        <v/>
      </c>
      <c r="CR17" t="str">
        <f>IF(NOT(ISERROR(HLOOKUP(Standings!CR$3,Entries!$C41:$K41,1,FALSE))),"x",IF(NOT(ISERROR(HLOOKUP(Standings!CR$3,Entries!$L41:$L41,1,FALSE))),"S",""))</f>
        <v/>
      </c>
      <c r="CS17" t="str">
        <f>IF(NOT(ISERROR(HLOOKUP(Standings!CS$3,Entries!$C41:$K41,1,FALSE))),"x",IF(NOT(ISERROR(HLOOKUP(Standings!CS$3,Entries!$L41:$L41,1,FALSE))),"S",""))</f>
        <v/>
      </c>
      <c r="CT17" t="str">
        <f>IF(NOT(ISERROR(HLOOKUP(Standings!CT$3,Entries!$C41:$K41,1,FALSE))),"x",IF(NOT(ISERROR(HLOOKUP(Standings!CT$3,Entries!$L41:$L41,1,FALSE))),"S",""))</f>
        <v/>
      </c>
      <c r="CU17" t="str">
        <f>IF(NOT(ISERROR(HLOOKUP(Standings!CU$3,Entries!$C41:$K41,1,FALSE))),"x",IF(NOT(ISERROR(HLOOKUP(Standings!CU$3,Entries!$L41:$L41,1,FALSE))),"S",""))</f>
        <v>S</v>
      </c>
      <c r="CV17" t="str">
        <f>IF(NOT(ISERROR(HLOOKUP(Standings!CV$3,Entries!$C41:$K41,1,FALSE))),"x",IF(NOT(ISERROR(HLOOKUP(Standings!CV$3,Entries!$L41:$L41,1,FALSE))),"S",""))</f>
        <v/>
      </c>
      <c r="CW17" t="str">
        <f>IF(NOT(ISERROR(HLOOKUP(Standings!CW$3,Entries!$C41:$K41,1,FALSE))),"x",IF(NOT(ISERROR(HLOOKUP(Standings!CW$3,Entries!$L41:$L41,1,FALSE))),"S",""))</f>
        <v/>
      </c>
      <c r="CX17" t="str">
        <f>IF(NOT(ISERROR(HLOOKUP(Standings!CX$3,Entries!$C41:$K41,1,FALSE))),"x",IF(NOT(ISERROR(HLOOKUP(Standings!CX$3,Entries!$L41:$L41,1,FALSE))),"S",""))</f>
        <v>x</v>
      </c>
      <c r="CY17" t="str">
        <f>IF(NOT(ISERROR(HLOOKUP(Standings!CY$3,Entries!$C41:$K41,1,FALSE))),"x",IF(NOT(ISERROR(HLOOKUP(Standings!CY$3,Entries!$L41:$L41,1,FALSE))),"S",""))</f>
        <v/>
      </c>
      <c r="CZ17" t="str">
        <f>IF(NOT(ISERROR(HLOOKUP(Standings!CZ$3,Entries!$C41:$K41,1,FALSE))),"x",IF(NOT(ISERROR(HLOOKUP(Standings!CZ$3,Entries!$L41:$L41,1,FALSE))),"S",""))</f>
        <v/>
      </c>
      <c r="DA17" t="str">
        <f>IF(NOT(ISERROR(HLOOKUP(Standings!DA$3,Entries!$C41:$K41,1,FALSE))),"x",IF(NOT(ISERROR(HLOOKUP(Standings!DA$3,Entries!$L41:$L41,1,FALSE))),"S",""))</f>
        <v/>
      </c>
      <c r="DB17" t="str">
        <f>IF(NOT(ISERROR(HLOOKUP(Standings!DB$3,Entries!$C41:$K41,1,FALSE))),"x",IF(NOT(ISERROR(HLOOKUP(Standings!DB$3,Entries!$L41:$L41,1,FALSE))),"S",""))</f>
        <v/>
      </c>
    </row>
    <row r="18" spans="1:106" x14ac:dyDescent="0.25">
      <c r="B18">
        <v>44</v>
      </c>
      <c r="C18" t="str">
        <f>Entries!B52</f>
        <v>ZachSchaefer1</v>
      </c>
      <c r="D18" s="4">
        <f>IF(C18="","",RANK(E18,$E$10:$E$111))</f>
        <v>5</v>
      </c>
      <c r="E18" s="31">
        <f>IF(C18="","",ROUND(SUM(F18:AK18),0))</f>
        <v>7</v>
      </c>
      <c r="F18" s="40" t="str">
        <f>IF(BG18="","",IF(BG18="x",F$6,0)+IF(BG18="S",-F$6-0.00001,0))</f>
        <v/>
      </c>
      <c r="G18" s="41" t="str">
        <f>IF(BH18="","",IF(BH18="x",G$6,0)+IF(BH18="S",-G$6-0.00001,0))</f>
        <v/>
      </c>
      <c r="H18" s="41">
        <f>IF(BI18="","",IF(BI18="x",H$6,0)+IF(BI18="S",-H$6-0.00001,0))</f>
        <v>2</v>
      </c>
      <c r="I18" s="42" t="str">
        <f>IF(BJ18="","",IF(BJ18="x",I$6,0)+IF(BJ18="S",-I$6-0.00001,0))</f>
        <v/>
      </c>
      <c r="J18" s="40" t="str">
        <f>IF(BK18="","",IF(BK18="x",J$6,0)+IF(BK18="S",-J$6-0.00001,0))</f>
        <v/>
      </c>
      <c r="K18" s="41" t="str">
        <f>IF(BL18="","",IF(BL18="x",K$6,0)+IF(BL18="S",-K$6-0.00001,0))</f>
        <v/>
      </c>
      <c r="L18" s="41" t="str">
        <f>IF(BM18="","",IF(BM18="x",L$6,0)+IF(BM18="S",-L$6-0.00001,0))</f>
        <v/>
      </c>
      <c r="M18" s="42" t="str">
        <f>IF(BN18="","",IF(BN18="x",M$6,0)+IF(BN18="S",-M$6-0.00001,0))</f>
        <v/>
      </c>
      <c r="N18" s="43" t="str">
        <f>IF(BO18="","",IF(BO18="x",N$6,0)+IF(BO18="S",-N$6-0.00001,0))</f>
        <v/>
      </c>
      <c r="O18" s="41">
        <f>IF(BP18="","",IF(BP18="x",O$6,0)+IF(BP18="S",-O$6-0.00001,0))</f>
        <v>1</v>
      </c>
      <c r="P18" s="41" t="str">
        <f>IF(BQ18="","",IF(BQ18="x",P$6,0)+IF(BQ18="S",-P$6-0.00001,0))</f>
        <v/>
      </c>
      <c r="Q18" s="42" t="str">
        <f>IF(BR18="","",IF(BR18="x",Q$6,0)+IF(BR18="S",-Q$6-0.00001,0))</f>
        <v/>
      </c>
      <c r="R18" s="40" t="str">
        <f>IF(BS18="","",IF(BS18="x",R$6,0)+IF(BS18="S",-R$6-0.00001,0))</f>
        <v/>
      </c>
      <c r="S18" s="41" t="str">
        <f>IF(BT18="","",IF(BT18="x",S$6,0)+IF(BT18="S",-S$6-0.00001,0))</f>
        <v/>
      </c>
      <c r="T18" s="43">
        <f>IF(BU18="","",IF(BU18="x",T$6,0)+IF(BU18="S",-T$6-0.00001,0))</f>
        <v>2</v>
      </c>
      <c r="U18" s="42">
        <f>IF(BV18="","",IF(BV18="x",U$6,0)+IF(BV18="S",-U$6-0.00001,0))</f>
        <v>-1.0000000000000001E-5</v>
      </c>
      <c r="V18" s="40" t="str">
        <f>IF(BW18="","",IF(BW18="x",V$6,0)+IF(BW18="S",-V$6-0.00001,0))</f>
        <v/>
      </c>
      <c r="W18" s="41" t="str">
        <f>IF(BX18="","",IF(BX18="x",W$6,0)+IF(BX18="S",-W$6-0.00001,0))</f>
        <v/>
      </c>
      <c r="X18" s="41" t="str">
        <f>IF(BY18="","",IF(BY18="x",X$6,0)+IF(BY18="S",-X$6-0.00001,0))</f>
        <v/>
      </c>
      <c r="Y18" s="42">
        <f>IF(BZ18="","",IF(BZ18="x",Y$6,0)+IF(BZ18="S",-Y$6-0.00001,0))</f>
        <v>0</v>
      </c>
      <c r="Z18" s="40" t="str">
        <f>IF(CA18="","",IF(CA18="x",Z$6,0)+IF(CA18="S",-Z$6-0.00001,0))</f>
        <v/>
      </c>
      <c r="AA18" s="41">
        <f>IF(CB18="","",IF(CB18="x",AA$6,0)+IF(CB18="S",-AA$6-0.00001,0))</f>
        <v>1</v>
      </c>
      <c r="AB18" s="41" t="str">
        <f>IF(CC18="","",IF(CC18="x",AB$6,0)+IF(CC18="S",-AB$6-0.00001,0))</f>
        <v/>
      </c>
      <c r="AC18" s="42" t="str">
        <f>IF(CD18="","",IF(CD18="x",AC$6,0)+IF(CD18="S",-AC$6-0.00001,0))</f>
        <v/>
      </c>
      <c r="AD18" s="40" t="str">
        <f>IF(CE18="","",IF(CE18="x",AD$6,0)+IF(CE18="S",-AD$6-0.00001,0))</f>
        <v/>
      </c>
      <c r="AE18" s="41" t="str">
        <f>IF(CF18="","",IF(CF18="x",AE$6,0)+IF(CF18="S",-AE$6-0.00001,0))</f>
        <v/>
      </c>
      <c r="AF18" s="41">
        <f>IF(CG18="","",IF(CG18="x",AF$6,0)+IF(CG18="S",-AF$6-0.00001,0))</f>
        <v>1</v>
      </c>
      <c r="AG18" s="42" t="str">
        <f>IF(CH18="","",IF(CH18="x",AG$6,0)+IF(CH18="S",-AG$6-0.00001,0))</f>
        <v/>
      </c>
      <c r="AH18" s="40" t="str">
        <f>IF(CI18="","",IF(CI18="x",AH$6,0)+IF(CI18="S",-AH$6-0.00001,0))</f>
        <v/>
      </c>
      <c r="AI18" s="41" t="str">
        <f>IF(CJ18="","",IF(CJ18="x",AI$6,0)+IF(CJ18="S",-AI$6-0.00001,0))</f>
        <v/>
      </c>
      <c r="AJ18" s="41" t="str">
        <f>IF(CK18="","",IF(CK18="x",AJ$6,0)+IF(CK18="S",-AJ$6-0.00001,0))</f>
        <v/>
      </c>
      <c r="AK18" s="42" t="str">
        <f>IF(CL18="","",IF(CL18="x",AK$6,0)+IF(CL18="S",-AK$6-0.00001,0))</f>
        <v/>
      </c>
      <c r="AL18" s="40" t="str">
        <f>IF(CM18="","",IF(CM18="x",AL$6,0)+IF(CM18="S",-AL$6-0.00001,0))</f>
        <v/>
      </c>
      <c r="AM18" s="41">
        <f>IF(CN18="","",IF(CN18="x",AM$6,0)+IF(CN18="S",-AM$6-0.00001,0))</f>
        <v>0</v>
      </c>
      <c r="AN18" s="41" t="str">
        <f>IF(CO18="","",IF(CO18="x",AN$6,0)+IF(CO18="S",-AN$6-0.00001,0))</f>
        <v/>
      </c>
      <c r="AO18" s="42" t="str">
        <f>IF(CP18="","",IF(CP18="x",AO$6,0)+IF(CP18="S",-AO$6-0.00001,0))</f>
        <v/>
      </c>
      <c r="AP18" s="40" t="str">
        <f>IF(CQ18="","",IF(CQ18="x",AP$6,0)+IF(CQ18="S",-AP$6-0.00001,0))</f>
        <v/>
      </c>
      <c r="AQ18" s="41" t="str">
        <f>IF(CR18="","",IF(CR18="x",AQ$6,0)+IF(CR18="S",-AQ$6-0.00001,0))</f>
        <v/>
      </c>
      <c r="AR18" s="41" t="str">
        <f>IF(CS18="","",IF(CS18="x",AR$6,0)+IF(CS18="S",-AR$6-0.00001,0))</f>
        <v/>
      </c>
      <c r="AS18" s="42" t="str">
        <f>IF(CT18="","",IF(CT18="x",AS$6,0)+IF(CT18="S",-AS$6-0.00001,0))</f>
        <v/>
      </c>
      <c r="AT18" s="40" t="str">
        <f>IF(CU18="","",IF(CU18="x",AT$6,0)+IF(CU18="S",-AT$6-0.00001,0))</f>
        <v/>
      </c>
      <c r="AU18" s="41" t="str">
        <f>IF(CV18="","",IF(CV18="x",AU$6,0)+IF(CV18="S",-AU$6-0.00001,0))</f>
        <v/>
      </c>
      <c r="AV18" s="41" t="str">
        <f>IF(CW18="","",IF(CW18="x",AV$6,0)+IF(CW18="S",-AV$6-0.00001,0))</f>
        <v/>
      </c>
      <c r="AW18" s="42">
        <f>IF(CX18="","",IF(CX18="x",AW$6,0)+IF(CX18="S",-AW$6-0.00001,0))</f>
        <v>0</v>
      </c>
      <c r="AX18" s="40" t="str">
        <f>IF(CY18="","",IF(CY18="x",AX$6,0)+IF(CY18="S",-AX$6-0.00001,0))</f>
        <v/>
      </c>
      <c r="AY18" s="41">
        <f>IF(CZ18="","",IF(CZ18="x",AY$6,0)+IF(CZ18="S",-AY$6-0.00001,0))</f>
        <v>0</v>
      </c>
      <c r="AZ18" s="41" t="str">
        <f>IF(DA18="","",IF(DA18="x",AZ$6,0)+IF(DA18="S",-AZ$6-0.00001,0))</f>
        <v/>
      </c>
      <c r="BA18" s="42" t="str">
        <f>IF(DB18="","",IF(DB18="x",BA$6,0)+IF(DB18="S",-BA$6-0.00001,0))</f>
        <v/>
      </c>
      <c r="BB18" s="37" t="s">
        <v>106</v>
      </c>
      <c r="BC18" s="21"/>
      <c r="BD18" s="21"/>
      <c r="BG18" t="str">
        <f>IF(NOT(ISERROR(HLOOKUP(Standings!BG$3,Entries!$C52:$K52,1,FALSE))),"x",IF(NOT(ISERROR(HLOOKUP(Standings!BG$3,Entries!$L52:$L52,1,FALSE))),"S",""))</f>
        <v/>
      </c>
      <c r="BH18" t="str">
        <f>IF(NOT(ISERROR(HLOOKUP(Standings!BH$3,Entries!$C52:$K52,1,FALSE))),"x",IF(NOT(ISERROR(HLOOKUP(Standings!BH$3,Entries!$L52:$L52,1,FALSE))),"S",""))</f>
        <v/>
      </c>
      <c r="BI18" t="str">
        <f>IF(NOT(ISERROR(HLOOKUP(Standings!BI$3,Entries!$C52:$K52,1,FALSE))),"x",IF(NOT(ISERROR(HLOOKUP(Standings!BI$3,Entries!$L52:$L52,1,FALSE))),"S",""))</f>
        <v>x</v>
      </c>
      <c r="BJ18" t="str">
        <f>IF(NOT(ISERROR(HLOOKUP(Standings!BJ$3,Entries!$C52:$K52,1,FALSE))),"x",IF(NOT(ISERROR(HLOOKUP(Standings!BJ$3,Entries!$L52:$L52,1,FALSE))),"S",""))</f>
        <v/>
      </c>
      <c r="BK18" t="str">
        <f>IF(NOT(ISERROR(HLOOKUP(Standings!BK$3,Entries!$C52:$K52,1,FALSE))),"x",IF(NOT(ISERROR(HLOOKUP(Standings!BK$3,Entries!$L52:$L52,1,FALSE))),"S",""))</f>
        <v/>
      </c>
      <c r="BL18" t="str">
        <f>IF(NOT(ISERROR(HLOOKUP(Standings!BL$3,Entries!$C52:$K52,1,FALSE))),"x",IF(NOT(ISERROR(HLOOKUP(Standings!BL$3,Entries!$L52:$L52,1,FALSE))),"S",""))</f>
        <v/>
      </c>
      <c r="BM18" t="str">
        <f>IF(NOT(ISERROR(HLOOKUP(Standings!BM$3,Entries!$C52:$K52,1,FALSE))),"x",IF(NOT(ISERROR(HLOOKUP(Standings!BM$3,Entries!$L52:$L52,1,FALSE))),"S",""))</f>
        <v/>
      </c>
      <c r="BN18" t="str">
        <f>IF(NOT(ISERROR(HLOOKUP(Standings!BN$3,Entries!$C52:$K52,1,FALSE))),"x",IF(NOT(ISERROR(HLOOKUP(Standings!BN$3,Entries!$L52:$L52,1,FALSE))),"S",""))</f>
        <v/>
      </c>
      <c r="BO18" t="str">
        <f>IF(NOT(ISERROR(HLOOKUP(Standings!BO$3,Entries!$C52:$K52,1,FALSE))),"x",IF(NOT(ISERROR(HLOOKUP(Standings!BO$3,Entries!$L52:$L52,1,FALSE))),"S",""))</f>
        <v/>
      </c>
      <c r="BP18" t="str">
        <f>IF(NOT(ISERROR(HLOOKUP(Standings!BP$3,Entries!$C52:$K52,1,FALSE))),"x",IF(NOT(ISERROR(HLOOKUP(Standings!BP$3,Entries!$L52:$L52,1,FALSE))),"S",""))</f>
        <v>x</v>
      </c>
      <c r="BQ18" t="str">
        <f>IF(NOT(ISERROR(HLOOKUP(Standings!BQ$3,Entries!$C52:$K52,1,FALSE))),"x",IF(NOT(ISERROR(HLOOKUP(Standings!BQ$3,Entries!$L52:$L52,1,FALSE))),"S",""))</f>
        <v/>
      </c>
      <c r="BR18" t="str">
        <f>IF(NOT(ISERROR(HLOOKUP(Standings!BR$3,Entries!$C52:$K52,1,FALSE))),"x",IF(NOT(ISERROR(HLOOKUP(Standings!BR$3,Entries!$L52:$L52,1,FALSE))),"S",""))</f>
        <v/>
      </c>
      <c r="BS18" t="str">
        <f>IF(NOT(ISERROR(HLOOKUP(Standings!BS$3,Entries!$C52:$K52,1,FALSE))),"x",IF(NOT(ISERROR(HLOOKUP(Standings!BS$3,Entries!$L52:$L52,1,FALSE))),"S",""))</f>
        <v/>
      </c>
      <c r="BT18" t="str">
        <f>IF(NOT(ISERROR(HLOOKUP(Standings!BT$3,Entries!$C52:$K52,1,FALSE))),"x",IF(NOT(ISERROR(HLOOKUP(Standings!BT$3,Entries!$L52:$L52,1,FALSE))),"S",""))</f>
        <v/>
      </c>
      <c r="BU18" t="str">
        <f>IF(NOT(ISERROR(HLOOKUP(Standings!BU$3,Entries!$C52:$K52,1,FALSE))),"x",IF(NOT(ISERROR(HLOOKUP(Standings!BU$3,Entries!$L52:$L52,1,FALSE))),"S",""))</f>
        <v>x</v>
      </c>
      <c r="BV18" t="str">
        <f>IF(NOT(ISERROR(HLOOKUP(Standings!BV$3,Entries!$C52:$K52,1,FALSE))),"x",IF(NOT(ISERROR(HLOOKUP(Standings!BV$3,Entries!$L52:$L52,1,FALSE))),"S",""))</f>
        <v>S</v>
      </c>
      <c r="BW18" t="str">
        <f>IF(NOT(ISERROR(HLOOKUP(Standings!BW$3,Entries!$C52:$K52,1,FALSE))),"x",IF(NOT(ISERROR(HLOOKUP(Standings!BW$3,Entries!$L52:$L52,1,FALSE))),"S",""))</f>
        <v/>
      </c>
      <c r="BX18" t="str">
        <f>IF(NOT(ISERROR(HLOOKUP(Standings!BX$3,Entries!$C52:$K52,1,FALSE))),"x",IF(NOT(ISERROR(HLOOKUP(Standings!BX$3,Entries!$L52:$L52,1,FALSE))),"S",""))</f>
        <v/>
      </c>
      <c r="BY18" t="str">
        <f>IF(NOT(ISERROR(HLOOKUP(Standings!BY$3,Entries!$C52:$K52,1,FALSE))),"x",IF(NOT(ISERROR(HLOOKUP(Standings!BY$3,Entries!$L52:$L52,1,FALSE))),"S",""))</f>
        <v/>
      </c>
      <c r="BZ18" t="str">
        <f>IF(NOT(ISERROR(HLOOKUP(Standings!BZ$3,Entries!$C52:$K52,1,FALSE))),"x",IF(NOT(ISERROR(HLOOKUP(Standings!BZ$3,Entries!$L52:$L52,1,FALSE))),"S",""))</f>
        <v>x</v>
      </c>
      <c r="CA18" t="str">
        <f>IF(NOT(ISERROR(HLOOKUP(Standings!CA$3,Entries!$C52:$K52,1,FALSE))),"x",IF(NOT(ISERROR(HLOOKUP(Standings!CA$3,Entries!$L52:$L52,1,FALSE))),"S",""))</f>
        <v/>
      </c>
      <c r="CB18" t="str">
        <f>IF(NOT(ISERROR(HLOOKUP(Standings!CB$3,Entries!$C52:$K52,1,FALSE))),"x",IF(NOT(ISERROR(HLOOKUP(Standings!CB$3,Entries!$L52:$L52,1,FALSE))),"S",""))</f>
        <v>x</v>
      </c>
      <c r="CC18" t="str">
        <f>IF(NOT(ISERROR(HLOOKUP(Standings!CC$3,Entries!$C52:$K52,1,FALSE))),"x",IF(NOT(ISERROR(HLOOKUP(Standings!CC$3,Entries!$L52:$L52,1,FALSE))),"S",""))</f>
        <v/>
      </c>
      <c r="CD18" t="str">
        <f>IF(NOT(ISERROR(HLOOKUP(Standings!CD$3,Entries!$C52:$K52,1,FALSE))),"x",IF(NOT(ISERROR(HLOOKUP(Standings!CD$3,Entries!$L52:$L52,1,FALSE))),"S",""))</f>
        <v/>
      </c>
      <c r="CE18" t="str">
        <f>IF(NOT(ISERROR(HLOOKUP(Standings!CE$3,Entries!$C52:$K52,1,FALSE))),"x",IF(NOT(ISERROR(HLOOKUP(Standings!CE$3,Entries!$L52:$L52,1,FALSE))),"S",""))</f>
        <v/>
      </c>
      <c r="CF18" t="str">
        <f>IF(NOT(ISERROR(HLOOKUP(Standings!CF$3,Entries!$C52:$K52,1,FALSE))),"x",IF(NOT(ISERROR(HLOOKUP(Standings!CF$3,Entries!$L52:$L52,1,FALSE))),"S",""))</f>
        <v/>
      </c>
      <c r="CG18" t="str">
        <f>IF(NOT(ISERROR(HLOOKUP(Standings!CG$3,Entries!$C52:$K52,1,FALSE))),"x",IF(NOT(ISERROR(HLOOKUP(Standings!CG$3,Entries!$L52:$L52,1,FALSE))),"S",""))</f>
        <v>x</v>
      </c>
      <c r="CH18" t="str">
        <f>IF(NOT(ISERROR(HLOOKUP(Standings!CH$3,Entries!$C52:$K52,1,FALSE))),"x",IF(NOT(ISERROR(HLOOKUP(Standings!CH$3,Entries!$L52:$L52,1,FALSE))),"S",""))</f>
        <v/>
      </c>
      <c r="CI18" t="str">
        <f>IF(NOT(ISERROR(HLOOKUP(Standings!CI$3,Entries!$C52:$K52,1,FALSE))),"x",IF(NOT(ISERROR(HLOOKUP(Standings!CI$3,Entries!$L52:$L52,1,FALSE))),"S",""))</f>
        <v/>
      </c>
      <c r="CJ18" t="str">
        <f>IF(NOT(ISERROR(HLOOKUP(Standings!CJ$3,Entries!$C52:$K52,1,FALSE))),"x",IF(NOT(ISERROR(HLOOKUP(Standings!CJ$3,Entries!$L52:$L52,1,FALSE))),"S",""))</f>
        <v/>
      </c>
      <c r="CK18" t="str">
        <f>IF(NOT(ISERROR(HLOOKUP(Standings!CK$3,Entries!$C52:$K52,1,FALSE))),"x",IF(NOT(ISERROR(HLOOKUP(Standings!CK$3,Entries!$L52:$L52,1,FALSE))),"S",""))</f>
        <v/>
      </c>
      <c r="CL18" t="str">
        <f>IF(NOT(ISERROR(HLOOKUP(Standings!CL$3,Entries!$C52:$K52,1,FALSE))),"x",IF(NOT(ISERROR(HLOOKUP(Standings!CL$3,Entries!$L52:$L52,1,FALSE))),"S",""))</f>
        <v/>
      </c>
      <c r="CM18" t="str">
        <f>IF(NOT(ISERROR(HLOOKUP(Standings!CM$3,Entries!$C52:$K52,1,FALSE))),"x",IF(NOT(ISERROR(HLOOKUP(Standings!CM$3,Entries!$L52:$L52,1,FALSE))),"S",""))</f>
        <v/>
      </c>
      <c r="CN18" t="str">
        <f>IF(NOT(ISERROR(HLOOKUP(Standings!CN$3,Entries!$C52:$K52,1,FALSE))),"x",IF(NOT(ISERROR(HLOOKUP(Standings!CN$3,Entries!$L52:$L52,1,FALSE))),"S",""))</f>
        <v>x</v>
      </c>
      <c r="CO18" t="str">
        <f>IF(NOT(ISERROR(HLOOKUP(Standings!CO$3,Entries!$C52:$K52,1,FALSE))),"x",IF(NOT(ISERROR(HLOOKUP(Standings!CO$3,Entries!$L52:$L52,1,FALSE))),"S",""))</f>
        <v/>
      </c>
      <c r="CP18" t="str">
        <f>IF(NOT(ISERROR(HLOOKUP(Standings!CP$3,Entries!$C52:$K52,1,FALSE))),"x",IF(NOT(ISERROR(HLOOKUP(Standings!CP$3,Entries!$L52:$L52,1,FALSE))),"S",""))</f>
        <v/>
      </c>
      <c r="CQ18" t="str">
        <f>IF(NOT(ISERROR(HLOOKUP(Standings!CQ$3,Entries!$C52:$K52,1,FALSE))),"x",IF(NOT(ISERROR(HLOOKUP(Standings!CQ$3,Entries!$L52:$L52,1,FALSE))),"S",""))</f>
        <v/>
      </c>
      <c r="CR18" t="str">
        <f>IF(NOT(ISERROR(HLOOKUP(Standings!CR$3,Entries!$C52:$K52,1,FALSE))),"x",IF(NOT(ISERROR(HLOOKUP(Standings!CR$3,Entries!$L52:$L52,1,FALSE))),"S",""))</f>
        <v/>
      </c>
      <c r="CS18" t="str">
        <f>IF(NOT(ISERROR(HLOOKUP(Standings!CS$3,Entries!$C52:$K52,1,FALSE))),"x",IF(NOT(ISERROR(HLOOKUP(Standings!CS$3,Entries!$L52:$L52,1,FALSE))),"S",""))</f>
        <v/>
      </c>
      <c r="CT18" t="str">
        <f>IF(NOT(ISERROR(HLOOKUP(Standings!CT$3,Entries!$C52:$K52,1,FALSE))),"x",IF(NOT(ISERROR(HLOOKUP(Standings!CT$3,Entries!$L52:$L52,1,FALSE))),"S",""))</f>
        <v/>
      </c>
      <c r="CU18" t="str">
        <f>IF(NOT(ISERROR(HLOOKUP(Standings!CU$3,Entries!$C52:$K52,1,FALSE))),"x",IF(NOT(ISERROR(HLOOKUP(Standings!CU$3,Entries!$L52:$L52,1,FALSE))),"S",""))</f>
        <v/>
      </c>
      <c r="CV18" t="str">
        <f>IF(NOT(ISERROR(HLOOKUP(Standings!CV$3,Entries!$C52:$K52,1,FALSE))),"x",IF(NOT(ISERROR(HLOOKUP(Standings!CV$3,Entries!$L52:$L52,1,FALSE))),"S",""))</f>
        <v/>
      </c>
      <c r="CW18" t="str">
        <f>IF(NOT(ISERROR(HLOOKUP(Standings!CW$3,Entries!$C52:$K52,1,FALSE))),"x",IF(NOT(ISERROR(HLOOKUP(Standings!CW$3,Entries!$L52:$L52,1,FALSE))),"S",""))</f>
        <v/>
      </c>
      <c r="CX18" t="str">
        <f>IF(NOT(ISERROR(HLOOKUP(Standings!CX$3,Entries!$C52:$K52,1,FALSE))),"x",IF(NOT(ISERROR(HLOOKUP(Standings!CX$3,Entries!$L52:$L52,1,FALSE))),"S",""))</f>
        <v>x</v>
      </c>
      <c r="CY18" t="str">
        <f>IF(NOT(ISERROR(HLOOKUP(Standings!CY$3,Entries!$C52:$K52,1,FALSE))),"x",IF(NOT(ISERROR(HLOOKUP(Standings!CY$3,Entries!$L52:$L52,1,FALSE))),"S",""))</f>
        <v/>
      </c>
      <c r="CZ18" t="str">
        <f>IF(NOT(ISERROR(HLOOKUP(Standings!CZ$3,Entries!$C52:$K52,1,FALSE))),"x",IF(NOT(ISERROR(HLOOKUP(Standings!CZ$3,Entries!$L52:$L52,1,FALSE))),"S",""))</f>
        <v>x</v>
      </c>
      <c r="DA18" t="str">
        <f>IF(NOT(ISERROR(HLOOKUP(Standings!DA$3,Entries!$C52:$K52,1,FALSE))),"x",IF(NOT(ISERROR(HLOOKUP(Standings!DA$3,Entries!$L52:$L52,1,FALSE))),"S",""))</f>
        <v/>
      </c>
      <c r="DB18" t="str">
        <f>IF(NOT(ISERROR(HLOOKUP(Standings!DB$3,Entries!$C52:$K52,1,FALSE))),"x",IF(NOT(ISERROR(HLOOKUP(Standings!DB$3,Entries!$L52:$L52,1,FALSE))),"S",""))</f>
        <v/>
      </c>
    </row>
    <row r="19" spans="1:106" x14ac:dyDescent="0.25">
      <c r="A19" s="18"/>
      <c r="B19">
        <v>26</v>
      </c>
      <c r="C19" t="str">
        <f>Entries!B101</f>
        <v>Andy F2</v>
      </c>
      <c r="D19" s="4">
        <f>IF(C19="","",RANK(E19,$E$10:$E$111))</f>
        <v>5</v>
      </c>
      <c r="E19" s="31">
        <f>IF(C19="","",ROUND(SUM(F19:AK19),0))</f>
        <v>7</v>
      </c>
      <c r="F19" s="40" t="str">
        <f>IF(BG19="","",IF(BG19="x",F$6,0)+IF(BG19="S",-F$6-0.00001,0))</f>
        <v/>
      </c>
      <c r="G19" s="41" t="str">
        <f>IF(BH19="","",IF(BH19="x",G$6,0)+IF(BH19="S",-G$6-0.00001,0))</f>
        <v/>
      </c>
      <c r="H19" s="41" t="str">
        <f>IF(BI19="","",IF(BI19="x",H$6,0)+IF(BI19="S",-H$6-0.00001,0))</f>
        <v/>
      </c>
      <c r="I19" s="42">
        <f>IF(BJ19="","",IF(BJ19="x",I$6,0)+IF(BJ19="S",-I$6-0.00001,0))</f>
        <v>0</v>
      </c>
      <c r="J19" s="40">
        <f>IF(BK19="","",IF(BK19="x",J$6,0)+IF(BK19="S",-J$6-0.00001,0))</f>
        <v>1</v>
      </c>
      <c r="K19" s="41" t="str">
        <f>IF(BL19="","",IF(BL19="x",K$6,0)+IF(BL19="S",-K$6-0.00001,0))</f>
        <v/>
      </c>
      <c r="L19" s="41" t="str">
        <f>IF(BM19="","",IF(BM19="x",L$6,0)+IF(BM19="S",-L$6-0.00001,0))</f>
        <v/>
      </c>
      <c r="M19" s="42" t="str">
        <f>IF(BN19="","",IF(BN19="x",M$6,0)+IF(BN19="S",-M$6-0.00001,0))</f>
        <v/>
      </c>
      <c r="N19" s="43" t="str">
        <f>IF(BO19="","",IF(BO19="x",N$6,0)+IF(BO19="S",-N$6-0.00001,0))</f>
        <v/>
      </c>
      <c r="O19" s="41">
        <f>IF(BP19="","",IF(BP19="x",O$6,0)+IF(BP19="S",-O$6-0.00001,0))</f>
        <v>1</v>
      </c>
      <c r="P19" s="41" t="str">
        <f>IF(BQ19="","",IF(BQ19="x",P$6,0)+IF(BQ19="S",-P$6-0.00001,0))</f>
        <v/>
      </c>
      <c r="Q19" s="42" t="str">
        <f>IF(BR19="","",IF(BR19="x",Q$6,0)+IF(BR19="S",-Q$6-0.00001,0))</f>
        <v/>
      </c>
      <c r="R19" s="40">
        <f>IF(BS19="","",IF(BS19="x",R$6,0)+IF(BS19="S",-R$6-0.00001,0))</f>
        <v>2</v>
      </c>
      <c r="S19" s="41" t="str">
        <f>IF(BT19="","",IF(BT19="x",S$6,0)+IF(BT19="S",-S$6-0.00001,0))</f>
        <v/>
      </c>
      <c r="T19" s="43" t="str">
        <f>IF(BU19="","",IF(BU19="x",T$6,0)+IF(BU19="S",-T$6-0.00001,0))</f>
        <v/>
      </c>
      <c r="U19" s="42" t="str">
        <f>IF(BV19="","",IF(BV19="x",U$6,0)+IF(BV19="S",-U$6-0.00001,0))</f>
        <v/>
      </c>
      <c r="V19" s="40" t="str">
        <f>IF(BW19="","",IF(BW19="x",V$6,0)+IF(BW19="S",-V$6-0.00001,0))</f>
        <v/>
      </c>
      <c r="W19" s="41" t="str">
        <f>IF(BX19="","",IF(BX19="x",W$6,0)+IF(BX19="S",-W$6-0.00001,0))</f>
        <v/>
      </c>
      <c r="X19" s="41">
        <f>IF(BY19="","",IF(BY19="x",X$6,0)+IF(BY19="S",-X$6-0.00001,0))</f>
        <v>2</v>
      </c>
      <c r="Y19" s="42" t="str">
        <f>IF(BZ19="","",IF(BZ19="x",Y$6,0)+IF(BZ19="S",-Y$6-0.00001,0))</f>
        <v/>
      </c>
      <c r="Z19" s="40" t="str">
        <f>IF(CA19="","",IF(CA19="x",Z$6,0)+IF(CA19="S",-Z$6-0.00001,0))</f>
        <v/>
      </c>
      <c r="AA19" s="41">
        <f>IF(CB19="","",IF(CB19="x",AA$6,0)+IF(CB19="S",-AA$6-0.00001,0))</f>
        <v>1</v>
      </c>
      <c r="AB19" s="41" t="str">
        <f>IF(CC19="","",IF(CC19="x",AB$6,0)+IF(CC19="S",-AB$6-0.00001,0))</f>
        <v/>
      </c>
      <c r="AC19" s="42" t="str">
        <f>IF(CD19="","",IF(CD19="x",AC$6,0)+IF(CD19="S",-AC$6-0.00001,0))</f>
        <v/>
      </c>
      <c r="AD19" s="40" t="str">
        <f>IF(CE19="","",IF(CE19="x",AD$6,0)+IF(CE19="S",-AD$6-0.00001,0))</f>
        <v/>
      </c>
      <c r="AE19" s="41" t="str">
        <f>IF(CF19="","",IF(CF19="x",AE$6,0)+IF(CF19="S",-AE$6-0.00001,0))</f>
        <v/>
      </c>
      <c r="AF19" s="41" t="str">
        <f>IF(CG19="","",IF(CG19="x",AF$6,0)+IF(CG19="S",-AF$6-0.00001,0))</f>
        <v/>
      </c>
      <c r="AG19" s="42" t="str">
        <f>IF(CH19="","",IF(CH19="x",AG$6,0)+IF(CH19="S",-AG$6-0.00001,0))</f>
        <v/>
      </c>
      <c r="AH19" s="40" t="str">
        <f>IF(CI19="","",IF(CI19="x",AH$6,0)+IF(CI19="S",-AH$6-0.00001,0))</f>
        <v/>
      </c>
      <c r="AI19" s="41" t="str">
        <f>IF(CJ19="","",IF(CJ19="x",AI$6,0)+IF(CJ19="S",-AI$6-0.00001,0))</f>
        <v/>
      </c>
      <c r="AJ19" s="41" t="str">
        <f>IF(CK19="","",IF(CK19="x",AJ$6,0)+IF(CK19="S",-AJ$6-0.00001,0))</f>
        <v/>
      </c>
      <c r="AK19" s="42" t="str">
        <f>IF(CL19="","",IF(CL19="x",AK$6,0)+IF(CL19="S",-AK$6-0.00001,0))</f>
        <v/>
      </c>
      <c r="AL19" s="40" t="str">
        <f>IF(CM19="","",IF(CM19="x",AL$6,0)+IF(CM19="S",-AL$6-0.00001,0))</f>
        <v/>
      </c>
      <c r="AM19" s="41">
        <f>IF(CN19="","",IF(CN19="x",AM$6,0)+IF(CN19="S",-AM$6-0.00001,0))</f>
        <v>0</v>
      </c>
      <c r="AN19" s="41" t="str">
        <f>IF(CO19="","",IF(CO19="x",AN$6,0)+IF(CO19="S",-AN$6-0.00001,0))</f>
        <v/>
      </c>
      <c r="AO19" s="42" t="str">
        <f>IF(CP19="","",IF(CP19="x",AO$6,0)+IF(CP19="S",-AO$6-0.00001,0))</f>
        <v/>
      </c>
      <c r="AP19" s="40" t="str">
        <f>IF(CQ19="","",IF(CQ19="x",AP$6,0)+IF(CQ19="S",-AP$6-0.00001,0))</f>
        <v/>
      </c>
      <c r="AQ19" s="41">
        <f>IF(CR19="","",IF(CR19="x",AQ$6,0)+IF(CR19="S",-AQ$6-0.00001,0))</f>
        <v>0</v>
      </c>
      <c r="AR19" s="41" t="str">
        <f>IF(CS19="","",IF(CS19="x",AR$6,0)+IF(CS19="S",-AR$6-0.00001,0))</f>
        <v/>
      </c>
      <c r="AS19" s="42" t="str">
        <f>IF(CT19="","",IF(CT19="x",AS$6,0)+IF(CT19="S",-AS$6-0.00001,0))</f>
        <v/>
      </c>
      <c r="AT19" s="40">
        <f>IF(CU19="","",IF(CU19="x",AT$6,0)+IF(CU19="S",-AT$6-0.00001,0))</f>
        <v>-1.0000000000000001E-5</v>
      </c>
      <c r="AU19" s="41" t="str">
        <f>IF(CV19="","",IF(CV19="x",AU$6,0)+IF(CV19="S",-AU$6-0.00001,0))</f>
        <v/>
      </c>
      <c r="AV19" s="41">
        <f>IF(CW19="","",IF(CW19="x",AV$6,0)+IF(CW19="S",-AV$6-0.00001,0))</f>
        <v>0</v>
      </c>
      <c r="AW19" s="42" t="str">
        <f>IF(CX19="","",IF(CX19="x",AW$6,0)+IF(CX19="S",-AW$6-0.00001,0))</f>
        <v/>
      </c>
      <c r="AX19" s="40" t="str">
        <f>IF(CY19="","",IF(CY19="x",AX$6,0)+IF(CY19="S",-AX$6-0.00001,0))</f>
        <v/>
      </c>
      <c r="AY19" s="41" t="str">
        <f>IF(CZ19="","",IF(CZ19="x",AY$6,0)+IF(CZ19="S",-AY$6-0.00001,0))</f>
        <v/>
      </c>
      <c r="AZ19" s="41" t="str">
        <f>IF(DA19="","",IF(DA19="x",AZ$6,0)+IF(DA19="S",-AZ$6-0.00001,0))</f>
        <v/>
      </c>
      <c r="BA19" s="42" t="str">
        <f>IF(DB19="","",IF(DB19="x",BA$6,0)+IF(DB19="S",-BA$6-0.00001,0))</f>
        <v/>
      </c>
      <c r="BB19" s="37" t="s">
        <v>106</v>
      </c>
      <c r="BC19" s="21"/>
      <c r="BD19" s="21"/>
      <c r="BG19" t="str">
        <f>IF(NOT(ISERROR(HLOOKUP(Standings!BG$3,Entries!$C101:$K101,1,FALSE))),"x",IF(NOT(ISERROR(HLOOKUP(Standings!BG$3,Entries!$L101:$L101,1,FALSE))),"S",""))</f>
        <v/>
      </c>
      <c r="BH19" t="str">
        <f>IF(NOT(ISERROR(HLOOKUP(Standings!BH$3,Entries!$C101:$K101,1,FALSE))),"x",IF(NOT(ISERROR(HLOOKUP(Standings!BH$3,Entries!$L101:$L101,1,FALSE))),"S",""))</f>
        <v/>
      </c>
      <c r="BI19" t="str">
        <f>IF(NOT(ISERROR(HLOOKUP(Standings!BI$3,Entries!$C101:$K101,1,FALSE))),"x",IF(NOT(ISERROR(HLOOKUP(Standings!BI$3,Entries!$L101:$L101,1,FALSE))),"S",""))</f>
        <v/>
      </c>
      <c r="BJ19" t="str">
        <f>IF(NOT(ISERROR(HLOOKUP(Standings!BJ$3,Entries!$C101:$K101,1,FALSE))),"x",IF(NOT(ISERROR(HLOOKUP(Standings!BJ$3,Entries!$L101:$L101,1,FALSE))),"S",""))</f>
        <v>x</v>
      </c>
      <c r="BK19" t="str">
        <f>IF(NOT(ISERROR(HLOOKUP(Standings!BK$3,Entries!$C101:$K101,1,FALSE))),"x",IF(NOT(ISERROR(HLOOKUP(Standings!BK$3,Entries!$L101:$L101,1,FALSE))),"S",""))</f>
        <v>x</v>
      </c>
      <c r="BL19" t="str">
        <f>IF(NOT(ISERROR(HLOOKUP(Standings!BL$3,Entries!$C101:$K101,1,FALSE))),"x",IF(NOT(ISERROR(HLOOKUP(Standings!BL$3,Entries!$L101:$L101,1,FALSE))),"S",""))</f>
        <v/>
      </c>
      <c r="BM19" t="str">
        <f>IF(NOT(ISERROR(HLOOKUP(Standings!BM$3,Entries!$C101:$K101,1,FALSE))),"x",IF(NOT(ISERROR(HLOOKUP(Standings!BM$3,Entries!$L101:$L101,1,FALSE))),"S",""))</f>
        <v/>
      </c>
      <c r="BN19" t="str">
        <f>IF(NOT(ISERROR(HLOOKUP(Standings!BN$3,Entries!$C101:$K101,1,FALSE))),"x",IF(NOT(ISERROR(HLOOKUP(Standings!BN$3,Entries!$L101:$L101,1,FALSE))),"S",""))</f>
        <v/>
      </c>
      <c r="BO19" t="str">
        <f>IF(NOT(ISERROR(HLOOKUP(Standings!BO$3,Entries!$C101:$K101,1,FALSE))),"x",IF(NOT(ISERROR(HLOOKUP(Standings!BO$3,Entries!$L101:$L101,1,FALSE))),"S",""))</f>
        <v/>
      </c>
      <c r="BP19" t="str">
        <f>IF(NOT(ISERROR(HLOOKUP(Standings!BP$3,Entries!$C101:$K101,1,FALSE))),"x",IF(NOT(ISERROR(HLOOKUP(Standings!BP$3,Entries!$L101:$L101,1,FALSE))),"S",""))</f>
        <v>x</v>
      </c>
      <c r="BQ19" t="str">
        <f>IF(NOT(ISERROR(HLOOKUP(Standings!BQ$3,Entries!$C101:$K101,1,FALSE))),"x",IF(NOT(ISERROR(HLOOKUP(Standings!BQ$3,Entries!$L101:$L101,1,FALSE))),"S",""))</f>
        <v/>
      </c>
      <c r="BR19" t="str">
        <f>IF(NOT(ISERROR(HLOOKUP(Standings!BR$3,Entries!$C101:$K101,1,FALSE))),"x",IF(NOT(ISERROR(HLOOKUP(Standings!BR$3,Entries!$L101:$L101,1,FALSE))),"S",""))</f>
        <v/>
      </c>
      <c r="BS19" t="str">
        <f>IF(NOT(ISERROR(HLOOKUP(Standings!BS$3,Entries!$C101:$K101,1,FALSE))),"x",IF(NOT(ISERROR(HLOOKUP(Standings!BS$3,Entries!$L101:$L101,1,FALSE))),"S",""))</f>
        <v>x</v>
      </c>
      <c r="BT19" t="str">
        <f>IF(NOT(ISERROR(HLOOKUP(Standings!BT$3,Entries!$C101:$K101,1,FALSE))),"x",IF(NOT(ISERROR(HLOOKUP(Standings!BT$3,Entries!$L101:$L101,1,FALSE))),"S",""))</f>
        <v/>
      </c>
      <c r="BU19" t="str">
        <f>IF(NOT(ISERROR(HLOOKUP(Standings!BU$3,Entries!$C101:$K101,1,FALSE))),"x",IF(NOT(ISERROR(HLOOKUP(Standings!BU$3,Entries!$L101:$L101,1,FALSE))),"S",""))</f>
        <v/>
      </c>
      <c r="BV19" t="str">
        <f>IF(NOT(ISERROR(HLOOKUP(Standings!BV$3,Entries!$C101:$K101,1,FALSE))),"x",IF(NOT(ISERROR(HLOOKUP(Standings!BV$3,Entries!$L101:$L101,1,FALSE))),"S",""))</f>
        <v/>
      </c>
      <c r="BW19" t="str">
        <f>IF(NOT(ISERROR(HLOOKUP(Standings!BW$3,Entries!$C101:$K101,1,FALSE))),"x",IF(NOT(ISERROR(HLOOKUP(Standings!BW$3,Entries!$L101:$L101,1,FALSE))),"S",""))</f>
        <v/>
      </c>
      <c r="BX19" t="str">
        <f>IF(NOT(ISERROR(HLOOKUP(Standings!BX$3,Entries!$C101:$K101,1,FALSE))),"x",IF(NOT(ISERROR(HLOOKUP(Standings!BX$3,Entries!$L101:$L101,1,FALSE))),"S",""))</f>
        <v/>
      </c>
      <c r="BY19" t="str">
        <f>IF(NOT(ISERROR(HLOOKUP(Standings!BY$3,Entries!$C101:$K101,1,FALSE))),"x",IF(NOT(ISERROR(HLOOKUP(Standings!BY$3,Entries!$L101:$L101,1,FALSE))),"S",""))</f>
        <v>x</v>
      </c>
      <c r="BZ19" t="str">
        <f>IF(NOT(ISERROR(HLOOKUP(Standings!BZ$3,Entries!$C101:$K101,1,FALSE))),"x",IF(NOT(ISERROR(HLOOKUP(Standings!BZ$3,Entries!$L101:$L101,1,FALSE))),"S",""))</f>
        <v/>
      </c>
      <c r="CA19" t="str">
        <f>IF(NOT(ISERROR(HLOOKUP(Standings!CA$3,Entries!$C101:$K101,1,FALSE))),"x",IF(NOT(ISERROR(HLOOKUP(Standings!CA$3,Entries!$L101:$L101,1,FALSE))),"S",""))</f>
        <v/>
      </c>
      <c r="CB19" t="str">
        <f>IF(NOT(ISERROR(HLOOKUP(Standings!CB$3,Entries!$C101:$K101,1,FALSE))),"x",IF(NOT(ISERROR(HLOOKUP(Standings!CB$3,Entries!$L101:$L101,1,FALSE))),"S",""))</f>
        <v>x</v>
      </c>
      <c r="CC19" t="str">
        <f>IF(NOT(ISERROR(HLOOKUP(Standings!CC$3,Entries!$C101:$K101,1,FALSE))),"x",IF(NOT(ISERROR(HLOOKUP(Standings!CC$3,Entries!$L101:$L101,1,FALSE))),"S",""))</f>
        <v/>
      </c>
      <c r="CD19" t="str">
        <f>IF(NOT(ISERROR(HLOOKUP(Standings!CD$3,Entries!$C101:$K101,1,FALSE))),"x",IF(NOT(ISERROR(HLOOKUP(Standings!CD$3,Entries!$L101:$L101,1,FALSE))),"S",""))</f>
        <v/>
      </c>
      <c r="CE19" t="str">
        <f>IF(NOT(ISERROR(HLOOKUP(Standings!CE$3,Entries!$C101:$K101,1,FALSE))),"x",IF(NOT(ISERROR(HLOOKUP(Standings!CE$3,Entries!$L101:$L101,1,FALSE))),"S",""))</f>
        <v/>
      </c>
      <c r="CF19" t="str">
        <f>IF(NOT(ISERROR(HLOOKUP(Standings!CF$3,Entries!$C101:$K101,1,FALSE))),"x",IF(NOT(ISERROR(HLOOKUP(Standings!CF$3,Entries!$L101:$L101,1,FALSE))),"S",""))</f>
        <v/>
      </c>
      <c r="CG19" t="str">
        <f>IF(NOT(ISERROR(HLOOKUP(Standings!CG$3,Entries!$C101:$K101,1,FALSE))),"x",IF(NOT(ISERROR(HLOOKUP(Standings!CG$3,Entries!$L101:$L101,1,FALSE))),"S",""))</f>
        <v/>
      </c>
      <c r="CH19" t="str">
        <f>IF(NOT(ISERROR(HLOOKUP(Standings!CH$3,Entries!$C101:$K101,1,FALSE))),"x",IF(NOT(ISERROR(HLOOKUP(Standings!CH$3,Entries!$L101:$L101,1,FALSE))),"S",""))</f>
        <v/>
      </c>
      <c r="CI19" t="str">
        <f>IF(NOT(ISERROR(HLOOKUP(Standings!CI$3,Entries!$C101:$K101,1,FALSE))),"x",IF(NOT(ISERROR(HLOOKUP(Standings!CI$3,Entries!$L101:$L101,1,FALSE))),"S",""))</f>
        <v/>
      </c>
      <c r="CJ19" t="str">
        <f>IF(NOT(ISERROR(HLOOKUP(Standings!CJ$3,Entries!$C101:$K101,1,FALSE))),"x",IF(NOT(ISERROR(HLOOKUP(Standings!CJ$3,Entries!$L101:$L101,1,FALSE))),"S",""))</f>
        <v/>
      </c>
      <c r="CK19" t="str">
        <f>IF(NOT(ISERROR(HLOOKUP(Standings!CK$3,Entries!$C101:$K101,1,FALSE))),"x",IF(NOT(ISERROR(HLOOKUP(Standings!CK$3,Entries!$L101:$L101,1,FALSE))),"S",""))</f>
        <v/>
      </c>
      <c r="CL19" t="str">
        <f>IF(NOT(ISERROR(HLOOKUP(Standings!CL$3,Entries!$C101:$K101,1,FALSE))),"x",IF(NOT(ISERROR(HLOOKUP(Standings!CL$3,Entries!$L101:$L101,1,FALSE))),"S",""))</f>
        <v/>
      </c>
      <c r="CM19" t="str">
        <f>IF(NOT(ISERROR(HLOOKUP(Standings!CM$3,Entries!$C101:$K101,1,FALSE))),"x",IF(NOT(ISERROR(HLOOKUP(Standings!CM$3,Entries!$L101:$L101,1,FALSE))),"S",""))</f>
        <v/>
      </c>
      <c r="CN19" t="str">
        <f>IF(NOT(ISERROR(HLOOKUP(Standings!CN$3,Entries!$C101:$K101,1,FALSE))),"x",IF(NOT(ISERROR(HLOOKUP(Standings!CN$3,Entries!$L101:$L101,1,FALSE))),"S",""))</f>
        <v>x</v>
      </c>
      <c r="CO19" t="str">
        <f>IF(NOT(ISERROR(HLOOKUP(Standings!CO$3,Entries!$C101:$K101,1,FALSE))),"x",IF(NOT(ISERROR(HLOOKUP(Standings!CO$3,Entries!$L101:$L101,1,FALSE))),"S",""))</f>
        <v/>
      </c>
      <c r="CP19" t="str">
        <f>IF(NOT(ISERROR(HLOOKUP(Standings!CP$3,Entries!$C101:$K101,1,FALSE))),"x",IF(NOT(ISERROR(HLOOKUP(Standings!CP$3,Entries!$L101:$L101,1,FALSE))),"S",""))</f>
        <v/>
      </c>
      <c r="CQ19" t="str">
        <f>IF(NOT(ISERROR(HLOOKUP(Standings!CQ$3,Entries!$C101:$K101,1,FALSE))),"x",IF(NOT(ISERROR(HLOOKUP(Standings!CQ$3,Entries!$L101:$L101,1,FALSE))),"S",""))</f>
        <v/>
      </c>
      <c r="CR19" t="str">
        <f>IF(NOT(ISERROR(HLOOKUP(Standings!CR$3,Entries!$C101:$K101,1,FALSE))),"x",IF(NOT(ISERROR(HLOOKUP(Standings!CR$3,Entries!$L101:$L101,1,FALSE))),"S",""))</f>
        <v>x</v>
      </c>
      <c r="CS19" t="str">
        <f>IF(NOT(ISERROR(HLOOKUP(Standings!CS$3,Entries!$C101:$K101,1,FALSE))),"x",IF(NOT(ISERROR(HLOOKUP(Standings!CS$3,Entries!$L101:$L101,1,FALSE))),"S",""))</f>
        <v/>
      </c>
      <c r="CT19" t="str">
        <f>IF(NOT(ISERROR(HLOOKUP(Standings!CT$3,Entries!$C101:$K101,1,FALSE))),"x",IF(NOT(ISERROR(HLOOKUP(Standings!CT$3,Entries!$L101:$L101,1,FALSE))),"S",""))</f>
        <v/>
      </c>
      <c r="CU19" t="str">
        <f>IF(NOT(ISERROR(HLOOKUP(Standings!CU$3,Entries!$C101:$K101,1,FALSE))),"x",IF(NOT(ISERROR(HLOOKUP(Standings!CU$3,Entries!$L101:$L101,1,FALSE))),"S",""))</f>
        <v>S</v>
      </c>
      <c r="CV19" t="str">
        <f>IF(NOT(ISERROR(HLOOKUP(Standings!CV$3,Entries!$C101:$K101,1,FALSE))),"x",IF(NOT(ISERROR(HLOOKUP(Standings!CV$3,Entries!$L101:$L101,1,FALSE))),"S",""))</f>
        <v/>
      </c>
      <c r="CW19" t="str">
        <f>IF(NOT(ISERROR(HLOOKUP(Standings!CW$3,Entries!$C101:$K101,1,FALSE))),"x",IF(NOT(ISERROR(HLOOKUP(Standings!CW$3,Entries!$L101:$L101,1,FALSE))),"S",""))</f>
        <v>x</v>
      </c>
      <c r="CX19" t="str">
        <f>IF(NOT(ISERROR(HLOOKUP(Standings!CX$3,Entries!$C101:$K101,1,FALSE))),"x",IF(NOT(ISERROR(HLOOKUP(Standings!CX$3,Entries!$L101:$L101,1,FALSE))),"S",""))</f>
        <v/>
      </c>
      <c r="CY19" t="str">
        <f>IF(NOT(ISERROR(HLOOKUP(Standings!CY$3,Entries!$C101:$K101,1,FALSE))),"x",IF(NOT(ISERROR(HLOOKUP(Standings!CY$3,Entries!$L101:$L101,1,FALSE))),"S",""))</f>
        <v/>
      </c>
      <c r="CZ19" t="str">
        <f>IF(NOT(ISERROR(HLOOKUP(Standings!CZ$3,Entries!$C101:$K101,1,FALSE))),"x",IF(NOT(ISERROR(HLOOKUP(Standings!CZ$3,Entries!$L101:$L101,1,FALSE))),"S",""))</f>
        <v/>
      </c>
      <c r="DA19" t="str">
        <f>IF(NOT(ISERROR(HLOOKUP(Standings!DA$3,Entries!$C101:$K101,1,FALSE))),"x",IF(NOT(ISERROR(HLOOKUP(Standings!DA$3,Entries!$L101:$L101,1,FALSE))),"S",""))</f>
        <v/>
      </c>
      <c r="DB19" t="str">
        <f>IF(NOT(ISERROR(HLOOKUP(Standings!DB$3,Entries!$C101:$K101,1,FALSE))),"x",IF(NOT(ISERROR(HLOOKUP(Standings!DB$3,Entries!$L101:$L101,1,FALSE))),"S",""))</f>
        <v/>
      </c>
    </row>
    <row r="20" spans="1:106" x14ac:dyDescent="0.25">
      <c r="B20">
        <v>53</v>
      </c>
      <c r="C20" t="str">
        <f>Entries!B18</f>
        <v>JoelsSenegalFlex</v>
      </c>
      <c r="D20" s="4">
        <f>IF(C20="","",RANK(E20,$E$10:$E$111))</f>
        <v>11</v>
      </c>
      <c r="E20" s="31">
        <f>IF(C20="","",ROUND(SUM(F20:AK20),0))</f>
        <v>6</v>
      </c>
      <c r="F20" s="40">
        <f>IF(BG20="","",IF(BG20="x",F$6,0)+IF(BG20="S",-F$6-0.00001,0))</f>
        <v>2</v>
      </c>
      <c r="G20" s="41" t="str">
        <f>IF(BH20="","",IF(BH20="x",G$6,0)+IF(BH20="S",-G$6-0.00001,0))</f>
        <v/>
      </c>
      <c r="H20" s="41" t="str">
        <f>IF(BI20="","",IF(BI20="x",H$6,0)+IF(BI20="S",-H$6-0.00001,0))</f>
        <v/>
      </c>
      <c r="I20" s="42" t="str">
        <f>IF(BJ20="","",IF(BJ20="x",I$6,0)+IF(BJ20="S",-I$6-0.00001,0))</f>
        <v/>
      </c>
      <c r="J20" s="40">
        <f>IF(BK20="","",IF(BK20="x",J$6,0)+IF(BK20="S",-J$6-0.00001,0))</f>
        <v>1</v>
      </c>
      <c r="K20" s="41">
        <f>IF(BL20="","",IF(BL20="x",K$6,0)+IF(BL20="S",-K$6-0.00001,0))</f>
        <v>1</v>
      </c>
      <c r="L20" s="41" t="str">
        <f>IF(BM20="","",IF(BM20="x",L$6,0)+IF(BM20="S",-L$6-0.00001,0))</f>
        <v/>
      </c>
      <c r="M20" s="42" t="str">
        <f>IF(BN20="","",IF(BN20="x",M$6,0)+IF(BN20="S",-M$6-0.00001,0))</f>
        <v/>
      </c>
      <c r="N20" s="43" t="str">
        <f>IF(BO20="","",IF(BO20="x",N$6,0)+IF(BO20="S",-N$6-0.00001,0))</f>
        <v/>
      </c>
      <c r="O20" s="41" t="str">
        <f>IF(BP20="","",IF(BP20="x",O$6,0)+IF(BP20="S",-O$6-0.00001,0))</f>
        <v/>
      </c>
      <c r="P20" s="41" t="str">
        <f>IF(BQ20="","",IF(BQ20="x",P$6,0)+IF(BQ20="S",-P$6-0.00001,0))</f>
        <v/>
      </c>
      <c r="Q20" s="42" t="str">
        <f>IF(BR20="","",IF(BR20="x",Q$6,0)+IF(BR20="S",-Q$6-0.00001,0))</f>
        <v/>
      </c>
      <c r="R20" s="40" t="str">
        <f>IF(BS20="","",IF(BS20="x",R$6,0)+IF(BS20="S",-R$6-0.00001,0))</f>
        <v/>
      </c>
      <c r="S20" s="41" t="str">
        <f>IF(BT20="","",IF(BT20="x",S$6,0)+IF(BT20="S",-S$6-0.00001,0))</f>
        <v/>
      </c>
      <c r="T20" s="43" t="str">
        <f>IF(BU20="","",IF(BU20="x",T$6,0)+IF(BU20="S",-T$6-0.00001,0))</f>
        <v/>
      </c>
      <c r="U20" s="42" t="str">
        <f>IF(BV20="","",IF(BV20="x",U$6,0)+IF(BV20="S",-U$6-0.00001,0))</f>
        <v/>
      </c>
      <c r="V20" s="40" t="str">
        <f>IF(BW20="","",IF(BW20="x",V$6,0)+IF(BW20="S",-V$6-0.00001,0))</f>
        <v/>
      </c>
      <c r="W20" s="41">
        <f>IF(BX20="","",IF(BX20="x",W$6,0)+IF(BX20="S",-W$6-0.00001,0))</f>
        <v>0</v>
      </c>
      <c r="X20" s="41" t="str">
        <f>IF(BY20="","",IF(BY20="x",X$6,0)+IF(BY20="S",-X$6-0.00001,0))</f>
        <v/>
      </c>
      <c r="Y20" s="42" t="str">
        <f>IF(BZ20="","",IF(BZ20="x",Y$6,0)+IF(BZ20="S",-Y$6-0.00001,0))</f>
        <v/>
      </c>
      <c r="Z20" s="40">
        <f>IF(CA20="","",IF(CA20="x",Z$6,0)+IF(CA20="S",-Z$6-0.00001,0))</f>
        <v>1</v>
      </c>
      <c r="AA20" s="41">
        <f>IF(CB20="","",IF(CB20="x",AA$6,0)+IF(CB20="S",-AA$6-0.00001,0))</f>
        <v>1</v>
      </c>
      <c r="AB20" s="41" t="str">
        <f>IF(CC20="","",IF(CC20="x",AB$6,0)+IF(CC20="S",-AB$6-0.00001,0))</f>
        <v/>
      </c>
      <c r="AC20" s="42" t="str">
        <f>IF(CD20="","",IF(CD20="x",AC$6,0)+IF(CD20="S",-AC$6-0.00001,0))</f>
        <v/>
      </c>
      <c r="AD20" s="40" t="str">
        <f>IF(CE20="","",IF(CE20="x",AD$6,0)+IF(CE20="S",-AD$6-0.00001,0))</f>
        <v/>
      </c>
      <c r="AE20" s="41">
        <f>IF(CF20="","",IF(CF20="x",AE$6,0)+IF(CF20="S",-AE$6-0.00001,0))</f>
        <v>1</v>
      </c>
      <c r="AF20" s="41" t="str">
        <f>IF(CG20="","",IF(CG20="x",AF$6,0)+IF(CG20="S",-AF$6-0.00001,0))</f>
        <v/>
      </c>
      <c r="AG20" s="42" t="str">
        <f>IF(CH20="","",IF(CH20="x",AG$6,0)+IF(CH20="S",-AG$6-0.00001,0))</f>
        <v/>
      </c>
      <c r="AH20" s="40">
        <f>IF(CI20="","",IF(CI20="x",AH$6,0)+IF(CI20="S",-AH$6-0.00001,0))</f>
        <v>-1.0000100000000001</v>
      </c>
      <c r="AI20" s="41" t="str">
        <f>IF(CJ20="","",IF(CJ20="x",AI$6,0)+IF(CJ20="S",-AI$6-0.00001,0))</f>
        <v/>
      </c>
      <c r="AJ20" s="41" t="str">
        <f>IF(CK20="","",IF(CK20="x",AJ$6,0)+IF(CK20="S",-AJ$6-0.00001,0))</f>
        <v/>
      </c>
      <c r="AK20" s="42" t="str">
        <f>IF(CL20="","",IF(CL20="x",AK$6,0)+IF(CL20="S",-AK$6-0.00001,0))</f>
        <v/>
      </c>
      <c r="AL20" s="40" t="str">
        <f>IF(CM20="","",IF(CM20="x",AL$6,0)+IF(CM20="S",-AL$6-0.00001,0))</f>
        <v/>
      </c>
      <c r="AM20" s="41">
        <f>IF(CN20="","",IF(CN20="x",AM$6,0)+IF(CN20="S",-AM$6-0.00001,0))</f>
        <v>0</v>
      </c>
      <c r="AN20" s="41" t="str">
        <f>IF(CO20="","",IF(CO20="x",AN$6,0)+IF(CO20="S",-AN$6-0.00001,0))</f>
        <v/>
      </c>
      <c r="AO20" s="42" t="str">
        <f>IF(CP20="","",IF(CP20="x",AO$6,0)+IF(CP20="S",-AO$6-0.00001,0))</f>
        <v/>
      </c>
      <c r="AP20" s="40" t="str">
        <f>IF(CQ20="","",IF(CQ20="x",AP$6,0)+IF(CQ20="S",-AP$6-0.00001,0))</f>
        <v/>
      </c>
      <c r="AQ20" s="41" t="str">
        <f>IF(CR20="","",IF(CR20="x",AQ$6,0)+IF(CR20="S",-AQ$6-0.00001,0))</f>
        <v/>
      </c>
      <c r="AR20" s="41" t="str">
        <f>IF(CS20="","",IF(CS20="x",AR$6,0)+IF(CS20="S",-AR$6-0.00001,0))</f>
        <v/>
      </c>
      <c r="AS20" s="42" t="str">
        <f>IF(CT20="","",IF(CT20="x",AS$6,0)+IF(CT20="S",-AS$6-0.00001,0))</f>
        <v/>
      </c>
      <c r="AT20" s="40" t="str">
        <f>IF(CU20="","",IF(CU20="x",AT$6,0)+IF(CU20="S",-AT$6-0.00001,0))</f>
        <v/>
      </c>
      <c r="AU20" s="41" t="str">
        <f>IF(CV20="","",IF(CV20="x",AU$6,0)+IF(CV20="S",-AU$6-0.00001,0))</f>
        <v/>
      </c>
      <c r="AV20" s="41" t="str">
        <f>IF(CW20="","",IF(CW20="x",AV$6,0)+IF(CW20="S",-AV$6-0.00001,0))</f>
        <v/>
      </c>
      <c r="AW20" s="42" t="str">
        <f>IF(CX20="","",IF(CX20="x",AW$6,0)+IF(CX20="S",-AW$6-0.00001,0))</f>
        <v/>
      </c>
      <c r="AX20" s="40" t="str">
        <f>IF(CY20="","",IF(CY20="x",AX$6,0)+IF(CY20="S",-AX$6-0.00001,0))</f>
        <v/>
      </c>
      <c r="AY20" s="41">
        <f>IF(CZ20="","",IF(CZ20="x",AY$6,0)+IF(CZ20="S",-AY$6-0.00001,0))</f>
        <v>0</v>
      </c>
      <c r="AZ20" s="41" t="str">
        <f>IF(DA20="","",IF(DA20="x",AZ$6,0)+IF(DA20="S",-AZ$6-0.00001,0))</f>
        <v/>
      </c>
      <c r="BA20" s="42" t="str">
        <f>IF(DB20="","",IF(DB20="x",BA$6,0)+IF(DB20="S",-BA$6-0.00001,0))</f>
        <v/>
      </c>
      <c r="BB20" s="37" t="s">
        <v>106</v>
      </c>
      <c r="BC20" s="21"/>
      <c r="BD20" s="21"/>
      <c r="BG20" t="str">
        <f>IF(NOT(ISERROR(HLOOKUP(Standings!BG$3,Entries!$C18:$K18,1,FALSE))),"x",IF(NOT(ISERROR(HLOOKUP(Standings!BG$3,Entries!$L18:$L18,1,FALSE))),"S",""))</f>
        <v>x</v>
      </c>
      <c r="BH20" t="str">
        <f>IF(NOT(ISERROR(HLOOKUP(Standings!BH$3,Entries!$C18:$K18,1,FALSE))),"x",IF(NOT(ISERROR(HLOOKUP(Standings!BH$3,Entries!$L18:$L18,1,FALSE))),"S",""))</f>
        <v/>
      </c>
      <c r="BI20" t="str">
        <f>IF(NOT(ISERROR(HLOOKUP(Standings!BI$3,Entries!$C18:$K18,1,FALSE))),"x",IF(NOT(ISERROR(HLOOKUP(Standings!BI$3,Entries!$L18:$L18,1,FALSE))),"S",""))</f>
        <v/>
      </c>
      <c r="BJ20" t="str">
        <f>IF(NOT(ISERROR(HLOOKUP(Standings!BJ$3,Entries!$C18:$K18,1,FALSE))),"x",IF(NOT(ISERROR(HLOOKUP(Standings!BJ$3,Entries!$L18:$L18,1,FALSE))),"S",""))</f>
        <v/>
      </c>
      <c r="BK20" t="str">
        <f>IF(NOT(ISERROR(HLOOKUP(Standings!BK$3,Entries!$C18:$K18,1,FALSE))),"x",IF(NOT(ISERROR(HLOOKUP(Standings!BK$3,Entries!$L18:$L18,1,FALSE))),"S",""))</f>
        <v>x</v>
      </c>
      <c r="BL20" t="str">
        <f>IF(NOT(ISERROR(HLOOKUP(Standings!BL$3,Entries!$C18:$K18,1,FALSE))),"x",IF(NOT(ISERROR(HLOOKUP(Standings!BL$3,Entries!$L18:$L18,1,FALSE))),"S",""))</f>
        <v>x</v>
      </c>
      <c r="BM20" t="str">
        <f>IF(NOT(ISERROR(HLOOKUP(Standings!BM$3,Entries!$C18:$K18,1,FALSE))),"x",IF(NOT(ISERROR(HLOOKUP(Standings!BM$3,Entries!$L18:$L18,1,FALSE))),"S",""))</f>
        <v/>
      </c>
      <c r="BN20" t="str">
        <f>IF(NOT(ISERROR(HLOOKUP(Standings!BN$3,Entries!$C18:$K18,1,FALSE))),"x",IF(NOT(ISERROR(HLOOKUP(Standings!BN$3,Entries!$L18:$L18,1,FALSE))),"S",""))</f>
        <v/>
      </c>
      <c r="BO20" t="str">
        <f>IF(NOT(ISERROR(HLOOKUP(Standings!BO$3,Entries!$C18:$K18,1,FALSE))),"x",IF(NOT(ISERROR(HLOOKUP(Standings!BO$3,Entries!$L18:$L18,1,FALSE))),"S",""))</f>
        <v/>
      </c>
      <c r="BP20" t="str">
        <f>IF(NOT(ISERROR(HLOOKUP(Standings!BP$3,Entries!$C18:$K18,1,FALSE))),"x",IF(NOT(ISERROR(HLOOKUP(Standings!BP$3,Entries!$L18:$L18,1,FALSE))),"S",""))</f>
        <v/>
      </c>
      <c r="BQ20" t="str">
        <f>IF(NOT(ISERROR(HLOOKUP(Standings!BQ$3,Entries!$C18:$K18,1,FALSE))),"x",IF(NOT(ISERROR(HLOOKUP(Standings!BQ$3,Entries!$L18:$L18,1,FALSE))),"S",""))</f>
        <v/>
      </c>
      <c r="BR20" t="str">
        <f>IF(NOT(ISERROR(HLOOKUP(Standings!BR$3,Entries!$C18:$K18,1,FALSE))),"x",IF(NOT(ISERROR(HLOOKUP(Standings!BR$3,Entries!$L18:$L18,1,FALSE))),"S",""))</f>
        <v/>
      </c>
      <c r="BS20" t="str">
        <f>IF(NOT(ISERROR(HLOOKUP(Standings!BS$3,Entries!$C18:$K18,1,FALSE))),"x",IF(NOT(ISERROR(HLOOKUP(Standings!BS$3,Entries!$L18:$L18,1,FALSE))),"S",""))</f>
        <v/>
      </c>
      <c r="BT20" t="str">
        <f>IF(NOT(ISERROR(HLOOKUP(Standings!BT$3,Entries!$C18:$K18,1,FALSE))),"x",IF(NOT(ISERROR(HLOOKUP(Standings!BT$3,Entries!$L18:$L18,1,FALSE))),"S",""))</f>
        <v/>
      </c>
      <c r="BU20" t="str">
        <f>IF(NOT(ISERROR(HLOOKUP(Standings!BU$3,Entries!$C18:$K18,1,FALSE))),"x",IF(NOT(ISERROR(HLOOKUP(Standings!BU$3,Entries!$L18:$L18,1,FALSE))),"S",""))</f>
        <v/>
      </c>
      <c r="BV20" t="str">
        <f>IF(NOT(ISERROR(HLOOKUP(Standings!BV$3,Entries!$C18:$K18,1,FALSE))),"x",IF(NOT(ISERROR(HLOOKUP(Standings!BV$3,Entries!$L18:$L18,1,FALSE))),"S",""))</f>
        <v/>
      </c>
      <c r="BW20" t="str">
        <f>IF(NOT(ISERROR(HLOOKUP(Standings!BW$3,Entries!$C18:$K18,1,FALSE))),"x",IF(NOT(ISERROR(HLOOKUP(Standings!BW$3,Entries!$L18:$L18,1,FALSE))),"S",""))</f>
        <v/>
      </c>
      <c r="BX20" t="str">
        <f>IF(NOT(ISERROR(HLOOKUP(Standings!BX$3,Entries!$C18:$K18,1,FALSE))),"x",IF(NOT(ISERROR(HLOOKUP(Standings!BX$3,Entries!$L18:$L18,1,FALSE))),"S",""))</f>
        <v>x</v>
      </c>
      <c r="BY20" t="str">
        <f>IF(NOT(ISERROR(HLOOKUP(Standings!BY$3,Entries!$C18:$K18,1,FALSE))),"x",IF(NOT(ISERROR(HLOOKUP(Standings!BY$3,Entries!$L18:$L18,1,FALSE))),"S",""))</f>
        <v/>
      </c>
      <c r="BZ20" t="str">
        <f>IF(NOT(ISERROR(HLOOKUP(Standings!BZ$3,Entries!$C18:$K18,1,FALSE))),"x",IF(NOT(ISERROR(HLOOKUP(Standings!BZ$3,Entries!$L18:$L18,1,FALSE))),"S",""))</f>
        <v/>
      </c>
      <c r="CA20" t="str">
        <f>IF(NOT(ISERROR(HLOOKUP(Standings!CA$3,Entries!$C18:$K18,1,FALSE))),"x",IF(NOT(ISERROR(HLOOKUP(Standings!CA$3,Entries!$L18:$L18,1,FALSE))),"S",""))</f>
        <v>x</v>
      </c>
      <c r="CB20" t="str">
        <f>IF(NOT(ISERROR(HLOOKUP(Standings!CB$3,Entries!$C18:$K18,1,FALSE))),"x",IF(NOT(ISERROR(HLOOKUP(Standings!CB$3,Entries!$L18:$L18,1,FALSE))),"S",""))</f>
        <v>x</v>
      </c>
      <c r="CC20" t="str">
        <f>IF(NOT(ISERROR(HLOOKUP(Standings!CC$3,Entries!$C18:$K18,1,FALSE))),"x",IF(NOT(ISERROR(HLOOKUP(Standings!CC$3,Entries!$L18:$L18,1,FALSE))),"S",""))</f>
        <v/>
      </c>
      <c r="CD20" t="str">
        <f>IF(NOT(ISERROR(HLOOKUP(Standings!CD$3,Entries!$C18:$K18,1,FALSE))),"x",IF(NOT(ISERROR(HLOOKUP(Standings!CD$3,Entries!$L18:$L18,1,FALSE))),"S",""))</f>
        <v/>
      </c>
      <c r="CE20" t="str">
        <f>IF(NOT(ISERROR(HLOOKUP(Standings!CE$3,Entries!$C18:$K18,1,FALSE))),"x",IF(NOT(ISERROR(HLOOKUP(Standings!CE$3,Entries!$L18:$L18,1,FALSE))),"S",""))</f>
        <v/>
      </c>
      <c r="CF20" t="str">
        <f>IF(NOT(ISERROR(HLOOKUP(Standings!CF$3,Entries!$C18:$K18,1,FALSE))),"x",IF(NOT(ISERROR(HLOOKUP(Standings!CF$3,Entries!$L18:$L18,1,FALSE))),"S",""))</f>
        <v>x</v>
      </c>
      <c r="CG20" t="str">
        <f>IF(NOT(ISERROR(HLOOKUP(Standings!CG$3,Entries!$C18:$K18,1,FALSE))),"x",IF(NOT(ISERROR(HLOOKUP(Standings!CG$3,Entries!$L18:$L18,1,FALSE))),"S",""))</f>
        <v/>
      </c>
      <c r="CH20" t="str">
        <f>IF(NOT(ISERROR(HLOOKUP(Standings!CH$3,Entries!$C18:$K18,1,FALSE))),"x",IF(NOT(ISERROR(HLOOKUP(Standings!CH$3,Entries!$L18:$L18,1,FALSE))),"S",""))</f>
        <v/>
      </c>
      <c r="CI20" t="str">
        <f>IF(NOT(ISERROR(HLOOKUP(Standings!CI$3,Entries!$C18:$K18,1,FALSE))),"x",IF(NOT(ISERROR(HLOOKUP(Standings!CI$3,Entries!$L18:$L18,1,FALSE))),"S",""))</f>
        <v>S</v>
      </c>
      <c r="CJ20" t="str">
        <f>IF(NOT(ISERROR(HLOOKUP(Standings!CJ$3,Entries!$C18:$K18,1,FALSE))),"x",IF(NOT(ISERROR(HLOOKUP(Standings!CJ$3,Entries!$L18:$L18,1,FALSE))),"S",""))</f>
        <v/>
      </c>
      <c r="CK20" t="str">
        <f>IF(NOT(ISERROR(HLOOKUP(Standings!CK$3,Entries!$C18:$K18,1,FALSE))),"x",IF(NOT(ISERROR(HLOOKUP(Standings!CK$3,Entries!$L18:$L18,1,FALSE))),"S",""))</f>
        <v/>
      </c>
      <c r="CL20" t="str">
        <f>IF(NOT(ISERROR(HLOOKUP(Standings!CL$3,Entries!$C18:$K18,1,FALSE))),"x",IF(NOT(ISERROR(HLOOKUP(Standings!CL$3,Entries!$L18:$L18,1,FALSE))),"S",""))</f>
        <v/>
      </c>
      <c r="CM20" t="str">
        <f>IF(NOT(ISERROR(HLOOKUP(Standings!CM$3,Entries!$C18:$K18,1,FALSE))),"x",IF(NOT(ISERROR(HLOOKUP(Standings!CM$3,Entries!$L18:$L18,1,FALSE))),"S",""))</f>
        <v/>
      </c>
      <c r="CN20" t="str">
        <f>IF(NOT(ISERROR(HLOOKUP(Standings!CN$3,Entries!$C18:$K18,1,FALSE))),"x",IF(NOT(ISERROR(HLOOKUP(Standings!CN$3,Entries!$L18:$L18,1,FALSE))),"S",""))</f>
        <v>x</v>
      </c>
      <c r="CO20" t="str">
        <f>IF(NOT(ISERROR(HLOOKUP(Standings!CO$3,Entries!$C18:$K18,1,FALSE))),"x",IF(NOT(ISERROR(HLOOKUP(Standings!CO$3,Entries!$L18:$L18,1,FALSE))),"S",""))</f>
        <v/>
      </c>
      <c r="CP20" t="str">
        <f>IF(NOT(ISERROR(HLOOKUP(Standings!CP$3,Entries!$C18:$K18,1,FALSE))),"x",IF(NOT(ISERROR(HLOOKUP(Standings!CP$3,Entries!$L18:$L18,1,FALSE))),"S",""))</f>
        <v/>
      </c>
      <c r="CQ20" t="str">
        <f>IF(NOT(ISERROR(HLOOKUP(Standings!CQ$3,Entries!$C18:$K18,1,FALSE))),"x",IF(NOT(ISERROR(HLOOKUP(Standings!CQ$3,Entries!$L18:$L18,1,FALSE))),"S",""))</f>
        <v/>
      </c>
      <c r="CR20" t="str">
        <f>IF(NOT(ISERROR(HLOOKUP(Standings!CR$3,Entries!$C18:$K18,1,FALSE))),"x",IF(NOT(ISERROR(HLOOKUP(Standings!CR$3,Entries!$L18:$L18,1,FALSE))),"S",""))</f>
        <v/>
      </c>
      <c r="CS20" t="str">
        <f>IF(NOT(ISERROR(HLOOKUP(Standings!CS$3,Entries!$C18:$K18,1,FALSE))),"x",IF(NOT(ISERROR(HLOOKUP(Standings!CS$3,Entries!$L18:$L18,1,FALSE))),"S",""))</f>
        <v/>
      </c>
      <c r="CT20" t="str">
        <f>IF(NOT(ISERROR(HLOOKUP(Standings!CT$3,Entries!$C18:$K18,1,FALSE))),"x",IF(NOT(ISERROR(HLOOKUP(Standings!CT$3,Entries!$L18:$L18,1,FALSE))),"S",""))</f>
        <v/>
      </c>
      <c r="CU20" t="str">
        <f>IF(NOT(ISERROR(HLOOKUP(Standings!CU$3,Entries!$C18:$K18,1,FALSE))),"x",IF(NOT(ISERROR(HLOOKUP(Standings!CU$3,Entries!$L18:$L18,1,FALSE))),"S",""))</f>
        <v/>
      </c>
      <c r="CV20" t="str">
        <f>IF(NOT(ISERROR(HLOOKUP(Standings!CV$3,Entries!$C18:$K18,1,FALSE))),"x",IF(NOT(ISERROR(HLOOKUP(Standings!CV$3,Entries!$L18:$L18,1,FALSE))),"S",""))</f>
        <v/>
      </c>
      <c r="CW20" t="str">
        <f>IF(NOT(ISERROR(HLOOKUP(Standings!CW$3,Entries!$C18:$K18,1,FALSE))),"x",IF(NOT(ISERROR(HLOOKUP(Standings!CW$3,Entries!$L18:$L18,1,FALSE))),"S",""))</f>
        <v/>
      </c>
      <c r="CX20" t="str">
        <f>IF(NOT(ISERROR(HLOOKUP(Standings!CX$3,Entries!$C18:$K18,1,FALSE))),"x",IF(NOT(ISERROR(HLOOKUP(Standings!CX$3,Entries!$L18:$L18,1,FALSE))),"S",""))</f>
        <v/>
      </c>
      <c r="CY20" t="str">
        <f>IF(NOT(ISERROR(HLOOKUP(Standings!CY$3,Entries!$C18:$K18,1,FALSE))),"x",IF(NOT(ISERROR(HLOOKUP(Standings!CY$3,Entries!$L18:$L18,1,FALSE))),"S",""))</f>
        <v/>
      </c>
      <c r="CZ20" t="str">
        <f>IF(NOT(ISERROR(HLOOKUP(Standings!CZ$3,Entries!$C18:$K18,1,FALSE))),"x",IF(NOT(ISERROR(HLOOKUP(Standings!CZ$3,Entries!$L18:$L18,1,FALSE))),"S",""))</f>
        <v>x</v>
      </c>
      <c r="DA20" t="str">
        <f>IF(NOT(ISERROR(HLOOKUP(Standings!DA$3,Entries!$C18:$K18,1,FALSE))),"x",IF(NOT(ISERROR(HLOOKUP(Standings!DA$3,Entries!$L18:$L18,1,FALSE))),"S",""))</f>
        <v/>
      </c>
      <c r="DB20" t="str">
        <f>IF(NOT(ISERROR(HLOOKUP(Standings!DB$3,Entries!$C18:$K18,1,FALSE))),"x",IF(NOT(ISERROR(HLOOKUP(Standings!DB$3,Entries!$L18:$L18,1,FALSE))),"S",""))</f>
        <v/>
      </c>
    </row>
    <row r="21" spans="1:106" x14ac:dyDescent="0.25">
      <c r="A21" s="18"/>
      <c r="B21">
        <v>7</v>
      </c>
      <c r="C21" t="str">
        <f>Entries!B19</f>
        <v>LaurenBullock</v>
      </c>
      <c r="D21" s="4">
        <f>IF(C21="","",RANK(E21,$E$10:$E$111))</f>
        <v>11</v>
      </c>
      <c r="E21" s="31">
        <f>IF(C21="","",ROUND(SUM(F21:AK21),0))</f>
        <v>6</v>
      </c>
      <c r="F21" s="40" t="str">
        <f>IF(BG21="","",IF(BG21="x",F$6,0)+IF(BG21="S",-F$6-0.00001,0))</f>
        <v/>
      </c>
      <c r="G21" s="41" t="str">
        <f>IF(BH21="","",IF(BH21="x",G$6,0)+IF(BH21="S",-G$6-0.00001,0))</f>
        <v/>
      </c>
      <c r="H21" s="41" t="str">
        <f>IF(BI21="","",IF(BI21="x",H$6,0)+IF(BI21="S",-H$6-0.00001,0))</f>
        <v/>
      </c>
      <c r="I21" s="42" t="str">
        <f>IF(BJ21="","",IF(BJ21="x",I$6,0)+IF(BJ21="S",-I$6-0.00001,0))</f>
        <v/>
      </c>
      <c r="J21" s="40" t="str">
        <f>IF(BK21="","",IF(BK21="x",J$6,0)+IF(BK21="S",-J$6-0.00001,0))</f>
        <v/>
      </c>
      <c r="K21" s="41" t="str">
        <f>IF(BL21="","",IF(BL21="x",K$6,0)+IF(BL21="S",-K$6-0.00001,0))</f>
        <v/>
      </c>
      <c r="L21" s="41" t="str">
        <f>IF(BM21="","",IF(BM21="x",L$6,0)+IF(BM21="S",-L$6-0.00001,0))</f>
        <v/>
      </c>
      <c r="M21" s="42" t="str">
        <f>IF(BN21="","",IF(BN21="x",M$6,0)+IF(BN21="S",-M$6-0.00001,0))</f>
        <v/>
      </c>
      <c r="N21" s="43" t="str">
        <f>IF(BO21="","",IF(BO21="x",N$6,0)+IF(BO21="S",-N$6-0.00001,0))</f>
        <v/>
      </c>
      <c r="O21" s="41" t="str">
        <f>IF(BP21="","",IF(BP21="x",O$6,0)+IF(BP21="S",-O$6-0.00001,0))</f>
        <v/>
      </c>
      <c r="P21" s="41" t="str">
        <f>IF(BQ21="","",IF(BQ21="x",P$6,0)+IF(BQ21="S",-P$6-0.00001,0))</f>
        <v/>
      </c>
      <c r="Q21" s="42">
        <f>IF(BR21="","",IF(BR21="x",Q$6,0)+IF(BR21="S",-Q$6-0.00001,0))</f>
        <v>2</v>
      </c>
      <c r="R21" s="40">
        <f>IF(BS21="","",IF(BS21="x",R$6,0)+IF(BS21="S",-R$6-0.00001,0))</f>
        <v>2</v>
      </c>
      <c r="S21" s="41" t="str">
        <f>IF(BT21="","",IF(BT21="x",S$6,0)+IF(BT21="S",-S$6-0.00001,0))</f>
        <v/>
      </c>
      <c r="T21" s="43" t="str">
        <f>IF(BU21="","",IF(BU21="x",T$6,0)+IF(BU21="S",-T$6-0.00001,0))</f>
        <v/>
      </c>
      <c r="U21" s="42" t="str">
        <f>IF(BV21="","",IF(BV21="x",U$6,0)+IF(BV21="S",-U$6-0.00001,0))</f>
        <v/>
      </c>
      <c r="V21" s="40" t="str">
        <f>IF(BW21="","",IF(BW21="x",V$6,0)+IF(BW21="S",-V$6-0.00001,0))</f>
        <v/>
      </c>
      <c r="W21" s="41" t="str">
        <f>IF(BX21="","",IF(BX21="x",W$6,0)+IF(BX21="S",-W$6-0.00001,0))</f>
        <v/>
      </c>
      <c r="X21" s="41">
        <f>IF(BY21="","",IF(BY21="x",X$6,0)+IF(BY21="S",-X$6-0.00001,0))</f>
        <v>2</v>
      </c>
      <c r="Y21" s="42" t="str">
        <f>IF(BZ21="","",IF(BZ21="x",Y$6,0)+IF(BZ21="S",-Y$6-0.00001,0))</f>
        <v/>
      </c>
      <c r="Z21" s="40" t="str">
        <f>IF(CA21="","",IF(CA21="x",Z$6,0)+IF(CA21="S",-Z$6-0.00001,0))</f>
        <v/>
      </c>
      <c r="AA21" s="41">
        <f>IF(CB21="","",IF(CB21="x",AA$6,0)+IF(CB21="S",-AA$6-0.00001,0))</f>
        <v>-1.0000100000000001</v>
      </c>
      <c r="AB21" s="41" t="str">
        <f>IF(CC21="","",IF(CC21="x",AB$6,0)+IF(CC21="S",-AB$6-0.00001,0))</f>
        <v/>
      </c>
      <c r="AC21" s="42" t="str">
        <f>IF(CD21="","",IF(CD21="x",AC$6,0)+IF(CD21="S",-AC$6-0.00001,0))</f>
        <v/>
      </c>
      <c r="AD21" s="40" t="str">
        <f>IF(CE21="","",IF(CE21="x",AD$6,0)+IF(CE21="S",-AD$6-0.00001,0))</f>
        <v/>
      </c>
      <c r="AE21" s="41">
        <f>IF(CF21="","",IF(CF21="x",AE$6,0)+IF(CF21="S",-AE$6-0.00001,0))</f>
        <v>1</v>
      </c>
      <c r="AF21" s="41" t="str">
        <f>IF(CG21="","",IF(CG21="x",AF$6,0)+IF(CG21="S",-AF$6-0.00001,0))</f>
        <v/>
      </c>
      <c r="AG21" s="42" t="str">
        <f>IF(CH21="","",IF(CH21="x",AG$6,0)+IF(CH21="S",-AG$6-0.00001,0))</f>
        <v/>
      </c>
      <c r="AH21" s="40" t="str">
        <f>IF(CI21="","",IF(CI21="x",AH$6,0)+IF(CI21="S",-AH$6-0.00001,0))</f>
        <v/>
      </c>
      <c r="AI21" s="41" t="str">
        <f>IF(CJ21="","",IF(CJ21="x",AI$6,0)+IF(CJ21="S",-AI$6-0.00001,0))</f>
        <v/>
      </c>
      <c r="AJ21" s="41" t="str">
        <f>IF(CK21="","",IF(CK21="x",AJ$6,0)+IF(CK21="S",-AJ$6-0.00001,0))</f>
        <v/>
      </c>
      <c r="AK21" s="42" t="str">
        <f>IF(CL21="","",IF(CL21="x",AK$6,0)+IF(CL21="S",-AK$6-0.00001,0))</f>
        <v/>
      </c>
      <c r="AL21" s="40">
        <f>IF(CM21="","",IF(CM21="x",AL$6,0)+IF(CM21="S",-AL$6-0.00001,0))</f>
        <v>0</v>
      </c>
      <c r="AM21" s="41" t="str">
        <f>IF(CN21="","",IF(CN21="x",AM$6,0)+IF(CN21="S",-AM$6-0.00001,0))</f>
        <v/>
      </c>
      <c r="AN21" s="41" t="str">
        <f>IF(CO21="","",IF(CO21="x",AN$6,0)+IF(CO21="S",-AN$6-0.00001,0))</f>
        <v/>
      </c>
      <c r="AO21" s="42" t="str">
        <f>IF(CP21="","",IF(CP21="x",AO$6,0)+IF(CP21="S",-AO$6-0.00001,0))</f>
        <v/>
      </c>
      <c r="AP21" s="40" t="str">
        <f>IF(CQ21="","",IF(CQ21="x",AP$6,0)+IF(CQ21="S",-AP$6-0.00001,0))</f>
        <v/>
      </c>
      <c r="AQ21" s="41" t="str">
        <f>IF(CR21="","",IF(CR21="x",AQ$6,0)+IF(CR21="S",-AQ$6-0.00001,0))</f>
        <v/>
      </c>
      <c r="AR21" s="41" t="str">
        <f>IF(CS21="","",IF(CS21="x",AR$6,0)+IF(CS21="S",-AR$6-0.00001,0))</f>
        <v/>
      </c>
      <c r="AS21" s="42" t="str">
        <f>IF(CT21="","",IF(CT21="x",AS$6,0)+IF(CT21="S",-AS$6-0.00001,0))</f>
        <v/>
      </c>
      <c r="AT21" s="40" t="str">
        <f>IF(CU21="","",IF(CU21="x",AT$6,0)+IF(CU21="S",-AT$6-0.00001,0))</f>
        <v/>
      </c>
      <c r="AU21" s="41" t="str">
        <f>IF(CV21="","",IF(CV21="x",AU$6,0)+IF(CV21="S",-AU$6-0.00001,0))</f>
        <v/>
      </c>
      <c r="AV21" s="41" t="str">
        <f>IF(CW21="","",IF(CW21="x",AV$6,0)+IF(CW21="S",-AV$6-0.00001,0))</f>
        <v/>
      </c>
      <c r="AW21" s="42" t="str">
        <f>IF(CX21="","",IF(CX21="x",AW$6,0)+IF(CX21="S",-AW$6-0.00001,0))</f>
        <v/>
      </c>
      <c r="AX21" s="40" t="str">
        <f>IF(CY21="","",IF(CY21="x",AX$6,0)+IF(CY21="S",-AX$6-0.00001,0))</f>
        <v/>
      </c>
      <c r="AY21" s="41" t="str">
        <f>IF(CZ21="","",IF(CZ21="x",AY$6,0)+IF(CZ21="S",-AY$6-0.00001,0))</f>
        <v/>
      </c>
      <c r="AZ21" s="41" t="str">
        <f>IF(DA21="","",IF(DA21="x",AZ$6,0)+IF(DA21="S",-AZ$6-0.00001,0))</f>
        <v/>
      </c>
      <c r="BA21" s="42" t="str">
        <f>IF(DB21="","",IF(DB21="x",BA$6,0)+IF(DB21="S",-BA$6-0.00001,0))</f>
        <v/>
      </c>
      <c r="BB21" s="37" t="s">
        <v>106</v>
      </c>
      <c r="BC21" s="21"/>
      <c r="BD21" s="21"/>
      <c r="BG21" t="str">
        <f>IF(NOT(ISERROR(HLOOKUP(Standings!BG$3,Entries!$C19:$K19,1,FALSE))),"x",IF(NOT(ISERROR(HLOOKUP(Standings!BG$3,Entries!$L19:$L19,1,FALSE))),"S",""))</f>
        <v/>
      </c>
      <c r="BH21" t="str">
        <f>IF(NOT(ISERROR(HLOOKUP(Standings!BH$3,Entries!$C19:$K19,1,FALSE))),"x",IF(NOT(ISERROR(HLOOKUP(Standings!BH$3,Entries!$L19:$L19,1,FALSE))),"S",""))</f>
        <v/>
      </c>
      <c r="BI21" t="str">
        <f>IF(NOT(ISERROR(HLOOKUP(Standings!BI$3,Entries!$C19:$K19,1,FALSE))),"x",IF(NOT(ISERROR(HLOOKUP(Standings!BI$3,Entries!$L19:$L19,1,FALSE))),"S",""))</f>
        <v/>
      </c>
      <c r="BJ21" t="str">
        <f>IF(NOT(ISERROR(HLOOKUP(Standings!BJ$3,Entries!$C19:$K19,1,FALSE))),"x",IF(NOT(ISERROR(HLOOKUP(Standings!BJ$3,Entries!$L19:$L19,1,FALSE))),"S",""))</f>
        <v/>
      </c>
      <c r="BK21" t="str">
        <f>IF(NOT(ISERROR(HLOOKUP(Standings!BK$3,Entries!$C19:$K19,1,FALSE))),"x",IF(NOT(ISERROR(HLOOKUP(Standings!BK$3,Entries!$L19:$L19,1,FALSE))),"S",""))</f>
        <v/>
      </c>
      <c r="BL21" t="str">
        <f>IF(NOT(ISERROR(HLOOKUP(Standings!BL$3,Entries!$C19:$K19,1,FALSE))),"x",IF(NOT(ISERROR(HLOOKUP(Standings!BL$3,Entries!$L19:$L19,1,FALSE))),"S",""))</f>
        <v/>
      </c>
      <c r="BM21" t="str">
        <f>IF(NOT(ISERROR(HLOOKUP(Standings!BM$3,Entries!$C19:$K19,1,FALSE))),"x",IF(NOT(ISERROR(HLOOKUP(Standings!BM$3,Entries!$L19:$L19,1,FALSE))),"S",""))</f>
        <v/>
      </c>
      <c r="BN21" t="str">
        <f>IF(NOT(ISERROR(HLOOKUP(Standings!BN$3,Entries!$C19:$K19,1,FALSE))),"x",IF(NOT(ISERROR(HLOOKUP(Standings!BN$3,Entries!$L19:$L19,1,FALSE))),"S",""))</f>
        <v/>
      </c>
      <c r="BO21" t="str">
        <f>IF(NOT(ISERROR(HLOOKUP(Standings!BO$3,Entries!$C19:$K19,1,FALSE))),"x",IF(NOT(ISERROR(HLOOKUP(Standings!BO$3,Entries!$L19:$L19,1,FALSE))),"S",""))</f>
        <v/>
      </c>
      <c r="BP21" t="str">
        <f>IF(NOT(ISERROR(HLOOKUP(Standings!BP$3,Entries!$C19:$K19,1,FALSE))),"x",IF(NOT(ISERROR(HLOOKUP(Standings!BP$3,Entries!$L19:$L19,1,FALSE))),"S",""))</f>
        <v/>
      </c>
      <c r="BQ21" t="str">
        <f>IF(NOT(ISERROR(HLOOKUP(Standings!BQ$3,Entries!$C19:$K19,1,FALSE))),"x",IF(NOT(ISERROR(HLOOKUP(Standings!BQ$3,Entries!$L19:$L19,1,FALSE))),"S",""))</f>
        <v/>
      </c>
      <c r="BR21" t="str">
        <f>IF(NOT(ISERROR(HLOOKUP(Standings!BR$3,Entries!$C19:$K19,1,FALSE))),"x",IF(NOT(ISERROR(HLOOKUP(Standings!BR$3,Entries!$L19:$L19,1,FALSE))),"S",""))</f>
        <v>x</v>
      </c>
      <c r="BS21" t="str">
        <f>IF(NOT(ISERROR(HLOOKUP(Standings!BS$3,Entries!$C19:$K19,1,FALSE))),"x",IF(NOT(ISERROR(HLOOKUP(Standings!BS$3,Entries!$L19:$L19,1,FALSE))),"S",""))</f>
        <v>x</v>
      </c>
      <c r="BT21" t="str">
        <f>IF(NOT(ISERROR(HLOOKUP(Standings!BT$3,Entries!$C19:$K19,1,FALSE))),"x",IF(NOT(ISERROR(HLOOKUP(Standings!BT$3,Entries!$L19:$L19,1,FALSE))),"S",""))</f>
        <v/>
      </c>
      <c r="BU21" t="str">
        <f>IF(NOT(ISERROR(HLOOKUP(Standings!BU$3,Entries!$C19:$K19,1,FALSE))),"x",IF(NOT(ISERROR(HLOOKUP(Standings!BU$3,Entries!$L19:$L19,1,FALSE))),"S",""))</f>
        <v/>
      </c>
      <c r="BV21" t="str">
        <f>IF(NOT(ISERROR(HLOOKUP(Standings!BV$3,Entries!$C19:$K19,1,FALSE))),"x",IF(NOT(ISERROR(HLOOKUP(Standings!BV$3,Entries!$L19:$L19,1,FALSE))),"S",""))</f>
        <v/>
      </c>
      <c r="BW21" t="str">
        <f>IF(NOT(ISERROR(HLOOKUP(Standings!BW$3,Entries!$C19:$K19,1,FALSE))),"x",IF(NOT(ISERROR(HLOOKUP(Standings!BW$3,Entries!$L19:$L19,1,FALSE))),"S",""))</f>
        <v/>
      </c>
      <c r="BX21" t="str">
        <f>IF(NOT(ISERROR(HLOOKUP(Standings!BX$3,Entries!$C19:$K19,1,FALSE))),"x",IF(NOT(ISERROR(HLOOKUP(Standings!BX$3,Entries!$L19:$L19,1,FALSE))),"S",""))</f>
        <v/>
      </c>
      <c r="BY21" t="str">
        <f>IF(NOT(ISERROR(HLOOKUP(Standings!BY$3,Entries!$C19:$K19,1,FALSE))),"x",IF(NOT(ISERROR(HLOOKUP(Standings!BY$3,Entries!$L19:$L19,1,FALSE))),"S",""))</f>
        <v>x</v>
      </c>
      <c r="BZ21" t="str">
        <f>IF(NOT(ISERROR(HLOOKUP(Standings!BZ$3,Entries!$C19:$K19,1,FALSE))),"x",IF(NOT(ISERROR(HLOOKUP(Standings!BZ$3,Entries!$L19:$L19,1,FALSE))),"S",""))</f>
        <v/>
      </c>
      <c r="CA21" t="str">
        <f>IF(NOT(ISERROR(HLOOKUP(Standings!CA$3,Entries!$C19:$K19,1,FALSE))),"x",IF(NOT(ISERROR(HLOOKUP(Standings!CA$3,Entries!$L19:$L19,1,FALSE))),"S",""))</f>
        <v/>
      </c>
      <c r="CB21" t="str">
        <f>IF(NOT(ISERROR(HLOOKUP(Standings!CB$3,Entries!$C19:$K19,1,FALSE))),"x",IF(NOT(ISERROR(HLOOKUP(Standings!CB$3,Entries!$L19:$L19,1,FALSE))),"S",""))</f>
        <v>S</v>
      </c>
      <c r="CC21" t="str">
        <f>IF(NOT(ISERROR(HLOOKUP(Standings!CC$3,Entries!$C19:$K19,1,FALSE))),"x",IF(NOT(ISERROR(HLOOKUP(Standings!CC$3,Entries!$L19:$L19,1,FALSE))),"S",""))</f>
        <v/>
      </c>
      <c r="CD21" t="str">
        <f>IF(NOT(ISERROR(HLOOKUP(Standings!CD$3,Entries!$C19:$K19,1,FALSE))),"x",IF(NOT(ISERROR(HLOOKUP(Standings!CD$3,Entries!$L19:$L19,1,FALSE))),"S",""))</f>
        <v/>
      </c>
      <c r="CE21" t="str">
        <f>IF(NOT(ISERROR(HLOOKUP(Standings!CE$3,Entries!$C19:$K19,1,FALSE))),"x",IF(NOT(ISERROR(HLOOKUP(Standings!CE$3,Entries!$L19:$L19,1,FALSE))),"S",""))</f>
        <v/>
      </c>
      <c r="CF21" t="str">
        <f>IF(NOT(ISERROR(HLOOKUP(Standings!CF$3,Entries!$C19:$K19,1,FALSE))),"x",IF(NOT(ISERROR(HLOOKUP(Standings!CF$3,Entries!$L19:$L19,1,FALSE))),"S",""))</f>
        <v>x</v>
      </c>
      <c r="CG21" t="str">
        <f>IF(NOT(ISERROR(HLOOKUP(Standings!CG$3,Entries!$C19:$K19,1,FALSE))),"x",IF(NOT(ISERROR(HLOOKUP(Standings!CG$3,Entries!$L19:$L19,1,FALSE))),"S",""))</f>
        <v/>
      </c>
      <c r="CH21" t="str">
        <f>IF(NOT(ISERROR(HLOOKUP(Standings!CH$3,Entries!$C19:$K19,1,FALSE))),"x",IF(NOT(ISERROR(HLOOKUP(Standings!CH$3,Entries!$L19:$L19,1,FALSE))),"S",""))</f>
        <v/>
      </c>
      <c r="CI21" t="str">
        <f>IF(NOT(ISERROR(HLOOKUP(Standings!CI$3,Entries!$C19:$K19,1,FALSE))),"x",IF(NOT(ISERROR(HLOOKUP(Standings!CI$3,Entries!$L19:$L19,1,FALSE))),"S",""))</f>
        <v/>
      </c>
      <c r="CJ21" t="str">
        <f>IF(NOT(ISERROR(HLOOKUP(Standings!CJ$3,Entries!$C19:$K19,1,FALSE))),"x",IF(NOT(ISERROR(HLOOKUP(Standings!CJ$3,Entries!$L19:$L19,1,FALSE))),"S",""))</f>
        <v/>
      </c>
      <c r="CK21" t="str">
        <f>IF(NOT(ISERROR(HLOOKUP(Standings!CK$3,Entries!$C19:$K19,1,FALSE))),"x",IF(NOT(ISERROR(HLOOKUP(Standings!CK$3,Entries!$L19:$L19,1,FALSE))),"S",""))</f>
        <v/>
      </c>
      <c r="CL21" t="str">
        <f>IF(NOT(ISERROR(HLOOKUP(Standings!CL$3,Entries!$C19:$K19,1,FALSE))),"x",IF(NOT(ISERROR(HLOOKUP(Standings!CL$3,Entries!$L19:$L19,1,FALSE))),"S",""))</f>
        <v/>
      </c>
      <c r="CM21" t="str">
        <f>IF(NOT(ISERROR(HLOOKUP(Standings!CM$3,Entries!$C19:$K19,1,FALSE))),"x",IF(NOT(ISERROR(HLOOKUP(Standings!CM$3,Entries!$L19:$L19,1,FALSE))),"S",""))</f>
        <v>x</v>
      </c>
      <c r="CN21" t="str">
        <f>IF(NOT(ISERROR(HLOOKUP(Standings!CN$3,Entries!$C19:$K19,1,FALSE))),"x",IF(NOT(ISERROR(HLOOKUP(Standings!CN$3,Entries!$L19:$L19,1,FALSE))),"S",""))</f>
        <v/>
      </c>
      <c r="CO21" t="str">
        <f>IF(NOT(ISERROR(HLOOKUP(Standings!CO$3,Entries!$C19:$K19,1,FALSE))),"x",IF(NOT(ISERROR(HLOOKUP(Standings!CO$3,Entries!$L19:$L19,1,FALSE))),"S",""))</f>
        <v/>
      </c>
      <c r="CP21" t="str">
        <f>IF(NOT(ISERROR(HLOOKUP(Standings!CP$3,Entries!$C19:$K19,1,FALSE))),"x",IF(NOT(ISERROR(HLOOKUP(Standings!CP$3,Entries!$L19:$L19,1,FALSE))),"S",""))</f>
        <v/>
      </c>
      <c r="CQ21" t="str">
        <f>IF(NOT(ISERROR(HLOOKUP(Standings!CQ$3,Entries!$C19:$K19,1,FALSE))),"x",IF(NOT(ISERROR(HLOOKUP(Standings!CQ$3,Entries!$L19:$L19,1,FALSE))),"S",""))</f>
        <v/>
      </c>
      <c r="CR21" t="str">
        <f>IF(NOT(ISERROR(HLOOKUP(Standings!CR$3,Entries!$C19:$K19,1,FALSE))),"x",IF(NOT(ISERROR(HLOOKUP(Standings!CR$3,Entries!$L19:$L19,1,FALSE))),"S",""))</f>
        <v/>
      </c>
      <c r="CS21" t="str">
        <f>IF(NOT(ISERROR(HLOOKUP(Standings!CS$3,Entries!$C19:$K19,1,FALSE))),"x",IF(NOT(ISERROR(HLOOKUP(Standings!CS$3,Entries!$L19:$L19,1,FALSE))),"S",""))</f>
        <v/>
      </c>
      <c r="CT21" t="str">
        <f>IF(NOT(ISERROR(HLOOKUP(Standings!CT$3,Entries!$C19:$K19,1,FALSE))),"x",IF(NOT(ISERROR(HLOOKUP(Standings!CT$3,Entries!$L19:$L19,1,FALSE))),"S",""))</f>
        <v/>
      </c>
      <c r="CU21" t="str">
        <f>IF(NOT(ISERROR(HLOOKUP(Standings!CU$3,Entries!$C19:$K19,1,FALSE))),"x",IF(NOT(ISERROR(HLOOKUP(Standings!CU$3,Entries!$L19:$L19,1,FALSE))),"S",""))</f>
        <v/>
      </c>
      <c r="CV21" t="str">
        <f>IF(NOT(ISERROR(HLOOKUP(Standings!CV$3,Entries!$C19:$K19,1,FALSE))),"x",IF(NOT(ISERROR(HLOOKUP(Standings!CV$3,Entries!$L19:$L19,1,FALSE))),"S",""))</f>
        <v/>
      </c>
      <c r="CW21" t="str">
        <f>IF(NOT(ISERROR(HLOOKUP(Standings!CW$3,Entries!$C19:$K19,1,FALSE))),"x",IF(NOT(ISERROR(HLOOKUP(Standings!CW$3,Entries!$L19:$L19,1,FALSE))),"S",""))</f>
        <v/>
      </c>
      <c r="CX21" t="str">
        <f>IF(NOT(ISERROR(HLOOKUP(Standings!CX$3,Entries!$C19:$K19,1,FALSE))),"x",IF(NOT(ISERROR(HLOOKUP(Standings!CX$3,Entries!$L19:$L19,1,FALSE))),"S",""))</f>
        <v/>
      </c>
      <c r="CY21" t="str">
        <f>IF(NOT(ISERROR(HLOOKUP(Standings!CY$3,Entries!$C19:$K19,1,FALSE))),"x",IF(NOT(ISERROR(HLOOKUP(Standings!CY$3,Entries!$L19:$L19,1,FALSE))),"S",""))</f>
        <v/>
      </c>
      <c r="CZ21" t="str">
        <f>IF(NOT(ISERROR(HLOOKUP(Standings!CZ$3,Entries!$C19:$K19,1,FALSE))),"x",IF(NOT(ISERROR(HLOOKUP(Standings!CZ$3,Entries!$L19:$L19,1,FALSE))),"S",""))</f>
        <v/>
      </c>
      <c r="DA21" t="str">
        <f>IF(NOT(ISERROR(HLOOKUP(Standings!DA$3,Entries!$C19:$K19,1,FALSE))),"x",IF(NOT(ISERROR(HLOOKUP(Standings!DA$3,Entries!$L19:$L19,1,FALSE))),"S",""))</f>
        <v/>
      </c>
      <c r="DB21" t="str">
        <f>IF(NOT(ISERROR(HLOOKUP(Standings!DB$3,Entries!$C19:$K19,1,FALSE))),"x",IF(NOT(ISERROR(HLOOKUP(Standings!DB$3,Entries!$L19:$L19,1,FALSE))),"S",""))</f>
        <v/>
      </c>
    </row>
    <row r="22" spans="1:106" x14ac:dyDescent="0.25">
      <c r="A22" s="18"/>
      <c r="B22">
        <v>59</v>
      </c>
      <c r="C22" t="str">
        <f>Entries!B23</f>
        <v>AinsleyBullock</v>
      </c>
      <c r="D22" s="4">
        <f>IF(C22="","",RANK(E22,$E$10:$E$111))</f>
        <v>11</v>
      </c>
      <c r="E22" s="31">
        <f>IF(C22="","",ROUND(SUM(F22:AK22),0))</f>
        <v>6</v>
      </c>
      <c r="F22" s="40">
        <f>IF(BG22="","",IF(BG22="x",F$6,0)+IF(BG22="S",-F$6-0.00001,0))</f>
        <v>2</v>
      </c>
      <c r="G22" s="41" t="str">
        <f>IF(BH22="","",IF(BH22="x",G$6,0)+IF(BH22="S",-G$6-0.00001,0))</f>
        <v/>
      </c>
      <c r="H22" s="41" t="str">
        <f>IF(BI22="","",IF(BI22="x",H$6,0)+IF(BI22="S",-H$6-0.00001,0))</f>
        <v/>
      </c>
      <c r="I22" s="42" t="str">
        <f>IF(BJ22="","",IF(BJ22="x",I$6,0)+IF(BJ22="S",-I$6-0.00001,0))</f>
        <v/>
      </c>
      <c r="J22" s="40">
        <f>IF(BK22="","",IF(BK22="x",J$6,0)+IF(BK22="S",-J$6-0.00001,0))</f>
        <v>1</v>
      </c>
      <c r="K22" s="41">
        <f>IF(BL22="","",IF(BL22="x",K$6,0)+IF(BL22="S",-K$6-0.00001,0))</f>
        <v>-1.0000100000000001</v>
      </c>
      <c r="L22" s="41" t="str">
        <f>IF(BM22="","",IF(BM22="x",L$6,0)+IF(BM22="S",-L$6-0.00001,0))</f>
        <v/>
      </c>
      <c r="M22" s="42" t="str">
        <f>IF(BN22="","",IF(BN22="x",M$6,0)+IF(BN22="S",-M$6-0.00001,0))</f>
        <v/>
      </c>
      <c r="N22" s="43" t="str">
        <f>IF(BO22="","",IF(BO22="x",N$6,0)+IF(BO22="S",-N$6-0.00001,0))</f>
        <v/>
      </c>
      <c r="O22" s="41" t="str">
        <f>IF(BP22="","",IF(BP22="x",O$6,0)+IF(BP22="S",-O$6-0.00001,0))</f>
        <v/>
      </c>
      <c r="P22" s="41" t="str">
        <f>IF(BQ22="","",IF(BQ22="x",P$6,0)+IF(BQ22="S",-P$6-0.00001,0))</f>
        <v/>
      </c>
      <c r="Q22" s="42" t="str">
        <f>IF(BR22="","",IF(BR22="x",Q$6,0)+IF(BR22="S",-Q$6-0.00001,0))</f>
        <v/>
      </c>
      <c r="R22" s="40">
        <f>IF(BS22="","",IF(BS22="x",R$6,0)+IF(BS22="S",-R$6-0.00001,0))</f>
        <v>2</v>
      </c>
      <c r="S22" s="41" t="str">
        <f>IF(BT22="","",IF(BT22="x",S$6,0)+IF(BT22="S",-S$6-0.00001,0))</f>
        <v/>
      </c>
      <c r="T22" s="43" t="str">
        <f>IF(BU22="","",IF(BU22="x",T$6,0)+IF(BU22="S",-T$6-0.00001,0))</f>
        <v/>
      </c>
      <c r="U22" s="42" t="str">
        <f>IF(BV22="","",IF(BV22="x",U$6,0)+IF(BV22="S",-U$6-0.00001,0))</f>
        <v/>
      </c>
      <c r="V22" s="40" t="str">
        <f>IF(BW22="","",IF(BW22="x",V$6,0)+IF(BW22="S",-V$6-0.00001,0))</f>
        <v/>
      </c>
      <c r="W22" s="41" t="str">
        <f>IF(BX22="","",IF(BX22="x",W$6,0)+IF(BX22="S",-W$6-0.00001,0))</f>
        <v/>
      </c>
      <c r="X22" s="41" t="str">
        <f>IF(BY22="","",IF(BY22="x",X$6,0)+IF(BY22="S",-X$6-0.00001,0))</f>
        <v/>
      </c>
      <c r="Y22" s="42">
        <f>IF(BZ22="","",IF(BZ22="x",Y$6,0)+IF(BZ22="S",-Y$6-0.00001,0))</f>
        <v>0</v>
      </c>
      <c r="Z22" s="40" t="str">
        <f>IF(CA22="","",IF(CA22="x",Z$6,0)+IF(CA22="S",-Z$6-0.00001,0))</f>
        <v/>
      </c>
      <c r="AA22" s="41">
        <f>IF(CB22="","",IF(CB22="x",AA$6,0)+IF(CB22="S",-AA$6-0.00001,0))</f>
        <v>1</v>
      </c>
      <c r="AB22" s="41" t="str">
        <f>IF(CC22="","",IF(CC22="x",AB$6,0)+IF(CC22="S",-AB$6-0.00001,0))</f>
        <v/>
      </c>
      <c r="AC22" s="42" t="str">
        <f>IF(CD22="","",IF(CD22="x",AC$6,0)+IF(CD22="S",-AC$6-0.00001,0))</f>
        <v/>
      </c>
      <c r="AD22" s="40" t="str">
        <f>IF(CE22="","",IF(CE22="x",AD$6,0)+IF(CE22="S",-AD$6-0.00001,0))</f>
        <v/>
      </c>
      <c r="AE22" s="41" t="str">
        <f>IF(CF22="","",IF(CF22="x",AE$6,0)+IF(CF22="S",-AE$6-0.00001,0))</f>
        <v/>
      </c>
      <c r="AF22" s="41" t="str">
        <f>IF(CG22="","",IF(CG22="x",AF$6,0)+IF(CG22="S",-AF$6-0.00001,0))</f>
        <v/>
      </c>
      <c r="AG22" s="42" t="str">
        <f>IF(CH22="","",IF(CH22="x",AG$6,0)+IF(CH22="S",-AG$6-0.00001,0))</f>
        <v/>
      </c>
      <c r="AH22" s="40" t="str">
        <f>IF(CI22="","",IF(CI22="x",AH$6,0)+IF(CI22="S",-AH$6-0.00001,0))</f>
        <v/>
      </c>
      <c r="AI22" s="41" t="str">
        <f>IF(CJ22="","",IF(CJ22="x",AI$6,0)+IF(CJ22="S",-AI$6-0.00001,0))</f>
        <v/>
      </c>
      <c r="AJ22" s="41">
        <f>IF(CK22="","",IF(CK22="x",AJ$6,0)+IF(CK22="S",-AJ$6-0.00001,0))</f>
        <v>1</v>
      </c>
      <c r="AK22" s="42" t="str">
        <f>IF(CL22="","",IF(CL22="x",AK$6,0)+IF(CL22="S",-AK$6-0.00001,0))</f>
        <v/>
      </c>
      <c r="AL22" s="40" t="str">
        <f>IF(CM22="","",IF(CM22="x",AL$6,0)+IF(CM22="S",-AL$6-0.00001,0))</f>
        <v/>
      </c>
      <c r="AM22" s="41" t="str">
        <f>IF(CN22="","",IF(CN22="x",AM$6,0)+IF(CN22="S",-AM$6-0.00001,0))</f>
        <v/>
      </c>
      <c r="AN22" s="41" t="str">
        <f>IF(CO22="","",IF(CO22="x",AN$6,0)+IF(CO22="S",-AN$6-0.00001,0))</f>
        <v/>
      </c>
      <c r="AO22" s="42" t="str">
        <f>IF(CP22="","",IF(CP22="x",AO$6,0)+IF(CP22="S",-AO$6-0.00001,0))</f>
        <v/>
      </c>
      <c r="AP22" s="40" t="str">
        <f>IF(CQ22="","",IF(CQ22="x",AP$6,0)+IF(CQ22="S",-AP$6-0.00001,0))</f>
        <v/>
      </c>
      <c r="AQ22" s="41">
        <f>IF(CR22="","",IF(CR22="x",AQ$6,0)+IF(CR22="S",-AQ$6-0.00001,0))</f>
        <v>0</v>
      </c>
      <c r="AR22" s="41" t="str">
        <f>IF(CS22="","",IF(CS22="x",AR$6,0)+IF(CS22="S",-AR$6-0.00001,0))</f>
        <v/>
      </c>
      <c r="AS22" s="42" t="str">
        <f>IF(CT22="","",IF(CT22="x",AS$6,0)+IF(CT22="S",-AS$6-0.00001,0))</f>
        <v/>
      </c>
      <c r="AT22" s="40" t="str">
        <f>IF(CU22="","",IF(CU22="x",AT$6,0)+IF(CU22="S",-AT$6-0.00001,0))</f>
        <v/>
      </c>
      <c r="AU22" s="41" t="str">
        <f>IF(CV22="","",IF(CV22="x",AU$6,0)+IF(CV22="S",-AU$6-0.00001,0))</f>
        <v/>
      </c>
      <c r="AV22" s="41" t="str">
        <f>IF(CW22="","",IF(CW22="x",AV$6,0)+IF(CW22="S",-AV$6-0.00001,0))</f>
        <v/>
      </c>
      <c r="AW22" s="42" t="str">
        <f>IF(CX22="","",IF(CX22="x",AW$6,0)+IF(CX22="S",-AW$6-0.00001,0))</f>
        <v/>
      </c>
      <c r="AX22" s="40" t="str">
        <f>IF(CY22="","",IF(CY22="x",AX$6,0)+IF(CY22="S",-AX$6-0.00001,0))</f>
        <v/>
      </c>
      <c r="AY22" s="41" t="str">
        <f>IF(CZ22="","",IF(CZ22="x",AY$6,0)+IF(CZ22="S",-AY$6-0.00001,0))</f>
        <v/>
      </c>
      <c r="AZ22" s="41">
        <f>IF(DA22="","",IF(DA22="x",AZ$6,0)+IF(DA22="S",-AZ$6-0.00001,0))</f>
        <v>0</v>
      </c>
      <c r="BA22" s="42" t="str">
        <f>IF(DB22="","",IF(DB22="x",BA$6,0)+IF(DB22="S",-BA$6-0.00001,0))</f>
        <v/>
      </c>
      <c r="BB22" s="37" t="s">
        <v>106</v>
      </c>
      <c r="BC22" s="21"/>
      <c r="BD22" s="21"/>
      <c r="BG22" t="str">
        <f>IF(NOT(ISERROR(HLOOKUP(Standings!BG$3,Entries!$C23:$K23,1,FALSE))),"x",IF(NOT(ISERROR(HLOOKUP(Standings!BG$3,Entries!$L23:$L23,1,FALSE))),"S",""))</f>
        <v>x</v>
      </c>
      <c r="BH22" t="str">
        <f>IF(NOT(ISERROR(HLOOKUP(Standings!BH$3,Entries!$C23:$K23,1,FALSE))),"x",IF(NOT(ISERROR(HLOOKUP(Standings!BH$3,Entries!$L23:$L23,1,FALSE))),"S",""))</f>
        <v/>
      </c>
      <c r="BI22" t="str">
        <f>IF(NOT(ISERROR(HLOOKUP(Standings!BI$3,Entries!$C23:$K23,1,FALSE))),"x",IF(NOT(ISERROR(HLOOKUP(Standings!BI$3,Entries!$L23:$L23,1,FALSE))),"S",""))</f>
        <v/>
      </c>
      <c r="BJ22" t="str">
        <f>IF(NOT(ISERROR(HLOOKUP(Standings!BJ$3,Entries!$C23:$K23,1,FALSE))),"x",IF(NOT(ISERROR(HLOOKUP(Standings!BJ$3,Entries!$L23:$L23,1,FALSE))),"S",""))</f>
        <v/>
      </c>
      <c r="BK22" t="str">
        <f>IF(NOT(ISERROR(HLOOKUP(Standings!BK$3,Entries!$C23:$K23,1,FALSE))),"x",IF(NOT(ISERROR(HLOOKUP(Standings!BK$3,Entries!$L23:$L23,1,FALSE))),"S",""))</f>
        <v>x</v>
      </c>
      <c r="BL22" t="str">
        <f>IF(NOT(ISERROR(HLOOKUP(Standings!BL$3,Entries!$C23:$K23,1,FALSE))),"x",IF(NOT(ISERROR(HLOOKUP(Standings!BL$3,Entries!$L23:$L23,1,FALSE))),"S",""))</f>
        <v>S</v>
      </c>
      <c r="BM22" t="str">
        <f>IF(NOT(ISERROR(HLOOKUP(Standings!BM$3,Entries!$C23:$K23,1,FALSE))),"x",IF(NOT(ISERROR(HLOOKUP(Standings!BM$3,Entries!$L23:$L23,1,FALSE))),"S",""))</f>
        <v/>
      </c>
      <c r="BN22" t="str">
        <f>IF(NOT(ISERROR(HLOOKUP(Standings!BN$3,Entries!$C23:$K23,1,FALSE))),"x",IF(NOT(ISERROR(HLOOKUP(Standings!BN$3,Entries!$L23:$L23,1,FALSE))),"S",""))</f>
        <v/>
      </c>
      <c r="BO22" t="str">
        <f>IF(NOT(ISERROR(HLOOKUP(Standings!BO$3,Entries!$C23:$K23,1,FALSE))),"x",IF(NOT(ISERROR(HLOOKUP(Standings!BO$3,Entries!$L23:$L23,1,FALSE))),"S",""))</f>
        <v/>
      </c>
      <c r="BP22" t="str">
        <f>IF(NOT(ISERROR(HLOOKUP(Standings!BP$3,Entries!$C23:$K23,1,FALSE))),"x",IF(NOT(ISERROR(HLOOKUP(Standings!BP$3,Entries!$L23:$L23,1,FALSE))),"S",""))</f>
        <v/>
      </c>
      <c r="BQ22" t="str">
        <f>IF(NOT(ISERROR(HLOOKUP(Standings!BQ$3,Entries!$C23:$K23,1,FALSE))),"x",IF(NOT(ISERROR(HLOOKUP(Standings!BQ$3,Entries!$L23:$L23,1,FALSE))),"S",""))</f>
        <v/>
      </c>
      <c r="BR22" t="str">
        <f>IF(NOT(ISERROR(HLOOKUP(Standings!BR$3,Entries!$C23:$K23,1,FALSE))),"x",IF(NOT(ISERROR(HLOOKUP(Standings!BR$3,Entries!$L23:$L23,1,FALSE))),"S",""))</f>
        <v/>
      </c>
      <c r="BS22" t="str">
        <f>IF(NOT(ISERROR(HLOOKUP(Standings!BS$3,Entries!$C23:$K23,1,FALSE))),"x",IF(NOT(ISERROR(HLOOKUP(Standings!BS$3,Entries!$L23:$L23,1,FALSE))),"S",""))</f>
        <v>x</v>
      </c>
      <c r="BT22" t="str">
        <f>IF(NOT(ISERROR(HLOOKUP(Standings!BT$3,Entries!$C23:$K23,1,FALSE))),"x",IF(NOT(ISERROR(HLOOKUP(Standings!BT$3,Entries!$L23:$L23,1,FALSE))),"S",""))</f>
        <v/>
      </c>
      <c r="BU22" t="str">
        <f>IF(NOT(ISERROR(HLOOKUP(Standings!BU$3,Entries!$C23:$K23,1,FALSE))),"x",IF(NOT(ISERROR(HLOOKUP(Standings!BU$3,Entries!$L23:$L23,1,FALSE))),"S",""))</f>
        <v/>
      </c>
      <c r="BV22" t="str">
        <f>IF(NOT(ISERROR(HLOOKUP(Standings!BV$3,Entries!$C23:$K23,1,FALSE))),"x",IF(NOT(ISERROR(HLOOKUP(Standings!BV$3,Entries!$L23:$L23,1,FALSE))),"S",""))</f>
        <v/>
      </c>
      <c r="BW22" t="str">
        <f>IF(NOT(ISERROR(HLOOKUP(Standings!BW$3,Entries!$C23:$K23,1,FALSE))),"x",IF(NOT(ISERROR(HLOOKUP(Standings!BW$3,Entries!$L23:$L23,1,FALSE))),"S",""))</f>
        <v/>
      </c>
      <c r="BX22" t="str">
        <f>IF(NOT(ISERROR(HLOOKUP(Standings!BX$3,Entries!$C23:$K23,1,FALSE))),"x",IF(NOT(ISERROR(HLOOKUP(Standings!BX$3,Entries!$L23:$L23,1,FALSE))),"S",""))</f>
        <v/>
      </c>
      <c r="BY22" t="str">
        <f>IF(NOT(ISERROR(HLOOKUP(Standings!BY$3,Entries!$C23:$K23,1,FALSE))),"x",IF(NOT(ISERROR(HLOOKUP(Standings!BY$3,Entries!$L23:$L23,1,FALSE))),"S",""))</f>
        <v/>
      </c>
      <c r="BZ22" t="str">
        <f>IF(NOT(ISERROR(HLOOKUP(Standings!BZ$3,Entries!$C23:$K23,1,FALSE))),"x",IF(NOT(ISERROR(HLOOKUP(Standings!BZ$3,Entries!$L23:$L23,1,FALSE))),"S",""))</f>
        <v>x</v>
      </c>
      <c r="CA22" t="str">
        <f>IF(NOT(ISERROR(HLOOKUP(Standings!CA$3,Entries!$C23:$K23,1,FALSE))),"x",IF(NOT(ISERROR(HLOOKUP(Standings!CA$3,Entries!$L23:$L23,1,FALSE))),"S",""))</f>
        <v/>
      </c>
      <c r="CB22" t="str">
        <f>IF(NOT(ISERROR(HLOOKUP(Standings!CB$3,Entries!$C23:$K23,1,FALSE))),"x",IF(NOT(ISERROR(HLOOKUP(Standings!CB$3,Entries!$L23:$L23,1,FALSE))),"S",""))</f>
        <v>x</v>
      </c>
      <c r="CC22" t="str">
        <f>IF(NOT(ISERROR(HLOOKUP(Standings!CC$3,Entries!$C23:$K23,1,FALSE))),"x",IF(NOT(ISERROR(HLOOKUP(Standings!CC$3,Entries!$L23:$L23,1,FALSE))),"S",""))</f>
        <v/>
      </c>
      <c r="CD22" t="str">
        <f>IF(NOT(ISERROR(HLOOKUP(Standings!CD$3,Entries!$C23:$K23,1,FALSE))),"x",IF(NOT(ISERROR(HLOOKUP(Standings!CD$3,Entries!$L23:$L23,1,FALSE))),"S",""))</f>
        <v/>
      </c>
      <c r="CE22" t="str">
        <f>IF(NOT(ISERROR(HLOOKUP(Standings!CE$3,Entries!$C23:$K23,1,FALSE))),"x",IF(NOT(ISERROR(HLOOKUP(Standings!CE$3,Entries!$L23:$L23,1,FALSE))),"S",""))</f>
        <v/>
      </c>
      <c r="CF22" t="str">
        <f>IF(NOT(ISERROR(HLOOKUP(Standings!CF$3,Entries!$C23:$K23,1,FALSE))),"x",IF(NOT(ISERROR(HLOOKUP(Standings!CF$3,Entries!$L23:$L23,1,FALSE))),"S",""))</f>
        <v/>
      </c>
      <c r="CG22" t="str">
        <f>IF(NOT(ISERROR(HLOOKUP(Standings!CG$3,Entries!$C23:$K23,1,FALSE))),"x",IF(NOT(ISERROR(HLOOKUP(Standings!CG$3,Entries!$L23:$L23,1,FALSE))),"S",""))</f>
        <v/>
      </c>
      <c r="CH22" t="str">
        <f>IF(NOT(ISERROR(HLOOKUP(Standings!CH$3,Entries!$C23:$K23,1,FALSE))),"x",IF(NOT(ISERROR(HLOOKUP(Standings!CH$3,Entries!$L23:$L23,1,FALSE))),"S",""))</f>
        <v/>
      </c>
      <c r="CI22" t="str">
        <f>IF(NOT(ISERROR(HLOOKUP(Standings!CI$3,Entries!$C23:$K23,1,FALSE))),"x",IF(NOT(ISERROR(HLOOKUP(Standings!CI$3,Entries!$L23:$L23,1,FALSE))),"S",""))</f>
        <v/>
      </c>
      <c r="CJ22" t="str">
        <f>IF(NOT(ISERROR(HLOOKUP(Standings!CJ$3,Entries!$C23:$K23,1,FALSE))),"x",IF(NOT(ISERROR(HLOOKUP(Standings!CJ$3,Entries!$L23:$L23,1,FALSE))),"S",""))</f>
        <v/>
      </c>
      <c r="CK22" t="str">
        <f>IF(NOT(ISERROR(HLOOKUP(Standings!CK$3,Entries!$C23:$K23,1,FALSE))),"x",IF(NOT(ISERROR(HLOOKUP(Standings!CK$3,Entries!$L23:$L23,1,FALSE))),"S",""))</f>
        <v>x</v>
      </c>
      <c r="CL22" t="str">
        <f>IF(NOT(ISERROR(HLOOKUP(Standings!CL$3,Entries!$C23:$K23,1,FALSE))),"x",IF(NOT(ISERROR(HLOOKUP(Standings!CL$3,Entries!$L23:$L23,1,FALSE))),"S",""))</f>
        <v/>
      </c>
      <c r="CM22" t="str">
        <f>IF(NOT(ISERROR(HLOOKUP(Standings!CM$3,Entries!$C23:$K23,1,FALSE))),"x",IF(NOT(ISERROR(HLOOKUP(Standings!CM$3,Entries!$L23:$L23,1,FALSE))),"S",""))</f>
        <v/>
      </c>
      <c r="CN22" t="str">
        <f>IF(NOT(ISERROR(HLOOKUP(Standings!CN$3,Entries!$C23:$K23,1,FALSE))),"x",IF(NOT(ISERROR(HLOOKUP(Standings!CN$3,Entries!$L23:$L23,1,FALSE))),"S",""))</f>
        <v/>
      </c>
      <c r="CO22" t="str">
        <f>IF(NOT(ISERROR(HLOOKUP(Standings!CO$3,Entries!$C23:$K23,1,FALSE))),"x",IF(NOT(ISERROR(HLOOKUP(Standings!CO$3,Entries!$L23:$L23,1,FALSE))),"S",""))</f>
        <v/>
      </c>
      <c r="CP22" t="str">
        <f>IF(NOT(ISERROR(HLOOKUP(Standings!CP$3,Entries!$C23:$K23,1,FALSE))),"x",IF(NOT(ISERROR(HLOOKUP(Standings!CP$3,Entries!$L23:$L23,1,FALSE))),"S",""))</f>
        <v/>
      </c>
      <c r="CQ22" t="str">
        <f>IF(NOT(ISERROR(HLOOKUP(Standings!CQ$3,Entries!$C23:$K23,1,FALSE))),"x",IF(NOT(ISERROR(HLOOKUP(Standings!CQ$3,Entries!$L23:$L23,1,FALSE))),"S",""))</f>
        <v/>
      </c>
      <c r="CR22" t="str">
        <f>IF(NOT(ISERROR(HLOOKUP(Standings!CR$3,Entries!$C23:$K23,1,FALSE))),"x",IF(NOT(ISERROR(HLOOKUP(Standings!CR$3,Entries!$L23:$L23,1,FALSE))),"S",""))</f>
        <v>x</v>
      </c>
      <c r="CS22" t="str">
        <f>IF(NOT(ISERROR(HLOOKUP(Standings!CS$3,Entries!$C23:$K23,1,FALSE))),"x",IF(NOT(ISERROR(HLOOKUP(Standings!CS$3,Entries!$L23:$L23,1,FALSE))),"S",""))</f>
        <v/>
      </c>
      <c r="CT22" t="str">
        <f>IF(NOT(ISERROR(HLOOKUP(Standings!CT$3,Entries!$C23:$K23,1,FALSE))),"x",IF(NOT(ISERROR(HLOOKUP(Standings!CT$3,Entries!$L23:$L23,1,FALSE))),"S",""))</f>
        <v/>
      </c>
      <c r="CU22" t="str">
        <f>IF(NOT(ISERROR(HLOOKUP(Standings!CU$3,Entries!$C23:$K23,1,FALSE))),"x",IF(NOT(ISERROR(HLOOKUP(Standings!CU$3,Entries!$L23:$L23,1,FALSE))),"S",""))</f>
        <v/>
      </c>
      <c r="CV22" t="str">
        <f>IF(NOT(ISERROR(HLOOKUP(Standings!CV$3,Entries!$C23:$K23,1,FALSE))),"x",IF(NOT(ISERROR(HLOOKUP(Standings!CV$3,Entries!$L23:$L23,1,FALSE))),"S",""))</f>
        <v/>
      </c>
      <c r="CW22" t="str">
        <f>IF(NOT(ISERROR(HLOOKUP(Standings!CW$3,Entries!$C23:$K23,1,FALSE))),"x",IF(NOT(ISERROR(HLOOKUP(Standings!CW$3,Entries!$L23:$L23,1,FALSE))),"S",""))</f>
        <v/>
      </c>
      <c r="CX22" t="str">
        <f>IF(NOT(ISERROR(HLOOKUP(Standings!CX$3,Entries!$C23:$K23,1,FALSE))),"x",IF(NOT(ISERROR(HLOOKUP(Standings!CX$3,Entries!$L23:$L23,1,FALSE))),"S",""))</f>
        <v/>
      </c>
      <c r="CY22" t="str">
        <f>IF(NOT(ISERROR(HLOOKUP(Standings!CY$3,Entries!$C23:$K23,1,FALSE))),"x",IF(NOT(ISERROR(HLOOKUP(Standings!CY$3,Entries!$L23:$L23,1,FALSE))),"S",""))</f>
        <v/>
      </c>
      <c r="CZ22" t="str">
        <f>IF(NOT(ISERROR(HLOOKUP(Standings!CZ$3,Entries!$C23:$K23,1,FALSE))),"x",IF(NOT(ISERROR(HLOOKUP(Standings!CZ$3,Entries!$L23:$L23,1,FALSE))),"S",""))</f>
        <v/>
      </c>
      <c r="DA22" t="str">
        <f>IF(NOT(ISERROR(HLOOKUP(Standings!DA$3,Entries!$C23:$K23,1,FALSE))),"x",IF(NOT(ISERROR(HLOOKUP(Standings!DA$3,Entries!$L23:$L23,1,FALSE))),"S",""))</f>
        <v>x</v>
      </c>
      <c r="DB22" t="str">
        <f>IF(NOT(ISERROR(HLOOKUP(Standings!DB$3,Entries!$C23:$K23,1,FALSE))),"x",IF(NOT(ISERROR(HLOOKUP(Standings!DB$3,Entries!$L23:$L23,1,FALSE))),"S",""))</f>
        <v/>
      </c>
    </row>
    <row r="23" spans="1:106" x14ac:dyDescent="0.25">
      <c r="A23" s="18"/>
      <c r="B23">
        <v>33</v>
      </c>
      <c r="C23" t="str">
        <f>Entries!B42</f>
        <v>betsyg</v>
      </c>
      <c r="D23" s="4">
        <f>IF(C23="","",RANK(E23,$E$10:$E$111))</f>
        <v>11</v>
      </c>
      <c r="E23" s="31">
        <f>IF(C23="","",ROUND(SUM(F23:AK23),0))</f>
        <v>6</v>
      </c>
      <c r="F23" s="40">
        <f>IF(BG23="","",IF(BG23="x",F$6,0)+IF(BG23="S",-F$6-0.00001,0))</f>
        <v>2</v>
      </c>
      <c r="G23" s="41" t="str">
        <f>IF(BH23="","",IF(BH23="x",G$6,0)+IF(BH23="S",-G$6-0.00001,0))</f>
        <v/>
      </c>
      <c r="H23" s="41" t="str">
        <f>IF(BI23="","",IF(BI23="x",H$6,0)+IF(BI23="S",-H$6-0.00001,0))</f>
        <v/>
      </c>
      <c r="I23" s="42" t="str">
        <f>IF(BJ23="","",IF(BJ23="x",I$6,0)+IF(BJ23="S",-I$6-0.00001,0))</f>
        <v/>
      </c>
      <c r="J23" s="40" t="str">
        <f>IF(BK23="","",IF(BK23="x",J$6,0)+IF(BK23="S",-J$6-0.00001,0))</f>
        <v/>
      </c>
      <c r="K23" s="41">
        <f>IF(BL23="","",IF(BL23="x",K$6,0)+IF(BL23="S",-K$6-0.00001,0))</f>
        <v>1</v>
      </c>
      <c r="L23" s="41" t="str">
        <f>IF(BM23="","",IF(BM23="x",L$6,0)+IF(BM23="S",-L$6-0.00001,0))</f>
        <v/>
      </c>
      <c r="M23" s="42" t="str">
        <f>IF(BN23="","",IF(BN23="x",M$6,0)+IF(BN23="S",-M$6-0.00001,0))</f>
        <v/>
      </c>
      <c r="N23" s="43" t="str">
        <f>IF(BO23="","",IF(BO23="x",N$6,0)+IF(BO23="S",-N$6-0.00001,0))</f>
        <v/>
      </c>
      <c r="O23" s="41" t="str">
        <f>IF(BP23="","",IF(BP23="x",O$6,0)+IF(BP23="S",-O$6-0.00001,0))</f>
        <v/>
      </c>
      <c r="P23" s="41" t="str">
        <f>IF(BQ23="","",IF(BQ23="x",P$6,0)+IF(BQ23="S",-P$6-0.00001,0))</f>
        <v/>
      </c>
      <c r="Q23" s="42" t="str">
        <f>IF(BR23="","",IF(BR23="x",Q$6,0)+IF(BR23="S",-Q$6-0.00001,0))</f>
        <v/>
      </c>
      <c r="R23" s="40" t="str">
        <f>IF(BS23="","",IF(BS23="x",R$6,0)+IF(BS23="S",-R$6-0.00001,0))</f>
        <v/>
      </c>
      <c r="S23" s="41" t="str">
        <f>IF(BT23="","",IF(BT23="x",S$6,0)+IF(BT23="S",-S$6-0.00001,0))</f>
        <v/>
      </c>
      <c r="T23" s="43" t="str">
        <f>IF(BU23="","",IF(BU23="x",T$6,0)+IF(BU23="S",-T$6-0.00001,0))</f>
        <v/>
      </c>
      <c r="U23" s="42" t="str">
        <f>IF(BV23="","",IF(BV23="x",U$6,0)+IF(BV23="S",-U$6-0.00001,0))</f>
        <v/>
      </c>
      <c r="V23" s="40" t="str">
        <f>IF(BW23="","",IF(BW23="x",V$6,0)+IF(BW23="S",-V$6-0.00001,0))</f>
        <v/>
      </c>
      <c r="W23" s="41" t="str">
        <f>IF(BX23="","",IF(BX23="x",W$6,0)+IF(BX23="S",-W$6-0.00001,0))</f>
        <v/>
      </c>
      <c r="X23" s="41">
        <f>IF(BY23="","",IF(BY23="x",X$6,0)+IF(BY23="S",-X$6-0.00001,0))</f>
        <v>2</v>
      </c>
      <c r="Y23" s="42">
        <f>IF(BZ23="","",IF(BZ23="x",Y$6,0)+IF(BZ23="S",-Y$6-0.00001,0))</f>
        <v>0</v>
      </c>
      <c r="Z23" s="40" t="str">
        <f>IF(CA23="","",IF(CA23="x",Z$6,0)+IF(CA23="S",-Z$6-0.00001,0))</f>
        <v/>
      </c>
      <c r="AA23" s="41" t="str">
        <f>IF(CB23="","",IF(CB23="x",AA$6,0)+IF(CB23="S",-AA$6-0.00001,0))</f>
        <v/>
      </c>
      <c r="AB23" s="41" t="str">
        <f>IF(CC23="","",IF(CC23="x",AB$6,0)+IF(CC23="S",-AB$6-0.00001,0))</f>
        <v/>
      </c>
      <c r="AC23" s="42" t="str">
        <f>IF(CD23="","",IF(CD23="x",AC$6,0)+IF(CD23="S",-AC$6-0.00001,0))</f>
        <v/>
      </c>
      <c r="AD23" s="40" t="str">
        <f>IF(CE23="","",IF(CE23="x",AD$6,0)+IF(CE23="S",-AD$6-0.00001,0))</f>
        <v/>
      </c>
      <c r="AE23" s="41" t="str">
        <f>IF(CF23="","",IF(CF23="x",AE$6,0)+IF(CF23="S",-AE$6-0.00001,0))</f>
        <v/>
      </c>
      <c r="AF23" s="41" t="str">
        <f>IF(CG23="","",IF(CG23="x",AF$6,0)+IF(CG23="S",-AF$6-0.00001,0))</f>
        <v/>
      </c>
      <c r="AG23" s="42" t="str">
        <f>IF(CH23="","",IF(CH23="x",AG$6,0)+IF(CH23="S",-AG$6-0.00001,0))</f>
        <v/>
      </c>
      <c r="AH23" s="40" t="str">
        <f>IF(CI23="","",IF(CI23="x",AH$6,0)+IF(CI23="S",-AH$6-0.00001,0))</f>
        <v/>
      </c>
      <c r="AI23" s="41">
        <f>IF(CJ23="","",IF(CJ23="x",AI$6,0)+IF(CJ23="S",-AI$6-0.00001,0))</f>
        <v>1</v>
      </c>
      <c r="AJ23" s="41" t="str">
        <f>IF(CK23="","",IF(CK23="x",AJ$6,0)+IF(CK23="S",-AJ$6-0.00001,0))</f>
        <v/>
      </c>
      <c r="AK23" s="42" t="str">
        <f>IF(CL23="","",IF(CL23="x",AK$6,0)+IF(CL23="S",-AK$6-0.00001,0))</f>
        <v/>
      </c>
      <c r="AL23" s="40" t="str">
        <f>IF(CM23="","",IF(CM23="x",AL$6,0)+IF(CM23="S",-AL$6-0.00001,0))</f>
        <v/>
      </c>
      <c r="AM23" s="41">
        <f>IF(CN23="","",IF(CN23="x",AM$6,0)+IF(CN23="S",-AM$6-0.00001,0))</f>
        <v>0</v>
      </c>
      <c r="AN23" s="41">
        <f>IF(CO23="","",IF(CO23="x",AN$6,0)+IF(CO23="S",-AN$6-0.00001,0))</f>
        <v>0</v>
      </c>
      <c r="AO23" s="42" t="str">
        <f>IF(CP23="","",IF(CP23="x",AO$6,0)+IF(CP23="S",-AO$6-0.00001,0))</f>
        <v/>
      </c>
      <c r="AP23" s="40">
        <f>IF(CQ23="","",IF(CQ23="x",AP$6,0)+IF(CQ23="S",-AP$6-0.00001,0))</f>
        <v>-1.0000000000000001E-5</v>
      </c>
      <c r="AQ23" s="41" t="str">
        <f>IF(CR23="","",IF(CR23="x",AQ$6,0)+IF(CR23="S",-AQ$6-0.00001,0))</f>
        <v/>
      </c>
      <c r="AR23" s="41" t="str">
        <f>IF(CS23="","",IF(CS23="x",AR$6,0)+IF(CS23="S",-AR$6-0.00001,0))</f>
        <v/>
      </c>
      <c r="AS23" s="42" t="str">
        <f>IF(CT23="","",IF(CT23="x",AS$6,0)+IF(CT23="S",-AS$6-0.00001,0))</f>
        <v/>
      </c>
      <c r="AT23" s="40" t="str">
        <f>IF(CU23="","",IF(CU23="x",AT$6,0)+IF(CU23="S",-AT$6-0.00001,0))</f>
        <v/>
      </c>
      <c r="AU23" s="41" t="str">
        <f>IF(CV23="","",IF(CV23="x",AU$6,0)+IF(CV23="S",-AU$6-0.00001,0))</f>
        <v/>
      </c>
      <c r="AV23" s="41">
        <f>IF(CW23="","",IF(CW23="x",AV$6,0)+IF(CW23="S",-AV$6-0.00001,0))</f>
        <v>0</v>
      </c>
      <c r="AW23" s="42" t="str">
        <f>IF(CX23="","",IF(CX23="x",AW$6,0)+IF(CX23="S",-AW$6-0.00001,0))</f>
        <v/>
      </c>
      <c r="AX23" s="40" t="str">
        <f>IF(CY23="","",IF(CY23="x",AX$6,0)+IF(CY23="S",-AX$6-0.00001,0))</f>
        <v/>
      </c>
      <c r="AY23" s="41" t="str">
        <f>IF(CZ23="","",IF(CZ23="x",AY$6,0)+IF(CZ23="S",-AY$6-0.00001,0))</f>
        <v/>
      </c>
      <c r="AZ23" s="41" t="str">
        <f>IF(DA23="","",IF(DA23="x",AZ$6,0)+IF(DA23="S",-AZ$6-0.00001,0))</f>
        <v/>
      </c>
      <c r="BA23" s="42" t="str">
        <f>IF(DB23="","",IF(DB23="x",BA$6,0)+IF(DB23="S",-BA$6-0.00001,0))</f>
        <v/>
      </c>
      <c r="BB23" s="37" t="s">
        <v>106</v>
      </c>
      <c r="BC23" s="21"/>
      <c r="BD23" s="21"/>
      <c r="BG23" t="str">
        <f>IF(NOT(ISERROR(HLOOKUP(Standings!BG$3,Entries!$C42:$K42,1,FALSE))),"x",IF(NOT(ISERROR(HLOOKUP(Standings!BG$3,Entries!$L42:$L42,1,FALSE))),"S",""))</f>
        <v>x</v>
      </c>
      <c r="BH23" t="str">
        <f>IF(NOT(ISERROR(HLOOKUP(Standings!BH$3,Entries!$C42:$K42,1,FALSE))),"x",IF(NOT(ISERROR(HLOOKUP(Standings!BH$3,Entries!$L42:$L42,1,FALSE))),"S",""))</f>
        <v/>
      </c>
      <c r="BI23" t="str">
        <f>IF(NOT(ISERROR(HLOOKUP(Standings!BI$3,Entries!$C42:$K42,1,FALSE))),"x",IF(NOT(ISERROR(HLOOKUP(Standings!BI$3,Entries!$L42:$L42,1,FALSE))),"S",""))</f>
        <v/>
      </c>
      <c r="BJ23" t="str">
        <f>IF(NOT(ISERROR(HLOOKUP(Standings!BJ$3,Entries!$C42:$K42,1,FALSE))),"x",IF(NOT(ISERROR(HLOOKUP(Standings!BJ$3,Entries!$L42:$L42,1,FALSE))),"S",""))</f>
        <v/>
      </c>
      <c r="BK23" t="str">
        <f>IF(NOT(ISERROR(HLOOKUP(Standings!BK$3,Entries!$C42:$K42,1,FALSE))),"x",IF(NOT(ISERROR(HLOOKUP(Standings!BK$3,Entries!$L42:$L42,1,FALSE))),"S",""))</f>
        <v/>
      </c>
      <c r="BL23" t="str">
        <f>IF(NOT(ISERROR(HLOOKUP(Standings!BL$3,Entries!$C42:$K42,1,FALSE))),"x",IF(NOT(ISERROR(HLOOKUP(Standings!BL$3,Entries!$L42:$L42,1,FALSE))),"S",""))</f>
        <v>x</v>
      </c>
      <c r="BM23" t="str">
        <f>IF(NOT(ISERROR(HLOOKUP(Standings!BM$3,Entries!$C42:$K42,1,FALSE))),"x",IF(NOT(ISERROR(HLOOKUP(Standings!BM$3,Entries!$L42:$L42,1,FALSE))),"S",""))</f>
        <v/>
      </c>
      <c r="BN23" t="str">
        <f>IF(NOT(ISERROR(HLOOKUP(Standings!BN$3,Entries!$C42:$K42,1,FALSE))),"x",IF(NOT(ISERROR(HLOOKUP(Standings!BN$3,Entries!$L42:$L42,1,FALSE))),"S",""))</f>
        <v/>
      </c>
      <c r="BO23" t="str">
        <f>IF(NOT(ISERROR(HLOOKUP(Standings!BO$3,Entries!$C42:$K42,1,FALSE))),"x",IF(NOT(ISERROR(HLOOKUP(Standings!BO$3,Entries!$L42:$L42,1,FALSE))),"S",""))</f>
        <v/>
      </c>
      <c r="BP23" t="str">
        <f>IF(NOT(ISERROR(HLOOKUP(Standings!BP$3,Entries!$C42:$K42,1,FALSE))),"x",IF(NOT(ISERROR(HLOOKUP(Standings!BP$3,Entries!$L42:$L42,1,FALSE))),"S",""))</f>
        <v/>
      </c>
      <c r="BQ23" t="str">
        <f>IF(NOT(ISERROR(HLOOKUP(Standings!BQ$3,Entries!$C42:$K42,1,FALSE))),"x",IF(NOT(ISERROR(HLOOKUP(Standings!BQ$3,Entries!$L42:$L42,1,FALSE))),"S",""))</f>
        <v/>
      </c>
      <c r="BR23" t="str">
        <f>IF(NOT(ISERROR(HLOOKUP(Standings!BR$3,Entries!$C42:$K42,1,FALSE))),"x",IF(NOT(ISERROR(HLOOKUP(Standings!BR$3,Entries!$L42:$L42,1,FALSE))),"S",""))</f>
        <v/>
      </c>
      <c r="BS23" t="str">
        <f>IF(NOT(ISERROR(HLOOKUP(Standings!BS$3,Entries!$C42:$K42,1,FALSE))),"x",IF(NOT(ISERROR(HLOOKUP(Standings!BS$3,Entries!$L42:$L42,1,FALSE))),"S",""))</f>
        <v/>
      </c>
      <c r="BT23" t="str">
        <f>IF(NOT(ISERROR(HLOOKUP(Standings!BT$3,Entries!$C42:$K42,1,FALSE))),"x",IF(NOT(ISERROR(HLOOKUP(Standings!BT$3,Entries!$L42:$L42,1,FALSE))),"S",""))</f>
        <v/>
      </c>
      <c r="BU23" t="str">
        <f>IF(NOT(ISERROR(HLOOKUP(Standings!BU$3,Entries!$C42:$K42,1,FALSE))),"x",IF(NOT(ISERROR(HLOOKUP(Standings!BU$3,Entries!$L42:$L42,1,FALSE))),"S",""))</f>
        <v/>
      </c>
      <c r="BV23" t="str">
        <f>IF(NOT(ISERROR(HLOOKUP(Standings!BV$3,Entries!$C42:$K42,1,FALSE))),"x",IF(NOT(ISERROR(HLOOKUP(Standings!BV$3,Entries!$L42:$L42,1,FALSE))),"S",""))</f>
        <v/>
      </c>
      <c r="BW23" t="str">
        <f>IF(NOT(ISERROR(HLOOKUP(Standings!BW$3,Entries!$C42:$K42,1,FALSE))),"x",IF(NOT(ISERROR(HLOOKUP(Standings!BW$3,Entries!$L42:$L42,1,FALSE))),"S",""))</f>
        <v/>
      </c>
      <c r="BX23" t="str">
        <f>IF(NOT(ISERROR(HLOOKUP(Standings!BX$3,Entries!$C42:$K42,1,FALSE))),"x",IF(NOT(ISERROR(HLOOKUP(Standings!BX$3,Entries!$L42:$L42,1,FALSE))),"S",""))</f>
        <v/>
      </c>
      <c r="BY23" t="str">
        <f>IF(NOT(ISERROR(HLOOKUP(Standings!BY$3,Entries!$C42:$K42,1,FALSE))),"x",IF(NOT(ISERROR(HLOOKUP(Standings!BY$3,Entries!$L42:$L42,1,FALSE))),"S",""))</f>
        <v>x</v>
      </c>
      <c r="BZ23" t="str">
        <f>IF(NOT(ISERROR(HLOOKUP(Standings!BZ$3,Entries!$C42:$K42,1,FALSE))),"x",IF(NOT(ISERROR(HLOOKUP(Standings!BZ$3,Entries!$L42:$L42,1,FALSE))),"S",""))</f>
        <v>x</v>
      </c>
      <c r="CA23" t="str">
        <f>IF(NOT(ISERROR(HLOOKUP(Standings!CA$3,Entries!$C42:$K42,1,FALSE))),"x",IF(NOT(ISERROR(HLOOKUP(Standings!CA$3,Entries!$L42:$L42,1,FALSE))),"S",""))</f>
        <v/>
      </c>
      <c r="CB23" t="str">
        <f>IF(NOT(ISERROR(HLOOKUP(Standings!CB$3,Entries!$C42:$K42,1,FALSE))),"x",IF(NOT(ISERROR(HLOOKUP(Standings!CB$3,Entries!$L42:$L42,1,FALSE))),"S",""))</f>
        <v/>
      </c>
      <c r="CC23" t="str">
        <f>IF(NOT(ISERROR(HLOOKUP(Standings!CC$3,Entries!$C42:$K42,1,FALSE))),"x",IF(NOT(ISERROR(HLOOKUP(Standings!CC$3,Entries!$L42:$L42,1,FALSE))),"S",""))</f>
        <v/>
      </c>
      <c r="CD23" t="str">
        <f>IF(NOT(ISERROR(HLOOKUP(Standings!CD$3,Entries!$C42:$K42,1,FALSE))),"x",IF(NOT(ISERROR(HLOOKUP(Standings!CD$3,Entries!$L42:$L42,1,FALSE))),"S",""))</f>
        <v/>
      </c>
      <c r="CE23" t="str">
        <f>IF(NOT(ISERROR(HLOOKUP(Standings!CE$3,Entries!$C42:$K42,1,FALSE))),"x",IF(NOT(ISERROR(HLOOKUP(Standings!CE$3,Entries!$L42:$L42,1,FALSE))),"S",""))</f>
        <v/>
      </c>
      <c r="CF23" t="str">
        <f>IF(NOT(ISERROR(HLOOKUP(Standings!CF$3,Entries!$C42:$K42,1,FALSE))),"x",IF(NOT(ISERROR(HLOOKUP(Standings!CF$3,Entries!$L42:$L42,1,FALSE))),"S",""))</f>
        <v/>
      </c>
      <c r="CG23" t="str">
        <f>IF(NOT(ISERROR(HLOOKUP(Standings!CG$3,Entries!$C42:$K42,1,FALSE))),"x",IF(NOT(ISERROR(HLOOKUP(Standings!CG$3,Entries!$L42:$L42,1,FALSE))),"S",""))</f>
        <v/>
      </c>
      <c r="CH23" t="str">
        <f>IF(NOT(ISERROR(HLOOKUP(Standings!CH$3,Entries!$C42:$K42,1,FALSE))),"x",IF(NOT(ISERROR(HLOOKUP(Standings!CH$3,Entries!$L42:$L42,1,FALSE))),"S",""))</f>
        <v/>
      </c>
      <c r="CI23" t="str">
        <f>IF(NOT(ISERROR(HLOOKUP(Standings!CI$3,Entries!$C42:$K42,1,FALSE))),"x",IF(NOT(ISERROR(HLOOKUP(Standings!CI$3,Entries!$L42:$L42,1,FALSE))),"S",""))</f>
        <v/>
      </c>
      <c r="CJ23" t="str">
        <f>IF(NOT(ISERROR(HLOOKUP(Standings!CJ$3,Entries!$C42:$K42,1,FALSE))),"x",IF(NOT(ISERROR(HLOOKUP(Standings!CJ$3,Entries!$L42:$L42,1,FALSE))),"S",""))</f>
        <v>x</v>
      </c>
      <c r="CK23" t="str">
        <f>IF(NOT(ISERROR(HLOOKUP(Standings!CK$3,Entries!$C42:$K42,1,FALSE))),"x",IF(NOT(ISERROR(HLOOKUP(Standings!CK$3,Entries!$L42:$L42,1,FALSE))),"S",""))</f>
        <v/>
      </c>
      <c r="CL23" t="str">
        <f>IF(NOT(ISERROR(HLOOKUP(Standings!CL$3,Entries!$C42:$K42,1,FALSE))),"x",IF(NOT(ISERROR(HLOOKUP(Standings!CL$3,Entries!$L42:$L42,1,FALSE))),"S",""))</f>
        <v/>
      </c>
      <c r="CM23" t="str">
        <f>IF(NOT(ISERROR(HLOOKUP(Standings!CM$3,Entries!$C42:$K42,1,FALSE))),"x",IF(NOT(ISERROR(HLOOKUP(Standings!CM$3,Entries!$L42:$L42,1,FALSE))),"S",""))</f>
        <v/>
      </c>
      <c r="CN23" t="str">
        <f>IF(NOT(ISERROR(HLOOKUP(Standings!CN$3,Entries!$C42:$K42,1,FALSE))),"x",IF(NOT(ISERROR(HLOOKUP(Standings!CN$3,Entries!$L42:$L42,1,FALSE))),"S",""))</f>
        <v>x</v>
      </c>
      <c r="CO23" t="str">
        <f>IF(NOT(ISERROR(HLOOKUP(Standings!CO$3,Entries!$C42:$K42,1,FALSE))),"x",IF(NOT(ISERROR(HLOOKUP(Standings!CO$3,Entries!$L42:$L42,1,FALSE))),"S",""))</f>
        <v>x</v>
      </c>
      <c r="CP23" t="str">
        <f>IF(NOT(ISERROR(HLOOKUP(Standings!CP$3,Entries!$C42:$K42,1,FALSE))),"x",IF(NOT(ISERROR(HLOOKUP(Standings!CP$3,Entries!$L42:$L42,1,FALSE))),"S",""))</f>
        <v/>
      </c>
      <c r="CQ23" t="str">
        <f>IF(NOT(ISERROR(HLOOKUP(Standings!CQ$3,Entries!$C42:$K42,1,FALSE))),"x",IF(NOT(ISERROR(HLOOKUP(Standings!CQ$3,Entries!$L42:$L42,1,FALSE))),"S",""))</f>
        <v>S</v>
      </c>
      <c r="CR23" t="str">
        <f>IF(NOT(ISERROR(HLOOKUP(Standings!CR$3,Entries!$C42:$K42,1,FALSE))),"x",IF(NOT(ISERROR(HLOOKUP(Standings!CR$3,Entries!$L42:$L42,1,FALSE))),"S",""))</f>
        <v/>
      </c>
      <c r="CS23" t="str">
        <f>IF(NOT(ISERROR(HLOOKUP(Standings!CS$3,Entries!$C42:$K42,1,FALSE))),"x",IF(NOT(ISERROR(HLOOKUP(Standings!CS$3,Entries!$L42:$L42,1,FALSE))),"S",""))</f>
        <v/>
      </c>
      <c r="CT23" t="str">
        <f>IF(NOT(ISERROR(HLOOKUP(Standings!CT$3,Entries!$C42:$K42,1,FALSE))),"x",IF(NOT(ISERROR(HLOOKUP(Standings!CT$3,Entries!$L42:$L42,1,FALSE))),"S",""))</f>
        <v/>
      </c>
      <c r="CU23" t="str">
        <f>IF(NOT(ISERROR(HLOOKUP(Standings!CU$3,Entries!$C42:$K42,1,FALSE))),"x",IF(NOT(ISERROR(HLOOKUP(Standings!CU$3,Entries!$L42:$L42,1,FALSE))),"S",""))</f>
        <v/>
      </c>
      <c r="CV23" t="str">
        <f>IF(NOT(ISERROR(HLOOKUP(Standings!CV$3,Entries!$C42:$K42,1,FALSE))),"x",IF(NOT(ISERROR(HLOOKUP(Standings!CV$3,Entries!$L42:$L42,1,FALSE))),"S",""))</f>
        <v/>
      </c>
      <c r="CW23" t="str">
        <f>IF(NOT(ISERROR(HLOOKUP(Standings!CW$3,Entries!$C42:$K42,1,FALSE))),"x",IF(NOT(ISERROR(HLOOKUP(Standings!CW$3,Entries!$L42:$L42,1,FALSE))),"S",""))</f>
        <v>x</v>
      </c>
      <c r="CX23" t="str">
        <f>IF(NOT(ISERROR(HLOOKUP(Standings!CX$3,Entries!$C42:$K42,1,FALSE))),"x",IF(NOT(ISERROR(HLOOKUP(Standings!CX$3,Entries!$L42:$L42,1,FALSE))),"S",""))</f>
        <v/>
      </c>
      <c r="CY23" t="str">
        <f>IF(NOT(ISERROR(HLOOKUP(Standings!CY$3,Entries!$C42:$K42,1,FALSE))),"x",IF(NOT(ISERROR(HLOOKUP(Standings!CY$3,Entries!$L42:$L42,1,FALSE))),"S",""))</f>
        <v/>
      </c>
      <c r="CZ23" t="str">
        <f>IF(NOT(ISERROR(HLOOKUP(Standings!CZ$3,Entries!$C42:$K42,1,FALSE))),"x",IF(NOT(ISERROR(HLOOKUP(Standings!CZ$3,Entries!$L42:$L42,1,FALSE))),"S",""))</f>
        <v/>
      </c>
      <c r="DA23" t="str">
        <f>IF(NOT(ISERROR(HLOOKUP(Standings!DA$3,Entries!$C42:$K42,1,FALSE))),"x",IF(NOT(ISERROR(HLOOKUP(Standings!DA$3,Entries!$L42:$L42,1,FALSE))),"S",""))</f>
        <v/>
      </c>
      <c r="DB23" t="str">
        <f>IF(NOT(ISERROR(HLOOKUP(Standings!DB$3,Entries!$C42:$K42,1,FALSE))),"x",IF(NOT(ISERROR(HLOOKUP(Standings!DB$3,Entries!$L42:$L42,1,FALSE))),"S",""))</f>
        <v/>
      </c>
    </row>
    <row r="24" spans="1:106" x14ac:dyDescent="0.25">
      <c r="B24">
        <v>45</v>
      </c>
      <c r="C24" t="str">
        <f>Entries!B56</f>
        <v>JHudd2</v>
      </c>
      <c r="D24" s="4">
        <f>IF(C24="","",RANK(E24,$E$10:$E$111))</f>
        <v>11</v>
      </c>
      <c r="E24" s="31">
        <f>IF(C24="","",ROUND(SUM(F24:AK24),0))</f>
        <v>6</v>
      </c>
      <c r="F24" s="40">
        <f>IF(BG24="","",IF(BG24="x",F$6,0)+IF(BG24="S",-F$6-0.00001,0))</f>
        <v>2</v>
      </c>
      <c r="G24" s="41" t="str">
        <f>IF(BH24="","",IF(BH24="x",G$6,0)+IF(BH24="S",-G$6-0.00001,0))</f>
        <v/>
      </c>
      <c r="H24" s="41" t="str">
        <f>IF(BI24="","",IF(BI24="x",H$6,0)+IF(BI24="S",-H$6-0.00001,0))</f>
        <v/>
      </c>
      <c r="I24" s="42" t="str">
        <f>IF(BJ24="","",IF(BJ24="x",I$6,0)+IF(BJ24="S",-I$6-0.00001,0))</f>
        <v/>
      </c>
      <c r="J24" s="40" t="str">
        <f>IF(BK24="","",IF(BK24="x",J$6,0)+IF(BK24="S",-J$6-0.00001,0))</f>
        <v/>
      </c>
      <c r="K24" s="41" t="str">
        <f>IF(BL24="","",IF(BL24="x",K$6,0)+IF(BL24="S",-K$6-0.00001,0))</f>
        <v/>
      </c>
      <c r="L24" s="41" t="str">
        <f>IF(BM24="","",IF(BM24="x",L$6,0)+IF(BM24="S",-L$6-0.00001,0))</f>
        <v/>
      </c>
      <c r="M24" s="42" t="str">
        <f>IF(BN24="","",IF(BN24="x",M$6,0)+IF(BN24="S",-M$6-0.00001,0))</f>
        <v/>
      </c>
      <c r="N24" s="43" t="str">
        <f>IF(BO24="","",IF(BO24="x",N$6,0)+IF(BO24="S",-N$6-0.00001,0))</f>
        <v/>
      </c>
      <c r="O24" s="41" t="str">
        <f>IF(BP24="","",IF(BP24="x",O$6,0)+IF(BP24="S",-O$6-0.00001,0))</f>
        <v/>
      </c>
      <c r="P24" s="41" t="str">
        <f>IF(BQ24="","",IF(BQ24="x",P$6,0)+IF(BQ24="S",-P$6-0.00001,0))</f>
        <v/>
      </c>
      <c r="Q24" s="42">
        <f>IF(BR24="","",IF(BR24="x",Q$6,0)+IF(BR24="S",-Q$6-0.00001,0))</f>
        <v>2</v>
      </c>
      <c r="R24" s="40" t="str">
        <f>IF(BS24="","",IF(BS24="x",R$6,0)+IF(BS24="S",-R$6-0.00001,0))</f>
        <v/>
      </c>
      <c r="S24" s="41" t="str">
        <f>IF(BT24="","",IF(BT24="x",S$6,0)+IF(BT24="S",-S$6-0.00001,0))</f>
        <v/>
      </c>
      <c r="T24" s="43" t="str">
        <f>IF(BU24="","",IF(BU24="x",T$6,0)+IF(BU24="S",-T$6-0.00001,0))</f>
        <v/>
      </c>
      <c r="U24" s="42" t="str">
        <f>IF(BV24="","",IF(BV24="x",U$6,0)+IF(BV24="S",-U$6-0.00001,0))</f>
        <v/>
      </c>
      <c r="V24" s="40" t="str">
        <f>IF(BW24="","",IF(BW24="x",V$6,0)+IF(BW24="S",-V$6-0.00001,0))</f>
        <v/>
      </c>
      <c r="W24" s="41" t="str">
        <f>IF(BX24="","",IF(BX24="x",W$6,0)+IF(BX24="S",-W$6-0.00001,0))</f>
        <v/>
      </c>
      <c r="X24" s="41" t="str">
        <f>IF(BY24="","",IF(BY24="x",X$6,0)+IF(BY24="S",-X$6-0.00001,0))</f>
        <v/>
      </c>
      <c r="Y24" s="42">
        <f>IF(BZ24="","",IF(BZ24="x",Y$6,0)+IF(BZ24="S",-Y$6-0.00001,0))</f>
        <v>0</v>
      </c>
      <c r="Z24" s="40">
        <f>IF(CA24="","",IF(CA24="x",Z$6,0)+IF(CA24="S",-Z$6-0.00001,0))</f>
        <v>-1.0000100000000001</v>
      </c>
      <c r="AA24" s="41" t="str">
        <f>IF(CB24="","",IF(CB24="x",AA$6,0)+IF(CB24="S",-AA$6-0.00001,0))</f>
        <v/>
      </c>
      <c r="AB24" s="41" t="str">
        <f>IF(CC24="","",IF(CC24="x",AB$6,0)+IF(CC24="S",-AB$6-0.00001,0))</f>
        <v/>
      </c>
      <c r="AC24" s="42">
        <f>IF(CD24="","",IF(CD24="x",AC$6,0)+IF(CD24="S",-AC$6-0.00001,0))</f>
        <v>2</v>
      </c>
      <c r="AD24" s="40">
        <f>IF(CE24="","",IF(CE24="x",AD$6,0)+IF(CE24="S",-AD$6-0.00001,0))</f>
        <v>1</v>
      </c>
      <c r="AE24" s="41" t="str">
        <f>IF(CF24="","",IF(CF24="x",AE$6,0)+IF(CF24="S",-AE$6-0.00001,0))</f>
        <v/>
      </c>
      <c r="AF24" s="41" t="str">
        <f>IF(CG24="","",IF(CG24="x",AF$6,0)+IF(CG24="S",-AF$6-0.00001,0))</f>
        <v/>
      </c>
      <c r="AG24" s="42" t="str">
        <f>IF(CH24="","",IF(CH24="x",AG$6,0)+IF(CH24="S",-AG$6-0.00001,0))</f>
        <v/>
      </c>
      <c r="AH24" s="40" t="str">
        <f>IF(CI24="","",IF(CI24="x",AH$6,0)+IF(CI24="S",-AH$6-0.00001,0))</f>
        <v/>
      </c>
      <c r="AI24" s="41" t="str">
        <f>IF(CJ24="","",IF(CJ24="x",AI$6,0)+IF(CJ24="S",-AI$6-0.00001,0))</f>
        <v/>
      </c>
      <c r="AJ24" s="41" t="str">
        <f>IF(CK24="","",IF(CK24="x",AJ$6,0)+IF(CK24="S",-AJ$6-0.00001,0))</f>
        <v/>
      </c>
      <c r="AK24" s="42" t="str">
        <f>IF(CL24="","",IF(CL24="x",AK$6,0)+IF(CL24="S",-AK$6-0.00001,0))</f>
        <v/>
      </c>
      <c r="AL24" s="40" t="str">
        <f>IF(CM24="","",IF(CM24="x",AL$6,0)+IF(CM24="S",-AL$6-0.00001,0))</f>
        <v/>
      </c>
      <c r="AM24" s="41" t="str">
        <f>IF(CN24="","",IF(CN24="x",AM$6,0)+IF(CN24="S",-AM$6-0.00001,0))</f>
        <v/>
      </c>
      <c r="AN24" s="41">
        <f>IF(CO24="","",IF(CO24="x",AN$6,0)+IF(CO24="S",-AN$6-0.00001,0))</f>
        <v>0</v>
      </c>
      <c r="AO24" s="42" t="str">
        <f>IF(CP24="","",IF(CP24="x",AO$6,0)+IF(CP24="S",-AO$6-0.00001,0))</f>
        <v/>
      </c>
      <c r="AP24" s="40" t="str">
        <f>IF(CQ24="","",IF(CQ24="x",AP$6,0)+IF(CQ24="S",-AP$6-0.00001,0))</f>
        <v/>
      </c>
      <c r="AQ24" s="41" t="str">
        <f>IF(CR24="","",IF(CR24="x",AQ$6,0)+IF(CR24="S",-AQ$6-0.00001,0))</f>
        <v/>
      </c>
      <c r="AR24" s="41" t="str">
        <f>IF(CS24="","",IF(CS24="x",AR$6,0)+IF(CS24="S",-AR$6-0.00001,0))</f>
        <v/>
      </c>
      <c r="AS24" s="42" t="str">
        <f>IF(CT24="","",IF(CT24="x",AS$6,0)+IF(CT24="S",-AS$6-0.00001,0))</f>
        <v/>
      </c>
      <c r="AT24" s="40" t="str">
        <f>IF(CU24="","",IF(CU24="x",AT$6,0)+IF(CU24="S",-AT$6-0.00001,0))</f>
        <v/>
      </c>
      <c r="AU24" s="41" t="str">
        <f>IF(CV24="","",IF(CV24="x",AU$6,0)+IF(CV24="S",-AU$6-0.00001,0))</f>
        <v/>
      </c>
      <c r="AV24" s="41" t="str">
        <f>IF(CW24="","",IF(CW24="x",AV$6,0)+IF(CW24="S",-AV$6-0.00001,0))</f>
        <v/>
      </c>
      <c r="AW24" s="42" t="str">
        <f>IF(CX24="","",IF(CX24="x",AW$6,0)+IF(CX24="S",-AW$6-0.00001,0))</f>
        <v/>
      </c>
      <c r="AX24" s="40" t="str">
        <f>IF(CY24="","",IF(CY24="x",AX$6,0)+IF(CY24="S",-AX$6-0.00001,0))</f>
        <v/>
      </c>
      <c r="AY24" s="41" t="str">
        <f>IF(CZ24="","",IF(CZ24="x",AY$6,0)+IF(CZ24="S",-AY$6-0.00001,0))</f>
        <v/>
      </c>
      <c r="AZ24" s="41" t="str">
        <f>IF(DA24="","",IF(DA24="x",AZ$6,0)+IF(DA24="S",-AZ$6-0.00001,0))</f>
        <v/>
      </c>
      <c r="BA24" s="42" t="str">
        <f>IF(DB24="","",IF(DB24="x",BA$6,0)+IF(DB24="S",-BA$6-0.00001,0))</f>
        <v/>
      </c>
      <c r="BB24" s="37" t="s">
        <v>106</v>
      </c>
      <c r="BD24" s="21"/>
      <c r="BG24" t="str">
        <f>IF(NOT(ISERROR(HLOOKUP(Standings!BG$3,Entries!$C56:$K56,1,FALSE))),"x",IF(NOT(ISERROR(HLOOKUP(Standings!BG$3,Entries!$L56:$L56,1,FALSE))),"S",""))</f>
        <v>x</v>
      </c>
      <c r="BH24" t="str">
        <f>IF(NOT(ISERROR(HLOOKUP(Standings!BH$3,Entries!$C56:$K56,1,FALSE))),"x",IF(NOT(ISERROR(HLOOKUP(Standings!BH$3,Entries!$L56:$L56,1,FALSE))),"S",""))</f>
        <v/>
      </c>
      <c r="BI24" t="str">
        <f>IF(NOT(ISERROR(HLOOKUP(Standings!BI$3,Entries!$C56:$K56,1,FALSE))),"x",IF(NOT(ISERROR(HLOOKUP(Standings!BI$3,Entries!$L56:$L56,1,FALSE))),"S",""))</f>
        <v/>
      </c>
      <c r="BJ24" t="str">
        <f>IF(NOT(ISERROR(HLOOKUP(Standings!BJ$3,Entries!$C56:$K56,1,FALSE))),"x",IF(NOT(ISERROR(HLOOKUP(Standings!BJ$3,Entries!$L56:$L56,1,FALSE))),"S",""))</f>
        <v/>
      </c>
      <c r="BK24" t="str">
        <f>IF(NOT(ISERROR(HLOOKUP(Standings!BK$3,Entries!$C56:$K56,1,FALSE))),"x",IF(NOT(ISERROR(HLOOKUP(Standings!BK$3,Entries!$L56:$L56,1,FALSE))),"S",""))</f>
        <v/>
      </c>
      <c r="BL24" t="str">
        <f>IF(NOT(ISERROR(HLOOKUP(Standings!BL$3,Entries!$C56:$K56,1,FALSE))),"x",IF(NOT(ISERROR(HLOOKUP(Standings!BL$3,Entries!$L56:$L56,1,FALSE))),"S",""))</f>
        <v/>
      </c>
      <c r="BM24" t="str">
        <f>IF(NOT(ISERROR(HLOOKUP(Standings!BM$3,Entries!$C56:$K56,1,FALSE))),"x",IF(NOT(ISERROR(HLOOKUP(Standings!BM$3,Entries!$L56:$L56,1,FALSE))),"S",""))</f>
        <v/>
      </c>
      <c r="BN24" t="str">
        <f>IF(NOT(ISERROR(HLOOKUP(Standings!BN$3,Entries!$C56:$K56,1,FALSE))),"x",IF(NOT(ISERROR(HLOOKUP(Standings!BN$3,Entries!$L56:$L56,1,FALSE))),"S",""))</f>
        <v/>
      </c>
      <c r="BO24" t="str">
        <f>IF(NOT(ISERROR(HLOOKUP(Standings!BO$3,Entries!$C56:$K56,1,FALSE))),"x",IF(NOT(ISERROR(HLOOKUP(Standings!BO$3,Entries!$L56:$L56,1,FALSE))),"S",""))</f>
        <v/>
      </c>
      <c r="BP24" t="str">
        <f>IF(NOT(ISERROR(HLOOKUP(Standings!BP$3,Entries!$C56:$K56,1,FALSE))),"x",IF(NOT(ISERROR(HLOOKUP(Standings!BP$3,Entries!$L56:$L56,1,FALSE))),"S",""))</f>
        <v/>
      </c>
      <c r="BQ24" t="str">
        <f>IF(NOT(ISERROR(HLOOKUP(Standings!BQ$3,Entries!$C56:$K56,1,FALSE))),"x",IF(NOT(ISERROR(HLOOKUP(Standings!BQ$3,Entries!$L56:$L56,1,FALSE))),"S",""))</f>
        <v/>
      </c>
      <c r="BR24" t="str">
        <f>IF(NOT(ISERROR(HLOOKUP(Standings!BR$3,Entries!$C56:$K56,1,FALSE))),"x",IF(NOT(ISERROR(HLOOKUP(Standings!BR$3,Entries!$L56:$L56,1,FALSE))),"S",""))</f>
        <v>x</v>
      </c>
      <c r="BS24" t="str">
        <f>IF(NOT(ISERROR(HLOOKUP(Standings!BS$3,Entries!$C56:$K56,1,FALSE))),"x",IF(NOT(ISERROR(HLOOKUP(Standings!BS$3,Entries!$L56:$L56,1,FALSE))),"S",""))</f>
        <v/>
      </c>
      <c r="BT24" t="str">
        <f>IF(NOT(ISERROR(HLOOKUP(Standings!BT$3,Entries!$C56:$K56,1,FALSE))),"x",IF(NOT(ISERROR(HLOOKUP(Standings!BT$3,Entries!$L56:$L56,1,FALSE))),"S",""))</f>
        <v/>
      </c>
      <c r="BU24" t="str">
        <f>IF(NOT(ISERROR(HLOOKUP(Standings!BU$3,Entries!$C56:$K56,1,FALSE))),"x",IF(NOT(ISERROR(HLOOKUP(Standings!BU$3,Entries!$L56:$L56,1,FALSE))),"S",""))</f>
        <v/>
      </c>
      <c r="BV24" t="str">
        <f>IF(NOT(ISERROR(HLOOKUP(Standings!BV$3,Entries!$C56:$K56,1,FALSE))),"x",IF(NOT(ISERROR(HLOOKUP(Standings!BV$3,Entries!$L56:$L56,1,FALSE))),"S",""))</f>
        <v/>
      </c>
      <c r="BW24" t="str">
        <f>IF(NOT(ISERROR(HLOOKUP(Standings!BW$3,Entries!$C56:$K56,1,FALSE))),"x",IF(NOT(ISERROR(HLOOKUP(Standings!BW$3,Entries!$L56:$L56,1,FALSE))),"S",""))</f>
        <v/>
      </c>
      <c r="BX24" t="str">
        <f>IF(NOT(ISERROR(HLOOKUP(Standings!BX$3,Entries!$C56:$K56,1,FALSE))),"x",IF(NOT(ISERROR(HLOOKUP(Standings!BX$3,Entries!$L56:$L56,1,FALSE))),"S",""))</f>
        <v/>
      </c>
      <c r="BY24" t="str">
        <f>IF(NOT(ISERROR(HLOOKUP(Standings!BY$3,Entries!$C56:$K56,1,FALSE))),"x",IF(NOT(ISERROR(HLOOKUP(Standings!BY$3,Entries!$L56:$L56,1,FALSE))),"S",""))</f>
        <v/>
      </c>
      <c r="BZ24" t="str">
        <f>IF(NOT(ISERROR(HLOOKUP(Standings!BZ$3,Entries!$C56:$K56,1,FALSE))),"x",IF(NOT(ISERROR(HLOOKUP(Standings!BZ$3,Entries!$L56:$L56,1,FALSE))),"S",""))</f>
        <v>x</v>
      </c>
      <c r="CA24" t="str">
        <f>IF(NOT(ISERROR(HLOOKUP(Standings!CA$3,Entries!$C56:$K56,1,FALSE))),"x",IF(NOT(ISERROR(HLOOKUP(Standings!CA$3,Entries!$L56:$L56,1,FALSE))),"S",""))</f>
        <v>S</v>
      </c>
      <c r="CB24" t="str">
        <f>IF(NOT(ISERROR(HLOOKUP(Standings!CB$3,Entries!$C56:$K56,1,FALSE))),"x",IF(NOT(ISERROR(HLOOKUP(Standings!CB$3,Entries!$L56:$L56,1,FALSE))),"S",""))</f>
        <v/>
      </c>
      <c r="CC24" t="str">
        <f>IF(NOT(ISERROR(HLOOKUP(Standings!CC$3,Entries!$C56:$K56,1,FALSE))),"x",IF(NOT(ISERROR(HLOOKUP(Standings!CC$3,Entries!$L56:$L56,1,FALSE))),"S",""))</f>
        <v/>
      </c>
      <c r="CD24" t="str">
        <f>IF(NOT(ISERROR(HLOOKUP(Standings!CD$3,Entries!$C56:$K56,1,FALSE))),"x",IF(NOT(ISERROR(HLOOKUP(Standings!CD$3,Entries!$L56:$L56,1,FALSE))),"S",""))</f>
        <v>x</v>
      </c>
      <c r="CE24" t="str">
        <f>IF(NOT(ISERROR(HLOOKUP(Standings!CE$3,Entries!$C56:$K56,1,FALSE))),"x",IF(NOT(ISERROR(HLOOKUP(Standings!CE$3,Entries!$L56:$L56,1,FALSE))),"S",""))</f>
        <v>x</v>
      </c>
      <c r="CF24" t="str">
        <f>IF(NOT(ISERROR(HLOOKUP(Standings!CF$3,Entries!$C56:$K56,1,FALSE))),"x",IF(NOT(ISERROR(HLOOKUP(Standings!CF$3,Entries!$L56:$L56,1,FALSE))),"S",""))</f>
        <v/>
      </c>
      <c r="CG24" t="str">
        <f>IF(NOT(ISERROR(HLOOKUP(Standings!CG$3,Entries!$C56:$K56,1,FALSE))),"x",IF(NOT(ISERROR(HLOOKUP(Standings!CG$3,Entries!$L56:$L56,1,FALSE))),"S",""))</f>
        <v/>
      </c>
      <c r="CH24" t="str">
        <f>IF(NOT(ISERROR(HLOOKUP(Standings!CH$3,Entries!$C56:$K56,1,FALSE))),"x",IF(NOT(ISERROR(HLOOKUP(Standings!CH$3,Entries!$L56:$L56,1,FALSE))),"S",""))</f>
        <v/>
      </c>
      <c r="CI24" t="str">
        <f>IF(NOT(ISERROR(HLOOKUP(Standings!CI$3,Entries!$C56:$K56,1,FALSE))),"x",IF(NOT(ISERROR(HLOOKUP(Standings!CI$3,Entries!$L56:$L56,1,FALSE))),"S",""))</f>
        <v/>
      </c>
      <c r="CJ24" t="str">
        <f>IF(NOT(ISERROR(HLOOKUP(Standings!CJ$3,Entries!$C56:$K56,1,FALSE))),"x",IF(NOT(ISERROR(HLOOKUP(Standings!CJ$3,Entries!$L56:$L56,1,FALSE))),"S",""))</f>
        <v/>
      </c>
      <c r="CK24" t="str">
        <f>IF(NOT(ISERROR(HLOOKUP(Standings!CK$3,Entries!$C56:$K56,1,FALSE))),"x",IF(NOT(ISERROR(HLOOKUP(Standings!CK$3,Entries!$L56:$L56,1,FALSE))),"S",""))</f>
        <v/>
      </c>
      <c r="CL24" t="str">
        <f>IF(NOT(ISERROR(HLOOKUP(Standings!CL$3,Entries!$C56:$K56,1,FALSE))),"x",IF(NOT(ISERROR(HLOOKUP(Standings!CL$3,Entries!$L56:$L56,1,FALSE))),"S",""))</f>
        <v/>
      </c>
      <c r="CM24" t="str">
        <f>IF(NOT(ISERROR(HLOOKUP(Standings!CM$3,Entries!$C56:$K56,1,FALSE))),"x",IF(NOT(ISERROR(HLOOKUP(Standings!CM$3,Entries!$L56:$L56,1,FALSE))),"S",""))</f>
        <v/>
      </c>
      <c r="CN24" t="str">
        <f>IF(NOT(ISERROR(HLOOKUP(Standings!CN$3,Entries!$C56:$K56,1,FALSE))),"x",IF(NOT(ISERROR(HLOOKUP(Standings!CN$3,Entries!$L56:$L56,1,FALSE))),"S",""))</f>
        <v/>
      </c>
      <c r="CO24" t="str">
        <f>IF(NOT(ISERROR(HLOOKUP(Standings!CO$3,Entries!$C56:$K56,1,FALSE))),"x",IF(NOT(ISERROR(HLOOKUP(Standings!CO$3,Entries!$L56:$L56,1,FALSE))),"S",""))</f>
        <v>x</v>
      </c>
      <c r="CP24" t="str">
        <f>IF(NOT(ISERROR(HLOOKUP(Standings!CP$3,Entries!$C56:$K56,1,FALSE))),"x",IF(NOT(ISERROR(HLOOKUP(Standings!CP$3,Entries!$L56:$L56,1,FALSE))),"S",""))</f>
        <v/>
      </c>
      <c r="CQ24" t="str">
        <f>IF(NOT(ISERROR(HLOOKUP(Standings!CQ$3,Entries!$C56:$K56,1,FALSE))),"x",IF(NOT(ISERROR(HLOOKUP(Standings!CQ$3,Entries!$L56:$L56,1,FALSE))),"S",""))</f>
        <v/>
      </c>
      <c r="CR24" t="str">
        <f>IF(NOT(ISERROR(HLOOKUP(Standings!CR$3,Entries!$C56:$K56,1,FALSE))),"x",IF(NOT(ISERROR(HLOOKUP(Standings!CR$3,Entries!$L56:$L56,1,FALSE))),"S",""))</f>
        <v/>
      </c>
      <c r="CS24" t="str">
        <f>IF(NOT(ISERROR(HLOOKUP(Standings!CS$3,Entries!$C56:$K56,1,FALSE))),"x",IF(NOT(ISERROR(HLOOKUP(Standings!CS$3,Entries!$L56:$L56,1,FALSE))),"S",""))</f>
        <v/>
      </c>
      <c r="CT24" t="str">
        <f>IF(NOT(ISERROR(HLOOKUP(Standings!CT$3,Entries!$C56:$K56,1,FALSE))),"x",IF(NOT(ISERROR(HLOOKUP(Standings!CT$3,Entries!$L56:$L56,1,FALSE))),"S",""))</f>
        <v/>
      </c>
      <c r="CU24" t="str">
        <f>IF(NOT(ISERROR(HLOOKUP(Standings!CU$3,Entries!$C56:$K56,1,FALSE))),"x",IF(NOT(ISERROR(HLOOKUP(Standings!CU$3,Entries!$L56:$L56,1,FALSE))),"S",""))</f>
        <v/>
      </c>
      <c r="CV24" t="str">
        <f>IF(NOT(ISERROR(HLOOKUP(Standings!CV$3,Entries!$C56:$K56,1,FALSE))),"x",IF(NOT(ISERROR(HLOOKUP(Standings!CV$3,Entries!$L56:$L56,1,FALSE))),"S",""))</f>
        <v/>
      </c>
      <c r="CW24" t="str">
        <f>IF(NOT(ISERROR(HLOOKUP(Standings!CW$3,Entries!$C56:$K56,1,FALSE))),"x",IF(NOT(ISERROR(HLOOKUP(Standings!CW$3,Entries!$L56:$L56,1,FALSE))),"S",""))</f>
        <v/>
      </c>
      <c r="CX24" t="str">
        <f>IF(NOT(ISERROR(HLOOKUP(Standings!CX$3,Entries!$C56:$K56,1,FALSE))),"x",IF(NOT(ISERROR(HLOOKUP(Standings!CX$3,Entries!$L56:$L56,1,FALSE))),"S",""))</f>
        <v/>
      </c>
      <c r="CY24" t="str">
        <f>IF(NOT(ISERROR(HLOOKUP(Standings!CY$3,Entries!$C56:$K56,1,FALSE))),"x",IF(NOT(ISERROR(HLOOKUP(Standings!CY$3,Entries!$L56:$L56,1,FALSE))),"S",""))</f>
        <v/>
      </c>
      <c r="CZ24" t="str">
        <f>IF(NOT(ISERROR(HLOOKUP(Standings!CZ$3,Entries!$C56:$K56,1,FALSE))),"x",IF(NOT(ISERROR(HLOOKUP(Standings!CZ$3,Entries!$L56:$L56,1,FALSE))),"S",""))</f>
        <v/>
      </c>
      <c r="DA24" t="str">
        <f>IF(NOT(ISERROR(HLOOKUP(Standings!DA$3,Entries!$C56:$K56,1,FALSE))),"x",IF(NOT(ISERROR(HLOOKUP(Standings!DA$3,Entries!$L56:$L56,1,FALSE))),"S",""))</f>
        <v/>
      </c>
      <c r="DB24" t="str">
        <f>IF(NOT(ISERROR(HLOOKUP(Standings!DB$3,Entries!$C56:$K56,1,FALSE))),"x",IF(NOT(ISERROR(HLOOKUP(Standings!DB$3,Entries!$L56:$L56,1,FALSE))),"S",""))</f>
        <v/>
      </c>
    </row>
    <row r="25" spans="1:106" x14ac:dyDescent="0.25">
      <c r="B25">
        <v>71</v>
      </c>
      <c r="C25" t="str">
        <f>Entries!B65</f>
        <v>D*Rock</v>
      </c>
      <c r="D25" s="4">
        <f>IF(C25="","",RANK(E25,$E$10:$E$111))</f>
        <v>11</v>
      </c>
      <c r="E25" s="31">
        <f>IF(C25="","",ROUND(SUM(F25:AK25),0))</f>
        <v>6</v>
      </c>
      <c r="F25" s="40" t="str">
        <f>IF(BG25="","",IF(BG25="x",F$6,0)+IF(BG25="S",-F$6-0.00001,0))</f>
        <v/>
      </c>
      <c r="G25" s="41" t="str">
        <f>IF(BH25="","",IF(BH25="x",G$6,0)+IF(BH25="S",-G$6-0.00001,0))</f>
        <v/>
      </c>
      <c r="H25" s="41">
        <f>IF(BI25="","",IF(BI25="x",H$6,0)+IF(BI25="S",-H$6-0.00001,0))</f>
        <v>2</v>
      </c>
      <c r="I25" s="42" t="str">
        <f>IF(BJ25="","",IF(BJ25="x",I$6,0)+IF(BJ25="S",-I$6-0.00001,0))</f>
        <v/>
      </c>
      <c r="J25" s="40" t="str">
        <f>IF(BK25="","",IF(BK25="x",J$6,0)+IF(BK25="S",-J$6-0.00001,0))</f>
        <v/>
      </c>
      <c r="K25" s="41" t="str">
        <f>IF(BL25="","",IF(BL25="x",K$6,0)+IF(BL25="S",-K$6-0.00001,0))</f>
        <v/>
      </c>
      <c r="L25" s="41" t="str">
        <f>IF(BM25="","",IF(BM25="x",L$6,0)+IF(BM25="S",-L$6-0.00001,0))</f>
        <v/>
      </c>
      <c r="M25" s="42" t="str">
        <f>IF(BN25="","",IF(BN25="x",M$6,0)+IF(BN25="S",-M$6-0.00001,0))</f>
        <v/>
      </c>
      <c r="N25" s="43" t="str">
        <f>IF(BO25="","",IF(BO25="x",N$6,0)+IF(BO25="S",-N$6-0.00001,0))</f>
        <v/>
      </c>
      <c r="O25" s="41">
        <f>IF(BP25="","",IF(BP25="x",O$6,0)+IF(BP25="S",-O$6-0.00001,0))</f>
        <v>1</v>
      </c>
      <c r="P25" s="41" t="str">
        <f>IF(BQ25="","",IF(BQ25="x",P$6,0)+IF(BQ25="S",-P$6-0.00001,0))</f>
        <v/>
      </c>
      <c r="Q25" s="42" t="str">
        <f>IF(BR25="","",IF(BR25="x",Q$6,0)+IF(BR25="S",-Q$6-0.00001,0))</f>
        <v/>
      </c>
      <c r="R25" s="40" t="str">
        <f>IF(BS25="","",IF(BS25="x",R$6,0)+IF(BS25="S",-R$6-0.00001,0))</f>
        <v/>
      </c>
      <c r="S25" s="41">
        <f>IF(BT25="","",IF(BT25="x",S$6,0)+IF(BT25="S",-S$6-0.00001,0))</f>
        <v>0</v>
      </c>
      <c r="T25" s="43">
        <f>IF(BU25="","",IF(BU25="x",T$6,0)+IF(BU25="S",-T$6-0.00001,0))</f>
        <v>2</v>
      </c>
      <c r="U25" s="42" t="str">
        <f>IF(BV25="","",IF(BV25="x",U$6,0)+IF(BV25="S",-U$6-0.00001,0))</f>
        <v/>
      </c>
      <c r="V25" s="40">
        <f>IF(BW25="","",IF(BW25="x",V$6,0)+IF(BW25="S",-V$6-0.00001,0))</f>
        <v>2</v>
      </c>
      <c r="W25" s="41" t="str">
        <f>IF(BX25="","",IF(BX25="x",W$6,0)+IF(BX25="S",-W$6-0.00001,0))</f>
        <v/>
      </c>
      <c r="X25" s="41" t="str">
        <f>IF(BY25="","",IF(BY25="x",X$6,0)+IF(BY25="S",-X$6-0.00001,0))</f>
        <v/>
      </c>
      <c r="Y25" s="42" t="str">
        <f>IF(BZ25="","",IF(BZ25="x",Y$6,0)+IF(BZ25="S",-Y$6-0.00001,0))</f>
        <v/>
      </c>
      <c r="Z25" s="40">
        <f>IF(CA25="","",IF(CA25="x",Z$6,0)+IF(CA25="S",-Z$6-0.00001,0))</f>
        <v>-1.0000100000000001</v>
      </c>
      <c r="AA25" s="41" t="str">
        <f>IF(CB25="","",IF(CB25="x",AA$6,0)+IF(CB25="S",-AA$6-0.00001,0))</f>
        <v/>
      </c>
      <c r="AB25" s="41">
        <f>IF(CC25="","",IF(CC25="x",AB$6,0)+IF(CC25="S",-AB$6-0.00001,0))</f>
        <v>0</v>
      </c>
      <c r="AC25" s="42" t="str">
        <f>IF(CD25="","",IF(CD25="x",AC$6,0)+IF(CD25="S",-AC$6-0.00001,0))</f>
        <v/>
      </c>
      <c r="AD25" s="40" t="str">
        <f>IF(CE25="","",IF(CE25="x",AD$6,0)+IF(CE25="S",-AD$6-0.00001,0))</f>
        <v/>
      </c>
      <c r="AE25" s="41" t="str">
        <f>IF(CF25="","",IF(CF25="x",AE$6,0)+IF(CF25="S",-AE$6-0.00001,0))</f>
        <v/>
      </c>
      <c r="AF25" s="41" t="str">
        <f>IF(CG25="","",IF(CG25="x",AF$6,0)+IF(CG25="S",-AF$6-0.00001,0))</f>
        <v/>
      </c>
      <c r="AG25" s="42" t="str">
        <f>IF(CH25="","",IF(CH25="x",AG$6,0)+IF(CH25="S",-AG$6-0.00001,0))</f>
        <v/>
      </c>
      <c r="AH25" s="40" t="str">
        <f>IF(CI25="","",IF(CI25="x",AH$6,0)+IF(CI25="S",-AH$6-0.00001,0))</f>
        <v/>
      </c>
      <c r="AI25" s="41" t="str">
        <f>IF(CJ25="","",IF(CJ25="x",AI$6,0)+IF(CJ25="S",-AI$6-0.00001,0))</f>
        <v/>
      </c>
      <c r="AJ25" s="41" t="str">
        <f>IF(CK25="","",IF(CK25="x",AJ$6,0)+IF(CK25="S",-AJ$6-0.00001,0))</f>
        <v/>
      </c>
      <c r="AK25" s="42" t="str">
        <f>IF(CL25="","",IF(CL25="x",AK$6,0)+IF(CL25="S",-AK$6-0.00001,0))</f>
        <v/>
      </c>
      <c r="AL25" s="40" t="str">
        <f>IF(CM25="","",IF(CM25="x",AL$6,0)+IF(CM25="S",-AL$6-0.00001,0))</f>
        <v/>
      </c>
      <c r="AM25" s="41">
        <f>IF(CN25="","",IF(CN25="x",AM$6,0)+IF(CN25="S",-AM$6-0.00001,0))</f>
        <v>0</v>
      </c>
      <c r="AN25" s="41" t="str">
        <f>IF(CO25="","",IF(CO25="x",AN$6,0)+IF(CO25="S",-AN$6-0.00001,0))</f>
        <v/>
      </c>
      <c r="AO25" s="42" t="str">
        <f>IF(CP25="","",IF(CP25="x",AO$6,0)+IF(CP25="S",-AO$6-0.00001,0))</f>
        <v/>
      </c>
      <c r="AP25" s="40" t="str">
        <f>IF(CQ25="","",IF(CQ25="x",AP$6,0)+IF(CQ25="S",-AP$6-0.00001,0))</f>
        <v/>
      </c>
      <c r="AQ25" s="41" t="str">
        <f>IF(CR25="","",IF(CR25="x",AQ$6,0)+IF(CR25="S",-AQ$6-0.00001,0))</f>
        <v/>
      </c>
      <c r="AR25" s="41">
        <f>IF(CS25="","",IF(CS25="x",AR$6,0)+IF(CS25="S",-AR$6-0.00001,0))</f>
        <v>0</v>
      </c>
      <c r="AS25" s="42" t="str">
        <f>IF(CT25="","",IF(CT25="x",AS$6,0)+IF(CT25="S",-AS$6-0.00001,0))</f>
        <v/>
      </c>
      <c r="AT25" s="40" t="str">
        <f>IF(CU25="","",IF(CU25="x",AT$6,0)+IF(CU25="S",-AT$6-0.00001,0))</f>
        <v/>
      </c>
      <c r="AU25" s="41" t="str">
        <f>IF(CV25="","",IF(CV25="x",AU$6,0)+IF(CV25="S",-AU$6-0.00001,0))</f>
        <v/>
      </c>
      <c r="AV25" s="41" t="str">
        <f>IF(CW25="","",IF(CW25="x",AV$6,0)+IF(CW25="S",-AV$6-0.00001,0))</f>
        <v/>
      </c>
      <c r="AW25" s="42">
        <f>IF(CX25="","",IF(CX25="x",AW$6,0)+IF(CX25="S",-AW$6-0.00001,0))</f>
        <v>0</v>
      </c>
      <c r="AX25" s="40" t="str">
        <f>IF(CY25="","",IF(CY25="x",AX$6,0)+IF(CY25="S",-AX$6-0.00001,0))</f>
        <v/>
      </c>
      <c r="AY25" s="41" t="str">
        <f>IF(CZ25="","",IF(CZ25="x",AY$6,0)+IF(CZ25="S",-AY$6-0.00001,0))</f>
        <v/>
      </c>
      <c r="AZ25" s="41" t="str">
        <f>IF(DA25="","",IF(DA25="x",AZ$6,0)+IF(DA25="S",-AZ$6-0.00001,0))</f>
        <v/>
      </c>
      <c r="BA25" s="42" t="str">
        <f>IF(DB25="","",IF(DB25="x",BA$6,0)+IF(DB25="S",-BA$6-0.00001,0))</f>
        <v/>
      </c>
      <c r="BB25" s="37" t="s">
        <v>106</v>
      </c>
      <c r="BC25" s="21"/>
      <c r="BD25" s="21"/>
      <c r="BG25" t="str">
        <f>IF(NOT(ISERROR(HLOOKUP(Standings!BG$3,Entries!$C65:$K65,1,FALSE))),"x",IF(NOT(ISERROR(HLOOKUP(Standings!BG$3,Entries!$L65:$L65,1,FALSE))),"S",""))</f>
        <v/>
      </c>
      <c r="BH25" t="str">
        <f>IF(NOT(ISERROR(HLOOKUP(Standings!BH$3,Entries!$C65:$K65,1,FALSE))),"x",IF(NOT(ISERROR(HLOOKUP(Standings!BH$3,Entries!$L65:$L65,1,FALSE))),"S",""))</f>
        <v/>
      </c>
      <c r="BI25" t="str">
        <f>IF(NOT(ISERROR(HLOOKUP(Standings!BI$3,Entries!$C65:$K65,1,FALSE))),"x",IF(NOT(ISERROR(HLOOKUP(Standings!BI$3,Entries!$L65:$L65,1,FALSE))),"S",""))</f>
        <v>x</v>
      </c>
      <c r="BJ25" t="str">
        <f>IF(NOT(ISERROR(HLOOKUP(Standings!BJ$3,Entries!$C65:$K65,1,FALSE))),"x",IF(NOT(ISERROR(HLOOKUP(Standings!BJ$3,Entries!$L65:$L65,1,FALSE))),"S",""))</f>
        <v/>
      </c>
      <c r="BK25" t="str">
        <f>IF(NOT(ISERROR(HLOOKUP(Standings!BK$3,Entries!$C65:$K65,1,FALSE))),"x",IF(NOT(ISERROR(HLOOKUP(Standings!BK$3,Entries!$L65:$L65,1,FALSE))),"S",""))</f>
        <v/>
      </c>
      <c r="BL25" t="str">
        <f>IF(NOT(ISERROR(HLOOKUP(Standings!BL$3,Entries!$C65:$K65,1,FALSE))),"x",IF(NOT(ISERROR(HLOOKUP(Standings!BL$3,Entries!$L65:$L65,1,FALSE))),"S",""))</f>
        <v/>
      </c>
      <c r="BM25" t="str">
        <f>IF(NOT(ISERROR(HLOOKUP(Standings!BM$3,Entries!$C65:$K65,1,FALSE))),"x",IF(NOT(ISERROR(HLOOKUP(Standings!BM$3,Entries!$L65:$L65,1,FALSE))),"S",""))</f>
        <v/>
      </c>
      <c r="BN25" t="str">
        <f>IF(NOT(ISERROR(HLOOKUP(Standings!BN$3,Entries!$C65:$K65,1,FALSE))),"x",IF(NOT(ISERROR(HLOOKUP(Standings!BN$3,Entries!$L65:$L65,1,FALSE))),"S",""))</f>
        <v/>
      </c>
      <c r="BO25" t="str">
        <f>IF(NOT(ISERROR(HLOOKUP(Standings!BO$3,Entries!$C65:$K65,1,FALSE))),"x",IF(NOT(ISERROR(HLOOKUP(Standings!BO$3,Entries!$L65:$L65,1,FALSE))),"S",""))</f>
        <v/>
      </c>
      <c r="BP25" t="str">
        <f>IF(NOT(ISERROR(HLOOKUP(Standings!BP$3,Entries!$C65:$K65,1,FALSE))),"x",IF(NOT(ISERROR(HLOOKUP(Standings!BP$3,Entries!$L65:$L65,1,FALSE))),"S",""))</f>
        <v>x</v>
      </c>
      <c r="BQ25" t="str">
        <f>IF(NOT(ISERROR(HLOOKUP(Standings!BQ$3,Entries!$C65:$K65,1,FALSE))),"x",IF(NOT(ISERROR(HLOOKUP(Standings!BQ$3,Entries!$L65:$L65,1,FALSE))),"S",""))</f>
        <v/>
      </c>
      <c r="BR25" t="str">
        <f>IF(NOT(ISERROR(HLOOKUP(Standings!BR$3,Entries!$C65:$K65,1,FALSE))),"x",IF(NOT(ISERROR(HLOOKUP(Standings!BR$3,Entries!$L65:$L65,1,FALSE))),"S",""))</f>
        <v/>
      </c>
      <c r="BS25" t="str">
        <f>IF(NOT(ISERROR(HLOOKUP(Standings!BS$3,Entries!$C65:$K65,1,FALSE))),"x",IF(NOT(ISERROR(HLOOKUP(Standings!BS$3,Entries!$L65:$L65,1,FALSE))),"S",""))</f>
        <v/>
      </c>
      <c r="BT25" t="str">
        <f>IF(NOT(ISERROR(HLOOKUP(Standings!BT$3,Entries!$C65:$K65,1,FALSE))),"x",IF(NOT(ISERROR(HLOOKUP(Standings!BT$3,Entries!$L65:$L65,1,FALSE))),"S",""))</f>
        <v>x</v>
      </c>
      <c r="BU25" t="str">
        <f>IF(NOT(ISERROR(HLOOKUP(Standings!BU$3,Entries!$C65:$K65,1,FALSE))),"x",IF(NOT(ISERROR(HLOOKUP(Standings!BU$3,Entries!$L65:$L65,1,FALSE))),"S",""))</f>
        <v>x</v>
      </c>
      <c r="BV25" t="str">
        <f>IF(NOT(ISERROR(HLOOKUP(Standings!BV$3,Entries!$C65:$K65,1,FALSE))),"x",IF(NOT(ISERROR(HLOOKUP(Standings!BV$3,Entries!$L65:$L65,1,FALSE))),"S",""))</f>
        <v/>
      </c>
      <c r="BW25" t="str">
        <f>IF(NOT(ISERROR(HLOOKUP(Standings!BW$3,Entries!$C65:$K65,1,FALSE))),"x",IF(NOT(ISERROR(HLOOKUP(Standings!BW$3,Entries!$L65:$L65,1,FALSE))),"S",""))</f>
        <v>x</v>
      </c>
      <c r="BX25" t="str">
        <f>IF(NOT(ISERROR(HLOOKUP(Standings!BX$3,Entries!$C65:$K65,1,FALSE))),"x",IF(NOT(ISERROR(HLOOKUP(Standings!BX$3,Entries!$L65:$L65,1,FALSE))),"S",""))</f>
        <v/>
      </c>
      <c r="BY25" t="str">
        <f>IF(NOT(ISERROR(HLOOKUP(Standings!BY$3,Entries!$C65:$K65,1,FALSE))),"x",IF(NOT(ISERROR(HLOOKUP(Standings!BY$3,Entries!$L65:$L65,1,FALSE))),"S",""))</f>
        <v/>
      </c>
      <c r="BZ25" t="str">
        <f>IF(NOT(ISERROR(HLOOKUP(Standings!BZ$3,Entries!$C65:$K65,1,FALSE))),"x",IF(NOT(ISERROR(HLOOKUP(Standings!BZ$3,Entries!$L65:$L65,1,FALSE))),"S",""))</f>
        <v/>
      </c>
      <c r="CA25" t="str">
        <f>IF(NOT(ISERROR(HLOOKUP(Standings!CA$3,Entries!$C65:$K65,1,FALSE))),"x",IF(NOT(ISERROR(HLOOKUP(Standings!CA$3,Entries!$L65:$L65,1,FALSE))),"S",""))</f>
        <v>S</v>
      </c>
      <c r="CB25" t="str">
        <f>IF(NOT(ISERROR(HLOOKUP(Standings!CB$3,Entries!$C65:$K65,1,FALSE))),"x",IF(NOT(ISERROR(HLOOKUP(Standings!CB$3,Entries!$L65:$L65,1,FALSE))),"S",""))</f>
        <v/>
      </c>
      <c r="CC25" t="str">
        <f>IF(NOT(ISERROR(HLOOKUP(Standings!CC$3,Entries!$C65:$K65,1,FALSE))),"x",IF(NOT(ISERROR(HLOOKUP(Standings!CC$3,Entries!$L65:$L65,1,FALSE))),"S",""))</f>
        <v>x</v>
      </c>
      <c r="CD25" t="str">
        <f>IF(NOT(ISERROR(HLOOKUP(Standings!CD$3,Entries!$C65:$K65,1,FALSE))),"x",IF(NOT(ISERROR(HLOOKUP(Standings!CD$3,Entries!$L65:$L65,1,FALSE))),"S",""))</f>
        <v/>
      </c>
      <c r="CE25" t="str">
        <f>IF(NOT(ISERROR(HLOOKUP(Standings!CE$3,Entries!$C65:$K65,1,FALSE))),"x",IF(NOT(ISERROR(HLOOKUP(Standings!CE$3,Entries!$L65:$L65,1,FALSE))),"S",""))</f>
        <v/>
      </c>
      <c r="CF25" t="str">
        <f>IF(NOT(ISERROR(HLOOKUP(Standings!CF$3,Entries!$C65:$K65,1,FALSE))),"x",IF(NOT(ISERROR(HLOOKUP(Standings!CF$3,Entries!$L65:$L65,1,FALSE))),"S",""))</f>
        <v/>
      </c>
      <c r="CG25" t="str">
        <f>IF(NOT(ISERROR(HLOOKUP(Standings!CG$3,Entries!$C65:$K65,1,FALSE))),"x",IF(NOT(ISERROR(HLOOKUP(Standings!CG$3,Entries!$L65:$L65,1,FALSE))),"S",""))</f>
        <v/>
      </c>
      <c r="CH25" t="str">
        <f>IF(NOT(ISERROR(HLOOKUP(Standings!CH$3,Entries!$C65:$K65,1,FALSE))),"x",IF(NOT(ISERROR(HLOOKUP(Standings!CH$3,Entries!$L65:$L65,1,FALSE))),"S",""))</f>
        <v/>
      </c>
      <c r="CI25" t="str">
        <f>IF(NOT(ISERROR(HLOOKUP(Standings!CI$3,Entries!$C65:$K65,1,FALSE))),"x",IF(NOT(ISERROR(HLOOKUP(Standings!CI$3,Entries!$L65:$L65,1,FALSE))),"S",""))</f>
        <v/>
      </c>
      <c r="CJ25" t="str">
        <f>IF(NOT(ISERROR(HLOOKUP(Standings!CJ$3,Entries!$C65:$K65,1,FALSE))),"x",IF(NOT(ISERROR(HLOOKUP(Standings!CJ$3,Entries!$L65:$L65,1,FALSE))),"S",""))</f>
        <v/>
      </c>
      <c r="CK25" t="str">
        <f>IF(NOT(ISERROR(HLOOKUP(Standings!CK$3,Entries!$C65:$K65,1,FALSE))),"x",IF(NOT(ISERROR(HLOOKUP(Standings!CK$3,Entries!$L65:$L65,1,FALSE))),"S",""))</f>
        <v/>
      </c>
      <c r="CL25" t="str">
        <f>IF(NOT(ISERROR(HLOOKUP(Standings!CL$3,Entries!$C65:$K65,1,FALSE))),"x",IF(NOT(ISERROR(HLOOKUP(Standings!CL$3,Entries!$L65:$L65,1,FALSE))),"S",""))</f>
        <v/>
      </c>
      <c r="CM25" t="str">
        <f>IF(NOT(ISERROR(HLOOKUP(Standings!CM$3,Entries!$C65:$K65,1,FALSE))),"x",IF(NOT(ISERROR(HLOOKUP(Standings!CM$3,Entries!$L65:$L65,1,FALSE))),"S",""))</f>
        <v/>
      </c>
      <c r="CN25" t="str">
        <f>IF(NOT(ISERROR(HLOOKUP(Standings!CN$3,Entries!$C65:$K65,1,FALSE))),"x",IF(NOT(ISERROR(HLOOKUP(Standings!CN$3,Entries!$L65:$L65,1,FALSE))),"S",""))</f>
        <v>x</v>
      </c>
      <c r="CO25" t="str">
        <f>IF(NOT(ISERROR(HLOOKUP(Standings!CO$3,Entries!$C65:$K65,1,FALSE))),"x",IF(NOT(ISERROR(HLOOKUP(Standings!CO$3,Entries!$L65:$L65,1,FALSE))),"S",""))</f>
        <v/>
      </c>
      <c r="CP25" t="str">
        <f>IF(NOT(ISERROR(HLOOKUP(Standings!CP$3,Entries!$C65:$K65,1,FALSE))),"x",IF(NOT(ISERROR(HLOOKUP(Standings!CP$3,Entries!$L65:$L65,1,FALSE))),"S",""))</f>
        <v/>
      </c>
      <c r="CQ25" t="str">
        <f>IF(NOT(ISERROR(HLOOKUP(Standings!CQ$3,Entries!$C65:$K65,1,FALSE))),"x",IF(NOT(ISERROR(HLOOKUP(Standings!CQ$3,Entries!$L65:$L65,1,FALSE))),"S",""))</f>
        <v/>
      </c>
      <c r="CR25" t="str">
        <f>IF(NOT(ISERROR(HLOOKUP(Standings!CR$3,Entries!$C65:$K65,1,FALSE))),"x",IF(NOT(ISERROR(HLOOKUP(Standings!CR$3,Entries!$L65:$L65,1,FALSE))),"S",""))</f>
        <v/>
      </c>
      <c r="CS25" t="str">
        <f>IF(NOT(ISERROR(HLOOKUP(Standings!CS$3,Entries!$C65:$K65,1,FALSE))),"x",IF(NOT(ISERROR(HLOOKUP(Standings!CS$3,Entries!$L65:$L65,1,FALSE))),"S",""))</f>
        <v>x</v>
      </c>
      <c r="CT25" t="str">
        <f>IF(NOT(ISERROR(HLOOKUP(Standings!CT$3,Entries!$C65:$K65,1,FALSE))),"x",IF(NOT(ISERROR(HLOOKUP(Standings!CT$3,Entries!$L65:$L65,1,FALSE))),"S",""))</f>
        <v/>
      </c>
      <c r="CU25" t="str">
        <f>IF(NOT(ISERROR(HLOOKUP(Standings!CU$3,Entries!$C65:$K65,1,FALSE))),"x",IF(NOT(ISERROR(HLOOKUP(Standings!CU$3,Entries!$L65:$L65,1,FALSE))),"S",""))</f>
        <v/>
      </c>
      <c r="CV25" t="str">
        <f>IF(NOT(ISERROR(HLOOKUP(Standings!CV$3,Entries!$C65:$K65,1,FALSE))),"x",IF(NOT(ISERROR(HLOOKUP(Standings!CV$3,Entries!$L65:$L65,1,FALSE))),"S",""))</f>
        <v/>
      </c>
      <c r="CW25" t="str">
        <f>IF(NOT(ISERROR(HLOOKUP(Standings!CW$3,Entries!$C65:$K65,1,FALSE))),"x",IF(NOT(ISERROR(HLOOKUP(Standings!CW$3,Entries!$L65:$L65,1,FALSE))),"S",""))</f>
        <v/>
      </c>
      <c r="CX25" t="str">
        <f>IF(NOT(ISERROR(HLOOKUP(Standings!CX$3,Entries!$C65:$K65,1,FALSE))),"x",IF(NOT(ISERROR(HLOOKUP(Standings!CX$3,Entries!$L65:$L65,1,FALSE))),"S",""))</f>
        <v>x</v>
      </c>
      <c r="CY25" t="str">
        <f>IF(NOT(ISERROR(HLOOKUP(Standings!CY$3,Entries!$C65:$K65,1,FALSE))),"x",IF(NOT(ISERROR(HLOOKUP(Standings!CY$3,Entries!$L65:$L65,1,FALSE))),"S",""))</f>
        <v/>
      </c>
      <c r="CZ25" t="str">
        <f>IF(NOT(ISERROR(HLOOKUP(Standings!CZ$3,Entries!$C65:$K65,1,FALSE))),"x",IF(NOT(ISERROR(HLOOKUP(Standings!CZ$3,Entries!$L65:$L65,1,FALSE))),"S",""))</f>
        <v/>
      </c>
      <c r="DA25" t="str">
        <f>IF(NOT(ISERROR(HLOOKUP(Standings!DA$3,Entries!$C65:$K65,1,FALSE))),"x",IF(NOT(ISERROR(HLOOKUP(Standings!DA$3,Entries!$L65:$L65,1,FALSE))),"S",""))</f>
        <v/>
      </c>
      <c r="DB25" t="str">
        <f>IF(NOT(ISERROR(HLOOKUP(Standings!DB$3,Entries!$C65:$K65,1,FALSE))),"x",IF(NOT(ISERROR(HLOOKUP(Standings!DB$3,Entries!$L65:$L65,1,FALSE))),"S",""))</f>
        <v/>
      </c>
    </row>
    <row r="26" spans="1:106" x14ac:dyDescent="0.25">
      <c r="A26" s="18"/>
      <c r="B26">
        <v>31</v>
      </c>
      <c r="C26" t="str">
        <f>Entries!B67</f>
        <v>Bwelter</v>
      </c>
      <c r="D26" s="4">
        <f>IF(C26="","",RANK(E26,$E$10:$E$111))</f>
        <v>11</v>
      </c>
      <c r="E26" s="31">
        <f>IF(C26="","",ROUND(SUM(F26:AK26),0))</f>
        <v>6</v>
      </c>
      <c r="F26" s="40" t="str">
        <f>IF(BG26="","",IF(BG26="x",F$6,0)+IF(BG26="S",-F$6-0.00001,0))</f>
        <v/>
      </c>
      <c r="G26" s="41" t="str">
        <f>IF(BH26="","",IF(BH26="x",G$6,0)+IF(BH26="S",-G$6-0.00001,0))</f>
        <v/>
      </c>
      <c r="H26" s="41" t="str">
        <f>IF(BI26="","",IF(BI26="x",H$6,0)+IF(BI26="S",-H$6-0.00001,0))</f>
        <v/>
      </c>
      <c r="I26" s="42" t="str">
        <f>IF(BJ26="","",IF(BJ26="x",I$6,0)+IF(BJ26="S",-I$6-0.00001,0))</f>
        <v/>
      </c>
      <c r="J26" s="40">
        <f>IF(BK26="","",IF(BK26="x",J$6,0)+IF(BK26="S",-J$6-0.00001,0))</f>
        <v>1</v>
      </c>
      <c r="K26" s="41" t="str">
        <f>IF(BL26="","",IF(BL26="x",K$6,0)+IF(BL26="S",-K$6-0.00001,0))</f>
        <v/>
      </c>
      <c r="L26" s="41" t="str">
        <f>IF(BM26="","",IF(BM26="x",L$6,0)+IF(BM26="S",-L$6-0.00001,0))</f>
        <v/>
      </c>
      <c r="M26" s="42" t="str">
        <f>IF(BN26="","",IF(BN26="x",M$6,0)+IF(BN26="S",-M$6-0.00001,0))</f>
        <v/>
      </c>
      <c r="N26" s="43">
        <f>IF(BO26="","",IF(BO26="x",N$6,0)+IF(BO26="S",-N$6-0.00001,0))</f>
        <v>1</v>
      </c>
      <c r="O26" s="41" t="str">
        <f>IF(BP26="","",IF(BP26="x",O$6,0)+IF(BP26="S",-O$6-0.00001,0))</f>
        <v/>
      </c>
      <c r="P26" s="41" t="str">
        <f>IF(BQ26="","",IF(BQ26="x",P$6,0)+IF(BQ26="S",-P$6-0.00001,0))</f>
        <v/>
      </c>
      <c r="Q26" s="42" t="str">
        <f>IF(BR26="","",IF(BR26="x",Q$6,0)+IF(BR26="S",-Q$6-0.00001,0))</f>
        <v/>
      </c>
      <c r="R26" s="40" t="str">
        <f>IF(BS26="","",IF(BS26="x",R$6,0)+IF(BS26="S",-R$6-0.00001,0))</f>
        <v/>
      </c>
      <c r="S26" s="41" t="str">
        <f>IF(BT26="","",IF(BT26="x",S$6,0)+IF(BT26="S",-S$6-0.00001,0))</f>
        <v/>
      </c>
      <c r="T26" s="43" t="str">
        <f>IF(BU26="","",IF(BU26="x",T$6,0)+IF(BU26="S",-T$6-0.00001,0))</f>
        <v/>
      </c>
      <c r="U26" s="42" t="str">
        <f>IF(BV26="","",IF(BV26="x",U$6,0)+IF(BV26="S",-U$6-0.00001,0))</f>
        <v/>
      </c>
      <c r="V26" s="40">
        <f>IF(BW26="","",IF(BW26="x",V$6,0)+IF(BW26="S",-V$6-0.00001,0))</f>
        <v>2</v>
      </c>
      <c r="W26" s="41" t="str">
        <f>IF(BX26="","",IF(BX26="x",W$6,0)+IF(BX26="S",-W$6-0.00001,0))</f>
        <v/>
      </c>
      <c r="X26" s="41" t="str">
        <f>IF(BY26="","",IF(BY26="x",X$6,0)+IF(BY26="S",-X$6-0.00001,0))</f>
        <v/>
      </c>
      <c r="Y26" s="42" t="str">
        <f>IF(BZ26="","",IF(BZ26="x",Y$6,0)+IF(BZ26="S",-Y$6-0.00001,0))</f>
        <v/>
      </c>
      <c r="Z26" s="40" t="str">
        <f>IF(CA26="","",IF(CA26="x",Z$6,0)+IF(CA26="S",-Z$6-0.00001,0))</f>
        <v/>
      </c>
      <c r="AA26" s="41">
        <f>IF(CB26="","",IF(CB26="x",AA$6,0)+IF(CB26="S",-AA$6-0.00001,0))</f>
        <v>1</v>
      </c>
      <c r="AB26" s="41" t="str">
        <f>IF(CC26="","",IF(CC26="x",AB$6,0)+IF(CC26="S",-AB$6-0.00001,0))</f>
        <v/>
      </c>
      <c r="AC26" s="42" t="str">
        <f>IF(CD26="","",IF(CD26="x",AC$6,0)+IF(CD26="S",-AC$6-0.00001,0))</f>
        <v/>
      </c>
      <c r="AD26" s="40" t="str">
        <f>IF(CE26="","",IF(CE26="x",AD$6,0)+IF(CE26="S",-AD$6-0.00001,0))</f>
        <v/>
      </c>
      <c r="AE26" s="41">
        <f>IF(CF26="","",IF(CF26="x",AE$6,0)+IF(CF26="S",-AE$6-0.00001,0))</f>
        <v>1</v>
      </c>
      <c r="AF26" s="41" t="str">
        <f>IF(CG26="","",IF(CG26="x",AF$6,0)+IF(CG26="S",-AF$6-0.00001,0))</f>
        <v/>
      </c>
      <c r="AG26" s="42" t="str">
        <f>IF(CH26="","",IF(CH26="x",AG$6,0)+IF(CH26="S",-AG$6-0.00001,0))</f>
        <v/>
      </c>
      <c r="AH26" s="40" t="str">
        <f>IF(CI26="","",IF(CI26="x",AH$6,0)+IF(CI26="S",-AH$6-0.00001,0))</f>
        <v/>
      </c>
      <c r="AI26" s="41" t="str">
        <f>IF(CJ26="","",IF(CJ26="x",AI$6,0)+IF(CJ26="S",-AI$6-0.00001,0))</f>
        <v/>
      </c>
      <c r="AJ26" s="41" t="str">
        <f>IF(CK26="","",IF(CK26="x",AJ$6,0)+IF(CK26="S",-AJ$6-0.00001,0))</f>
        <v/>
      </c>
      <c r="AK26" s="42" t="str">
        <f>IF(CL26="","",IF(CL26="x",AK$6,0)+IF(CL26="S",-AK$6-0.00001,0))</f>
        <v/>
      </c>
      <c r="AL26" s="40" t="str">
        <f>IF(CM26="","",IF(CM26="x",AL$6,0)+IF(CM26="S",-AL$6-0.00001,0))</f>
        <v/>
      </c>
      <c r="AM26" s="41" t="str">
        <f>IF(CN26="","",IF(CN26="x",AM$6,0)+IF(CN26="S",-AM$6-0.00001,0))</f>
        <v/>
      </c>
      <c r="AN26" s="41" t="str">
        <f>IF(CO26="","",IF(CO26="x",AN$6,0)+IF(CO26="S",-AN$6-0.00001,0))</f>
        <v/>
      </c>
      <c r="AO26" s="42" t="str">
        <f>IF(CP26="","",IF(CP26="x",AO$6,0)+IF(CP26="S",-AO$6-0.00001,0))</f>
        <v/>
      </c>
      <c r="AP26" s="40" t="str">
        <f>IF(CQ26="","",IF(CQ26="x",AP$6,0)+IF(CQ26="S",-AP$6-0.00001,0))</f>
        <v/>
      </c>
      <c r="AQ26" s="41" t="str">
        <f>IF(CR26="","",IF(CR26="x",AQ$6,0)+IF(CR26="S",-AQ$6-0.00001,0))</f>
        <v/>
      </c>
      <c r="AR26" s="41" t="str">
        <f>IF(CS26="","",IF(CS26="x",AR$6,0)+IF(CS26="S",-AR$6-0.00001,0))</f>
        <v/>
      </c>
      <c r="AS26" s="42" t="str">
        <f>IF(CT26="","",IF(CT26="x",AS$6,0)+IF(CT26="S",-AS$6-0.00001,0))</f>
        <v/>
      </c>
      <c r="AT26" s="40">
        <f>IF(CU26="","",IF(CU26="x",AT$6,0)+IF(CU26="S",-AT$6-0.00001,0))</f>
        <v>-1.0000000000000001E-5</v>
      </c>
      <c r="AU26" s="41" t="str">
        <f>IF(CV26="","",IF(CV26="x",AU$6,0)+IF(CV26="S",-AU$6-0.00001,0))</f>
        <v/>
      </c>
      <c r="AV26" s="41" t="str">
        <f>IF(CW26="","",IF(CW26="x",AV$6,0)+IF(CW26="S",-AV$6-0.00001,0))</f>
        <v/>
      </c>
      <c r="AW26" s="42" t="str">
        <f>IF(CX26="","",IF(CX26="x",AW$6,0)+IF(CX26="S",-AW$6-0.00001,0))</f>
        <v/>
      </c>
      <c r="AX26" s="40" t="str">
        <f>IF(CY26="","",IF(CY26="x",AX$6,0)+IF(CY26="S",-AX$6-0.00001,0))</f>
        <v/>
      </c>
      <c r="AY26" s="41" t="str">
        <f>IF(CZ26="","",IF(CZ26="x",AY$6,0)+IF(CZ26="S",-AY$6-0.00001,0))</f>
        <v/>
      </c>
      <c r="AZ26" s="41" t="str">
        <f>IF(DA26="","",IF(DA26="x",AZ$6,0)+IF(DA26="S",-AZ$6-0.00001,0))</f>
        <v/>
      </c>
      <c r="BA26" s="42" t="str">
        <f>IF(DB26="","",IF(DB26="x",BA$6,0)+IF(DB26="S",-BA$6-0.00001,0))</f>
        <v/>
      </c>
      <c r="BB26" s="37" t="s">
        <v>106</v>
      </c>
      <c r="BD26" s="21"/>
      <c r="BG26" t="str">
        <f>IF(NOT(ISERROR(HLOOKUP(Standings!BG$3,Entries!$C67:$K67,1,FALSE))),"x",IF(NOT(ISERROR(HLOOKUP(Standings!BG$3,Entries!$L67:$L67,1,FALSE))),"S",""))</f>
        <v/>
      </c>
      <c r="BH26" t="str">
        <f>IF(NOT(ISERROR(HLOOKUP(Standings!BH$3,Entries!$C67:$K67,1,FALSE))),"x",IF(NOT(ISERROR(HLOOKUP(Standings!BH$3,Entries!$L67:$L67,1,FALSE))),"S",""))</f>
        <v/>
      </c>
      <c r="BI26" t="str">
        <f>IF(NOT(ISERROR(HLOOKUP(Standings!BI$3,Entries!$C67:$K67,1,FALSE))),"x",IF(NOT(ISERROR(HLOOKUP(Standings!BI$3,Entries!$L67:$L67,1,FALSE))),"S",""))</f>
        <v/>
      </c>
      <c r="BJ26" t="str">
        <f>IF(NOT(ISERROR(HLOOKUP(Standings!BJ$3,Entries!$C67:$K67,1,FALSE))),"x",IF(NOT(ISERROR(HLOOKUP(Standings!BJ$3,Entries!$L67:$L67,1,FALSE))),"S",""))</f>
        <v/>
      </c>
      <c r="BK26" t="str">
        <f>IF(NOT(ISERROR(HLOOKUP(Standings!BK$3,Entries!$C67:$K67,1,FALSE))),"x",IF(NOT(ISERROR(HLOOKUP(Standings!BK$3,Entries!$L67:$L67,1,FALSE))),"S",""))</f>
        <v>x</v>
      </c>
      <c r="BL26" t="str">
        <f>IF(NOT(ISERROR(HLOOKUP(Standings!BL$3,Entries!$C67:$K67,1,FALSE))),"x",IF(NOT(ISERROR(HLOOKUP(Standings!BL$3,Entries!$L67:$L67,1,FALSE))),"S",""))</f>
        <v/>
      </c>
      <c r="BM26" t="str">
        <f>IF(NOT(ISERROR(HLOOKUP(Standings!BM$3,Entries!$C67:$K67,1,FALSE))),"x",IF(NOT(ISERROR(HLOOKUP(Standings!BM$3,Entries!$L67:$L67,1,FALSE))),"S",""))</f>
        <v/>
      </c>
      <c r="BN26" t="str">
        <f>IF(NOT(ISERROR(HLOOKUP(Standings!BN$3,Entries!$C67:$K67,1,FALSE))),"x",IF(NOT(ISERROR(HLOOKUP(Standings!BN$3,Entries!$L67:$L67,1,FALSE))),"S",""))</f>
        <v/>
      </c>
      <c r="BO26" t="str">
        <f>IF(NOT(ISERROR(HLOOKUP(Standings!BO$3,Entries!$C67:$K67,1,FALSE))),"x",IF(NOT(ISERROR(HLOOKUP(Standings!BO$3,Entries!$L67:$L67,1,FALSE))),"S",""))</f>
        <v>x</v>
      </c>
      <c r="BP26" t="str">
        <f>IF(NOT(ISERROR(HLOOKUP(Standings!BP$3,Entries!$C67:$K67,1,FALSE))),"x",IF(NOT(ISERROR(HLOOKUP(Standings!BP$3,Entries!$L67:$L67,1,FALSE))),"S",""))</f>
        <v/>
      </c>
      <c r="BQ26" t="str">
        <f>IF(NOT(ISERROR(HLOOKUP(Standings!BQ$3,Entries!$C67:$K67,1,FALSE))),"x",IF(NOT(ISERROR(HLOOKUP(Standings!BQ$3,Entries!$L67:$L67,1,FALSE))),"S",""))</f>
        <v/>
      </c>
      <c r="BR26" t="str">
        <f>IF(NOT(ISERROR(HLOOKUP(Standings!BR$3,Entries!$C67:$K67,1,FALSE))),"x",IF(NOT(ISERROR(HLOOKUP(Standings!BR$3,Entries!$L67:$L67,1,FALSE))),"S",""))</f>
        <v/>
      </c>
      <c r="BS26" t="str">
        <f>IF(NOT(ISERROR(HLOOKUP(Standings!BS$3,Entries!$C67:$K67,1,FALSE))),"x",IF(NOT(ISERROR(HLOOKUP(Standings!BS$3,Entries!$L67:$L67,1,FALSE))),"S",""))</f>
        <v/>
      </c>
      <c r="BT26" t="str">
        <f>IF(NOT(ISERROR(HLOOKUP(Standings!BT$3,Entries!$C67:$K67,1,FALSE))),"x",IF(NOT(ISERROR(HLOOKUP(Standings!BT$3,Entries!$L67:$L67,1,FALSE))),"S",""))</f>
        <v/>
      </c>
      <c r="BU26" t="str">
        <f>IF(NOT(ISERROR(HLOOKUP(Standings!BU$3,Entries!$C67:$K67,1,FALSE))),"x",IF(NOT(ISERROR(HLOOKUP(Standings!BU$3,Entries!$L67:$L67,1,FALSE))),"S",""))</f>
        <v/>
      </c>
      <c r="BV26" t="str">
        <f>IF(NOT(ISERROR(HLOOKUP(Standings!BV$3,Entries!$C67:$K67,1,FALSE))),"x",IF(NOT(ISERROR(HLOOKUP(Standings!BV$3,Entries!$L67:$L67,1,FALSE))),"S",""))</f>
        <v/>
      </c>
      <c r="BW26" t="str">
        <f>IF(NOT(ISERROR(HLOOKUP(Standings!BW$3,Entries!$C67:$K67,1,FALSE))),"x",IF(NOT(ISERROR(HLOOKUP(Standings!BW$3,Entries!$L67:$L67,1,FALSE))),"S",""))</f>
        <v>x</v>
      </c>
      <c r="BX26" t="str">
        <f>IF(NOT(ISERROR(HLOOKUP(Standings!BX$3,Entries!$C67:$K67,1,FALSE))),"x",IF(NOT(ISERROR(HLOOKUP(Standings!BX$3,Entries!$L67:$L67,1,FALSE))),"S",""))</f>
        <v/>
      </c>
      <c r="BY26" t="str">
        <f>IF(NOT(ISERROR(HLOOKUP(Standings!BY$3,Entries!$C67:$K67,1,FALSE))),"x",IF(NOT(ISERROR(HLOOKUP(Standings!BY$3,Entries!$L67:$L67,1,FALSE))),"S",""))</f>
        <v/>
      </c>
      <c r="BZ26" t="str">
        <f>IF(NOT(ISERROR(HLOOKUP(Standings!BZ$3,Entries!$C67:$K67,1,FALSE))),"x",IF(NOT(ISERROR(HLOOKUP(Standings!BZ$3,Entries!$L67:$L67,1,FALSE))),"S",""))</f>
        <v/>
      </c>
      <c r="CA26" t="str">
        <f>IF(NOT(ISERROR(HLOOKUP(Standings!CA$3,Entries!$C67:$K67,1,FALSE))),"x",IF(NOT(ISERROR(HLOOKUP(Standings!CA$3,Entries!$L67:$L67,1,FALSE))),"S",""))</f>
        <v/>
      </c>
      <c r="CB26" t="str">
        <f>IF(NOT(ISERROR(HLOOKUP(Standings!CB$3,Entries!$C67:$K67,1,FALSE))),"x",IF(NOT(ISERROR(HLOOKUP(Standings!CB$3,Entries!$L67:$L67,1,FALSE))),"S",""))</f>
        <v>x</v>
      </c>
      <c r="CC26" t="str">
        <f>IF(NOT(ISERROR(HLOOKUP(Standings!CC$3,Entries!$C67:$K67,1,FALSE))),"x",IF(NOT(ISERROR(HLOOKUP(Standings!CC$3,Entries!$L67:$L67,1,FALSE))),"S",""))</f>
        <v/>
      </c>
      <c r="CD26" t="str">
        <f>IF(NOT(ISERROR(HLOOKUP(Standings!CD$3,Entries!$C67:$K67,1,FALSE))),"x",IF(NOT(ISERROR(HLOOKUP(Standings!CD$3,Entries!$L67:$L67,1,FALSE))),"S",""))</f>
        <v/>
      </c>
      <c r="CE26" t="str">
        <f>IF(NOT(ISERROR(HLOOKUP(Standings!CE$3,Entries!$C67:$K67,1,FALSE))),"x",IF(NOT(ISERROR(HLOOKUP(Standings!CE$3,Entries!$L67:$L67,1,FALSE))),"S",""))</f>
        <v/>
      </c>
      <c r="CF26" t="str">
        <f>IF(NOT(ISERROR(HLOOKUP(Standings!CF$3,Entries!$C67:$K67,1,FALSE))),"x",IF(NOT(ISERROR(HLOOKUP(Standings!CF$3,Entries!$L67:$L67,1,FALSE))),"S",""))</f>
        <v>x</v>
      </c>
      <c r="CG26" t="str">
        <f>IF(NOT(ISERROR(HLOOKUP(Standings!CG$3,Entries!$C67:$K67,1,FALSE))),"x",IF(NOT(ISERROR(HLOOKUP(Standings!CG$3,Entries!$L67:$L67,1,FALSE))),"S",""))</f>
        <v/>
      </c>
      <c r="CH26" t="str">
        <f>IF(NOT(ISERROR(HLOOKUP(Standings!CH$3,Entries!$C67:$K67,1,FALSE))),"x",IF(NOT(ISERROR(HLOOKUP(Standings!CH$3,Entries!$L67:$L67,1,FALSE))),"S",""))</f>
        <v/>
      </c>
      <c r="CI26" t="str">
        <f>IF(NOT(ISERROR(HLOOKUP(Standings!CI$3,Entries!$C67:$K67,1,FALSE))),"x",IF(NOT(ISERROR(HLOOKUP(Standings!CI$3,Entries!$L67:$L67,1,FALSE))),"S",""))</f>
        <v/>
      </c>
      <c r="CJ26" t="str">
        <f>IF(NOT(ISERROR(HLOOKUP(Standings!CJ$3,Entries!$C67:$K67,1,FALSE))),"x",IF(NOT(ISERROR(HLOOKUP(Standings!CJ$3,Entries!$L67:$L67,1,FALSE))),"S",""))</f>
        <v/>
      </c>
      <c r="CK26" t="str">
        <f>IF(NOT(ISERROR(HLOOKUP(Standings!CK$3,Entries!$C67:$K67,1,FALSE))),"x",IF(NOT(ISERROR(HLOOKUP(Standings!CK$3,Entries!$L67:$L67,1,FALSE))),"S",""))</f>
        <v/>
      </c>
      <c r="CL26" t="str">
        <f>IF(NOT(ISERROR(HLOOKUP(Standings!CL$3,Entries!$C67:$K67,1,FALSE))),"x",IF(NOT(ISERROR(HLOOKUP(Standings!CL$3,Entries!$L67:$L67,1,FALSE))),"S",""))</f>
        <v/>
      </c>
      <c r="CM26" t="str">
        <f>IF(NOT(ISERROR(HLOOKUP(Standings!CM$3,Entries!$C67:$K67,1,FALSE))),"x",IF(NOT(ISERROR(HLOOKUP(Standings!CM$3,Entries!$L67:$L67,1,FALSE))),"S",""))</f>
        <v/>
      </c>
      <c r="CN26" t="str">
        <f>IF(NOT(ISERROR(HLOOKUP(Standings!CN$3,Entries!$C67:$K67,1,FALSE))),"x",IF(NOT(ISERROR(HLOOKUP(Standings!CN$3,Entries!$L67:$L67,1,FALSE))),"S",""))</f>
        <v/>
      </c>
      <c r="CO26" t="str">
        <f>IF(NOT(ISERROR(HLOOKUP(Standings!CO$3,Entries!$C67:$K67,1,FALSE))),"x",IF(NOT(ISERROR(HLOOKUP(Standings!CO$3,Entries!$L67:$L67,1,FALSE))),"S",""))</f>
        <v/>
      </c>
      <c r="CP26" t="str">
        <f>IF(NOT(ISERROR(HLOOKUP(Standings!CP$3,Entries!$C67:$K67,1,FALSE))),"x",IF(NOT(ISERROR(HLOOKUP(Standings!CP$3,Entries!$L67:$L67,1,FALSE))),"S",""))</f>
        <v/>
      </c>
      <c r="CQ26" t="str">
        <f>IF(NOT(ISERROR(HLOOKUP(Standings!CQ$3,Entries!$C67:$K67,1,FALSE))),"x",IF(NOT(ISERROR(HLOOKUP(Standings!CQ$3,Entries!$L67:$L67,1,FALSE))),"S",""))</f>
        <v/>
      </c>
      <c r="CR26" t="str">
        <f>IF(NOT(ISERROR(HLOOKUP(Standings!CR$3,Entries!$C67:$K67,1,FALSE))),"x",IF(NOT(ISERROR(HLOOKUP(Standings!CR$3,Entries!$L67:$L67,1,FALSE))),"S",""))</f>
        <v/>
      </c>
      <c r="CS26" t="str">
        <f>IF(NOT(ISERROR(HLOOKUP(Standings!CS$3,Entries!$C67:$K67,1,FALSE))),"x",IF(NOT(ISERROR(HLOOKUP(Standings!CS$3,Entries!$L67:$L67,1,FALSE))),"S",""))</f>
        <v/>
      </c>
      <c r="CT26" t="str">
        <f>IF(NOT(ISERROR(HLOOKUP(Standings!CT$3,Entries!$C67:$K67,1,FALSE))),"x",IF(NOT(ISERROR(HLOOKUP(Standings!CT$3,Entries!$L67:$L67,1,FALSE))),"S",""))</f>
        <v/>
      </c>
      <c r="CU26" t="str">
        <f>IF(NOT(ISERROR(HLOOKUP(Standings!CU$3,Entries!$C67:$K67,1,FALSE))),"x",IF(NOT(ISERROR(HLOOKUP(Standings!CU$3,Entries!$L67:$L67,1,FALSE))),"S",""))</f>
        <v>S</v>
      </c>
      <c r="CV26" t="str">
        <f>IF(NOT(ISERROR(HLOOKUP(Standings!CV$3,Entries!$C67:$K67,1,FALSE))),"x",IF(NOT(ISERROR(HLOOKUP(Standings!CV$3,Entries!$L67:$L67,1,FALSE))),"S",""))</f>
        <v/>
      </c>
      <c r="CW26" t="str">
        <f>IF(NOT(ISERROR(HLOOKUP(Standings!CW$3,Entries!$C67:$K67,1,FALSE))),"x",IF(NOT(ISERROR(HLOOKUP(Standings!CW$3,Entries!$L67:$L67,1,FALSE))),"S",""))</f>
        <v/>
      </c>
      <c r="CX26" t="str">
        <f>IF(NOT(ISERROR(HLOOKUP(Standings!CX$3,Entries!$C67:$K67,1,FALSE))),"x",IF(NOT(ISERROR(HLOOKUP(Standings!CX$3,Entries!$L67:$L67,1,FALSE))),"S",""))</f>
        <v/>
      </c>
      <c r="CY26" t="str">
        <f>IF(NOT(ISERROR(HLOOKUP(Standings!CY$3,Entries!$C67:$K67,1,FALSE))),"x",IF(NOT(ISERROR(HLOOKUP(Standings!CY$3,Entries!$L67:$L67,1,FALSE))),"S",""))</f>
        <v/>
      </c>
      <c r="CZ26" t="str">
        <f>IF(NOT(ISERROR(HLOOKUP(Standings!CZ$3,Entries!$C67:$K67,1,FALSE))),"x",IF(NOT(ISERROR(HLOOKUP(Standings!CZ$3,Entries!$L67:$L67,1,FALSE))),"S",""))</f>
        <v/>
      </c>
      <c r="DA26" t="str">
        <f>IF(NOT(ISERROR(HLOOKUP(Standings!DA$3,Entries!$C67:$K67,1,FALSE))),"x",IF(NOT(ISERROR(HLOOKUP(Standings!DA$3,Entries!$L67:$L67,1,FALSE))),"S",""))</f>
        <v/>
      </c>
      <c r="DB26" t="str">
        <f>IF(NOT(ISERROR(HLOOKUP(Standings!DB$3,Entries!$C67:$K67,1,FALSE))),"x",IF(NOT(ISERROR(HLOOKUP(Standings!DB$3,Entries!$L67:$L67,1,FALSE))),"S",""))</f>
        <v/>
      </c>
    </row>
    <row r="27" spans="1:106" x14ac:dyDescent="0.25">
      <c r="A27" s="18"/>
      <c r="B27">
        <v>26</v>
      </c>
      <c r="C27" t="str">
        <f>Entries!B76</f>
        <v>BBRooks</v>
      </c>
      <c r="D27" s="4">
        <f>IF(C27="","",RANK(E27,$E$10:$E$111))</f>
        <v>11</v>
      </c>
      <c r="E27" s="31">
        <f>IF(C27="","",ROUND(SUM(F27:AK27),0))</f>
        <v>6</v>
      </c>
      <c r="F27" s="40" t="str">
        <f>IF(BG27="","",IF(BG27="x",F$6,0)+IF(BG27="S",-F$6-0.00001,0))</f>
        <v/>
      </c>
      <c r="G27" s="41" t="str">
        <f>IF(BH27="","",IF(BH27="x",G$6,0)+IF(BH27="S",-G$6-0.00001,0))</f>
        <v/>
      </c>
      <c r="H27" s="41" t="str">
        <f>IF(BI27="","",IF(BI27="x",H$6,0)+IF(BI27="S",-H$6-0.00001,0))</f>
        <v/>
      </c>
      <c r="I27" s="42" t="str">
        <f>IF(BJ27="","",IF(BJ27="x",I$6,0)+IF(BJ27="S",-I$6-0.00001,0))</f>
        <v/>
      </c>
      <c r="J27" s="40" t="str">
        <f>IF(BK27="","",IF(BK27="x",J$6,0)+IF(BK27="S",-J$6-0.00001,0))</f>
        <v/>
      </c>
      <c r="K27" s="41" t="str">
        <f>IF(BL27="","",IF(BL27="x",K$6,0)+IF(BL27="S",-K$6-0.00001,0))</f>
        <v/>
      </c>
      <c r="L27" s="41" t="str">
        <f>IF(BM27="","",IF(BM27="x",L$6,0)+IF(BM27="S",-L$6-0.00001,0))</f>
        <v/>
      </c>
      <c r="M27" s="42" t="str">
        <f>IF(BN27="","",IF(BN27="x",M$6,0)+IF(BN27="S",-M$6-0.00001,0))</f>
        <v/>
      </c>
      <c r="N27" s="43" t="str">
        <f>IF(BO27="","",IF(BO27="x",N$6,0)+IF(BO27="S",-N$6-0.00001,0))</f>
        <v/>
      </c>
      <c r="O27" s="41">
        <f>IF(BP27="","",IF(BP27="x",O$6,0)+IF(BP27="S",-O$6-0.00001,0))</f>
        <v>1</v>
      </c>
      <c r="P27" s="41" t="str">
        <f>IF(BQ27="","",IF(BQ27="x",P$6,0)+IF(BQ27="S",-P$6-0.00001,0))</f>
        <v/>
      </c>
      <c r="Q27" s="42" t="str">
        <f>IF(BR27="","",IF(BR27="x",Q$6,0)+IF(BR27="S",-Q$6-0.00001,0))</f>
        <v/>
      </c>
      <c r="R27" s="40" t="str">
        <f>IF(BS27="","",IF(BS27="x",R$6,0)+IF(BS27="S",-R$6-0.00001,0))</f>
        <v/>
      </c>
      <c r="S27" s="41" t="str">
        <f>IF(BT27="","",IF(BT27="x",S$6,0)+IF(BT27="S",-S$6-0.00001,0))</f>
        <v/>
      </c>
      <c r="T27" s="43" t="str">
        <f>IF(BU27="","",IF(BU27="x",T$6,0)+IF(BU27="S",-T$6-0.00001,0))</f>
        <v/>
      </c>
      <c r="U27" s="42" t="str">
        <f>IF(BV27="","",IF(BV27="x",U$6,0)+IF(BV27="S",-U$6-0.00001,0))</f>
        <v/>
      </c>
      <c r="V27" s="40" t="str">
        <f>IF(BW27="","",IF(BW27="x",V$6,0)+IF(BW27="S",-V$6-0.00001,0))</f>
        <v/>
      </c>
      <c r="W27" s="41" t="str">
        <f>IF(BX27="","",IF(BX27="x",W$6,0)+IF(BX27="S",-W$6-0.00001,0))</f>
        <v/>
      </c>
      <c r="X27" s="41">
        <f>IF(BY27="","",IF(BY27="x",X$6,0)+IF(BY27="S",-X$6-0.00001,0))</f>
        <v>2</v>
      </c>
      <c r="Y27" s="42" t="str">
        <f>IF(BZ27="","",IF(BZ27="x",Y$6,0)+IF(BZ27="S",-Y$6-0.00001,0))</f>
        <v/>
      </c>
      <c r="Z27" s="40" t="str">
        <f>IF(CA27="","",IF(CA27="x",Z$6,0)+IF(CA27="S",-Z$6-0.00001,0))</f>
        <v/>
      </c>
      <c r="AA27" s="41" t="str">
        <f>IF(CB27="","",IF(CB27="x",AA$6,0)+IF(CB27="S",-AA$6-0.00001,0))</f>
        <v/>
      </c>
      <c r="AB27" s="41" t="str">
        <f>IF(CC27="","",IF(CC27="x",AB$6,0)+IF(CC27="S",-AB$6-0.00001,0))</f>
        <v/>
      </c>
      <c r="AC27" s="42">
        <f>IF(CD27="","",IF(CD27="x",AC$6,0)+IF(CD27="S",-AC$6-0.00001,0))</f>
        <v>2</v>
      </c>
      <c r="AD27" s="40" t="str">
        <f>IF(CE27="","",IF(CE27="x",AD$6,0)+IF(CE27="S",-AD$6-0.00001,0))</f>
        <v/>
      </c>
      <c r="AE27" s="41">
        <f>IF(CF27="","",IF(CF27="x",AE$6,0)+IF(CF27="S",-AE$6-0.00001,0))</f>
        <v>1</v>
      </c>
      <c r="AF27" s="41" t="str">
        <f>IF(CG27="","",IF(CG27="x",AF$6,0)+IF(CG27="S",-AF$6-0.00001,0))</f>
        <v/>
      </c>
      <c r="AG27" s="42" t="str">
        <f>IF(CH27="","",IF(CH27="x",AG$6,0)+IF(CH27="S",-AG$6-0.00001,0))</f>
        <v/>
      </c>
      <c r="AH27" s="40" t="str">
        <f>IF(CI27="","",IF(CI27="x",AH$6,0)+IF(CI27="S",-AH$6-0.00001,0))</f>
        <v/>
      </c>
      <c r="AI27" s="41" t="str">
        <f>IF(CJ27="","",IF(CJ27="x",AI$6,0)+IF(CJ27="S",-AI$6-0.00001,0))</f>
        <v/>
      </c>
      <c r="AJ27" s="41" t="str">
        <f>IF(CK27="","",IF(CK27="x",AJ$6,0)+IF(CK27="S",-AJ$6-0.00001,0))</f>
        <v/>
      </c>
      <c r="AK27" s="42" t="str">
        <f>IF(CL27="","",IF(CL27="x",AK$6,0)+IF(CL27="S",-AK$6-0.00001,0))</f>
        <v/>
      </c>
      <c r="AL27" s="40">
        <f>IF(CM27="","",IF(CM27="x",AL$6,0)+IF(CM27="S",-AL$6-0.00001,0))</f>
        <v>0</v>
      </c>
      <c r="AM27" s="41" t="str">
        <f>IF(CN27="","",IF(CN27="x",AM$6,0)+IF(CN27="S",-AM$6-0.00001,0))</f>
        <v/>
      </c>
      <c r="AN27" s="41" t="str">
        <f>IF(CO27="","",IF(CO27="x",AN$6,0)+IF(CO27="S",-AN$6-0.00001,0))</f>
        <v/>
      </c>
      <c r="AO27" s="42" t="str">
        <f>IF(CP27="","",IF(CP27="x",AO$6,0)+IF(CP27="S",-AO$6-0.00001,0))</f>
        <v/>
      </c>
      <c r="AP27" s="40" t="str">
        <f>IF(CQ27="","",IF(CQ27="x",AP$6,0)+IF(CQ27="S",-AP$6-0.00001,0))</f>
        <v/>
      </c>
      <c r="AQ27" s="41" t="str">
        <f>IF(CR27="","",IF(CR27="x",AQ$6,0)+IF(CR27="S",-AQ$6-0.00001,0))</f>
        <v/>
      </c>
      <c r="AR27" s="41">
        <f>IF(CS27="","",IF(CS27="x",AR$6,0)+IF(CS27="S",-AR$6-0.00001,0))</f>
        <v>0</v>
      </c>
      <c r="AS27" s="42" t="str">
        <f>IF(CT27="","",IF(CT27="x",AS$6,0)+IF(CT27="S",-AS$6-0.00001,0))</f>
        <v/>
      </c>
      <c r="AT27" s="40">
        <f>IF(CU27="","",IF(CU27="x",AT$6,0)+IF(CU27="S",-AT$6-0.00001,0))</f>
        <v>-1.0000000000000001E-5</v>
      </c>
      <c r="AU27" s="41" t="str">
        <f>IF(CV27="","",IF(CV27="x",AU$6,0)+IF(CV27="S",-AU$6-0.00001,0))</f>
        <v/>
      </c>
      <c r="AV27" s="41" t="str">
        <f>IF(CW27="","",IF(CW27="x",AV$6,0)+IF(CW27="S",-AV$6-0.00001,0))</f>
        <v/>
      </c>
      <c r="AW27" s="42" t="str">
        <f>IF(CX27="","",IF(CX27="x",AW$6,0)+IF(CX27="S",-AW$6-0.00001,0))</f>
        <v/>
      </c>
      <c r="AX27" s="40" t="str">
        <f>IF(CY27="","",IF(CY27="x",AX$6,0)+IF(CY27="S",-AX$6-0.00001,0))</f>
        <v/>
      </c>
      <c r="AY27" s="41">
        <f>IF(CZ27="","",IF(CZ27="x",AY$6,0)+IF(CZ27="S",-AY$6-0.00001,0))</f>
        <v>0</v>
      </c>
      <c r="AZ27" s="41" t="str">
        <f>IF(DA27="","",IF(DA27="x",AZ$6,0)+IF(DA27="S",-AZ$6-0.00001,0))</f>
        <v/>
      </c>
      <c r="BA27" s="42" t="str">
        <f>IF(DB27="","",IF(DB27="x",BA$6,0)+IF(DB27="S",-BA$6-0.00001,0))</f>
        <v/>
      </c>
      <c r="BB27" s="37" t="s">
        <v>106</v>
      </c>
      <c r="BC27" s="21"/>
      <c r="BD27" s="21"/>
      <c r="BG27" t="str">
        <f>IF(NOT(ISERROR(HLOOKUP(Standings!BG$3,Entries!$C76:$K76,1,FALSE))),"x",IF(NOT(ISERROR(HLOOKUP(Standings!BG$3,Entries!$L76:$L76,1,FALSE))),"S",""))</f>
        <v/>
      </c>
      <c r="BH27" t="str">
        <f>IF(NOT(ISERROR(HLOOKUP(Standings!BH$3,Entries!$C76:$K76,1,FALSE))),"x",IF(NOT(ISERROR(HLOOKUP(Standings!BH$3,Entries!$L76:$L76,1,FALSE))),"S",""))</f>
        <v/>
      </c>
      <c r="BI27" t="str">
        <f>IF(NOT(ISERROR(HLOOKUP(Standings!BI$3,Entries!$C76:$K76,1,FALSE))),"x",IF(NOT(ISERROR(HLOOKUP(Standings!BI$3,Entries!$L76:$L76,1,FALSE))),"S",""))</f>
        <v/>
      </c>
      <c r="BJ27" t="str">
        <f>IF(NOT(ISERROR(HLOOKUP(Standings!BJ$3,Entries!$C76:$K76,1,FALSE))),"x",IF(NOT(ISERROR(HLOOKUP(Standings!BJ$3,Entries!$L76:$L76,1,FALSE))),"S",""))</f>
        <v/>
      </c>
      <c r="BK27" t="str">
        <f>IF(NOT(ISERROR(HLOOKUP(Standings!BK$3,Entries!$C76:$K76,1,FALSE))),"x",IF(NOT(ISERROR(HLOOKUP(Standings!BK$3,Entries!$L76:$L76,1,FALSE))),"S",""))</f>
        <v/>
      </c>
      <c r="BL27" t="str">
        <f>IF(NOT(ISERROR(HLOOKUP(Standings!BL$3,Entries!$C76:$K76,1,FALSE))),"x",IF(NOT(ISERROR(HLOOKUP(Standings!BL$3,Entries!$L76:$L76,1,FALSE))),"S",""))</f>
        <v/>
      </c>
      <c r="BM27" t="str">
        <f>IF(NOT(ISERROR(HLOOKUP(Standings!BM$3,Entries!$C76:$K76,1,FALSE))),"x",IF(NOT(ISERROR(HLOOKUP(Standings!BM$3,Entries!$L76:$L76,1,FALSE))),"S",""))</f>
        <v/>
      </c>
      <c r="BN27" t="str">
        <f>IF(NOT(ISERROR(HLOOKUP(Standings!BN$3,Entries!$C76:$K76,1,FALSE))),"x",IF(NOT(ISERROR(HLOOKUP(Standings!BN$3,Entries!$L76:$L76,1,FALSE))),"S",""))</f>
        <v/>
      </c>
      <c r="BO27" t="str">
        <f>IF(NOT(ISERROR(HLOOKUP(Standings!BO$3,Entries!$C76:$K76,1,FALSE))),"x",IF(NOT(ISERROR(HLOOKUP(Standings!BO$3,Entries!$L76:$L76,1,FALSE))),"S",""))</f>
        <v/>
      </c>
      <c r="BP27" t="str">
        <f>IF(NOT(ISERROR(HLOOKUP(Standings!BP$3,Entries!$C76:$K76,1,FALSE))),"x",IF(NOT(ISERROR(HLOOKUP(Standings!BP$3,Entries!$L76:$L76,1,FALSE))),"S",""))</f>
        <v>x</v>
      </c>
      <c r="BQ27" t="str">
        <f>IF(NOT(ISERROR(HLOOKUP(Standings!BQ$3,Entries!$C76:$K76,1,FALSE))),"x",IF(NOT(ISERROR(HLOOKUP(Standings!BQ$3,Entries!$L76:$L76,1,FALSE))),"S",""))</f>
        <v/>
      </c>
      <c r="BR27" t="str">
        <f>IF(NOT(ISERROR(HLOOKUP(Standings!BR$3,Entries!$C76:$K76,1,FALSE))),"x",IF(NOT(ISERROR(HLOOKUP(Standings!BR$3,Entries!$L76:$L76,1,FALSE))),"S",""))</f>
        <v/>
      </c>
      <c r="BS27" t="str">
        <f>IF(NOT(ISERROR(HLOOKUP(Standings!BS$3,Entries!$C76:$K76,1,FALSE))),"x",IF(NOT(ISERROR(HLOOKUP(Standings!BS$3,Entries!$L76:$L76,1,FALSE))),"S",""))</f>
        <v/>
      </c>
      <c r="BT27" t="str">
        <f>IF(NOT(ISERROR(HLOOKUP(Standings!BT$3,Entries!$C76:$K76,1,FALSE))),"x",IF(NOT(ISERROR(HLOOKUP(Standings!BT$3,Entries!$L76:$L76,1,FALSE))),"S",""))</f>
        <v/>
      </c>
      <c r="BU27" t="str">
        <f>IF(NOT(ISERROR(HLOOKUP(Standings!BU$3,Entries!$C76:$K76,1,FALSE))),"x",IF(NOT(ISERROR(HLOOKUP(Standings!BU$3,Entries!$L76:$L76,1,FALSE))),"S",""))</f>
        <v/>
      </c>
      <c r="BV27" t="str">
        <f>IF(NOT(ISERROR(HLOOKUP(Standings!BV$3,Entries!$C76:$K76,1,FALSE))),"x",IF(NOT(ISERROR(HLOOKUP(Standings!BV$3,Entries!$L76:$L76,1,FALSE))),"S",""))</f>
        <v/>
      </c>
      <c r="BW27" t="str">
        <f>IF(NOT(ISERROR(HLOOKUP(Standings!BW$3,Entries!$C76:$K76,1,FALSE))),"x",IF(NOT(ISERROR(HLOOKUP(Standings!BW$3,Entries!$L76:$L76,1,FALSE))),"S",""))</f>
        <v/>
      </c>
      <c r="BX27" t="str">
        <f>IF(NOT(ISERROR(HLOOKUP(Standings!BX$3,Entries!$C76:$K76,1,FALSE))),"x",IF(NOT(ISERROR(HLOOKUP(Standings!BX$3,Entries!$L76:$L76,1,FALSE))),"S",""))</f>
        <v/>
      </c>
      <c r="BY27" t="str">
        <f>IF(NOT(ISERROR(HLOOKUP(Standings!BY$3,Entries!$C76:$K76,1,FALSE))),"x",IF(NOT(ISERROR(HLOOKUP(Standings!BY$3,Entries!$L76:$L76,1,FALSE))),"S",""))</f>
        <v>x</v>
      </c>
      <c r="BZ27" t="str">
        <f>IF(NOT(ISERROR(HLOOKUP(Standings!BZ$3,Entries!$C76:$K76,1,FALSE))),"x",IF(NOT(ISERROR(HLOOKUP(Standings!BZ$3,Entries!$L76:$L76,1,FALSE))),"S",""))</f>
        <v/>
      </c>
      <c r="CA27" t="str">
        <f>IF(NOT(ISERROR(HLOOKUP(Standings!CA$3,Entries!$C76:$K76,1,FALSE))),"x",IF(NOT(ISERROR(HLOOKUP(Standings!CA$3,Entries!$L76:$L76,1,FALSE))),"S",""))</f>
        <v/>
      </c>
      <c r="CB27" t="str">
        <f>IF(NOT(ISERROR(HLOOKUP(Standings!CB$3,Entries!$C76:$K76,1,FALSE))),"x",IF(NOT(ISERROR(HLOOKUP(Standings!CB$3,Entries!$L76:$L76,1,FALSE))),"S",""))</f>
        <v/>
      </c>
      <c r="CC27" t="str">
        <f>IF(NOT(ISERROR(HLOOKUP(Standings!CC$3,Entries!$C76:$K76,1,FALSE))),"x",IF(NOT(ISERROR(HLOOKUP(Standings!CC$3,Entries!$L76:$L76,1,FALSE))),"S",""))</f>
        <v/>
      </c>
      <c r="CD27" t="str">
        <f>IF(NOT(ISERROR(HLOOKUP(Standings!CD$3,Entries!$C76:$K76,1,FALSE))),"x",IF(NOT(ISERROR(HLOOKUP(Standings!CD$3,Entries!$L76:$L76,1,FALSE))),"S",""))</f>
        <v>x</v>
      </c>
      <c r="CE27" t="str">
        <f>IF(NOT(ISERROR(HLOOKUP(Standings!CE$3,Entries!$C76:$K76,1,FALSE))),"x",IF(NOT(ISERROR(HLOOKUP(Standings!CE$3,Entries!$L76:$L76,1,FALSE))),"S",""))</f>
        <v/>
      </c>
      <c r="CF27" t="str">
        <f>IF(NOT(ISERROR(HLOOKUP(Standings!CF$3,Entries!$C76:$K76,1,FALSE))),"x",IF(NOT(ISERROR(HLOOKUP(Standings!CF$3,Entries!$L76:$L76,1,FALSE))),"S",""))</f>
        <v>x</v>
      </c>
      <c r="CG27" t="str">
        <f>IF(NOT(ISERROR(HLOOKUP(Standings!CG$3,Entries!$C76:$K76,1,FALSE))),"x",IF(NOT(ISERROR(HLOOKUP(Standings!CG$3,Entries!$L76:$L76,1,FALSE))),"S",""))</f>
        <v/>
      </c>
      <c r="CH27" t="str">
        <f>IF(NOT(ISERROR(HLOOKUP(Standings!CH$3,Entries!$C76:$K76,1,FALSE))),"x",IF(NOT(ISERROR(HLOOKUP(Standings!CH$3,Entries!$L76:$L76,1,FALSE))),"S",""))</f>
        <v/>
      </c>
      <c r="CI27" t="str">
        <f>IF(NOT(ISERROR(HLOOKUP(Standings!CI$3,Entries!$C76:$K76,1,FALSE))),"x",IF(NOT(ISERROR(HLOOKUP(Standings!CI$3,Entries!$L76:$L76,1,FALSE))),"S",""))</f>
        <v/>
      </c>
      <c r="CJ27" t="str">
        <f>IF(NOT(ISERROR(HLOOKUP(Standings!CJ$3,Entries!$C76:$K76,1,FALSE))),"x",IF(NOT(ISERROR(HLOOKUP(Standings!CJ$3,Entries!$L76:$L76,1,FALSE))),"S",""))</f>
        <v/>
      </c>
      <c r="CK27" t="str">
        <f>IF(NOT(ISERROR(HLOOKUP(Standings!CK$3,Entries!$C76:$K76,1,FALSE))),"x",IF(NOT(ISERROR(HLOOKUP(Standings!CK$3,Entries!$L76:$L76,1,FALSE))),"S",""))</f>
        <v/>
      </c>
      <c r="CL27" t="str">
        <f>IF(NOT(ISERROR(HLOOKUP(Standings!CL$3,Entries!$C76:$K76,1,FALSE))),"x",IF(NOT(ISERROR(HLOOKUP(Standings!CL$3,Entries!$L76:$L76,1,FALSE))),"S",""))</f>
        <v/>
      </c>
      <c r="CM27" t="str">
        <f>IF(NOT(ISERROR(HLOOKUP(Standings!CM$3,Entries!$C76:$K76,1,FALSE))),"x",IF(NOT(ISERROR(HLOOKUP(Standings!CM$3,Entries!$L76:$L76,1,FALSE))),"S",""))</f>
        <v>x</v>
      </c>
      <c r="CN27" t="str">
        <f>IF(NOT(ISERROR(HLOOKUP(Standings!CN$3,Entries!$C76:$K76,1,FALSE))),"x",IF(NOT(ISERROR(HLOOKUP(Standings!CN$3,Entries!$L76:$L76,1,FALSE))),"S",""))</f>
        <v/>
      </c>
      <c r="CO27" t="str">
        <f>IF(NOT(ISERROR(HLOOKUP(Standings!CO$3,Entries!$C76:$K76,1,FALSE))),"x",IF(NOT(ISERROR(HLOOKUP(Standings!CO$3,Entries!$L76:$L76,1,FALSE))),"S",""))</f>
        <v/>
      </c>
      <c r="CP27" t="str">
        <f>IF(NOT(ISERROR(HLOOKUP(Standings!CP$3,Entries!$C76:$K76,1,FALSE))),"x",IF(NOT(ISERROR(HLOOKUP(Standings!CP$3,Entries!$L76:$L76,1,FALSE))),"S",""))</f>
        <v/>
      </c>
      <c r="CQ27" t="str">
        <f>IF(NOT(ISERROR(HLOOKUP(Standings!CQ$3,Entries!$C76:$K76,1,FALSE))),"x",IF(NOT(ISERROR(HLOOKUP(Standings!CQ$3,Entries!$L76:$L76,1,FALSE))),"S",""))</f>
        <v/>
      </c>
      <c r="CR27" t="str">
        <f>IF(NOT(ISERROR(HLOOKUP(Standings!CR$3,Entries!$C76:$K76,1,FALSE))),"x",IF(NOT(ISERROR(HLOOKUP(Standings!CR$3,Entries!$L76:$L76,1,FALSE))),"S",""))</f>
        <v/>
      </c>
      <c r="CS27" t="str">
        <f>IF(NOT(ISERROR(HLOOKUP(Standings!CS$3,Entries!$C76:$K76,1,FALSE))),"x",IF(NOT(ISERROR(HLOOKUP(Standings!CS$3,Entries!$L76:$L76,1,FALSE))),"S",""))</f>
        <v>x</v>
      </c>
      <c r="CT27" t="str">
        <f>IF(NOT(ISERROR(HLOOKUP(Standings!CT$3,Entries!$C76:$K76,1,FALSE))),"x",IF(NOT(ISERROR(HLOOKUP(Standings!CT$3,Entries!$L76:$L76,1,FALSE))),"S",""))</f>
        <v/>
      </c>
      <c r="CU27" t="str">
        <f>IF(NOT(ISERROR(HLOOKUP(Standings!CU$3,Entries!$C76:$K76,1,FALSE))),"x",IF(NOT(ISERROR(HLOOKUP(Standings!CU$3,Entries!$L76:$L76,1,FALSE))),"S",""))</f>
        <v>S</v>
      </c>
      <c r="CV27" t="str">
        <f>IF(NOT(ISERROR(HLOOKUP(Standings!CV$3,Entries!$C76:$K76,1,FALSE))),"x",IF(NOT(ISERROR(HLOOKUP(Standings!CV$3,Entries!$L76:$L76,1,FALSE))),"S",""))</f>
        <v/>
      </c>
      <c r="CW27" t="str">
        <f>IF(NOT(ISERROR(HLOOKUP(Standings!CW$3,Entries!$C76:$K76,1,FALSE))),"x",IF(NOT(ISERROR(HLOOKUP(Standings!CW$3,Entries!$L76:$L76,1,FALSE))),"S",""))</f>
        <v/>
      </c>
      <c r="CX27" t="str">
        <f>IF(NOT(ISERROR(HLOOKUP(Standings!CX$3,Entries!$C76:$K76,1,FALSE))),"x",IF(NOT(ISERROR(HLOOKUP(Standings!CX$3,Entries!$L76:$L76,1,FALSE))),"S",""))</f>
        <v/>
      </c>
      <c r="CY27" t="str">
        <f>IF(NOT(ISERROR(HLOOKUP(Standings!CY$3,Entries!$C76:$K76,1,FALSE))),"x",IF(NOT(ISERROR(HLOOKUP(Standings!CY$3,Entries!$L76:$L76,1,FALSE))),"S",""))</f>
        <v/>
      </c>
      <c r="CZ27" t="str">
        <f>IF(NOT(ISERROR(HLOOKUP(Standings!CZ$3,Entries!$C76:$K76,1,FALSE))),"x",IF(NOT(ISERROR(HLOOKUP(Standings!CZ$3,Entries!$L76:$L76,1,FALSE))),"S",""))</f>
        <v>x</v>
      </c>
      <c r="DA27" t="str">
        <f>IF(NOT(ISERROR(HLOOKUP(Standings!DA$3,Entries!$C76:$K76,1,FALSE))),"x",IF(NOT(ISERROR(HLOOKUP(Standings!DA$3,Entries!$L76:$L76,1,FALSE))),"S",""))</f>
        <v/>
      </c>
      <c r="DB27" t="str">
        <f>IF(NOT(ISERROR(HLOOKUP(Standings!DB$3,Entries!$C76:$K76,1,FALSE))),"x",IF(NOT(ISERROR(HLOOKUP(Standings!DB$3,Entries!$L76:$L76,1,FALSE))),"S",""))</f>
        <v/>
      </c>
    </row>
    <row r="28" spans="1:106" x14ac:dyDescent="0.25">
      <c r="A28" s="18"/>
      <c r="B28">
        <v>26</v>
      </c>
      <c r="C28" t="str">
        <f>Entries!B83</f>
        <v>RobertSpangler</v>
      </c>
      <c r="D28" s="4">
        <f>IF(C28="","",RANK(E28,$E$10:$E$111))</f>
        <v>11</v>
      </c>
      <c r="E28" s="31">
        <f>IF(C28="","",ROUND(SUM(F28:AK28),0))</f>
        <v>6</v>
      </c>
      <c r="F28" s="40">
        <f>IF(BG28="","",IF(BG28="x",F$6,0)+IF(BG28="S",-F$6-0.00001,0))</f>
        <v>2</v>
      </c>
      <c r="G28" s="41" t="str">
        <f>IF(BH28="","",IF(BH28="x",G$6,0)+IF(BH28="S",-G$6-0.00001,0))</f>
        <v/>
      </c>
      <c r="H28" s="41" t="str">
        <f>IF(BI28="","",IF(BI28="x",H$6,0)+IF(BI28="S",-H$6-0.00001,0))</f>
        <v/>
      </c>
      <c r="I28" s="42" t="str">
        <f>IF(BJ28="","",IF(BJ28="x",I$6,0)+IF(BJ28="S",-I$6-0.00001,0))</f>
        <v/>
      </c>
      <c r="J28" s="40" t="str">
        <f>IF(BK28="","",IF(BK28="x",J$6,0)+IF(BK28="S",-J$6-0.00001,0))</f>
        <v/>
      </c>
      <c r="K28" s="41" t="str">
        <f>IF(BL28="","",IF(BL28="x",K$6,0)+IF(BL28="S",-K$6-0.00001,0))</f>
        <v/>
      </c>
      <c r="L28" s="41" t="str">
        <f>IF(BM28="","",IF(BM28="x",L$6,0)+IF(BM28="S",-L$6-0.00001,0))</f>
        <v/>
      </c>
      <c r="M28" s="42" t="str">
        <f>IF(BN28="","",IF(BN28="x",M$6,0)+IF(BN28="S",-M$6-0.00001,0))</f>
        <v/>
      </c>
      <c r="N28" s="43" t="str">
        <f>IF(BO28="","",IF(BO28="x",N$6,0)+IF(BO28="S",-N$6-0.00001,0))</f>
        <v/>
      </c>
      <c r="O28" s="41">
        <f>IF(BP28="","",IF(BP28="x",O$6,0)+IF(BP28="S",-O$6-0.00001,0))</f>
        <v>1</v>
      </c>
      <c r="P28" s="41" t="str">
        <f>IF(BQ28="","",IF(BQ28="x",P$6,0)+IF(BQ28="S",-P$6-0.00001,0))</f>
        <v/>
      </c>
      <c r="Q28" s="42" t="str">
        <f>IF(BR28="","",IF(BR28="x",Q$6,0)+IF(BR28="S",-Q$6-0.00001,0))</f>
        <v/>
      </c>
      <c r="R28" s="40" t="str">
        <f>IF(BS28="","",IF(BS28="x",R$6,0)+IF(BS28="S",-R$6-0.00001,0))</f>
        <v/>
      </c>
      <c r="S28" s="41" t="str">
        <f>IF(BT28="","",IF(BT28="x",S$6,0)+IF(BT28="S",-S$6-0.00001,0))</f>
        <v/>
      </c>
      <c r="T28" s="43" t="str">
        <f>IF(BU28="","",IF(BU28="x",T$6,0)+IF(BU28="S",-T$6-0.00001,0))</f>
        <v/>
      </c>
      <c r="U28" s="42" t="str">
        <f>IF(BV28="","",IF(BV28="x",U$6,0)+IF(BV28="S",-U$6-0.00001,0))</f>
        <v/>
      </c>
      <c r="V28" s="40">
        <f>IF(BW28="","",IF(BW28="x",V$6,0)+IF(BW28="S",-V$6-0.00001,0))</f>
        <v>2</v>
      </c>
      <c r="W28" s="41" t="str">
        <f>IF(BX28="","",IF(BX28="x",W$6,0)+IF(BX28="S",-W$6-0.00001,0))</f>
        <v/>
      </c>
      <c r="X28" s="41" t="str">
        <f>IF(BY28="","",IF(BY28="x",X$6,0)+IF(BY28="S",-X$6-0.00001,0))</f>
        <v/>
      </c>
      <c r="Y28" s="42" t="str">
        <f>IF(BZ28="","",IF(BZ28="x",Y$6,0)+IF(BZ28="S",-Y$6-0.00001,0))</f>
        <v/>
      </c>
      <c r="Z28" s="40" t="str">
        <f>IF(CA28="","",IF(CA28="x",Z$6,0)+IF(CA28="S",-Z$6-0.00001,0))</f>
        <v/>
      </c>
      <c r="AA28" s="41" t="str">
        <f>IF(CB28="","",IF(CB28="x",AA$6,0)+IF(CB28="S",-AA$6-0.00001,0))</f>
        <v/>
      </c>
      <c r="AB28" s="41" t="str">
        <f>IF(CC28="","",IF(CC28="x",AB$6,0)+IF(CC28="S",-AB$6-0.00001,0))</f>
        <v/>
      </c>
      <c r="AC28" s="42" t="str">
        <f>IF(CD28="","",IF(CD28="x",AC$6,0)+IF(CD28="S",-AC$6-0.00001,0))</f>
        <v/>
      </c>
      <c r="AD28" s="40">
        <f>IF(CE28="","",IF(CE28="x",AD$6,0)+IF(CE28="S",-AD$6-0.00001,0))</f>
        <v>1</v>
      </c>
      <c r="AE28" s="41" t="str">
        <f>IF(CF28="","",IF(CF28="x",AE$6,0)+IF(CF28="S",-AE$6-0.00001,0))</f>
        <v/>
      </c>
      <c r="AF28" s="41" t="str">
        <f>IF(CG28="","",IF(CG28="x",AF$6,0)+IF(CG28="S",-AF$6-0.00001,0))</f>
        <v/>
      </c>
      <c r="AG28" s="42" t="str">
        <f>IF(CH28="","",IF(CH28="x",AG$6,0)+IF(CH28="S",-AG$6-0.00001,0))</f>
        <v/>
      </c>
      <c r="AH28" s="40" t="str">
        <f>IF(CI28="","",IF(CI28="x",AH$6,0)+IF(CI28="S",-AH$6-0.00001,0))</f>
        <v/>
      </c>
      <c r="AI28" s="41" t="str">
        <f>IF(CJ28="","",IF(CJ28="x",AI$6,0)+IF(CJ28="S",-AI$6-0.00001,0))</f>
        <v/>
      </c>
      <c r="AJ28" s="41" t="str">
        <f>IF(CK28="","",IF(CK28="x",AJ$6,0)+IF(CK28="S",-AJ$6-0.00001,0))</f>
        <v/>
      </c>
      <c r="AK28" s="42" t="str">
        <f>IF(CL28="","",IF(CL28="x",AK$6,0)+IF(CL28="S",-AK$6-0.00001,0))</f>
        <v/>
      </c>
      <c r="AL28" s="40">
        <f>IF(CM28="","",IF(CM28="x",AL$6,0)+IF(CM28="S",-AL$6-0.00001,0))</f>
        <v>-1.0000000000000001E-5</v>
      </c>
      <c r="AM28" s="41" t="str">
        <f>IF(CN28="","",IF(CN28="x",AM$6,0)+IF(CN28="S",-AM$6-0.00001,0))</f>
        <v/>
      </c>
      <c r="AN28" s="41" t="str">
        <f>IF(CO28="","",IF(CO28="x",AN$6,0)+IF(CO28="S",-AN$6-0.00001,0))</f>
        <v/>
      </c>
      <c r="AO28" s="42" t="str">
        <f>IF(CP28="","",IF(CP28="x",AO$6,0)+IF(CP28="S",-AO$6-0.00001,0))</f>
        <v/>
      </c>
      <c r="AP28" s="40" t="str">
        <f>IF(CQ28="","",IF(CQ28="x",AP$6,0)+IF(CQ28="S",-AP$6-0.00001,0))</f>
        <v/>
      </c>
      <c r="AQ28" s="41" t="str">
        <f>IF(CR28="","",IF(CR28="x",AQ$6,0)+IF(CR28="S",-AQ$6-0.00001,0))</f>
        <v/>
      </c>
      <c r="AR28" s="41">
        <f>IF(CS28="","",IF(CS28="x",AR$6,0)+IF(CS28="S",-AR$6-0.00001,0))</f>
        <v>0</v>
      </c>
      <c r="AS28" s="42" t="str">
        <f>IF(CT28="","",IF(CT28="x",AS$6,0)+IF(CT28="S",-AS$6-0.00001,0))</f>
        <v/>
      </c>
      <c r="AT28" s="40" t="str">
        <f>IF(CU28="","",IF(CU28="x",AT$6,0)+IF(CU28="S",-AT$6-0.00001,0))</f>
        <v/>
      </c>
      <c r="AU28" s="41" t="str">
        <f>IF(CV28="","",IF(CV28="x",AU$6,0)+IF(CV28="S",-AU$6-0.00001,0))</f>
        <v/>
      </c>
      <c r="AV28" s="41">
        <f>IF(CW28="","",IF(CW28="x",AV$6,0)+IF(CW28="S",-AV$6-0.00001,0))</f>
        <v>0</v>
      </c>
      <c r="AW28" s="42" t="str">
        <f>IF(CX28="","",IF(CX28="x",AW$6,0)+IF(CX28="S",-AW$6-0.00001,0))</f>
        <v/>
      </c>
      <c r="AX28" s="40" t="str">
        <f>IF(CY28="","",IF(CY28="x",AX$6,0)+IF(CY28="S",-AX$6-0.00001,0))</f>
        <v/>
      </c>
      <c r="AY28" s="41" t="str">
        <f>IF(CZ28="","",IF(CZ28="x",AY$6,0)+IF(CZ28="S",-AY$6-0.00001,0))</f>
        <v/>
      </c>
      <c r="AZ28" s="41" t="str">
        <f>IF(DA28="","",IF(DA28="x",AZ$6,0)+IF(DA28="S",-AZ$6-0.00001,0))</f>
        <v/>
      </c>
      <c r="BA28" s="42" t="str">
        <f>IF(DB28="","",IF(DB28="x",BA$6,0)+IF(DB28="S",-BA$6-0.00001,0))</f>
        <v/>
      </c>
      <c r="BB28" s="37" t="s">
        <v>106</v>
      </c>
      <c r="BC28" s="21"/>
      <c r="BD28" s="21"/>
      <c r="BG28" t="str">
        <f>IF(NOT(ISERROR(HLOOKUP(Standings!BG$3,Entries!$C83:$K83,1,FALSE))),"x",IF(NOT(ISERROR(HLOOKUP(Standings!BG$3,Entries!$L83:$L83,1,FALSE))),"S",""))</f>
        <v>x</v>
      </c>
      <c r="BH28" t="str">
        <f>IF(NOT(ISERROR(HLOOKUP(Standings!BH$3,Entries!$C83:$K83,1,FALSE))),"x",IF(NOT(ISERROR(HLOOKUP(Standings!BH$3,Entries!$L83:$L83,1,FALSE))),"S",""))</f>
        <v/>
      </c>
      <c r="BI28" t="str">
        <f>IF(NOT(ISERROR(HLOOKUP(Standings!BI$3,Entries!$C83:$K83,1,FALSE))),"x",IF(NOT(ISERROR(HLOOKUP(Standings!BI$3,Entries!$L83:$L83,1,FALSE))),"S",""))</f>
        <v/>
      </c>
      <c r="BJ28" t="str">
        <f>IF(NOT(ISERROR(HLOOKUP(Standings!BJ$3,Entries!$C83:$K83,1,FALSE))),"x",IF(NOT(ISERROR(HLOOKUP(Standings!BJ$3,Entries!$L83:$L83,1,FALSE))),"S",""))</f>
        <v/>
      </c>
      <c r="BK28" t="str">
        <f>IF(NOT(ISERROR(HLOOKUP(Standings!BK$3,Entries!$C83:$K83,1,FALSE))),"x",IF(NOT(ISERROR(HLOOKUP(Standings!BK$3,Entries!$L83:$L83,1,FALSE))),"S",""))</f>
        <v/>
      </c>
      <c r="BL28" t="str">
        <f>IF(NOT(ISERROR(HLOOKUP(Standings!BL$3,Entries!$C83:$K83,1,FALSE))),"x",IF(NOT(ISERROR(HLOOKUP(Standings!BL$3,Entries!$L83:$L83,1,FALSE))),"S",""))</f>
        <v/>
      </c>
      <c r="BM28" t="str">
        <f>IF(NOT(ISERROR(HLOOKUP(Standings!BM$3,Entries!$C83:$K83,1,FALSE))),"x",IF(NOT(ISERROR(HLOOKUP(Standings!BM$3,Entries!$L83:$L83,1,FALSE))),"S",""))</f>
        <v/>
      </c>
      <c r="BN28" t="str">
        <f>IF(NOT(ISERROR(HLOOKUP(Standings!BN$3,Entries!$C83:$K83,1,FALSE))),"x",IF(NOT(ISERROR(HLOOKUP(Standings!BN$3,Entries!$L83:$L83,1,FALSE))),"S",""))</f>
        <v/>
      </c>
      <c r="BO28" t="str">
        <f>IF(NOT(ISERROR(HLOOKUP(Standings!BO$3,Entries!$C83:$K83,1,FALSE))),"x",IF(NOT(ISERROR(HLOOKUP(Standings!BO$3,Entries!$L83:$L83,1,FALSE))),"S",""))</f>
        <v/>
      </c>
      <c r="BP28" t="str">
        <f>IF(NOT(ISERROR(HLOOKUP(Standings!BP$3,Entries!$C83:$K83,1,FALSE))),"x",IF(NOT(ISERROR(HLOOKUP(Standings!BP$3,Entries!$L83:$L83,1,FALSE))),"S",""))</f>
        <v>x</v>
      </c>
      <c r="BQ28" t="str">
        <f>IF(NOT(ISERROR(HLOOKUP(Standings!BQ$3,Entries!$C83:$K83,1,FALSE))),"x",IF(NOT(ISERROR(HLOOKUP(Standings!BQ$3,Entries!$L83:$L83,1,FALSE))),"S",""))</f>
        <v/>
      </c>
      <c r="BR28" t="str">
        <f>IF(NOT(ISERROR(HLOOKUP(Standings!BR$3,Entries!$C83:$K83,1,FALSE))),"x",IF(NOT(ISERROR(HLOOKUP(Standings!BR$3,Entries!$L83:$L83,1,FALSE))),"S",""))</f>
        <v/>
      </c>
      <c r="BS28" t="str">
        <f>IF(NOT(ISERROR(HLOOKUP(Standings!BS$3,Entries!$C83:$K83,1,FALSE))),"x",IF(NOT(ISERROR(HLOOKUP(Standings!BS$3,Entries!$L83:$L83,1,FALSE))),"S",""))</f>
        <v/>
      </c>
      <c r="BT28" t="str">
        <f>IF(NOT(ISERROR(HLOOKUP(Standings!BT$3,Entries!$C83:$K83,1,FALSE))),"x",IF(NOT(ISERROR(HLOOKUP(Standings!BT$3,Entries!$L83:$L83,1,FALSE))),"S",""))</f>
        <v/>
      </c>
      <c r="BU28" t="str">
        <f>IF(NOT(ISERROR(HLOOKUP(Standings!BU$3,Entries!$C83:$K83,1,FALSE))),"x",IF(NOT(ISERROR(HLOOKUP(Standings!BU$3,Entries!$L83:$L83,1,FALSE))),"S",""))</f>
        <v/>
      </c>
      <c r="BV28" t="str">
        <f>IF(NOT(ISERROR(HLOOKUP(Standings!BV$3,Entries!$C83:$K83,1,FALSE))),"x",IF(NOT(ISERROR(HLOOKUP(Standings!BV$3,Entries!$L83:$L83,1,FALSE))),"S",""))</f>
        <v/>
      </c>
      <c r="BW28" t="str">
        <f>IF(NOT(ISERROR(HLOOKUP(Standings!BW$3,Entries!$C83:$K83,1,FALSE))),"x",IF(NOT(ISERROR(HLOOKUP(Standings!BW$3,Entries!$L83:$L83,1,FALSE))),"S",""))</f>
        <v>x</v>
      </c>
      <c r="BX28" t="str">
        <f>IF(NOT(ISERROR(HLOOKUP(Standings!BX$3,Entries!$C83:$K83,1,FALSE))),"x",IF(NOT(ISERROR(HLOOKUP(Standings!BX$3,Entries!$L83:$L83,1,FALSE))),"S",""))</f>
        <v/>
      </c>
      <c r="BY28" t="str">
        <f>IF(NOT(ISERROR(HLOOKUP(Standings!BY$3,Entries!$C83:$K83,1,FALSE))),"x",IF(NOT(ISERROR(HLOOKUP(Standings!BY$3,Entries!$L83:$L83,1,FALSE))),"S",""))</f>
        <v/>
      </c>
      <c r="BZ28" t="str">
        <f>IF(NOT(ISERROR(HLOOKUP(Standings!BZ$3,Entries!$C83:$K83,1,FALSE))),"x",IF(NOT(ISERROR(HLOOKUP(Standings!BZ$3,Entries!$L83:$L83,1,FALSE))),"S",""))</f>
        <v/>
      </c>
      <c r="CA28" t="str">
        <f>IF(NOT(ISERROR(HLOOKUP(Standings!CA$3,Entries!$C83:$K83,1,FALSE))),"x",IF(NOT(ISERROR(HLOOKUP(Standings!CA$3,Entries!$L83:$L83,1,FALSE))),"S",""))</f>
        <v/>
      </c>
      <c r="CB28" t="str">
        <f>IF(NOT(ISERROR(HLOOKUP(Standings!CB$3,Entries!$C83:$K83,1,FALSE))),"x",IF(NOT(ISERROR(HLOOKUP(Standings!CB$3,Entries!$L83:$L83,1,FALSE))),"S",""))</f>
        <v/>
      </c>
      <c r="CC28" t="str">
        <f>IF(NOT(ISERROR(HLOOKUP(Standings!CC$3,Entries!$C83:$K83,1,FALSE))),"x",IF(NOT(ISERROR(HLOOKUP(Standings!CC$3,Entries!$L83:$L83,1,FALSE))),"S",""))</f>
        <v/>
      </c>
      <c r="CD28" t="str">
        <f>IF(NOT(ISERROR(HLOOKUP(Standings!CD$3,Entries!$C83:$K83,1,FALSE))),"x",IF(NOT(ISERROR(HLOOKUP(Standings!CD$3,Entries!$L83:$L83,1,FALSE))),"S",""))</f>
        <v/>
      </c>
      <c r="CE28" t="str">
        <f>IF(NOT(ISERROR(HLOOKUP(Standings!CE$3,Entries!$C83:$K83,1,FALSE))),"x",IF(NOT(ISERROR(HLOOKUP(Standings!CE$3,Entries!$L83:$L83,1,FALSE))),"S",""))</f>
        <v>x</v>
      </c>
      <c r="CF28" t="str">
        <f>IF(NOT(ISERROR(HLOOKUP(Standings!CF$3,Entries!$C83:$K83,1,FALSE))),"x",IF(NOT(ISERROR(HLOOKUP(Standings!CF$3,Entries!$L83:$L83,1,FALSE))),"S",""))</f>
        <v/>
      </c>
      <c r="CG28" t="str">
        <f>IF(NOT(ISERROR(HLOOKUP(Standings!CG$3,Entries!$C83:$K83,1,FALSE))),"x",IF(NOT(ISERROR(HLOOKUP(Standings!CG$3,Entries!$L83:$L83,1,FALSE))),"S",""))</f>
        <v/>
      </c>
      <c r="CH28" t="str">
        <f>IF(NOT(ISERROR(HLOOKUP(Standings!CH$3,Entries!$C83:$K83,1,FALSE))),"x",IF(NOT(ISERROR(HLOOKUP(Standings!CH$3,Entries!$L83:$L83,1,FALSE))),"S",""))</f>
        <v/>
      </c>
      <c r="CI28" t="str">
        <f>IF(NOT(ISERROR(HLOOKUP(Standings!CI$3,Entries!$C83:$K83,1,FALSE))),"x",IF(NOT(ISERROR(HLOOKUP(Standings!CI$3,Entries!$L83:$L83,1,FALSE))),"S",""))</f>
        <v/>
      </c>
      <c r="CJ28" t="str">
        <f>IF(NOT(ISERROR(HLOOKUP(Standings!CJ$3,Entries!$C83:$K83,1,FALSE))),"x",IF(NOT(ISERROR(HLOOKUP(Standings!CJ$3,Entries!$L83:$L83,1,FALSE))),"S",""))</f>
        <v/>
      </c>
      <c r="CK28" t="str">
        <f>IF(NOT(ISERROR(HLOOKUP(Standings!CK$3,Entries!$C83:$K83,1,FALSE))),"x",IF(NOT(ISERROR(HLOOKUP(Standings!CK$3,Entries!$L83:$L83,1,FALSE))),"S",""))</f>
        <v/>
      </c>
      <c r="CL28" t="str">
        <f>IF(NOT(ISERROR(HLOOKUP(Standings!CL$3,Entries!$C83:$K83,1,FALSE))),"x",IF(NOT(ISERROR(HLOOKUP(Standings!CL$3,Entries!$L83:$L83,1,FALSE))),"S",""))</f>
        <v/>
      </c>
      <c r="CM28" t="str">
        <f>IF(NOT(ISERROR(HLOOKUP(Standings!CM$3,Entries!$C83:$K83,1,FALSE))),"x",IF(NOT(ISERROR(HLOOKUP(Standings!CM$3,Entries!$L83:$L83,1,FALSE))),"S",""))</f>
        <v>S</v>
      </c>
      <c r="CN28" t="str">
        <f>IF(NOT(ISERROR(HLOOKUP(Standings!CN$3,Entries!$C83:$K83,1,FALSE))),"x",IF(NOT(ISERROR(HLOOKUP(Standings!CN$3,Entries!$L83:$L83,1,FALSE))),"S",""))</f>
        <v/>
      </c>
      <c r="CO28" t="str">
        <f>IF(NOT(ISERROR(HLOOKUP(Standings!CO$3,Entries!$C83:$K83,1,FALSE))),"x",IF(NOT(ISERROR(HLOOKUP(Standings!CO$3,Entries!$L83:$L83,1,FALSE))),"S",""))</f>
        <v/>
      </c>
      <c r="CP28" t="str">
        <f>IF(NOT(ISERROR(HLOOKUP(Standings!CP$3,Entries!$C83:$K83,1,FALSE))),"x",IF(NOT(ISERROR(HLOOKUP(Standings!CP$3,Entries!$L83:$L83,1,FALSE))),"S",""))</f>
        <v/>
      </c>
      <c r="CQ28" t="str">
        <f>IF(NOT(ISERROR(HLOOKUP(Standings!CQ$3,Entries!$C83:$K83,1,FALSE))),"x",IF(NOT(ISERROR(HLOOKUP(Standings!CQ$3,Entries!$L83:$L83,1,FALSE))),"S",""))</f>
        <v/>
      </c>
      <c r="CR28" t="str">
        <f>IF(NOT(ISERROR(HLOOKUP(Standings!CR$3,Entries!$C83:$K83,1,FALSE))),"x",IF(NOT(ISERROR(HLOOKUP(Standings!CR$3,Entries!$L83:$L83,1,FALSE))),"S",""))</f>
        <v/>
      </c>
      <c r="CS28" t="str">
        <f>IF(NOT(ISERROR(HLOOKUP(Standings!CS$3,Entries!$C83:$K83,1,FALSE))),"x",IF(NOT(ISERROR(HLOOKUP(Standings!CS$3,Entries!$L83:$L83,1,FALSE))),"S",""))</f>
        <v>x</v>
      </c>
      <c r="CT28" t="str">
        <f>IF(NOT(ISERROR(HLOOKUP(Standings!CT$3,Entries!$C83:$K83,1,FALSE))),"x",IF(NOT(ISERROR(HLOOKUP(Standings!CT$3,Entries!$L83:$L83,1,FALSE))),"S",""))</f>
        <v/>
      </c>
      <c r="CU28" t="str">
        <f>IF(NOT(ISERROR(HLOOKUP(Standings!CU$3,Entries!$C83:$K83,1,FALSE))),"x",IF(NOT(ISERROR(HLOOKUP(Standings!CU$3,Entries!$L83:$L83,1,FALSE))),"S",""))</f>
        <v/>
      </c>
      <c r="CV28" t="str">
        <f>IF(NOT(ISERROR(HLOOKUP(Standings!CV$3,Entries!$C83:$K83,1,FALSE))),"x",IF(NOT(ISERROR(HLOOKUP(Standings!CV$3,Entries!$L83:$L83,1,FALSE))),"S",""))</f>
        <v/>
      </c>
      <c r="CW28" t="str">
        <f>IF(NOT(ISERROR(HLOOKUP(Standings!CW$3,Entries!$C83:$K83,1,FALSE))),"x",IF(NOT(ISERROR(HLOOKUP(Standings!CW$3,Entries!$L83:$L83,1,FALSE))),"S",""))</f>
        <v>x</v>
      </c>
      <c r="CX28" t="str">
        <f>IF(NOT(ISERROR(HLOOKUP(Standings!CX$3,Entries!$C83:$K83,1,FALSE))),"x",IF(NOT(ISERROR(HLOOKUP(Standings!CX$3,Entries!$L83:$L83,1,FALSE))),"S",""))</f>
        <v/>
      </c>
      <c r="CY28" t="str">
        <f>IF(NOT(ISERROR(HLOOKUP(Standings!CY$3,Entries!$C83:$K83,1,FALSE))),"x",IF(NOT(ISERROR(HLOOKUP(Standings!CY$3,Entries!$L83:$L83,1,FALSE))),"S",""))</f>
        <v/>
      </c>
      <c r="CZ28" t="str">
        <f>IF(NOT(ISERROR(HLOOKUP(Standings!CZ$3,Entries!$C83:$K83,1,FALSE))),"x",IF(NOT(ISERROR(HLOOKUP(Standings!CZ$3,Entries!$L83:$L83,1,FALSE))),"S",""))</f>
        <v/>
      </c>
      <c r="DA28" t="str">
        <f>IF(NOT(ISERROR(HLOOKUP(Standings!DA$3,Entries!$C83:$K83,1,FALSE))),"x",IF(NOT(ISERROR(HLOOKUP(Standings!DA$3,Entries!$L83:$L83,1,FALSE))),"S",""))</f>
        <v/>
      </c>
      <c r="DB28" t="str">
        <f>IF(NOT(ISERROR(HLOOKUP(Standings!DB$3,Entries!$C83:$K83,1,FALSE))),"x",IF(NOT(ISERROR(HLOOKUP(Standings!DB$3,Entries!$L83:$L83,1,FALSE))),"S",""))</f>
        <v/>
      </c>
    </row>
    <row r="29" spans="1:106" x14ac:dyDescent="0.25">
      <c r="A29" s="18"/>
      <c r="B29">
        <v>26</v>
      </c>
      <c r="C29" t="str">
        <f>Entries!B96</f>
        <v>jongerdin2</v>
      </c>
      <c r="D29" s="4">
        <f>IF(C29="","",RANK(E29,$E$10:$E$111))</f>
        <v>11</v>
      </c>
      <c r="E29" s="31">
        <f>IF(C29="","",ROUND(SUM(F29:AK29),0))</f>
        <v>6</v>
      </c>
      <c r="F29" s="40">
        <f>IF(BG29="","",IF(BG29="x",F$6,0)+IF(BG29="S",-F$6-0.00001,0))</f>
        <v>2</v>
      </c>
      <c r="G29" s="41" t="str">
        <f>IF(BH29="","",IF(BH29="x",G$6,0)+IF(BH29="S",-G$6-0.00001,0))</f>
        <v/>
      </c>
      <c r="H29" s="41" t="str">
        <f>IF(BI29="","",IF(BI29="x",H$6,0)+IF(BI29="S",-H$6-0.00001,0))</f>
        <v/>
      </c>
      <c r="I29" s="42" t="str">
        <f>IF(BJ29="","",IF(BJ29="x",I$6,0)+IF(BJ29="S",-I$6-0.00001,0))</f>
        <v/>
      </c>
      <c r="J29" s="40">
        <f>IF(BK29="","",IF(BK29="x",J$6,0)+IF(BK29="S",-J$6-0.00001,0))</f>
        <v>1</v>
      </c>
      <c r="K29" s="41">
        <f>IF(BL29="","",IF(BL29="x",K$6,0)+IF(BL29="S",-K$6-0.00001,0))</f>
        <v>1</v>
      </c>
      <c r="L29" s="41" t="str">
        <f>IF(BM29="","",IF(BM29="x",L$6,0)+IF(BM29="S",-L$6-0.00001,0))</f>
        <v/>
      </c>
      <c r="M29" s="42" t="str">
        <f>IF(BN29="","",IF(BN29="x",M$6,0)+IF(BN29="S",-M$6-0.00001,0))</f>
        <v/>
      </c>
      <c r="N29" s="43" t="str">
        <f>IF(BO29="","",IF(BO29="x",N$6,0)+IF(BO29="S",-N$6-0.00001,0))</f>
        <v/>
      </c>
      <c r="O29" s="41" t="str">
        <f>IF(BP29="","",IF(BP29="x",O$6,0)+IF(BP29="S",-O$6-0.00001,0))</f>
        <v/>
      </c>
      <c r="P29" s="41" t="str">
        <f>IF(BQ29="","",IF(BQ29="x",P$6,0)+IF(BQ29="S",-P$6-0.00001,0))</f>
        <v/>
      </c>
      <c r="Q29" s="42" t="str">
        <f>IF(BR29="","",IF(BR29="x",Q$6,0)+IF(BR29="S",-Q$6-0.00001,0))</f>
        <v/>
      </c>
      <c r="R29" s="40" t="str">
        <f>IF(BS29="","",IF(BS29="x",R$6,0)+IF(BS29="S",-R$6-0.00001,0))</f>
        <v/>
      </c>
      <c r="S29" s="41" t="str">
        <f>IF(BT29="","",IF(BT29="x",S$6,0)+IF(BT29="S",-S$6-0.00001,0))</f>
        <v/>
      </c>
      <c r="T29" s="43" t="str">
        <f>IF(BU29="","",IF(BU29="x",T$6,0)+IF(BU29="S",-T$6-0.00001,0))</f>
        <v/>
      </c>
      <c r="U29" s="42" t="str">
        <f>IF(BV29="","",IF(BV29="x",U$6,0)+IF(BV29="S",-U$6-0.00001,0))</f>
        <v/>
      </c>
      <c r="V29" s="40" t="str">
        <f>IF(BW29="","",IF(BW29="x",V$6,0)+IF(BW29="S",-V$6-0.00001,0))</f>
        <v/>
      </c>
      <c r="W29" s="41" t="str">
        <f>IF(BX29="","",IF(BX29="x",W$6,0)+IF(BX29="S",-W$6-0.00001,0))</f>
        <v/>
      </c>
      <c r="X29" s="41" t="str">
        <f>IF(BY29="","",IF(BY29="x",X$6,0)+IF(BY29="S",-X$6-0.00001,0))</f>
        <v/>
      </c>
      <c r="Y29" s="42" t="str">
        <f>IF(BZ29="","",IF(BZ29="x",Y$6,0)+IF(BZ29="S",-Y$6-0.00001,0))</f>
        <v/>
      </c>
      <c r="Z29" s="40" t="str">
        <f>IF(CA29="","",IF(CA29="x",Z$6,0)+IF(CA29="S",-Z$6-0.00001,0))</f>
        <v/>
      </c>
      <c r="AA29" s="41">
        <f>IF(CB29="","",IF(CB29="x",AA$6,0)+IF(CB29="S",-AA$6-0.00001,0))</f>
        <v>1</v>
      </c>
      <c r="AB29" s="41" t="str">
        <f>IF(CC29="","",IF(CC29="x",AB$6,0)+IF(CC29="S",-AB$6-0.00001,0))</f>
        <v/>
      </c>
      <c r="AC29" s="42" t="str">
        <f>IF(CD29="","",IF(CD29="x",AC$6,0)+IF(CD29="S",-AC$6-0.00001,0))</f>
        <v/>
      </c>
      <c r="AD29" s="40" t="str">
        <f>IF(CE29="","",IF(CE29="x",AD$6,0)+IF(CE29="S",-AD$6-0.00001,0))</f>
        <v/>
      </c>
      <c r="AE29" s="41">
        <f>IF(CF29="","",IF(CF29="x",AE$6,0)+IF(CF29="S",-AE$6-0.00001,0))</f>
        <v>1</v>
      </c>
      <c r="AF29" s="41" t="str">
        <f>IF(CG29="","",IF(CG29="x",AF$6,0)+IF(CG29="S",-AF$6-0.00001,0))</f>
        <v/>
      </c>
      <c r="AG29" s="42" t="str">
        <f>IF(CH29="","",IF(CH29="x",AG$6,0)+IF(CH29="S",-AG$6-0.00001,0))</f>
        <v/>
      </c>
      <c r="AH29" s="40" t="str">
        <f>IF(CI29="","",IF(CI29="x",AH$6,0)+IF(CI29="S",-AH$6-0.00001,0))</f>
        <v/>
      </c>
      <c r="AI29" s="41" t="str">
        <f>IF(CJ29="","",IF(CJ29="x",AI$6,0)+IF(CJ29="S",-AI$6-0.00001,0))</f>
        <v/>
      </c>
      <c r="AJ29" s="41" t="str">
        <f>IF(CK29="","",IF(CK29="x",AJ$6,0)+IF(CK29="S",-AJ$6-0.00001,0))</f>
        <v/>
      </c>
      <c r="AK29" s="42" t="str">
        <f>IF(CL29="","",IF(CL29="x",AK$6,0)+IF(CL29="S",-AK$6-0.00001,0))</f>
        <v/>
      </c>
      <c r="AL29" s="40" t="str">
        <f>IF(CM29="","",IF(CM29="x",AL$6,0)+IF(CM29="S",-AL$6-0.00001,0))</f>
        <v/>
      </c>
      <c r="AM29" s="41" t="str">
        <f>IF(CN29="","",IF(CN29="x",AM$6,0)+IF(CN29="S",-AM$6-0.00001,0))</f>
        <v/>
      </c>
      <c r="AN29" s="41">
        <f>IF(CO29="","",IF(CO29="x",AN$6,0)+IF(CO29="S",-AN$6-0.00001,0))</f>
        <v>-1.0000000000000001E-5</v>
      </c>
      <c r="AO29" s="42" t="str">
        <f>IF(CP29="","",IF(CP29="x",AO$6,0)+IF(CP29="S",-AO$6-0.00001,0))</f>
        <v/>
      </c>
      <c r="AP29" s="40" t="str">
        <f>IF(CQ29="","",IF(CQ29="x",AP$6,0)+IF(CQ29="S",-AP$6-0.00001,0))</f>
        <v/>
      </c>
      <c r="AQ29" s="41" t="str">
        <f>IF(CR29="","",IF(CR29="x",AQ$6,0)+IF(CR29="S",-AQ$6-0.00001,0))</f>
        <v/>
      </c>
      <c r="AR29" s="41">
        <f>IF(CS29="","",IF(CS29="x",AR$6,0)+IF(CS29="S",-AR$6-0.00001,0))</f>
        <v>0</v>
      </c>
      <c r="AS29" s="42" t="str">
        <f>IF(CT29="","",IF(CT29="x",AS$6,0)+IF(CT29="S",-AS$6-0.00001,0))</f>
        <v/>
      </c>
      <c r="AT29" s="40" t="str">
        <f>IF(CU29="","",IF(CU29="x",AT$6,0)+IF(CU29="S",-AT$6-0.00001,0))</f>
        <v/>
      </c>
      <c r="AU29" s="41" t="str">
        <f>IF(CV29="","",IF(CV29="x",AU$6,0)+IF(CV29="S",-AU$6-0.00001,0))</f>
        <v/>
      </c>
      <c r="AV29" s="41" t="str">
        <f>IF(CW29="","",IF(CW29="x",AV$6,0)+IF(CW29="S",-AV$6-0.00001,0))</f>
        <v/>
      </c>
      <c r="AW29" s="42" t="str">
        <f>IF(CX29="","",IF(CX29="x",AW$6,0)+IF(CX29="S",-AW$6-0.00001,0))</f>
        <v/>
      </c>
      <c r="AX29" s="40" t="str">
        <f>IF(CY29="","",IF(CY29="x",AX$6,0)+IF(CY29="S",-AX$6-0.00001,0))</f>
        <v/>
      </c>
      <c r="AY29" s="41">
        <f>IF(CZ29="","",IF(CZ29="x",AY$6,0)+IF(CZ29="S",-AY$6-0.00001,0))</f>
        <v>0</v>
      </c>
      <c r="AZ29" s="41" t="str">
        <f>IF(DA29="","",IF(DA29="x",AZ$6,0)+IF(DA29="S",-AZ$6-0.00001,0))</f>
        <v/>
      </c>
      <c r="BA29" s="42" t="str">
        <f>IF(DB29="","",IF(DB29="x",BA$6,0)+IF(DB29="S",-BA$6-0.00001,0))</f>
        <v/>
      </c>
      <c r="BB29" s="37" t="s">
        <v>106</v>
      </c>
      <c r="BC29" s="21"/>
      <c r="BD29" s="21"/>
      <c r="BG29" t="str">
        <f>IF(NOT(ISERROR(HLOOKUP(Standings!BG$3,Entries!$C96:$K96,1,FALSE))),"x",IF(NOT(ISERROR(HLOOKUP(Standings!BG$3,Entries!$L96:$L96,1,FALSE))),"S",""))</f>
        <v>x</v>
      </c>
      <c r="BH29" t="str">
        <f>IF(NOT(ISERROR(HLOOKUP(Standings!BH$3,Entries!$C96:$K96,1,FALSE))),"x",IF(NOT(ISERROR(HLOOKUP(Standings!BH$3,Entries!$L96:$L96,1,FALSE))),"S",""))</f>
        <v/>
      </c>
      <c r="BI29" t="str">
        <f>IF(NOT(ISERROR(HLOOKUP(Standings!BI$3,Entries!$C96:$K96,1,FALSE))),"x",IF(NOT(ISERROR(HLOOKUP(Standings!BI$3,Entries!$L96:$L96,1,FALSE))),"S",""))</f>
        <v/>
      </c>
      <c r="BJ29" t="str">
        <f>IF(NOT(ISERROR(HLOOKUP(Standings!BJ$3,Entries!$C96:$K96,1,FALSE))),"x",IF(NOT(ISERROR(HLOOKUP(Standings!BJ$3,Entries!$L96:$L96,1,FALSE))),"S",""))</f>
        <v/>
      </c>
      <c r="BK29" t="str">
        <f>IF(NOT(ISERROR(HLOOKUP(Standings!BK$3,Entries!$C96:$K96,1,FALSE))),"x",IF(NOT(ISERROR(HLOOKUP(Standings!BK$3,Entries!$L96:$L96,1,FALSE))),"S",""))</f>
        <v>x</v>
      </c>
      <c r="BL29" t="str">
        <f>IF(NOT(ISERROR(HLOOKUP(Standings!BL$3,Entries!$C96:$K96,1,FALSE))),"x",IF(NOT(ISERROR(HLOOKUP(Standings!BL$3,Entries!$L96:$L96,1,FALSE))),"S",""))</f>
        <v>x</v>
      </c>
      <c r="BM29" t="str">
        <f>IF(NOT(ISERROR(HLOOKUP(Standings!BM$3,Entries!$C96:$K96,1,FALSE))),"x",IF(NOT(ISERROR(HLOOKUP(Standings!BM$3,Entries!$L96:$L96,1,FALSE))),"S",""))</f>
        <v/>
      </c>
      <c r="BN29" t="str">
        <f>IF(NOT(ISERROR(HLOOKUP(Standings!BN$3,Entries!$C96:$K96,1,FALSE))),"x",IF(NOT(ISERROR(HLOOKUP(Standings!BN$3,Entries!$L96:$L96,1,FALSE))),"S",""))</f>
        <v/>
      </c>
      <c r="BO29" t="str">
        <f>IF(NOT(ISERROR(HLOOKUP(Standings!BO$3,Entries!$C96:$K96,1,FALSE))),"x",IF(NOT(ISERROR(HLOOKUP(Standings!BO$3,Entries!$L96:$L96,1,FALSE))),"S",""))</f>
        <v/>
      </c>
      <c r="BP29" t="str">
        <f>IF(NOT(ISERROR(HLOOKUP(Standings!BP$3,Entries!$C96:$K96,1,FALSE))),"x",IF(NOT(ISERROR(HLOOKUP(Standings!BP$3,Entries!$L96:$L96,1,FALSE))),"S",""))</f>
        <v/>
      </c>
      <c r="BQ29" t="str">
        <f>IF(NOT(ISERROR(HLOOKUP(Standings!BQ$3,Entries!$C96:$K96,1,FALSE))),"x",IF(NOT(ISERROR(HLOOKUP(Standings!BQ$3,Entries!$L96:$L96,1,FALSE))),"S",""))</f>
        <v/>
      </c>
      <c r="BR29" t="str">
        <f>IF(NOT(ISERROR(HLOOKUP(Standings!BR$3,Entries!$C96:$K96,1,FALSE))),"x",IF(NOT(ISERROR(HLOOKUP(Standings!BR$3,Entries!$L96:$L96,1,FALSE))),"S",""))</f>
        <v/>
      </c>
      <c r="BS29" t="str">
        <f>IF(NOT(ISERROR(HLOOKUP(Standings!BS$3,Entries!$C96:$K96,1,FALSE))),"x",IF(NOT(ISERROR(HLOOKUP(Standings!BS$3,Entries!$L96:$L96,1,FALSE))),"S",""))</f>
        <v/>
      </c>
      <c r="BT29" t="str">
        <f>IF(NOT(ISERROR(HLOOKUP(Standings!BT$3,Entries!$C96:$K96,1,FALSE))),"x",IF(NOT(ISERROR(HLOOKUP(Standings!BT$3,Entries!$L96:$L96,1,FALSE))),"S",""))</f>
        <v/>
      </c>
      <c r="BU29" t="str">
        <f>IF(NOT(ISERROR(HLOOKUP(Standings!BU$3,Entries!$C96:$K96,1,FALSE))),"x",IF(NOT(ISERROR(HLOOKUP(Standings!BU$3,Entries!$L96:$L96,1,FALSE))),"S",""))</f>
        <v/>
      </c>
      <c r="BV29" t="str">
        <f>IF(NOT(ISERROR(HLOOKUP(Standings!BV$3,Entries!$C96:$K96,1,FALSE))),"x",IF(NOT(ISERROR(HLOOKUP(Standings!BV$3,Entries!$L96:$L96,1,FALSE))),"S",""))</f>
        <v/>
      </c>
      <c r="BW29" t="str">
        <f>IF(NOT(ISERROR(HLOOKUP(Standings!BW$3,Entries!$C96:$K96,1,FALSE))),"x",IF(NOT(ISERROR(HLOOKUP(Standings!BW$3,Entries!$L96:$L96,1,FALSE))),"S",""))</f>
        <v/>
      </c>
      <c r="BX29" t="str">
        <f>IF(NOT(ISERROR(HLOOKUP(Standings!BX$3,Entries!$C96:$K96,1,FALSE))),"x",IF(NOT(ISERROR(HLOOKUP(Standings!BX$3,Entries!$L96:$L96,1,FALSE))),"S",""))</f>
        <v/>
      </c>
      <c r="BY29" t="str">
        <f>IF(NOT(ISERROR(HLOOKUP(Standings!BY$3,Entries!$C96:$K96,1,FALSE))),"x",IF(NOT(ISERROR(HLOOKUP(Standings!BY$3,Entries!$L96:$L96,1,FALSE))),"S",""))</f>
        <v/>
      </c>
      <c r="BZ29" t="str">
        <f>IF(NOT(ISERROR(HLOOKUP(Standings!BZ$3,Entries!$C96:$K96,1,FALSE))),"x",IF(NOT(ISERROR(HLOOKUP(Standings!BZ$3,Entries!$L96:$L96,1,FALSE))),"S",""))</f>
        <v/>
      </c>
      <c r="CA29" t="str">
        <f>IF(NOT(ISERROR(HLOOKUP(Standings!CA$3,Entries!$C96:$K96,1,FALSE))),"x",IF(NOT(ISERROR(HLOOKUP(Standings!CA$3,Entries!$L96:$L96,1,FALSE))),"S",""))</f>
        <v/>
      </c>
      <c r="CB29" t="str">
        <f>IF(NOT(ISERROR(HLOOKUP(Standings!CB$3,Entries!$C96:$K96,1,FALSE))),"x",IF(NOT(ISERROR(HLOOKUP(Standings!CB$3,Entries!$L96:$L96,1,FALSE))),"S",""))</f>
        <v>x</v>
      </c>
      <c r="CC29" t="str">
        <f>IF(NOT(ISERROR(HLOOKUP(Standings!CC$3,Entries!$C96:$K96,1,FALSE))),"x",IF(NOT(ISERROR(HLOOKUP(Standings!CC$3,Entries!$L96:$L96,1,FALSE))),"S",""))</f>
        <v/>
      </c>
      <c r="CD29" t="str">
        <f>IF(NOT(ISERROR(HLOOKUP(Standings!CD$3,Entries!$C96:$K96,1,FALSE))),"x",IF(NOT(ISERROR(HLOOKUP(Standings!CD$3,Entries!$L96:$L96,1,FALSE))),"S",""))</f>
        <v/>
      </c>
      <c r="CE29" t="str">
        <f>IF(NOT(ISERROR(HLOOKUP(Standings!CE$3,Entries!$C96:$K96,1,FALSE))),"x",IF(NOT(ISERROR(HLOOKUP(Standings!CE$3,Entries!$L96:$L96,1,FALSE))),"S",""))</f>
        <v/>
      </c>
      <c r="CF29" t="str">
        <f>IF(NOT(ISERROR(HLOOKUP(Standings!CF$3,Entries!$C96:$K96,1,FALSE))),"x",IF(NOT(ISERROR(HLOOKUP(Standings!CF$3,Entries!$L96:$L96,1,FALSE))),"S",""))</f>
        <v>x</v>
      </c>
      <c r="CG29" t="str">
        <f>IF(NOT(ISERROR(HLOOKUP(Standings!CG$3,Entries!$C96:$K96,1,FALSE))),"x",IF(NOT(ISERROR(HLOOKUP(Standings!CG$3,Entries!$L96:$L96,1,FALSE))),"S",""))</f>
        <v/>
      </c>
      <c r="CH29" t="str">
        <f>IF(NOT(ISERROR(HLOOKUP(Standings!CH$3,Entries!$C96:$K96,1,FALSE))),"x",IF(NOT(ISERROR(HLOOKUP(Standings!CH$3,Entries!$L96:$L96,1,FALSE))),"S",""))</f>
        <v/>
      </c>
      <c r="CI29" t="str">
        <f>IF(NOT(ISERROR(HLOOKUP(Standings!CI$3,Entries!$C96:$K96,1,FALSE))),"x",IF(NOT(ISERROR(HLOOKUP(Standings!CI$3,Entries!$L96:$L96,1,FALSE))),"S",""))</f>
        <v/>
      </c>
      <c r="CJ29" t="str">
        <f>IF(NOT(ISERROR(HLOOKUP(Standings!CJ$3,Entries!$C96:$K96,1,FALSE))),"x",IF(NOT(ISERROR(HLOOKUP(Standings!CJ$3,Entries!$L96:$L96,1,FALSE))),"S",""))</f>
        <v/>
      </c>
      <c r="CK29" t="str">
        <f>IF(NOT(ISERROR(HLOOKUP(Standings!CK$3,Entries!$C96:$K96,1,FALSE))),"x",IF(NOT(ISERROR(HLOOKUP(Standings!CK$3,Entries!$L96:$L96,1,FALSE))),"S",""))</f>
        <v/>
      </c>
      <c r="CL29" t="str">
        <f>IF(NOT(ISERROR(HLOOKUP(Standings!CL$3,Entries!$C96:$K96,1,FALSE))),"x",IF(NOT(ISERROR(HLOOKUP(Standings!CL$3,Entries!$L96:$L96,1,FALSE))),"S",""))</f>
        <v/>
      </c>
      <c r="CM29" t="str">
        <f>IF(NOT(ISERROR(HLOOKUP(Standings!CM$3,Entries!$C96:$K96,1,FALSE))),"x",IF(NOT(ISERROR(HLOOKUP(Standings!CM$3,Entries!$L96:$L96,1,FALSE))),"S",""))</f>
        <v/>
      </c>
      <c r="CN29" t="str">
        <f>IF(NOT(ISERROR(HLOOKUP(Standings!CN$3,Entries!$C96:$K96,1,FALSE))),"x",IF(NOT(ISERROR(HLOOKUP(Standings!CN$3,Entries!$L96:$L96,1,FALSE))),"S",""))</f>
        <v/>
      </c>
      <c r="CO29" t="str">
        <f>IF(NOT(ISERROR(HLOOKUP(Standings!CO$3,Entries!$C96:$K96,1,FALSE))),"x",IF(NOT(ISERROR(HLOOKUP(Standings!CO$3,Entries!$L96:$L96,1,FALSE))),"S",""))</f>
        <v>S</v>
      </c>
      <c r="CP29" t="str">
        <f>IF(NOT(ISERROR(HLOOKUP(Standings!CP$3,Entries!$C96:$K96,1,FALSE))),"x",IF(NOT(ISERROR(HLOOKUP(Standings!CP$3,Entries!$L96:$L96,1,FALSE))),"S",""))</f>
        <v/>
      </c>
      <c r="CQ29" t="str">
        <f>IF(NOT(ISERROR(HLOOKUP(Standings!CQ$3,Entries!$C96:$K96,1,FALSE))),"x",IF(NOT(ISERROR(HLOOKUP(Standings!CQ$3,Entries!$L96:$L96,1,FALSE))),"S",""))</f>
        <v/>
      </c>
      <c r="CR29" t="str">
        <f>IF(NOT(ISERROR(HLOOKUP(Standings!CR$3,Entries!$C96:$K96,1,FALSE))),"x",IF(NOT(ISERROR(HLOOKUP(Standings!CR$3,Entries!$L96:$L96,1,FALSE))),"S",""))</f>
        <v/>
      </c>
      <c r="CS29" t="str">
        <f>IF(NOT(ISERROR(HLOOKUP(Standings!CS$3,Entries!$C96:$K96,1,FALSE))),"x",IF(NOT(ISERROR(HLOOKUP(Standings!CS$3,Entries!$L96:$L96,1,FALSE))),"S",""))</f>
        <v>x</v>
      </c>
      <c r="CT29" t="str">
        <f>IF(NOT(ISERROR(HLOOKUP(Standings!CT$3,Entries!$C96:$K96,1,FALSE))),"x",IF(NOT(ISERROR(HLOOKUP(Standings!CT$3,Entries!$L96:$L96,1,FALSE))),"S",""))</f>
        <v/>
      </c>
      <c r="CU29" t="str">
        <f>IF(NOT(ISERROR(HLOOKUP(Standings!CU$3,Entries!$C96:$K96,1,FALSE))),"x",IF(NOT(ISERROR(HLOOKUP(Standings!CU$3,Entries!$L96:$L96,1,FALSE))),"S",""))</f>
        <v/>
      </c>
      <c r="CV29" t="str">
        <f>IF(NOT(ISERROR(HLOOKUP(Standings!CV$3,Entries!$C96:$K96,1,FALSE))),"x",IF(NOT(ISERROR(HLOOKUP(Standings!CV$3,Entries!$L96:$L96,1,FALSE))),"S",""))</f>
        <v/>
      </c>
      <c r="CW29" t="str">
        <f>IF(NOT(ISERROR(HLOOKUP(Standings!CW$3,Entries!$C96:$K96,1,FALSE))),"x",IF(NOT(ISERROR(HLOOKUP(Standings!CW$3,Entries!$L96:$L96,1,FALSE))),"S",""))</f>
        <v/>
      </c>
      <c r="CX29" t="str">
        <f>IF(NOT(ISERROR(HLOOKUP(Standings!CX$3,Entries!$C96:$K96,1,FALSE))),"x",IF(NOT(ISERROR(HLOOKUP(Standings!CX$3,Entries!$L96:$L96,1,FALSE))),"S",""))</f>
        <v/>
      </c>
      <c r="CY29" t="str">
        <f>IF(NOT(ISERROR(HLOOKUP(Standings!CY$3,Entries!$C96:$K96,1,FALSE))),"x",IF(NOT(ISERROR(HLOOKUP(Standings!CY$3,Entries!$L96:$L96,1,FALSE))),"S",""))</f>
        <v/>
      </c>
      <c r="CZ29" t="str">
        <f>IF(NOT(ISERROR(HLOOKUP(Standings!CZ$3,Entries!$C96:$K96,1,FALSE))),"x",IF(NOT(ISERROR(HLOOKUP(Standings!CZ$3,Entries!$L96:$L96,1,FALSE))),"S",""))</f>
        <v>x</v>
      </c>
      <c r="DA29" t="str">
        <f>IF(NOT(ISERROR(HLOOKUP(Standings!DA$3,Entries!$C96:$K96,1,FALSE))),"x",IF(NOT(ISERROR(HLOOKUP(Standings!DA$3,Entries!$L96:$L96,1,FALSE))),"S",""))</f>
        <v/>
      </c>
      <c r="DB29" t="str">
        <f>IF(NOT(ISERROR(HLOOKUP(Standings!DB$3,Entries!$C96:$K96,1,FALSE))),"x",IF(NOT(ISERROR(HLOOKUP(Standings!DB$3,Entries!$L96:$L96,1,FALSE))),"S",""))</f>
        <v/>
      </c>
    </row>
    <row r="30" spans="1:106" x14ac:dyDescent="0.25">
      <c r="B30">
        <v>62</v>
      </c>
      <c r="C30" t="str">
        <f>Entries!B11</f>
        <v>NickHanson1</v>
      </c>
      <c r="D30" s="4">
        <f>IF(C30="","",RANK(E30,$E$10:$E$111))</f>
        <v>21</v>
      </c>
      <c r="E30" s="31">
        <f>IF(C30="","",ROUND(SUM(F30:AK30),0))</f>
        <v>5</v>
      </c>
      <c r="F30" s="40">
        <f>IF(BG30="","",IF(BG30="x",F$6,0)+IF(BG30="S",-F$6-0.00001,0))</f>
        <v>2</v>
      </c>
      <c r="G30" s="41" t="str">
        <f>IF(BH30="","",IF(BH30="x",G$6,0)+IF(BH30="S",-G$6-0.00001,0))</f>
        <v/>
      </c>
      <c r="H30" s="41" t="str">
        <f>IF(BI30="","",IF(BI30="x",H$6,0)+IF(BI30="S",-H$6-0.00001,0))</f>
        <v/>
      </c>
      <c r="I30" s="42" t="str">
        <f>IF(BJ30="","",IF(BJ30="x",I$6,0)+IF(BJ30="S",-I$6-0.00001,0))</f>
        <v/>
      </c>
      <c r="J30" s="40">
        <f>IF(BK30="","",IF(BK30="x",J$6,0)+IF(BK30="S",-J$6-0.00001,0))</f>
        <v>1</v>
      </c>
      <c r="K30" s="41" t="str">
        <f>IF(BL30="","",IF(BL30="x",K$6,0)+IF(BL30="S",-K$6-0.00001,0))</f>
        <v/>
      </c>
      <c r="L30" s="41" t="str">
        <f>IF(BM30="","",IF(BM30="x",L$6,0)+IF(BM30="S",-L$6-0.00001,0))</f>
        <v/>
      </c>
      <c r="M30" s="42" t="str">
        <f>IF(BN30="","",IF(BN30="x",M$6,0)+IF(BN30="S",-M$6-0.00001,0))</f>
        <v/>
      </c>
      <c r="N30" s="43" t="str">
        <f>IF(BO30="","",IF(BO30="x",N$6,0)+IF(BO30="S",-N$6-0.00001,0))</f>
        <v/>
      </c>
      <c r="O30" s="41" t="str">
        <f>IF(BP30="","",IF(BP30="x",O$6,0)+IF(BP30="S",-O$6-0.00001,0))</f>
        <v/>
      </c>
      <c r="P30" s="41" t="str">
        <f>IF(BQ30="","",IF(BQ30="x",P$6,0)+IF(BQ30="S",-P$6-0.00001,0))</f>
        <v/>
      </c>
      <c r="Q30" s="42">
        <f>IF(BR30="","",IF(BR30="x",Q$6,0)+IF(BR30="S",-Q$6-0.00001,0))</f>
        <v>2</v>
      </c>
      <c r="R30" s="40" t="str">
        <f>IF(BS30="","",IF(BS30="x",R$6,0)+IF(BS30="S",-R$6-0.00001,0))</f>
        <v/>
      </c>
      <c r="S30" s="41" t="str">
        <f>IF(BT30="","",IF(BT30="x",S$6,0)+IF(BT30="S",-S$6-0.00001,0))</f>
        <v/>
      </c>
      <c r="T30" s="43" t="str">
        <f>IF(BU30="","",IF(BU30="x",T$6,0)+IF(BU30="S",-T$6-0.00001,0))</f>
        <v/>
      </c>
      <c r="U30" s="42">
        <f>IF(BV30="","",IF(BV30="x",U$6,0)+IF(BV30="S",-U$6-0.00001,0))</f>
        <v>0</v>
      </c>
      <c r="V30" s="40" t="str">
        <f>IF(BW30="","",IF(BW30="x",V$6,0)+IF(BW30="S",-V$6-0.00001,0))</f>
        <v/>
      </c>
      <c r="W30" s="41" t="str">
        <f>IF(BX30="","",IF(BX30="x",W$6,0)+IF(BX30="S",-W$6-0.00001,0))</f>
        <v/>
      </c>
      <c r="X30" s="41" t="str">
        <f>IF(BY30="","",IF(BY30="x",X$6,0)+IF(BY30="S",-X$6-0.00001,0))</f>
        <v/>
      </c>
      <c r="Y30" s="42">
        <f>IF(BZ30="","",IF(BZ30="x",Y$6,0)+IF(BZ30="S",-Y$6-0.00001,0))</f>
        <v>0</v>
      </c>
      <c r="Z30" s="40" t="str">
        <f>IF(CA30="","",IF(CA30="x",Z$6,0)+IF(CA30="S",-Z$6-0.00001,0))</f>
        <v/>
      </c>
      <c r="AA30" s="41" t="str">
        <f>IF(CB30="","",IF(CB30="x",AA$6,0)+IF(CB30="S",-AA$6-0.00001,0))</f>
        <v/>
      </c>
      <c r="AB30" s="41" t="str">
        <f>IF(CC30="","",IF(CC30="x",AB$6,0)+IF(CC30="S",-AB$6-0.00001,0))</f>
        <v/>
      </c>
      <c r="AC30" s="42" t="str">
        <f>IF(CD30="","",IF(CD30="x",AC$6,0)+IF(CD30="S",-AC$6-0.00001,0))</f>
        <v/>
      </c>
      <c r="AD30" s="40" t="str">
        <f>IF(CE30="","",IF(CE30="x",AD$6,0)+IF(CE30="S",-AD$6-0.00001,0))</f>
        <v/>
      </c>
      <c r="AE30" s="41" t="str">
        <f>IF(CF30="","",IF(CF30="x",AE$6,0)+IF(CF30="S",-AE$6-0.00001,0))</f>
        <v/>
      </c>
      <c r="AF30" s="41" t="str">
        <f>IF(CG30="","",IF(CG30="x",AF$6,0)+IF(CG30="S",-AF$6-0.00001,0))</f>
        <v/>
      </c>
      <c r="AG30" s="42" t="str">
        <f>IF(CH30="","",IF(CH30="x",AG$6,0)+IF(CH30="S",-AG$6-0.00001,0))</f>
        <v/>
      </c>
      <c r="AH30" s="40">
        <f>IF(CI30="","",IF(CI30="x",AH$6,0)+IF(CI30="S",-AH$6-0.00001,0))</f>
        <v>-1.0000100000000001</v>
      </c>
      <c r="AI30" s="41" t="str">
        <f>IF(CJ30="","",IF(CJ30="x",AI$6,0)+IF(CJ30="S",-AI$6-0.00001,0))</f>
        <v/>
      </c>
      <c r="AJ30" s="41" t="str">
        <f>IF(CK30="","",IF(CK30="x",AJ$6,0)+IF(CK30="S",-AJ$6-0.00001,0))</f>
        <v/>
      </c>
      <c r="AK30" s="42">
        <f>IF(CL30="","",IF(CL30="x",AK$6,0)+IF(CL30="S",-AK$6-0.00001,0))</f>
        <v>1</v>
      </c>
      <c r="AL30" s="40" t="str">
        <f>IF(CM30="","",IF(CM30="x",AL$6,0)+IF(CM30="S",-AL$6-0.00001,0))</f>
        <v/>
      </c>
      <c r="AM30" s="41" t="str">
        <f>IF(CN30="","",IF(CN30="x",AM$6,0)+IF(CN30="S",-AM$6-0.00001,0))</f>
        <v/>
      </c>
      <c r="AN30" s="41" t="str">
        <f>IF(CO30="","",IF(CO30="x",AN$6,0)+IF(CO30="S",-AN$6-0.00001,0))</f>
        <v/>
      </c>
      <c r="AO30" s="42" t="str">
        <f>IF(CP30="","",IF(CP30="x",AO$6,0)+IF(CP30="S",-AO$6-0.00001,0))</f>
        <v/>
      </c>
      <c r="AP30" s="40">
        <f>IF(CQ30="","",IF(CQ30="x",AP$6,0)+IF(CQ30="S",-AP$6-0.00001,0))</f>
        <v>0</v>
      </c>
      <c r="AQ30" s="41" t="str">
        <f>IF(CR30="","",IF(CR30="x",AQ$6,0)+IF(CR30="S",-AQ$6-0.00001,0))</f>
        <v/>
      </c>
      <c r="AR30" s="41" t="str">
        <f>IF(CS30="","",IF(CS30="x",AR$6,0)+IF(CS30="S",-AR$6-0.00001,0))</f>
        <v/>
      </c>
      <c r="AS30" s="42">
        <f>IF(CT30="","",IF(CT30="x",AS$6,0)+IF(CT30="S",-AS$6-0.00001,0))</f>
        <v>0</v>
      </c>
      <c r="AT30" s="40" t="str">
        <f>IF(CU30="","",IF(CU30="x",AT$6,0)+IF(CU30="S",-AT$6-0.00001,0))</f>
        <v/>
      </c>
      <c r="AU30" s="41" t="str">
        <f>IF(CV30="","",IF(CV30="x",AU$6,0)+IF(CV30="S",-AU$6-0.00001,0))</f>
        <v/>
      </c>
      <c r="AV30" s="41" t="str">
        <f>IF(CW30="","",IF(CW30="x",AV$6,0)+IF(CW30="S",-AV$6-0.00001,0))</f>
        <v/>
      </c>
      <c r="AW30" s="42" t="str">
        <f>IF(CX30="","",IF(CX30="x",AW$6,0)+IF(CX30="S",-AW$6-0.00001,0))</f>
        <v/>
      </c>
      <c r="AX30" s="40" t="str">
        <f>IF(CY30="","",IF(CY30="x",AX$6,0)+IF(CY30="S",-AX$6-0.00001,0))</f>
        <v/>
      </c>
      <c r="AY30" s="41" t="str">
        <f>IF(CZ30="","",IF(CZ30="x",AY$6,0)+IF(CZ30="S",-AY$6-0.00001,0))</f>
        <v/>
      </c>
      <c r="AZ30" s="41" t="str">
        <f>IF(DA30="","",IF(DA30="x",AZ$6,0)+IF(DA30="S",-AZ$6-0.00001,0))</f>
        <v/>
      </c>
      <c r="BA30" s="42">
        <f>IF(DB30="","",IF(DB30="x",BA$6,0)+IF(DB30="S",-BA$6-0.00001,0))</f>
        <v>0</v>
      </c>
      <c r="BB30" s="37" t="s">
        <v>106</v>
      </c>
      <c r="BC30" s="21"/>
      <c r="BD30" s="21"/>
      <c r="BE30" s="5"/>
      <c r="BG30" t="str">
        <f>IF(NOT(ISERROR(HLOOKUP(Standings!BG$3,Entries!$C11:$K11,1,FALSE))),"x",IF(NOT(ISERROR(HLOOKUP(Standings!BG$3,Entries!$L11:$L11,1,FALSE))),"S",""))</f>
        <v>x</v>
      </c>
      <c r="BH30" t="str">
        <f>IF(NOT(ISERROR(HLOOKUP(Standings!BH$3,Entries!$C11:$K11,1,FALSE))),"x",IF(NOT(ISERROR(HLOOKUP(Standings!BH$3,Entries!$L11:$L11,1,FALSE))),"S",""))</f>
        <v/>
      </c>
      <c r="BI30" t="str">
        <f>IF(NOT(ISERROR(HLOOKUP(Standings!BI$3,Entries!$C11:$K11,1,FALSE))),"x",IF(NOT(ISERROR(HLOOKUP(Standings!BI$3,Entries!$L11:$L11,1,FALSE))),"S",""))</f>
        <v/>
      </c>
      <c r="BJ30" t="str">
        <f>IF(NOT(ISERROR(HLOOKUP(Standings!BJ$3,Entries!$C11:$K11,1,FALSE))),"x",IF(NOT(ISERROR(HLOOKUP(Standings!BJ$3,Entries!$L11:$L11,1,FALSE))),"S",""))</f>
        <v/>
      </c>
      <c r="BK30" t="str">
        <f>IF(NOT(ISERROR(HLOOKUP(Standings!BK$3,Entries!$C11:$K11,1,FALSE))),"x",IF(NOT(ISERROR(HLOOKUP(Standings!BK$3,Entries!$L11:$L11,1,FALSE))),"S",""))</f>
        <v>x</v>
      </c>
      <c r="BL30" t="str">
        <f>IF(NOT(ISERROR(HLOOKUP(Standings!BL$3,Entries!$C11:$K11,1,FALSE))),"x",IF(NOT(ISERROR(HLOOKUP(Standings!BL$3,Entries!$L11:$L11,1,FALSE))),"S",""))</f>
        <v/>
      </c>
      <c r="BM30" t="str">
        <f>IF(NOT(ISERROR(HLOOKUP(Standings!BM$3,Entries!$C11:$K11,1,FALSE))),"x",IF(NOT(ISERROR(HLOOKUP(Standings!BM$3,Entries!$L11:$L11,1,FALSE))),"S",""))</f>
        <v/>
      </c>
      <c r="BN30" t="str">
        <f>IF(NOT(ISERROR(HLOOKUP(Standings!BN$3,Entries!$C11:$K11,1,FALSE))),"x",IF(NOT(ISERROR(HLOOKUP(Standings!BN$3,Entries!$L11:$L11,1,FALSE))),"S",""))</f>
        <v/>
      </c>
      <c r="BO30" t="str">
        <f>IF(NOT(ISERROR(HLOOKUP(Standings!BO$3,Entries!$C11:$K11,1,FALSE))),"x",IF(NOT(ISERROR(HLOOKUP(Standings!BO$3,Entries!$L11:$L11,1,FALSE))),"S",""))</f>
        <v/>
      </c>
      <c r="BP30" t="str">
        <f>IF(NOT(ISERROR(HLOOKUP(Standings!BP$3,Entries!$C11:$K11,1,FALSE))),"x",IF(NOT(ISERROR(HLOOKUP(Standings!BP$3,Entries!$L11:$L11,1,FALSE))),"S",""))</f>
        <v/>
      </c>
      <c r="BQ30" t="str">
        <f>IF(NOT(ISERROR(HLOOKUP(Standings!BQ$3,Entries!$C11:$K11,1,FALSE))),"x",IF(NOT(ISERROR(HLOOKUP(Standings!BQ$3,Entries!$L11:$L11,1,FALSE))),"S",""))</f>
        <v/>
      </c>
      <c r="BR30" t="str">
        <f>IF(NOT(ISERROR(HLOOKUP(Standings!BR$3,Entries!$C11:$K11,1,FALSE))),"x",IF(NOT(ISERROR(HLOOKUP(Standings!BR$3,Entries!$L11:$L11,1,FALSE))),"S",""))</f>
        <v>x</v>
      </c>
      <c r="BS30" t="str">
        <f>IF(NOT(ISERROR(HLOOKUP(Standings!BS$3,Entries!$C11:$K11,1,FALSE))),"x",IF(NOT(ISERROR(HLOOKUP(Standings!BS$3,Entries!$L11:$L11,1,FALSE))),"S",""))</f>
        <v/>
      </c>
      <c r="BT30" t="str">
        <f>IF(NOT(ISERROR(HLOOKUP(Standings!BT$3,Entries!$C11:$K11,1,FALSE))),"x",IF(NOT(ISERROR(HLOOKUP(Standings!BT$3,Entries!$L11:$L11,1,FALSE))),"S",""))</f>
        <v/>
      </c>
      <c r="BU30" t="str">
        <f>IF(NOT(ISERROR(HLOOKUP(Standings!BU$3,Entries!$C11:$K11,1,FALSE))),"x",IF(NOT(ISERROR(HLOOKUP(Standings!BU$3,Entries!$L11:$L11,1,FALSE))),"S",""))</f>
        <v/>
      </c>
      <c r="BV30" t="str">
        <f>IF(NOT(ISERROR(HLOOKUP(Standings!BV$3,Entries!$C11:$K11,1,FALSE))),"x",IF(NOT(ISERROR(HLOOKUP(Standings!BV$3,Entries!$L11:$L11,1,FALSE))),"S",""))</f>
        <v>x</v>
      </c>
      <c r="BW30" t="str">
        <f>IF(NOT(ISERROR(HLOOKUP(Standings!BW$3,Entries!$C11:$K11,1,FALSE))),"x",IF(NOT(ISERROR(HLOOKUP(Standings!BW$3,Entries!$L11:$L11,1,FALSE))),"S",""))</f>
        <v/>
      </c>
      <c r="BX30" t="str">
        <f>IF(NOT(ISERROR(HLOOKUP(Standings!BX$3,Entries!$C11:$K11,1,FALSE))),"x",IF(NOT(ISERROR(HLOOKUP(Standings!BX$3,Entries!$L11:$L11,1,FALSE))),"S",""))</f>
        <v/>
      </c>
      <c r="BY30" t="str">
        <f>IF(NOT(ISERROR(HLOOKUP(Standings!BY$3,Entries!$C11:$K11,1,FALSE))),"x",IF(NOT(ISERROR(HLOOKUP(Standings!BY$3,Entries!$L11:$L11,1,FALSE))),"S",""))</f>
        <v/>
      </c>
      <c r="BZ30" t="str">
        <f>IF(NOT(ISERROR(HLOOKUP(Standings!BZ$3,Entries!$C11:$K11,1,FALSE))),"x",IF(NOT(ISERROR(HLOOKUP(Standings!BZ$3,Entries!$L11:$L11,1,FALSE))),"S",""))</f>
        <v>x</v>
      </c>
      <c r="CA30" t="str">
        <f>IF(NOT(ISERROR(HLOOKUP(Standings!CA$3,Entries!$C11:$K11,1,FALSE))),"x",IF(NOT(ISERROR(HLOOKUP(Standings!CA$3,Entries!$L11:$L11,1,FALSE))),"S",""))</f>
        <v/>
      </c>
      <c r="CB30" t="str">
        <f>IF(NOT(ISERROR(HLOOKUP(Standings!CB$3,Entries!$C11:$K11,1,FALSE))),"x",IF(NOT(ISERROR(HLOOKUP(Standings!CB$3,Entries!$L11:$L11,1,FALSE))),"S",""))</f>
        <v/>
      </c>
      <c r="CC30" t="str">
        <f>IF(NOT(ISERROR(HLOOKUP(Standings!CC$3,Entries!$C11:$K11,1,FALSE))),"x",IF(NOT(ISERROR(HLOOKUP(Standings!CC$3,Entries!$L11:$L11,1,FALSE))),"S",""))</f>
        <v/>
      </c>
      <c r="CD30" t="str">
        <f>IF(NOT(ISERROR(HLOOKUP(Standings!CD$3,Entries!$C11:$K11,1,FALSE))),"x",IF(NOT(ISERROR(HLOOKUP(Standings!CD$3,Entries!$L11:$L11,1,FALSE))),"S",""))</f>
        <v/>
      </c>
      <c r="CE30" t="str">
        <f>IF(NOT(ISERROR(HLOOKUP(Standings!CE$3,Entries!$C11:$K11,1,FALSE))),"x",IF(NOT(ISERROR(HLOOKUP(Standings!CE$3,Entries!$L11:$L11,1,FALSE))),"S",""))</f>
        <v/>
      </c>
      <c r="CF30" t="str">
        <f>IF(NOT(ISERROR(HLOOKUP(Standings!CF$3,Entries!$C11:$K11,1,FALSE))),"x",IF(NOT(ISERROR(HLOOKUP(Standings!CF$3,Entries!$L11:$L11,1,FALSE))),"S",""))</f>
        <v/>
      </c>
      <c r="CG30" t="str">
        <f>IF(NOT(ISERROR(HLOOKUP(Standings!CG$3,Entries!$C11:$K11,1,FALSE))),"x",IF(NOT(ISERROR(HLOOKUP(Standings!CG$3,Entries!$L11:$L11,1,FALSE))),"S",""))</f>
        <v/>
      </c>
      <c r="CH30" t="str">
        <f>IF(NOT(ISERROR(HLOOKUP(Standings!CH$3,Entries!$C11:$K11,1,FALSE))),"x",IF(NOT(ISERROR(HLOOKUP(Standings!CH$3,Entries!$L11:$L11,1,FALSE))),"S",""))</f>
        <v/>
      </c>
      <c r="CI30" t="str">
        <f>IF(NOT(ISERROR(HLOOKUP(Standings!CI$3,Entries!$C11:$K11,1,FALSE))),"x",IF(NOT(ISERROR(HLOOKUP(Standings!CI$3,Entries!$L11:$L11,1,FALSE))),"S",""))</f>
        <v>S</v>
      </c>
      <c r="CJ30" t="str">
        <f>IF(NOT(ISERROR(HLOOKUP(Standings!CJ$3,Entries!$C11:$K11,1,FALSE))),"x",IF(NOT(ISERROR(HLOOKUP(Standings!CJ$3,Entries!$L11:$L11,1,FALSE))),"S",""))</f>
        <v/>
      </c>
      <c r="CK30" t="str">
        <f>IF(NOT(ISERROR(HLOOKUP(Standings!CK$3,Entries!$C11:$K11,1,FALSE))),"x",IF(NOT(ISERROR(HLOOKUP(Standings!CK$3,Entries!$L11:$L11,1,FALSE))),"S",""))</f>
        <v/>
      </c>
      <c r="CL30" t="str">
        <f>IF(NOT(ISERROR(HLOOKUP(Standings!CL$3,Entries!$C11:$K11,1,FALSE))),"x",IF(NOT(ISERROR(HLOOKUP(Standings!CL$3,Entries!$L11:$L11,1,FALSE))),"S",""))</f>
        <v>x</v>
      </c>
      <c r="CM30" t="str">
        <f>IF(NOT(ISERROR(HLOOKUP(Standings!CM$3,Entries!$C11:$K11,1,FALSE))),"x",IF(NOT(ISERROR(HLOOKUP(Standings!CM$3,Entries!$L11:$L11,1,FALSE))),"S",""))</f>
        <v/>
      </c>
      <c r="CN30" t="str">
        <f>IF(NOT(ISERROR(HLOOKUP(Standings!CN$3,Entries!$C11:$K11,1,FALSE))),"x",IF(NOT(ISERROR(HLOOKUP(Standings!CN$3,Entries!$L11:$L11,1,FALSE))),"S",""))</f>
        <v/>
      </c>
      <c r="CO30" t="str">
        <f>IF(NOT(ISERROR(HLOOKUP(Standings!CO$3,Entries!$C11:$K11,1,FALSE))),"x",IF(NOT(ISERROR(HLOOKUP(Standings!CO$3,Entries!$L11:$L11,1,FALSE))),"S",""))</f>
        <v/>
      </c>
      <c r="CP30" t="str">
        <f>IF(NOT(ISERROR(HLOOKUP(Standings!CP$3,Entries!$C11:$K11,1,FALSE))),"x",IF(NOT(ISERROR(HLOOKUP(Standings!CP$3,Entries!$L11:$L11,1,FALSE))),"S",""))</f>
        <v/>
      </c>
      <c r="CQ30" t="str">
        <f>IF(NOT(ISERROR(HLOOKUP(Standings!CQ$3,Entries!$C11:$K11,1,FALSE))),"x",IF(NOT(ISERROR(HLOOKUP(Standings!CQ$3,Entries!$L11:$L11,1,FALSE))),"S",""))</f>
        <v>x</v>
      </c>
      <c r="CR30" t="str">
        <f>IF(NOT(ISERROR(HLOOKUP(Standings!CR$3,Entries!$C11:$K11,1,FALSE))),"x",IF(NOT(ISERROR(HLOOKUP(Standings!CR$3,Entries!$L11:$L11,1,FALSE))),"S",""))</f>
        <v/>
      </c>
      <c r="CS30" t="str">
        <f>IF(NOT(ISERROR(HLOOKUP(Standings!CS$3,Entries!$C11:$K11,1,FALSE))),"x",IF(NOT(ISERROR(HLOOKUP(Standings!CS$3,Entries!$L11:$L11,1,FALSE))),"S",""))</f>
        <v/>
      </c>
      <c r="CT30" t="str">
        <f>IF(NOT(ISERROR(HLOOKUP(Standings!CT$3,Entries!$C11:$K11,1,FALSE))),"x",IF(NOT(ISERROR(HLOOKUP(Standings!CT$3,Entries!$L11:$L11,1,FALSE))),"S",""))</f>
        <v>x</v>
      </c>
      <c r="CU30" t="str">
        <f>IF(NOT(ISERROR(HLOOKUP(Standings!CU$3,Entries!$C11:$K11,1,FALSE))),"x",IF(NOT(ISERROR(HLOOKUP(Standings!CU$3,Entries!$L11:$L11,1,FALSE))),"S",""))</f>
        <v/>
      </c>
      <c r="CV30" t="str">
        <f>IF(NOT(ISERROR(HLOOKUP(Standings!CV$3,Entries!$C11:$K11,1,FALSE))),"x",IF(NOT(ISERROR(HLOOKUP(Standings!CV$3,Entries!$L11:$L11,1,FALSE))),"S",""))</f>
        <v/>
      </c>
      <c r="CW30" t="str">
        <f>IF(NOT(ISERROR(HLOOKUP(Standings!CW$3,Entries!$C11:$K11,1,FALSE))),"x",IF(NOT(ISERROR(HLOOKUP(Standings!CW$3,Entries!$L11:$L11,1,FALSE))),"S",""))</f>
        <v/>
      </c>
      <c r="CX30" t="str">
        <f>IF(NOT(ISERROR(HLOOKUP(Standings!CX$3,Entries!$C11:$K11,1,FALSE))),"x",IF(NOT(ISERROR(HLOOKUP(Standings!CX$3,Entries!$L11:$L11,1,FALSE))),"S",""))</f>
        <v/>
      </c>
      <c r="CY30" t="str">
        <f>IF(NOT(ISERROR(HLOOKUP(Standings!CY$3,Entries!$C11:$K11,1,FALSE))),"x",IF(NOT(ISERROR(HLOOKUP(Standings!CY$3,Entries!$L11:$L11,1,FALSE))),"S",""))</f>
        <v/>
      </c>
      <c r="CZ30" t="str">
        <f>IF(NOT(ISERROR(HLOOKUP(Standings!CZ$3,Entries!$C11:$K11,1,FALSE))),"x",IF(NOT(ISERROR(HLOOKUP(Standings!CZ$3,Entries!$L11:$L11,1,FALSE))),"S",""))</f>
        <v/>
      </c>
      <c r="DA30" t="str">
        <f>IF(NOT(ISERROR(HLOOKUP(Standings!DA$3,Entries!$C11:$K11,1,FALSE))),"x",IF(NOT(ISERROR(HLOOKUP(Standings!DA$3,Entries!$L11:$L11,1,FALSE))),"S",""))</f>
        <v/>
      </c>
      <c r="DB30" t="str">
        <f>IF(NOT(ISERROR(HLOOKUP(Standings!DB$3,Entries!$C11:$K11,1,FALSE))),"x",IF(NOT(ISERROR(HLOOKUP(Standings!DB$3,Entries!$L11:$L11,1,FALSE))),"S",""))</f>
        <v>x</v>
      </c>
    </row>
    <row r="31" spans="1:106" x14ac:dyDescent="0.25">
      <c r="A31" s="18"/>
      <c r="B31">
        <v>22</v>
      </c>
      <c r="C31" t="str">
        <f>Entries!B13</f>
        <v>shoup1</v>
      </c>
      <c r="D31" s="4">
        <f>IF(C31="","",RANK(E31,$E$10:$E$111))</f>
        <v>21</v>
      </c>
      <c r="E31" s="31">
        <f>IF(C31="","",ROUND(SUM(F31:AK31),0))</f>
        <v>5</v>
      </c>
      <c r="F31" s="40" t="str">
        <f>IF(BG31="","",IF(BG31="x",F$6,0)+IF(BG31="S",-F$6-0.00001,0))</f>
        <v/>
      </c>
      <c r="G31" s="41" t="str">
        <f>IF(BH31="","",IF(BH31="x",G$6,0)+IF(BH31="S",-G$6-0.00001,0))</f>
        <v/>
      </c>
      <c r="H31" s="41" t="str">
        <f>IF(BI31="","",IF(BI31="x",H$6,0)+IF(BI31="S",-H$6-0.00001,0))</f>
        <v/>
      </c>
      <c r="I31" s="42" t="str">
        <f>IF(BJ31="","",IF(BJ31="x",I$6,0)+IF(BJ31="S",-I$6-0.00001,0))</f>
        <v/>
      </c>
      <c r="J31" s="40">
        <f>IF(BK31="","",IF(BK31="x",J$6,0)+IF(BK31="S",-J$6-0.00001,0))</f>
        <v>1</v>
      </c>
      <c r="K31" s="41" t="str">
        <f>IF(BL31="","",IF(BL31="x",K$6,0)+IF(BL31="S",-K$6-0.00001,0))</f>
        <v/>
      </c>
      <c r="L31" s="41" t="str">
        <f>IF(BM31="","",IF(BM31="x",L$6,0)+IF(BM31="S",-L$6-0.00001,0))</f>
        <v/>
      </c>
      <c r="M31" s="42" t="str">
        <f>IF(BN31="","",IF(BN31="x",M$6,0)+IF(BN31="S",-M$6-0.00001,0))</f>
        <v/>
      </c>
      <c r="N31" s="43" t="str">
        <f>IF(BO31="","",IF(BO31="x",N$6,0)+IF(BO31="S",-N$6-0.00001,0))</f>
        <v/>
      </c>
      <c r="O31" s="41">
        <f>IF(BP31="","",IF(BP31="x",O$6,0)+IF(BP31="S",-O$6-0.00001,0))</f>
        <v>1</v>
      </c>
      <c r="P31" s="41" t="str">
        <f>IF(BQ31="","",IF(BQ31="x",P$6,0)+IF(BQ31="S",-P$6-0.00001,0))</f>
        <v/>
      </c>
      <c r="Q31" s="42" t="str">
        <f>IF(BR31="","",IF(BR31="x",Q$6,0)+IF(BR31="S",-Q$6-0.00001,0))</f>
        <v/>
      </c>
      <c r="R31" s="40">
        <f>IF(BS31="","",IF(BS31="x",R$6,0)+IF(BS31="S",-R$6-0.00001,0))</f>
        <v>2</v>
      </c>
      <c r="S31" s="41" t="str">
        <f>IF(BT31="","",IF(BT31="x",S$6,0)+IF(BT31="S",-S$6-0.00001,0))</f>
        <v/>
      </c>
      <c r="T31" s="43" t="str">
        <f>IF(BU31="","",IF(BU31="x",T$6,0)+IF(BU31="S",-T$6-0.00001,0))</f>
        <v/>
      </c>
      <c r="U31" s="42" t="str">
        <f>IF(BV31="","",IF(BV31="x",U$6,0)+IF(BV31="S",-U$6-0.00001,0))</f>
        <v/>
      </c>
      <c r="V31" s="40" t="str">
        <f>IF(BW31="","",IF(BW31="x",V$6,0)+IF(BW31="S",-V$6-0.00001,0))</f>
        <v/>
      </c>
      <c r="W31" s="41" t="str">
        <f>IF(BX31="","",IF(BX31="x",W$6,0)+IF(BX31="S",-W$6-0.00001,0))</f>
        <v/>
      </c>
      <c r="X31" s="41" t="str">
        <f>IF(BY31="","",IF(BY31="x",X$6,0)+IF(BY31="S",-X$6-0.00001,0))</f>
        <v/>
      </c>
      <c r="Y31" s="42">
        <f>IF(BZ31="","",IF(BZ31="x",Y$6,0)+IF(BZ31="S",-Y$6-0.00001,0))</f>
        <v>0</v>
      </c>
      <c r="Z31" s="40">
        <f>IF(CA31="","",IF(CA31="x",Z$6,0)+IF(CA31="S",-Z$6-0.00001,0))</f>
        <v>-1.0000100000000001</v>
      </c>
      <c r="AA31" s="41" t="str">
        <f>IF(CB31="","",IF(CB31="x",AA$6,0)+IF(CB31="S",-AA$6-0.00001,0))</f>
        <v/>
      </c>
      <c r="AB31" s="41" t="str">
        <f>IF(CC31="","",IF(CC31="x",AB$6,0)+IF(CC31="S",-AB$6-0.00001,0))</f>
        <v/>
      </c>
      <c r="AC31" s="42">
        <f>IF(CD31="","",IF(CD31="x",AC$6,0)+IF(CD31="S",-AC$6-0.00001,0))</f>
        <v>2</v>
      </c>
      <c r="AD31" s="40" t="str">
        <f>IF(CE31="","",IF(CE31="x",AD$6,0)+IF(CE31="S",-AD$6-0.00001,0))</f>
        <v/>
      </c>
      <c r="AE31" s="41" t="str">
        <f>IF(CF31="","",IF(CF31="x",AE$6,0)+IF(CF31="S",-AE$6-0.00001,0))</f>
        <v/>
      </c>
      <c r="AF31" s="41" t="str">
        <f>IF(CG31="","",IF(CG31="x",AF$6,0)+IF(CG31="S",-AF$6-0.00001,0))</f>
        <v/>
      </c>
      <c r="AG31" s="42" t="str">
        <f>IF(CH31="","",IF(CH31="x",AG$6,0)+IF(CH31="S",-AG$6-0.00001,0))</f>
        <v/>
      </c>
      <c r="AH31" s="40" t="str">
        <f>IF(CI31="","",IF(CI31="x",AH$6,0)+IF(CI31="S",-AH$6-0.00001,0))</f>
        <v/>
      </c>
      <c r="AI31" s="41" t="str">
        <f>IF(CJ31="","",IF(CJ31="x",AI$6,0)+IF(CJ31="S",-AI$6-0.00001,0))</f>
        <v/>
      </c>
      <c r="AJ31" s="41" t="str">
        <f>IF(CK31="","",IF(CK31="x",AJ$6,0)+IF(CK31="S",-AJ$6-0.00001,0))</f>
        <v/>
      </c>
      <c r="AK31" s="42" t="str">
        <f>IF(CL31="","",IF(CL31="x",AK$6,0)+IF(CL31="S",-AK$6-0.00001,0))</f>
        <v/>
      </c>
      <c r="AL31" s="40" t="str">
        <f>IF(CM31="","",IF(CM31="x",AL$6,0)+IF(CM31="S",-AL$6-0.00001,0))</f>
        <v/>
      </c>
      <c r="AM31" s="41" t="str">
        <f>IF(CN31="","",IF(CN31="x",AM$6,0)+IF(CN31="S",-AM$6-0.00001,0))</f>
        <v/>
      </c>
      <c r="AN31" s="41" t="str">
        <f>IF(CO31="","",IF(CO31="x",AN$6,0)+IF(CO31="S",-AN$6-0.00001,0))</f>
        <v/>
      </c>
      <c r="AO31" s="42" t="str">
        <f>IF(CP31="","",IF(CP31="x",AO$6,0)+IF(CP31="S",-AO$6-0.00001,0))</f>
        <v/>
      </c>
      <c r="AP31" s="40" t="str">
        <f>IF(CQ31="","",IF(CQ31="x",AP$6,0)+IF(CQ31="S",-AP$6-0.00001,0))</f>
        <v/>
      </c>
      <c r="AQ31" s="41" t="str">
        <f>IF(CR31="","",IF(CR31="x",AQ$6,0)+IF(CR31="S",-AQ$6-0.00001,0))</f>
        <v/>
      </c>
      <c r="AR31" s="41" t="str">
        <f>IF(CS31="","",IF(CS31="x",AR$6,0)+IF(CS31="S",-AR$6-0.00001,0))</f>
        <v/>
      </c>
      <c r="AS31" s="42" t="str">
        <f>IF(CT31="","",IF(CT31="x",AS$6,0)+IF(CT31="S",-AS$6-0.00001,0))</f>
        <v/>
      </c>
      <c r="AT31" s="40" t="str">
        <f>IF(CU31="","",IF(CU31="x",AT$6,0)+IF(CU31="S",-AT$6-0.00001,0))</f>
        <v/>
      </c>
      <c r="AU31" s="41" t="str">
        <f>IF(CV31="","",IF(CV31="x",AU$6,0)+IF(CV31="S",-AU$6-0.00001,0))</f>
        <v/>
      </c>
      <c r="AV31" s="41">
        <f>IF(CW31="","",IF(CW31="x",AV$6,0)+IF(CW31="S",-AV$6-0.00001,0))</f>
        <v>0</v>
      </c>
      <c r="AW31" s="42" t="str">
        <f>IF(CX31="","",IF(CX31="x",AW$6,0)+IF(CX31="S",-AW$6-0.00001,0))</f>
        <v/>
      </c>
      <c r="AX31" s="40" t="str">
        <f>IF(CY31="","",IF(CY31="x",AX$6,0)+IF(CY31="S",-AX$6-0.00001,0))</f>
        <v/>
      </c>
      <c r="AY31" s="41">
        <f>IF(CZ31="","",IF(CZ31="x",AY$6,0)+IF(CZ31="S",-AY$6-0.00001,0))</f>
        <v>0</v>
      </c>
      <c r="AZ31" s="41" t="str">
        <f>IF(DA31="","",IF(DA31="x",AZ$6,0)+IF(DA31="S",-AZ$6-0.00001,0))</f>
        <v/>
      </c>
      <c r="BA31" s="42" t="str">
        <f>IF(DB31="","",IF(DB31="x",BA$6,0)+IF(DB31="S",-BA$6-0.00001,0))</f>
        <v/>
      </c>
      <c r="BB31" s="37" t="s">
        <v>106</v>
      </c>
      <c r="BC31" s="21"/>
      <c r="BD31" s="21"/>
      <c r="BE31" s="5"/>
      <c r="BG31" t="str">
        <f>IF(NOT(ISERROR(HLOOKUP(Standings!BG$3,Entries!$C13:$K13,1,FALSE))),"x",IF(NOT(ISERROR(HLOOKUP(Standings!BG$3,Entries!$L13:$L13,1,FALSE))),"S",""))</f>
        <v/>
      </c>
      <c r="BH31" t="str">
        <f>IF(NOT(ISERROR(HLOOKUP(Standings!BH$3,Entries!$C13:$K13,1,FALSE))),"x",IF(NOT(ISERROR(HLOOKUP(Standings!BH$3,Entries!$L13:$L13,1,FALSE))),"S",""))</f>
        <v/>
      </c>
      <c r="BI31" t="str">
        <f>IF(NOT(ISERROR(HLOOKUP(Standings!BI$3,Entries!$C13:$K13,1,FALSE))),"x",IF(NOT(ISERROR(HLOOKUP(Standings!BI$3,Entries!$L13:$L13,1,FALSE))),"S",""))</f>
        <v/>
      </c>
      <c r="BJ31" t="str">
        <f>IF(NOT(ISERROR(HLOOKUP(Standings!BJ$3,Entries!$C13:$K13,1,FALSE))),"x",IF(NOT(ISERROR(HLOOKUP(Standings!BJ$3,Entries!$L13:$L13,1,FALSE))),"S",""))</f>
        <v/>
      </c>
      <c r="BK31" t="str">
        <f>IF(NOT(ISERROR(HLOOKUP(Standings!BK$3,Entries!$C13:$K13,1,FALSE))),"x",IF(NOT(ISERROR(HLOOKUP(Standings!BK$3,Entries!$L13:$L13,1,FALSE))),"S",""))</f>
        <v>x</v>
      </c>
      <c r="BL31" t="str">
        <f>IF(NOT(ISERROR(HLOOKUP(Standings!BL$3,Entries!$C13:$K13,1,FALSE))),"x",IF(NOT(ISERROR(HLOOKUP(Standings!BL$3,Entries!$L13:$L13,1,FALSE))),"S",""))</f>
        <v/>
      </c>
      <c r="BM31" t="str">
        <f>IF(NOT(ISERROR(HLOOKUP(Standings!BM$3,Entries!$C13:$K13,1,FALSE))),"x",IF(NOT(ISERROR(HLOOKUP(Standings!BM$3,Entries!$L13:$L13,1,FALSE))),"S",""))</f>
        <v/>
      </c>
      <c r="BN31" t="str">
        <f>IF(NOT(ISERROR(HLOOKUP(Standings!BN$3,Entries!$C13:$K13,1,FALSE))),"x",IF(NOT(ISERROR(HLOOKUP(Standings!BN$3,Entries!$L13:$L13,1,FALSE))),"S",""))</f>
        <v/>
      </c>
      <c r="BO31" t="str">
        <f>IF(NOT(ISERROR(HLOOKUP(Standings!BO$3,Entries!$C13:$K13,1,FALSE))),"x",IF(NOT(ISERROR(HLOOKUP(Standings!BO$3,Entries!$L13:$L13,1,FALSE))),"S",""))</f>
        <v/>
      </c>
      <c r="BP31" t="str">
        <f>IF(NOT(ISERROR(HLOOKUP(Standings!BP$3,Entries!$C13:$K13,1,FALSE))),"x",IF(NOT(ISERROR(HLOOKUP(Standings!BP$3,Entries!$L13:$L13,1,FALSE))),"S",""))</f>
        <v>x</v>
      </c>
      <c r="BQ31" t="str">
        <f>IF(NOT(ISERROR(HLOOKUP(Standings!BQ$3,Entries!$C13:$K13,1,FALSE))),"x",IF(NOT(ISERROR(HLOOKUP(Standings!BQ$3,Entries!$L13:$L13,1,FALSE))),"S",""))</f>
        <v/>
      </c>
      <c r="BR31" t="str">
        <f>IF(NOT(ISERROR(HLOOKUP(Standings!BR$3,Entries!$C13:$K13,1,FALSE))),"x",IF(NOT(ISERROR(HLOOKUP(Standings!BR$3,Entries!$L13:$L13,1,FALSE))),"S",""))</f>
        <v/>
      </c>
      <c r="BS31" t="str">
        <f>IF(NOT(ISERROR(HLOOKUP(Standings!BS$3,Entries!$C13:$K13,1,FALSE))),"x",IF(NOT(ISERROR(HLOOKUP(Standings!BS$3,Entries!$L13:$L13,1,FALSE))),"S",""))</f>
        <v>x</v>
      </c>
      <c r="BT31" t="str">
        <f>IF(NOT(ISERROR(HLOOKUP(Standings!BT$3,Entries!$C13:$K13,1,FALSE))),"x",IF(NOT(ISERROR(HLOOKUP(Standings!BT$3,Entries!$L13:$L13,1,FALSE))),"S",""))</f>
        <v/>
      </c>
      <c r="BU31" t="str">
        <f>IF(NOT(ISERROR(HLOOKUP(Standings!BU$3,Entries!$C13:$K13,1,FALSE))),"x",IF(NOT(ISERROR(HLOOKUP(Standings!BU$3,Entries!$L13:$L13,1,FALSE))),"S",""))</f>
        <v/>
      </c>
      <c r="BV31" t="str">
        <f>IF(NOT(ISERROR(HLOOKUP(Standings!BV$3,Entries!$C13:$K13,1,FALSE))),"x",IF(NOT(ISERROR(HLOOKUP(Standings!BV$3,Entries!$L13:$L13,1,FALSE))),"S",""))</f>
        <v/>
      </c>
      <c r="BW31" t="str">
        <f>IF(NOT(ISERROR(HLOOKUP(Standings!BW$3,Entries!$C13:$K13,1,FALSE))),"x",IF(NOT(ISERROR(HLOOKUP(Standings!BW$3,Entries!$L13:$L13,1,FALSE))),"S",""))</f>
        <v/>
      </c>
      <c r="BX31" t="str">
        <f>IF(NOT(ISERROR(HLOOKUP(Standings!BX$3,Entries!$C13:$K13,1,FALSE))),"x",IF(NOT(ISERROR(HLOOKUP(Standings!BX$3,Entries!$L13:$L13,1,FALSE))),"S",""))</f>
        <v/>
      </c>
      <c r="BY31" t="str">
        <f>IF(NOT(ISERROR(HLOOKUP(Standings!BY$3,Entries!$C13:$K13,1,FALSE))),"x",IF(NOT(ISERROR(HLOOKUP(Standings!BY$3,Entries!$L13:$L13,1,FALSE))),"S",""))</f>
        <v/>
      </c>
      <c r="BZ31" t="str">
        <f>IF(NOT(ISERROR(HLOOKUP(Standings!BZ$3,Entries!$C13:$K13,1,FALSE))),"x",IF(NOT(ISERROR(HLOOKUP(Standings!BZ$3,Entries!$L13:$L13,1,FALSE))),"S",""))</f>
        <v>x</v>
      </c>
      <c r="CA31" t="str">
        <f>IF(NOT(ISERROR(HLOOKUP(Standings!CA$3,Entries!$C13:$K13,1,FALSE))),"x",IF(NOT(ISERROR(HLOOKUP(Standings!CA$3,Entries!$L13:$L13,1,FALSE))),"S",""))</f>
        <v>S</v>
      </c>
      <c r="CB31" t="str">
        <f>IF(NOT(ISERROR(HLOOKUP(Standings!CB$3,Entries!$C13:$K13,1,FALSE))),"x",IF(NOT(ISERROR(HLOOKUP(Standings!CB$3,Entries!$L13:$L13,1,FALSE))),"S",""))</f>
        <v/>
      </c>
      <c r="CC31" t="str">
        <f>IF(NOT(ISERROR(HLOOKUP(Standings!CC$3,Entries!$C13:$K13,1,FALSE))),"x",IF(NOT(ISERROR(HLOOKUP(Standings!CC$3,Entries!$L13:$L13,1,FALSE))),"S",""))</f>
        <v/>
      </c>
      <c r="CD31" t="str">
        <f>IF(NOT(ISERROR(HLOOKUP(Standings!CD$3,Entries!$C13:$K13,1,FALSE))),"x",IF(NOT(ISERROR(HLOOKUP(Standings!CD$3,Entries!$L13:$L13,1,FALSE))),"S",""))</f>
        <v>x</v>
      </c>
      <c r="CE31" t="str">
        <f>IF(NOT(ISERROR(HLOOKUP(Standings!CE$3,Entries!$C13:$K13,1,FALSE))),"x",IF(NOT(ISERROR(HLOOKUP(Standings!CE$3,Entries!$L13:$L13,1,FALSE))),"S",""))</f>
        <v/>
      </c>
      <c r="CF31" t="str">
        <f>IF(NOT(ISERROR(HLOOKUP(Standings!CF$3,Entries!$C13:$K13,1,FALSE))),"x",IF(NOT(ISERROR(HLOOKUP(Standings!CF$3,Entries!$L13:$L13,1,FALSE))),"S",""))</f>
        <v/>
      </c>
      <c r="CG31" t="str">
        <f>IF(NOT(ISERROR(HLOOKUP(Standings!CG$3,Entries!$C13:$K13,1,FALSE))),"x",IF(NOT(ISERROR(HLOOKUP(Standings!CG$3,Entries!$L13:$L13,1,FALSE))),"S",""))</f>
        <v/>
      </c>
      <c r="CH31" t="str">
        <f>IF(NOT(ISERROR(HLOOKUP(Standings!CH$3,Entries!$C13:$K13,1,FALSE))),"x",IF(NOT(ISERROR(HLOOKUP(Standings!CH$3,Entries!$L13:$L13,1,FALSE))),"S",""))</f>
        <v/>
      </c>
      <c r="CI31" t="str">
        <f>IF(NOT(ISERROR(HLOOKUP(Standings!CI$3,Entries!$C13:$K13,1,FALSE))),"x",IF(NOT(ISERROR(HLOOKUP(Standings!CI$3,Entries!$L13:$L13,1,FALSE))),"S",""))</f>
        <v/>
      </c>
      <c r="CJ31" t="str">
        <f>IF(NOT(ISERROR(HLOOKUP(Standings!CJ$3,Entries!$C13:$K13,1,FALSE))),"x",IF(NOT(ISERROR(HLOOKUP(Standings!CJ$3,Entries!$L13:$L13,1,FALSE))),"S",""))</f>
        <v/>
      </c>
      <c r="CK31" t="str">
        <f>IF(NOT(ISERROR(HLOOKUP(Standings!CK$3,Entries!$C13:$K13,1,FALSE))),"x",IF(NOT(ISERROR(HLOOKUP(Standings!CK$3,Entries!$L13:$L13,1,FALSE))),"S",""))</f>
        <v/>
      </c>
      <c r="CL31" t="str">
        <f>IF(NOT(ISERROR(HLOOKUP(Standings!CL$3,Entries!$C13:$K13,1,FALSE))),"x",IF(NOT(ISERROR(HLOOKUP(Standings!CL$3,Entries!$L13:$L13,1,FALSE))),"S",""))</f>
        <v/>
      </c>
      <c r="CM31" t="str">
        <f>IF(NOT(ISERROR(HLOOKUP(Standings!CM$3,Entries!$C13:$K13,1,FALSE))),"x",IF(NOT(ISERROR(HLOOKUP(Standings!CM$3,Entries!$L13:$L13,1,FALSE))),"S",""))</f>
        <v/>
      </c>
      <c r="CN31" t="str">
        <f>IF(NOT(ISERROR(HLOOKUP(Standings!CN$3,Entries!$C13:$K13,1,FALSE))),"x",IF(NOT(ISERROR(HLOOKUP(Standings!CN$3,Entries!$L13:$L13,1,FALSE))),"S",""))</f>
        <v/>
      </c>
      <c r="CO31" t="str">
        <f>IF(NOT(ISERROR(HLOOKUP(Standings!CO$3,Entries!$C13:$K13,1,FALSE))),"x",IF(NOT(ISERROR(HLOOKUP(Standings!CO$3,Entries!$L13:$L13,1,FALSE))),"S",""))</f>
        <v/>
      </c>
      <c r="CP31" t="str">
        <f>IF(NOT(ISERROR(HLOOKUP(Standings!CP$3,Entries!$C13:$K13,1,FALSE))),"x",IF(NOT(ISERROR(HLOOKUP(Standings!CP$3,Entries!$L13:$L13,1,FALSE))),"S",""))</f>
        <v/>
      </c>
      <c r="CQ31" t="str">
        <f>IF(NOT(ISERROR(HLOOKUP(Standings!CQ$3,Entries!$C13:$K13,1,FALSE))),"x",IF(NOT(ISERROR(HLOOKUP(Standings!CQ$3,Entries!$L13:$L13,1,FALSE))),"S",""))</f>
        <v/>
      </c>
      <c r="CR31" t="str">
        <f>IF(NOT(ISERROR(HLOOKUP(Standings!CR$3,Entries!$C13:$K13,1,FALSE))),"x",IF(NOT(ISERROR(HLOOKUP(Standings!CR$3,Entries!$L13:$L13,1,FALSE))),"S",""))</f>
        <v/>
      </c>
      <c r="CS31" t="str">
        <f>IF(NOT(ISERROR(HLOOKUP(Standings!CS$3,Entries!$C13:$K13,1,FALSE))),"x",IF(NOT(ISERROR(HLOOKUP(Standings!CS$3,Entries!$L13:$L13,1,FALSE))),"S",""))</f>
        <v/>
      </c>
      <c r="CT31" t="str">
        <f>IF(NOT(ISERROR(HLOOKUP(Standings!CT$3,Entries!$C13:$K13,1,FALSE))),"x",IF(NOT(ISERROR(HLOOKUP(Standings!CT$3,Entries!$L13:$L13,1,FALSE))),"S",""))</f>
        <v/>
      </c>
      <c r="CU31" t="str">
        <f>IF(NOT(ISERROR(HLOOKUP(Standings!CU$3,Entries!$C13:$K13,1,FALSE))),"x",IF(NOT(ISERROR(HLOOKUP(Standings!CU$3,Entries!$L13:$L13,1,FALSE))),"S",""))</f>
        <v/>
      </c>
      <c r="CV31" t="str">
        <f>IF(NOT(ISERROR(HLOOKUP(Standings!CV$3,Entries!$C13:$K13,1,FALSE))),"x",IF(NOT(ISERROR(HLOOKUP(Standings!CV$3,Entries!$L13:$L13,1,FALSE))),"S",""))</f>
        <v/>
      </c>
      <c r="CW31" t="str">
        <f>IF(NOT(ISERROR(HLOOKUP(Standings!CW$3,Entries!$C13:$K13,1,FALSE))),"x",IF(NOT(ISERROR(HLOOKUP(Standings!CW$3,Entries!$L13:$L13,1,FALSE))),"S",""))</f>
        <v>x</v>
      </c>
      <c r="CX31" t="str">
        <f>IF(NOT(ISERROR(HLOOKUP(Standings!CX$3,Entries!$C13:$K13,1,FALSE))),"x",IF(NOT(ISERROR(HLOOKUP(Standings!CX$3,Entries!$L13:$L13,1,FALSE))),"S",""))</f>
        <v/>
      </c>
      <c r="CY31" t="str">
        <f>IF(NOT(ISERROR(HLOOKUP(Standings!CY$3,Entries!$C13:$K13,1,FALSE))),"x",IF(NOT(ISERROR(HLOOKUP(Standings!CY$3,Entries!$L13:$L13,1,FALSE))),"S",""))</f>
        <v/>
      </c>
      <c r="CZ31" t="str">
        <f>IF(NOT(ISERROR(HLOOKUP(Standings!CZ$3,Entries!$C13:$K13,1,FALSE))),"x",IF(NOT(ISERROR(HLOOKUP(Standings!CZ$3,Entries!$L13:$L13,1,FALSE))),"S",""))</f>
        <v>x</v>
      </c>
      <c r="DA31" t="str">
        <f>IF(NOT(ISERROR(HLOOKUP(Standings!DA$3,Entries!$C13:$K13,1,FALSE))),"x",IF(NOT(ISERROR(HLOOKUP(Standings!DA$3,Entries!$L13:$L13,1,FALSE))),"S",""))</f>
        <v/>
      </c>
      <c r="DB31" t="str">
        <f>IF(NOT(ISERROR(HLOOKUP(Standings!DB$3,Entries!$C13:$K13,1,FALSE))),"x",IF(NOT(ISERROR(HLOOKUP(Standings!DB$3,Entries!$L13:$L13,1,FALSE))),"S",""))</f>
        <v/>
      </c>
    </row>
    <row r="32" spans="1:106" x14ac:dyDescent="0.25">
      <c r="B32">
        <v>52</v>
      </c>
      <c r="C32" t="str">
        <f>Entries!B43</f>
        <v>greeno</v>
      </c>
      <c r="D32" s="4">
        <f>IF(C32="","",RANK(E32,$E$10:$E$111))</f>
        <v>21</v>
      </c>
      <c r="E32" s="31">
        <f>IF(C32="","",ROUND(SUM(F32:AK32),0))</f>
        <v>5</v>
      </c>
      <c r="F32" s="40">
        <f>IF(BG32="","",IF(BG32="x",F$6,0)+IF(BG32="S",-F$6-0.00001,0))</f>
        <v>2</v>
      </c>
      <c r="G32" s="41" t="str">
        <f>IF(BH32="","",IF(BH32="x",G$6,0)+IF(BH32="S",-G$6-0.00001,0))</f>
        <v/>
      </c>
      <c r="H32" s="41" t="str">
        <f>IF(BI32="","",IF(BI32="x",H$6,0)+IF(BI32="S",-H$6-0.00001,0))</f>
        <v/>
      </c>
      <c r="I32" s="42" t="str">
        <f>IF(BJ32="","",IF(BJ32="x",I$6,0)+IF(BJ32="S",-I$6-0.00001,0))</f>
        <v/>
      </c>
      <c r="J32" s="40" t="str">
        <f>IF(BK32="","",IF(BK32="x",J$6,0)+IF(BK32="S",-J$6-0.00001,0))</f>
        <v/>
      </c>
      <c r="K32" s="41" t="str">
        <f>IF(BL32="","",IF(BL32="x",K$6,0)+IF(BL32="S",-K$6-0.00001,0))</f>
        <v/>
      </c>
      <c r="L32" s="41" t="str">
        <f>IF(BM32="","",IF(BM32="x",L$6,0)+IF(BM32="S",-L$6-0.00001,0))</f>
        <v/>
      </c>
      <c r="M32" s="42" t="str">
        <f>IF(BN32="","",IF(BN32="x",M$6,0)+IF(BN32="S",-M$6-0.00001,0))</f>
        <v/>
      </c>
      <c r="N32" s="43" t="str">
        <f>IF(BO32="","",IF(BO32="x",N$6,0)+IF(BO32="S",-N$6-0.00001,0))</f>
        <v/>
      </c>
      <c r="O32" s="41" t="str">
        <f>IF(BP32="","",IF(BP32="x",O$6,0)+IF(BP32="S",-O$6-0.00001,0))</f>
        <v/>
      </c>
      <c r="P32" s="41" t="str">
        <f>IF(BQ32="","",IF(BQ32="x",P$6,0)+IF(BQ32="S",-P$6-0.00001,0))</f>
        <v/>
      </c>
      <c r="Q32" s="42" t="str">
        <f>IF(BR32="","",IF(BR32="x",Q$6,0)+IF(BR32="S",-Q$6-0.00001,0))</f>
        <v/>
      </c>
      <c r="R32" s="40" t="str">
        <f>IF(BS32="","",IF(BS32="x",R$6,0)+IF(BS32="S",-R$6-0.00001,0))</f>
        <v/>
      </c>
      <c r="S32" s="41" t="str">
        <f>IF(BT32="","",IF(BT32="x",S$6,0)+IF(BT32="S",-S$6-0.00001,0))</f>
        <v/>
      </c>
      <c r="T32" s="43" t="str">
        <f>IF(BU32="","",IF(BU32="x",T$6,0)+IF(BU32="S",-T$6-0.00001,0))</f>
        <v/>
      </c>
      <c r="U32" s="42" t="str">
        <f>IF(BV32="","",IF(BV32="x",U$6,0)+IF(BV32="S",-U$6-0.00001,0))</f>
        <v/>
      </c>
      <c r="V32" s="40" t="str">
        <f>IF(BW32="","",IF(BW32="x",V$6,0)+IF(BW32="S",-V$6-0.00001,0))</f>
        <v/>
      </c>
      <c r="W32" s="41" t="str">
        <f>IF(BX32="","",IF(BX32="x",W$6,0)+IF(BX32="S",-W$6-0.00001,0))</f>
        <v/>
      </c>
      <c r="X32" s="41">
        <f>IF(BY32="","",IF(BY32="x",X$6,0)+IF(BY32="S",-X$6-0.00001,0))</f>
        <v>2</v>
      </c>
      <c r="Y32" s="42">
        <f>IF(BZ32="","",IF(BZ32="x",Y$6,0)+IF(BZ32="S",-Y$6-0.00001,0))</f>
        <v>0</v>
      </c>
      <c r="Z32" s="40" t="str">
        <f>IF(CA32="","",IF(CA32="x",Z$6,0)+IF(CA32="S",-Z$6-0.00001,0))</f>
        <v/>
      </c>
      <c r="AA32" s="41" t="str">
        <f>IF(CB32="","",IF(CB32="x",AA$6,0)+IF(CB32="S",-AA$6-0.00001,0))</f>
        <v/>
      </c>
      <c r="AB32" s="41" t="str">
        <f>IF(CC32="","",IF(CC32="x",AB$6,0)+IF(CC32="S",-AB$6-0.00001,0))</f>
        <v/>
      </c>
      <c r="AC32" s="42" t="str">
        <f>IF(CD32="","",IF(CD32="x",AC$6,0)+IF(CD32="S",-AC$6-0.00001,0))</f>
        <v/>
      </c>
      <c r="AD32" s="40" t="str">
        <f>IF(CE32="","",IF(CE32="x",AD$6,0)+IF(CE32="S",-AD$6-0.00001,0))</f>
        <v/>
      </c>
      <c r="AE32" s="41" t="str">
        <f>IF(CF32="","",IF(CF32="x",AE$6,0)+IF(CF32="S",-AE$6-0.00001,0))</f>
        <v/>
      </c>
      <c r="AF32" s="41" t="str">
        <f>IF(CG32="","",IF(CG32="x",AF$6,0)+IF(CG32="S",-AF$6-0.00001,0))</f>
        <v/>
      </c>
      <c r="AG32" s="42" t="str">
        <f>IF(CH32="","",IF(CH32="x",AG$6,0)+IF(CH32="S",-AG$6-0.00001,0))</f>
        <v/>
      </c>
      <c r="AH32" s="40" t="str">
        <f>IF(CI32="","",IF(CI32="x",AH$6,0)+IF(CI32="S",-AH$6-0.00001,0))</f>
        <v/>
      </c>
      <c r="AI32" s="41">
        <f>IF(CJ32="","",IF(CJ32="x",AI$6,0)+IF(CJ32="S",-AI$6-0.00001,0))</f>
        <v>1</v>
      </c>
      <c r="AJ32" s="41" t="str">
        <f>IF(CK32="","",IF(CK32="x",AJ$6,0)+IF(CK32="S",-AJ$6-0.00001,0))</f>
        <v/>
      </c>
      <c r="AK32" s="42" t="str">
        <f>IF(CL32="","",IF(CL32="x",AK$6,0)+IF(CL32="S",-AK$6-0.00001,0))</f>
        <v/>
      </c>
      <c r="AL32" s="40">
        <f>IF(CM32="","",IF(CM32="x",AL$6,0)+IF(CM32="S",-AL$6-0.00001,0))</f>
        <v>0</v>
      </c>
      <c r="AM32" s="41">
        <f>IF(CN32="","",IF(CN32="x",AM$6,0)+IF(CN32="S",-AM$6-0.00001,0))</f>
        <v>0</v>
      </c>
      <c r="AN32" s="41" t="str">
        <f>IF(CO32="","",IF(CO32="x",AN$6,0)+IF(CO32="S",-AN$6-0.00001,0))</f>
        <v/>
      </c>
      <c r="AO32" s="42" t="str">
        <f>IF(CP32="","",IF(CP32="x",AO$6,0)+IF(CP32="S",-AO$6-0.00001,0))</f>
        <v/>
      </c>
      <c r="AP32" s="40">
        <f>IF(CQ32="","",IF(CQ32="x",AP$6,0)+IF(CQ32="S",-AP$6-0.00001,0))</f>
        <v>-1.0000000000000001E-5</v>
      </c>
      <c r="AQ32" s="41" t="str">
        <f>IF(CR32="","",IF(CR32="x",AQ$6,0)+IF(CR32="S",-AQ$6-0.00001,0))</f>
        <v/>
      </c>
      <c r="AR32" s="41">
        <f>IF(CS32="","",IF(CS32="x",AR$6,0)+IF(CS32="S",-AR$6-0.00001,0))</f>
        <v>0</v>
      </c>
      <c r="AS32" s="42" t="str">
        <f>IF(CT32="","",IF(CT32="x",AS$6,0)+IF(CT32="S",-AS$6-0.00001,0))</f>
        <v/>
      </c>
      <c r="AT32" s="40" t="str">
        <f>IF(CU32="","",IF(CU32="x",AT$6,0)+IF(CU32="S",-AT$6-0.00001,0))</f>
        <v/>
      </c>
      <c r="AU32" s="41" t="str">
        <f>IF(CV32="","",IF(CV32="x",AU$6,0)+IF(CV32="S",-AU$6-0.00001,0))</f>
        <v/>
      </c>
      <c r="AV32" s="41" t="str">
        <f>IF(CW32="","",IF(CW32="x",AV$6,0)+IF(CW32="S",-AV$6-0.00001,0))</f>
        <v/>
      </c>
      <c r="AW32" s="42" t="str">
        <f>IF(CX32="","",IF(CX32="x",AW$6,0)+IF(CX32="S",-AW$6-0.00001,0))</f>
        <v/>
      </c>
      <c r="AX32" s="40" t="str">
        <f>IF(CY32="","",IF(CY32="x",AX$6,0)+IF(CY32="S",-AX$6-0.00001,0))</f>
        <v/>
      </c>
      <c r="AY32" s="41" t="str">
        <f>IF(CZ32="","",IF(CZ32="x",AY$6,0)+IF(CZ32="S",-AY$6-0.00001,0))</f>
        <v/>
      </c>
      <c r="AZ32" s="41" t="str">
        <f>IF(DA32="","",IF(DA32="x",AZ$6,0)+IF(DA32="S",-AZ$6-0.00001,0))</f>
        <v/>
      </c>
      <c r="BA32" s="42" t="str">
        <f>IF(DB32="","",IF(DB32="x",BA$6,0)+IF(DB32="S",-BA$6-0.00001,0))</f>
        <v/>
      </c>
      <c r="BB32" s="37" t="s">
        <v>106</v>
      </c>
      <c r="BC32" s="21"/>
      <c r="BD32" s="21"/>
      <c r="BG32" t="str">
        <f>IF(NOT(ISERROR(HLOOKUP(Standings!BG$3,Entries!$C43:$K43,1,FALSE))),"x",IF(NOT(ISERROR(HLOOKUP(Standings!BG$3,Entries!$L43:$L43,1,FALSE))),"S",""))</f>
        <v>x</v>
      </c>
      <c r="BH32" t="str">
        <f>IF(NOT(ISERROR(HLOOKUP(Standings!BH$3,Entries!$C43:$K43,1,FALSE))),"x",IF(NOT(ISERROR(HLOOKUP(Standings!BH$3,Entries!$L43:$L43,1,FALSE))),"S",""))</f>
        <v/>
      </c>
      <c r="BI32" t="str">
        <f>IF(NOT(ISERROR(HLOOKUP(Standings!BI$3,Entries!$C43:$K43,1,FALSE))),"x",IF(NOT(ISERROR(HLOOKUP(Standings!BI$3,Entries!$L43:$L43,1,FALSE))),"S",""))</f>
        <v/>
      </c>
      <c r="BJ32" t="str">
        <f>IF(NOT(ISERROR(HLOOKUP(Standings!BJ$3,Entries!$C43:$K43,1,FALSE))),"x",IF(NOT(ISERROR(HLOOKUP(Standings!BJ$3,Entries!$L43:$L43,1,FALSE))),"S",""))</f>
        <v/>
      </c>
      <c r="BK32" t="str">
        <f>IF(NOT(ISERROR(HLOOKUP(Standings!BK$3,Entries!$C43:$K43,1,FALSE))),"x",IF(NOT(ISERROR(HLOOKUP(Standings!BK$3,Entries!$L43:$L43,1,FALSE))),"S",""))</f>
        <v/>
      </c>
      <c r="BL32" t="str">
        <f>IF(NOT(ISERROR(HLOOKUP(Standings!BL$3,Entries!$C43:$K43,1,FALSE))),"x",IF(NOT(ISERROR(HLOOKUP(Standings!BL$3,Entries!$L43:$L43,1,FALSE))),"S",""))</f>
        <v/>
      </c>
      <c r="BM32" t="str">
        <f>IF(NOT(ISERROR(HLOOKUP(Standings!BM$3,Entries!$C43:$K43,1,FALSE))),"x",IF(NOT(ISERROR(HLOOKUP(Standings!BM$3,Entries!$L43:$L43,1,FALSE))),"S",""))</f>
        <v/>
      </c>
      <c r="BN32" t="str">
        <f>IF(NOT(ISERROR(HLOOKUP(Standings!BN$3,Entries!$C43:$K43,1,FALSE))),"x",IF(NOT(ISERROR(HLOOKUP(Standings!BN$3,Entries!$L43:$L43,1,FALSE))),"S",""))</f>
        <v/>
      </c>
      <c r="BO32" t="str">
        <f>IF(NOT(ISERROR(HLOOKUP(Standings!BO$3,Entries!$C43:$K43,1,FALSE))),"x",IF(NOT(ISERROR(HLOOKUP(Standings!BO$3,Entries!$L43:$L43,1,FALSE))),"S",""))</f>
        <v/>
      </c>
      <c r="BP32" t="str">
        <f>IF(NOT(ISERROR(HLOOKUP(Standings!BP$3,Entries!$C43:$K43,1,FALSE))),"x",IF(NOT(ISERROR(HLOOKUP(Standings!BP$3,Entries!$L43:$L43,1,FALSE))),"S",""))</f>
        <v/>
      </c>
      <c r="BQ32" t="str">
        <f>IF(NOT(ISERROR(HLOOKUP(Standings!BQ$3,Entries!$C43:$K43,1,FALSE))),"x",IF(NOT(ISERROR(HLOOKUP(Standings!BQ$3,Entries!$L43:$L43,1,FALSE))),"S",""))</f>
        <v/>
      </c>
      <c r="BR32" t="str">
        <f>IF(NOT(ISERROR(HLOOKUP(Standings!BR$3,Entries!$C43:$K43,1,FALSE))),"x",IF(NOT(ISERROR(HLOOKUP(Standings!BR$3,Entries!$L43:$L43,1,FALSE))),"S",""))</f>
        <v/>
      </c>
      <c r="BS32" t="str">
        <f>IF(NOT(ISERROR(HLOOKUP(Standings!BS$3,Entries!$C43:$K43,1,FALSE))),"x",IF(NOT(ISERROR(HLOOKUP(Standings!BS$3,Entries!$L43:$L43,1,FALSE))),"S",""))</f>
        <v/>
      </c>
      <c r="BT32" t="str">
        <f>IF(NOT(ISERROR(HLOOKUP(Standings!BT$3,Entries!$C43:$K43,1,FALSE))),"x",IF(NOT(ISERROR(HLOOKUP(Standings!BT$3,Entries!$L43:$L43,1,FALSE))),"S",""))</f>
        <v/>
      </c>
      <c r="BU32" t="str">
        <f>IF(NOT(ISERROR(HLOOKUP(Standings!BU$3,Entries!$C43:$K43,1,FALSE))),"x",IF(NOT(ISERROR(HLOOKUP(Standings!BU$3,Entries!$L43:$L43,1,FALSE))),"S",""))</f>
        <v/>
      </c>
      <c r="BV32" t="str">
        <f>IF(NOT(ISERROR(HLOOKUP(Standings!BV$3,Entries!$C43:$K43,1,FALSE))),"x",IF(NOT(ISERROR(HLOOKUP(Standings!BV$3,Entries!$L43:$L43,1,FALSE))),"S",""))</f>
        <v/>
      </c>
      <c r="BW32" t="str">
        <f>IF(NOT(ISERROR(HLOOKUP(Standings!BW$3,Entries!$C43:$K43,1,FALSE))),"x",IF(NOT(ISERROR(HLOOKUP(Standings!BW$3,Entries!$L43:$L43,1,FALSE))),"S",""))</f>
        <v/>
      </c>
      <c r="BX32" t="str">
        <f>IF(NOT(ISERROR(HLOOKUP(Standings!BX$3,Entries!$C43:$K43,1,FALSE))),"x",IF(NOT(ISERROR(HLOOKUP(Standings!BX$3,Entries!$L43:$L43,1,FALSE))),"S",""))</f>
        <v/>
      </c>
      <c r="BY32" t="str">
        <f>IF(NOT(ISERROR(HLOOKUP(Standings!BY$3,Entries!$C43:$K43,1,FALSE))),"x",IF(NOT(ISERROR(HLOOKUP(Standings!BY$3,Entries!$L43:$L43,1,FALSE))),"S",""))</f>
        <v>x</v>
      </c>
      <c r="BZ32" t="str">
        <f>IF(NOT(ISERROR(HLOOKUP(Standings!BZ$3,Entries!$C43:$K43,1,FALSE))),"x",IF(NOT(ISERROR(HLOOKUP(Standings!BZ$3,Entries!$L43:$L43,1,FALSE))),"S",""))</f>
        <v>x</v>
      </c>
      <c r="CA32" t="str">
        <f>IF(NOT(ISERROR(HLOOKUP(Standings!CA$3,Entries!$C43:$K43,1,FALSE))),"x",IF(NOT(ISERROR(HLOOKUP(Standings!CA$3,Entries!$L43:$L43,1,FALSE))),"S",""))</f>
        <v/>
      </c>
      <c r="CB32" t="str">
        <f>IF(NOT(ISERROR(HLOOKUP(Standings!CB$3,Entries!$C43:$K43,1,FALSE))),"x",IF(NOT(ISERROR(HLOOKUP(Standings!CB$3,Entries!$L43:$L43,1,FALSE))),"S",""))</f>
        <v/>
      </c>
      <c r="CC32" t="str">
        <f>IF(NOT(ISERROR(HLOOKUP(Standings!CC$3,Entries!$C43:$K43,1,FALSE))),"x",IF(NOT(ISERROR(HLOOKUP(Standings!CC$3,Entries!$L43:$L43,1,FALSE))),"S",""))</f>
        <v/>
      </c>
      <c r="CD32" t="str">
        <f>IF(NOT(ISERROR(HLOOKUP(Standings!CD$3,Entries!$C43:$K43,1,FALSE))),"x",IF(NOT(ISERROR(HLOOKUP(Standings!CD$3,Entries!$L43:$L43,1,FALSE))),"S",""))</f>
        <v/>
      </c>
      <c r="CE32" t="str">
        <f>IF(NOT(ISERROR(HLOOKUP(Standings!CE$3,Entries!$C43:$K43,1,FALSE))),"x",IF(NOT(ISERROR(HLOOKUP(Standings!CE$3,Entries!$L43:$L43,1,FALSE))),"S",""))</f>
        <v/>
      </c>
      <c r="CF32" t="str">
        <f>IF(NOT(ISERROR(HLOOKUP(Standings!CF$3,Entries!$C43:$K43,1,FALSE))),"x",IF(NOT(ISERROR(HLOOKUP(Standings!CF$3,Entries!$L43:$L43,1,FALSE))),"S",""))</f>
        <v/>
      </c>
      <c r="CG32" t="str">
        <f>IF(NOT(ISERROR(HLOOKUP(Standings!CG$3,Entries!$C43:$K43,1,FALSE))),"x",IF(NOT(ISERROR(HLOOKUP(Standings!CG$3,Entries!$L43:$L43,1,FALSE))),"S",""))</f>
        <v/>
      </c>
      <c r="CH32" t="str">
        <f>IF(NOT(ISERROR(HLOOKUP(Standings!CH$3,Entries!$C43:$K43,1,FALSE))),"x",IF(NOT(ISERROR(HLOOKUP(Standings!CH$3,Entries!$L43:$L43,1,FALSE))),"S",""))</f>
        <v/>
      </c>
      <c r="CI32" t="str">
        <f>IF(NOT(ISERROR(HLOOKUP(Standings!CI$3,Entries!$C43:$K43,1,FALSE))),"x",IF(NOT(ISERROR(HLOOKUP(Standings!CI$3,Entries!$L43:$L43,1,FALSE))),"S",""))</f>
        <v/>
      </c>
      <c r="CJ32" t="str">
        <f>IF(NOT(ISERROR(HLOOKUP(Standings!CJ$3,Entries!$C43:$K43,1,FALSE))),"x",IF(NOT(ISERROR(HLOOKUP(Standings!CJ$3,Entries!$L43:$L43,1,FALSE))),"S",""))</f>
        <v>x</v>
      </c>
      <c r="CK32" t="str">
        <f>IF(NOT(ISERROR(HLOOKUP(Standings!CK$3,Entries!$C43:$K43,1,FALSE))),"x",IF(NOT(ISERROR(HLOOKUP(Standings!CK$3,Entries!$L43:$L43,1,FALSE))),"S",""))</f>
        <v/>
      </c>
      <c r="CL32" t="str">
        <f>IF(NOT(ISERROR(HLOOKUP(Standings!CL$3,Entries!$C43:$K43,1,FALSE))),"x",IF(NOT(ISERROR(HLOOKUP(Standings!CL$3,Entries!$L43:$L43,1,FALSE))),"S",""))</f>
        <v/>
      </c>
      <c r="CM32" t="str">
        <f>IF(NOT(ISERROR(HLOOKUP(Standings!CM$3,Entries!$C43:$K43,1,FALSE))),"x",IF(NOT(ISERROR(HLOOKUP(Standings!CM$3,Entries!$L43:$L43,1,FALSE))),"S",""))</f>
        <v>x</v>
      </c>
      <c r="CN32" t="str">
        <f>IF(NOT(ISERROR(HLOOKUP(Standings!CN$3,Entries!$C43:$K43,1,FALSE))),"x",IF(NOT(ISERROR(HLOOKUP(Standings!CN$3,Entries!$L43:$L43,1,FALSE))),"S",""))</f>
        <v>x</v>
      </c>
      <c r="CO32" t="str">
        <f>IF(NOT(ISERROR(HLOOKUP(Standings!CO$3,Entries!$C43:$K43,1,FALSE))),"x",IF(NOT(ISERROR(HLOOKUP(Standings!CO$3,Entries!$L43:$L43,1,FALSE))),"S",""))</f>
        <v/>
      </c>
      <c r="CP32" t="str">
        <f>IF(NOT(ISERROR(HLOOKUP(Standings!CP$3,Entries!$C43:$K43,1,FALSE))),"x",IF(NOT(ISERROR(HLOOKUP(Standings!CP$3,Entries!$L43:$L43,1,FALSE))),"S",""))</f>
        <v/>
      </c>
      <c r="CQ32" t="str">
        <f>IF(NOT(ISERROR(HLOOKUP(Standings!CQ$3,Entries!$C43:$K43,1,FALSE))),"x",IF(NOT(ISERROR(HLOOKUP(Standings!CQ$3,Entries!$L43:$L43,1,FALSE))),"S",""))</f>
        <v>S</v>
      </c>
      <c r="CR32" t="str">
        <f>IF(NOT(ISERROR(HLOOKUP(Standings!CR$3,Entries!$C43:$K43,1,FALSE))),"x",IF(NOT(ISERROR(HLOOKUP(Standings!CR$3,Entries!$L43:$L43,1,FALSE))),"S",""))</f>
        <v/>
      </c>
      <c r="CS32" t="str">
        <f>IF(NOT(ISERROR(HLOOKUP(Standings!CS$3,Entries!$C43:$K43,1,FALSE))),"x",IF(NOT(ISERROR(HLOOKUP(Standings!CS$3,Entries!$L43:$L43,1,FALSE))),"S",""))</f>
        <v>x</v>
      </c>
      <c r="CT32" t="str">
        <f>IF(NOT(ISERROR(HLOOKUP(Standings!CT$3,Entries!$C43:$K43,1,FALSE))),"x",IF(NOT(ISERROR(HLOOKUP(Standings!CT$3,Entries!$L43:$L43,1,FALSE))),"S",""))</f>
        <v/>
      </c>
      <c r="CU32" t="str">
        <f>IF(NOT(ISERROR(HLOOKUP(Standings!CU$3,Entries!$C43:$K43,1,FALSE))),"x",IF(NOT(ISERROR(HLOOKUP(Standings!CU$3,Entries!$L43:$L43,1,FALSE))),"S",""))</f>
        <v/>
      </c>
      <c r="CV32" t="str">
        <f>IF(NOT(ISERROR(HLOOKUP(Standings!CV$3,Entries!$C43:$K43,1,FALSE))),"x",IF(NOT(ISERROR(HLOOKUP(Standings!CV$3,Entries!$L43:$L43,1,FALSE))),"S",""))</f>
        <v/>
      </c>
      <c r="CW32" t="str">
        <f>IF(NOT(ISERROR(HLOOKUP(Standings!CW$3,Entries!$C43:$K43,1,FALSE))),"x",IF(NOT(ISERROR(HLOOKUP(Standings!CW$3,Entries!$L43:$L43,1,FALSE))),"S",""))</f>
        <v/>
      </c>
      <c r="CX32" t="str">
        <f>IF(NOT(ISERROR(HLOOKUP(Standings!CX$3,Entries!$C43:$K43,1,FALSE))),"x",IF(NOT(ISERROR(HLOOKUP(Standings!CX$3,Entries!$L43:$L43,1,FALSE))),"S",""))</f>
        <v/>
      </c>
      <c r="CY32" t="str">
        <f>IF(NOT(ISERROR(HLOOKUP(Standings!CY$3,Entries!$C43:$K43,1,FALSE))),"x",IF(NOT(ISERROR(HLOOKUP(Standings!CY$3,Entries!$L43:$L43,1,FALSE))),"S",""))</f>
        <v/>
      </c>
      <c r="CZ32" t="str">
        <f>IF(NOT(ISERROR(HLOOKUP(Standings!CZ$3,Entries!$C43:$K43,1,FALSE))),"x",IF(NOT(ISERROR(HLOOKUP(Standings!CZ$3,Entries!$L43:$L43,1,FALSE))),"S",""))</f>
        <v/>
      </c>
      <c r="DA32" t="str">
        <f>IF(NOT(ISERROR(HLOOKUP(Standings!DA$3,Entries!$C43:$K43,1,FALSE))),"x",IF(NOT(ISERROR(HLOOKUP(Standings!DA$3,Entries!$L43:$L43,1,FALSE))),"S",""))</f>
        <v/>
      </c>
      <c r="DB32" t="str">
        <f>IF(NOT(ISERROR(HLOOKUP(Standings!DB$3,Entries!$C43:$K43,1,FALSE))),"x",IF(NOT(ISERROR(HLOOKUP(Standings!DB$3,Entries!$L43:$L43,1,FALSE))),"S",""))</f>
        <v/>
      </c>
    </row>
    <row r="33" spans="1:106" x14ac:dyDescent="0.25">
      <c r="A33" s="18"/>
      <c r="B33">
        <v>35</v>
      </c>
      <c r="C33" t="str">
        <f>Entries!B46</f>
        <v>John Lindlof</v>
      </c>
      <c r="D33" s="4">
        <f>IF(C33="","",RANK(E33,$E$10:$E$111))</f>
        <v>21</v>
      </c>
      <c r="E33" s="31">
        <f>IF(C33="","",ROUND(SUM(F33:AK33),0))</f>
        <v>5</v>
      </c>
      <c r="F33" s="40" t="str">
        <f>IF(BG33="","",IF(BG33="x",F$6,0)+IF(BG33="S",-F$6-0.00001,0))</f>
        <v/>
      </c>
      <c r="G33" s="41" t="str">
        <f>IF(BH33="","",IF(BH33="x",G$6,0)+IF(BH33="S",-G$6-0.00001,0))</f>
        <v/>
      </c>
      <c r="H33" s="41">
        <f>IF(BI33="","",IF(BI33="x",H$6,0)+IF(BI33="S",-H$6-0.00001,0))</f>
        <v>2</v>
      </c>
      <c r="I33" s="42" t="str">
        <f>IF(BJ33="","",IF(BJ33="x",I$6,0)+IF(BJ33="S",-I$6-0.00001,0))</f>
        <v/>
      </c>
      <c r="J33" s="40" t="str">
        <f>IF(BK33="","",IF(BK33="x",J$6,0)+IF(BK33="S",-J$6-0.00001,0))</f>
        <v/>
      </c>
      <c r="K33" s="41" t="str">
        <f>IF(BL33="","",IF(BL33="x",K$6,0)+IF(BL33="S",-K$6-0.00001,0))</f>
        <v/>
      </c>
      <c r="L33" s="41" t="str">
        <f>IF(BM33="","",IF(BM33="x",L$6,0)+IF(BM33="S",-L$6-0.00001,0))</f>
        <v/>
      </c>
      <c r="M33" s="42" t="str">
        <f>IF(BN33="","",IF(BN33="x",M$6,0)+IF(BN33="S",-M$6-0.00001,0))</f>
        <v/>
      </c>
      <c r="N33" s="43" t="str">
        <f>IF(BO33="","",IF(BO33="x",N$6,0)+IF(BO33="S",-N$6-0.00001,0))</f>
        <v/>
      </c>
      <c r="O33" s="41" t="str">
        <f>IF(BP33="","",IF(BP33="x",O$6,0)+IF(BP33="S",-O$6-0.00001,0))</f>
        <v/>
      </c>
      <c r="P33" s="41" t="str">
        <f>IF(BQ33="","",IF(BQ33="x",P$6,0)+IF(BQ33="S",-P$6-0.00001,0))</f>
        <v/>
      </c>
      <c r="Q33" s="42" t="str">
        <f>IF(BR33="","",IF(BR33="x",Q$6,0)+IF(BR33="S",-Q$6-0.00001,0))</f>
        <v/>
      </c>
      <c r="R33" s="40">
        <f>IF(BS33="","",IF(BS33="x",R$6,0)+IF(BS33="S",-R$6-0.00001,0))</f>
        <v>2</v>
      </c>
      <c r="S33" s="41" t="str">
        <f>IF(BT33="","",IF(BT33="x",S$6,0)+IF(BT33="S",-S$6-0.00001,0))</f>
        <v/>
      </c>
      <c r="T33" s="43" t="str">
        <f>IF(BU33="","",IF(BU33="x",T$6,0)+IF(BU33="S",-T$6-0.00001,0))</f>
        <v/>
      </c>
      <c r="U33" s="42" t="str">
        <f>IF(BV33="","",IF(BV33="x",U$6,0)+IF(BV33="S",-U$6-0.00001,0))</f>
        <v/>
      </c>
      <c r="V33" s="40" t="str">
        <f>IF(BW33="","",IF(BW33="x",V$6,0)+IF(BW33="S",-V$6-0.00001,0))</f>
        <v/>
      </c>
      <c r="W33" s="41" t="str">
        <f>IF(BX33="","",IF(BX33="x",W$6,0)+IF(BX33="S",-W$6-0.00001,0))</f>
        <v/>
      </c>
      <c r="X33" s="41" t="str">
        <f>IF(BY33="","",IF(BY33="x",X$6,0)+IF(BY33="S",-X$6-0.00001,0))</f>
        <v/>
      </c>
      <c r="Y33" s="42">
        <f>IF(BZ33="","",IF(BZ33="x",Y$6,0)+IF(BZ33="S",-Y$6-0.00001,0))</f>
        <v>0</v>
      </c>
      <c r="Z33" s="40" t="str">
        <f>IF(CA33="","",IF(CA33="x",Z$6,0)+IF(CA33="S",-Z$6-0.00001,0))</f>
        <v/>
      </c>
      <c r="AA33" s="41">
        <f>IF(CB33="","",IF(CB33="x",AA$6,0)+IF(CB33="S",-AA$6-0.00001,0))</f>
        <v>1</v>
      </c>
      <c r="AB33" s="41" t="str">
        <f>IF(CC33="","",IF(CC33="x",AB$6,0)+IF(CC33="S",-AB$6-0.00001,0))</f>
        <v/>
      </c>
      <c r="AC33" s="42" t="str">
        <f>IF(CD33="","",IF(CD33="x",AC$6,0)+IF(CD33="S",-AC$6-0.00001,0))</f>
        <v/>
      </c>
      <c r="AD33" s="40" t="str">
        <f>IF(CE33="","",IF(CE33="x",AD$6,0)+IF(CE33="S",-AD$6-0.00001,0))</f>
        <v/>
      </c>
      <c r="AE33" s="41" t="str">
        <f>IF(CF33="","",IF(CF33="x",AE$6,0)+IF(CF33="S",-AE$6-0.00001,0))</f>
        <v/>
      </c>
      <c r="AF33" s="41" t="str">
        <f>IF(CG33="","",IF(CG33="x",AF$6,0)+IF(CG33="S",-AF$6-0.00001,0))</f>
        <v/>
      </c>
      <c r="AG33" s="42" t="str">
        <f>IF(CH33="","",IF(CH33="x",AG$6,0)+IF(CH33="S",-AG$6-0.00001,0))</f>
        <v/>
      </c>
      <c r="AH33" s="40" t="str">
        <f>IF(CI33="","",IF(CI33="x",AH$6,0)+IF(CI33="S",-AH$6-0.00001,0))</f>
        <v/>
      </c>
      <c r="AI33" s="41" t="str">
        <f>IF(CJ33="","",IF(CJ33="x",AI$6,0)+IF(CJ33="S",-AI$6-0.00001,0))</f>
        <v/>
      </c>
      <c r="AJ33" s="41" t="str">
        <f>IF(CK33="","",IF(CK33="x",AJ$6,0)+IF(CK33="S",-AJ$6-0.00001,0))</f>
        <v/>
      </c>
      <c r="AK33" s="42" t="str">
        <f>IF(CL33="","",IF(CL33="x",AK$6,0)+IF(CL33="S",-AK$6-0.00001,0))</f>
        <v/>
      </c>
      <c r="AL33" s="40" t="str">
        <f>IF(CM33="","",IF(CM33="x",AL$6,0)+IF(CM33="S",-AL$6-0.00001,0))</f>
        <v/>
      </c>
      <c r="AM33" s="41">
        <f>IF(CN33="","",IF(CN33="x",AM$6,0)+IF(CN33="S",-AM$6-0.00001,0))</f>
        <v>0</v>
      </c>
      <c r="AN33" s="41" t="str">
        <f>IF(CO33="","",IF(CO33="x",AN$6,0)+IF(CO33="S",-AN$6-0.00001,0))</f>
        <v/>
      </c>
      <c r="AO33" s="42" t="str">
        <f>IF(CP33="","",IF(CP33="x",AO$6,0)+IF(CP33="S",-AO$6-0.00001,0))</f>
        <v/>
      </c>
      <c r="AP33" s="40" t="str">
        <f>IF(CQ33="","",IF(CQ33="x",AP$6,0)+IF(CQ33="S",-AP$6-0.00001,0))</f>
        <v/>
      </c>
      <c r="AQ33" s="41" t="str">
        <f>IF(CR33="","",IF(CR33="x",AQ$6,0)+IF(CR33="S",-AQ$6-0.00001,0))</f>
        <v/>
      </c>
      <c r="AR33" s="41" t="str">
        <f>IF(CS33="","",IF(CS33="x",AR$6,0)+IF(CS33="S",-AR$6-0.00001,0))</f>
        <v/>
      </c>
      <c r="AS33" s="42" t="str">
        <f>IF(CT33="","",IF(CT33="x",AS$6,0)+IF(CT33="S",-AS$6-0.00001,0))</f>
        <v/>
      </c>
      <c r="AT33" s="40" t="str">
        <f>IF(CU33="","",IF(CU33="x",AT$6,0)+IF(CU33="S",-AT$6-0.00001,0))</f>
        <v/>
      </c>
      <c r="AU33" s="41" t="str">
        <f>IF(CV33="","",IF(CV33="x",AU$6,0)+IF(CV33="S",-AU$6-0.00001,0))</f>
        <v/>
      </c>
      <c r="AV33" s="41" t="str">
        <f>IF(CW33="","",IF(CW33="x",AV$6,0)+IF(CW33="S",-AV$6-0.00001,0))</f>
        <v/>
      </c>
      <c r="AW33" s="42" t="str">
        <f>IF(CX33="","",IF(CX33="x",AW$6,0)+IF(CX33="S",-AW$6-0.00001,0))</f>
        <v/>
      </c>
      <c r="AX33" s="40" t="str">
        <f>IF(CY33="","",IF(CY33="x",AX$6,0)+IF(CY33="S",-AX$6-0.00001,0))</f>
        <v/>
      </c>
      <c r="AY33" s="41">
        <f>IF(CZ33="","",IF(CZ33="x",AY$6,0)+IF(CZ33="S",-AY$6-0.00001,0))</f>
        <v>0</v>
      </c>
      <c r="AZ33" s="41" t="str">
        <f>IF(DA33="","",IF(DA33="x",AZ$6,0)+IF(DA33="S",-AZ$6-0.00001,0))</f>
        <v/>
      </c>
      <c r="BA33" s="42" t="str">
        <f>IF(DB33="","",IF(DB33="x",BA$6,0)+IF(DB33="S",-BA$6-0.00001,0))</f>
        <v/>
      </c>
      <c r="BB33" s="37" t="s">
        <v>106</v>
      </c>
      <c r="BC33" s="21"/>
      <c r="BD33" s="21"/>
      <c r="BG33" t="str">
        <f>IF(NOT(ISERROR(HLOOKUP(Standings!BG$3,Entries!$C46:$K46,1,FALSE))),"x",IF(NOT(ISERROR(HLOOKUP(Standings!BG$3,Entries!$L46:$L46,1,FALSE))),"S",""))</f>
        <v/>
      </c>
      <c r="BH33" t="str">
        <f>IF(NOT(ISERROR(HLOOKUP(Standings!BH$3,Entries!$C46:$K46,1,FALSE))),"x",IF(NOT(ISERROR(HLOOKUP(Standings!BH$3,Entries!$L46:$L46,1,FALSE))),"S",""))</f>
        <v/>
      </c>
      <c r="BI33" t="str">
        <f>IF(NOT(ISERROR(HLOOKUP(Standings!BI$3,Entries!$C46:$K46,1,FALSE))),"x",IF(NOT(ISERROR(HLOOKUP(Standings!BI$3,Entries!$L46:$L46,1,FALSE))),"S",""))</f>
        <v>x</v>
      </c>
      <c r="BJ33" t="str">
        <f>IF(NOT(ISERROR(HLOOKUP(Standings!BJ$3,Entries!$C46:$K46,1,FALSE))),"x",IF(NOT(ISERROR(HLOOKUP(Standings!BJ$3,Entries!$L46:$L46,1,FALSE))),"S",""))</f>
        <v/>
      </c>
      <c r="BK33" t="str">
        <f>IF(NOT(ISERROR(HLOOKUP(Standings!BK$3,Entries!$C46:$K46,1,FALSE))),"x",IF(NOT(ISERROR(HLOOKUP(Standings!BK$3,Entries!$L46:$L46,1,FALSE))),"S",""))</f>
        <v/>
      </c>
      <c r="BL33" t="str">
        <f>IF(NOT(ISERROR(HLOOKUP(Standings!BL$3,Entries!$C46:$K46,1,FALSE))),"x",IF(NOT(ISERROR(HLOOKUP(Standings!BL$3,Entries!$L46:$L46,1,FALSE))),"S",""))</f>
        <v/>
      </c>
      <c r="BM33" t="str">
        <f>IF(NOT(ISERROR(HLOOKUP(Standings!BM$3,Entries!$C46:$K46,1,FALSE))),"x",IF(NOT(ISERROR(HLOOKUP(Standings!BM$3,Entries!$L46:$L46,1,FALSE))),"S",""))</f>
        <v/>
      </c>
      <c r="BN33" t="str">
        <f>IF(NOT(ISERROR(HLOOKUP(Standings!BN$3,Entries!$C46:$K46,1,FALSE))),"x",IF(NOT(ISERROR(HLOOKUP(Standings!BN$3,Entries!$L46:$L46,1,FALSE))),"S",""))</f>
        <v/>
      </c>
      <c r="BO33" t="str">
        <f>IF(NOT(ISERROR(HLOOKUP(Standings!BO$3,Entries!$C46:$K46,1,FALSE))),"x",IF(NOT(ISERROR(HLOOKUP(Standings!BO$3,Entries!$L46:$L46,1,FALSE))),"S",""))</f>
        <v/>
      </c>
      <c r="BP33" t="str">
        <f>IF(NOT(ISERROR(HLOOKUP(Standings!BP$3,Entries!$C46:$K46,1,FALSE))),"x",IF(NOT(ISERROR(HLOOKUP(Standings!BP$3,Entries!$L46:$L46,1,FALSE))),"S",""))</f>
        <v/>
      </c>
      <c r="BQ33" t="str">
        <f>IF(NOT(ISERROR(HLOOKUP(Standings!BQ$3,Entries!$C46:$K46,1,FALSE))),"x",IF(NOT(ISERROR(HLOOKUP(Standings!BQ$3,Entries!$L46:$L46,1,FALSE))),"S",""))</f>
        <v/>
      </c>
      <c r="BR33" t="str">
        <f>IF(NOT(ISERROR(HLOOKUP(Standings!BR$3,Entries!$C46:$K46,1,FALSE))),"x",IF(NOT(ISERROR(HLOOKUP(Standings!BR$3,Entries!$L46:$L46,1,FALSE))),"S",""))</f>
        <v/>
      </c>
      <c r="BS33" t="str">
        <f>IF(NOT(ISERROR(HLOOKUP(Standings!BS$3,Entries!$C46:$K46,1,FALSE))),"x",IF(NOT(ISERROR(HLOOKUP(Standings!BS$3,Entries!$L46:$L46,1,FALSE))),"S",""))</f>
        <v>x</v>
      </c>
      <c r="BT33" t="str">
        <f>IF(NOT(ISERROR(HLOOKUP(Standings!BT$3,Entries!$C46:$K46,1,FALSE))),"x",IF(NOT(ISERROR(HLOOKUP(Standings!BT$3,Entries!$L46:$L46,1,FALSE))),"S",""))</f>
        <v/>
      </c>
      <c r="BU33" t="str">
        <f>IF(NOT(ISERROR(HLOOKUP(Standings!BU$3,Entries!$C46:$K46,1,FALSE))),"x",IF(NOT(ISERROR(HLOOKUP(Standings!BU$3,Entries!$L46:$L46,1,FALSE))),"S",""))</f>
        <v/>
      </c>
      <c r="BV33" t="str">
        <f>IF(NOT(ISERROR(HLOOKUP(Standings!BV$3,Entries!$C46:$K46,1,FALSE))),"x",IF(NOT(ISERROR(HLOOKUP(Standings!BV$3,Entries!$L46:$L46,1,FALSE))),"S",""))</f>
        <v/>
      </c>
      <c r="BW33" t="str">
        <f>IF(NOT(ISERROR(HLOOKUP(Standings!BW$3,Entries!$C46:$K46,1,FALSE))),"x",IF(NOT(ISERROR(HLOOKUP(Standings!BW$3,Entries!$L46:$L46,1,FALSE))),"S",""))</f>
        <v/>
      </c>
      <c r="BX33" t="str">
        <f>IF(NOT(ISERROR(HLOOKUP(Standings!BX$3,Entries!$C46:$K46,1,FALSE))),"x",IF(NOT(ISERROR(HLOOKUP(Standings!BX$3,Entries!$L46:$L46,1,FALSE))),"S",""))</f>
        <v/>
      </c>
      <c r="BY33" t="str">
        <f>IF(NOT(ISERROR(HLOOKUP(Standings!BY$3,Entries!$C46:$K46,1,FALSE))),"x",IF(NOT(ISERROR(HLOOKUP(Standings!BY$3,Entries!$L46:$L46,1,FALSE))),"S",""))</f>
        <v/>
      </c>
      <c r="BZ33" t="str">
        <f>IF(NOT(ISERROR(HLOOKUP(Standings!BZ$3,Entries!$C46:$K46,1,FALSE))),"x",IF(NOT(ISERROR(HLOOKUP(Standings!BZ$3,Entries!$L46:$L46,1,FALSE))),"S",""))</f>
        <v>x</v>
      </c>
      <c r="CA33" t="str">
        <f>IF(NOT(ISERROR(HLOOKUP(Standings!CA$3,Entries!$C46:$K46,1,FALSE))),"x",IF(NOT(ISERROR(HLOOKUP(Standings!CA$3,Entries!$L46:$L46,1,FALSE))),"S",""))</f>
        <v/>
      </c>
      <c r="CB33" t="str">
        <f>IF(NOT(ISERROR(HLOOKUP(Standings!CB$3,Entries!$C46:$K46,1,FALSE))),"x",IF(NOT(ISERROR(HLOOKUP(Standings!CB$3,Entries!$L46:$L46,1,FALSE))),"S",""))</f>
        <v>x</v>
      </c>
      <c r="CC33" t="str">
        <f>IF(NOT(ISERROR(HLOOKUP(Standings!CC$3,Entries!$C46:$K46,1,FALSE))),"x",IF(NOT(ISERROR(HLOOKUP(Standings!CC$3,Entries!$L46:$L46,1,FALSE))),"S",""))</f>
        <v/>
      </c>
      <c r="CD33" t="str">
        <f>IF(NOT(ISERROR(HLOOKUP(Standings!CD$3,Entries!$C46:$K46,1,FALSE))),"x",IF(NOT(ISERROR(HLOOKUP(Standings!CD$3,Entries!$L46:$L46,1,FALSE))),"S",""))</f>
        <v/>
      </c>
      <c r="CE33" t="str">
        <f>IF(NOT(ISERROR(HLOOKUP(Standings!CE$3,Entries!$C46:$K46,1,FALSE))),"x",IF(NOT(ISERROR(HLOOKUP(Standings!CE$3,Entries!$L46:$L46,1,FALSE))),"S",""))</f>
        <v/>
      </c>
      <c r="CF33" t="str">
        <f>IF(NOT(ISERROR(HLOOKUP(Standings!CF$3,Entries!$C46:$K46,1,FALSE))),"x",IF(NOT(ISERROR(HLOOKUP(Standings!CF$3,Entries!$L46:$L46,1,FALSE))),"S",""))</f>
        <v/>
      </c>
      <c r="CG33" t="str">
        <f>IF(NOT(ISERROR(HLOOKUP(Standings!CG$3,Entries!$C46:$K46,1,FALSE))),"x",IF(NOT(ISERROR(HLOOKUP(Standings!CG$3,Entries!$L46:$L46,1,FALSE))),"S",""))</f>
        <v/>
      </c>
      <c r="CH33" t="str">
        <f>IF(NOT(ISERROR(HLOOKUP(Standings!CH$3,Entries!$C46:$K46,1,FALSE))),"x",IF(NOT(ISERROR(HLOOKUP(Standings!CH$3,Entries!$L46:$L46,1,FALSE))),"S",""))</f>
        <v/>
      </c>
      <c r="CI33" t="str">
        <f>IF(NOT(ISERROR(HLOOKUP(Standings!CI$3,Entries!$C46:$K46,1,FALSE))),"x",IF(NOT(ISERROR(HLOOKUP(Standings!CI$3,Entries!$L46:$L46,1,FALSE))),"S",""))</f>
        <v/>
      </c>
      <c r="CJ33" t="str">
        <f>IF(NOT(ISERROR(HLOOKUP(Standings!CJ$3,Entries!$C46:$K46,1,FALSE))),"x",IF(NOT(ISERROR(HLOOKUP(Standings!CJ$3,Entries!$L46:$L46,1,FALSE))),"S",""))</f>
        <v/>
      </c>
      <c r="CK33" t="str">
        <f>IF(NOT(ISERROR(HLOOKUP(Standings!CK$3,Entries!$C46:$K46,1,FALSE))),"x",IF(NOT(ISERROR(HLOOKUP(Standings!CK$3,Entries!$L46:$L46,1,FALSE))),"S",""))</f>
        <v/>
      </c>
      <c r="CL33" t="str">
        <f>IF(NOT(ISERROR(HLOOKUP(Standings!CL$3,Entries!$C46:$K46,1,FALSE))),"x",IF(NOT(ISERROR(HLOOKUP(Standings!CL$3,Entries!$L46:$L46,1,FALSE))),"S",""))</f>
        <v/>
      </c>
      <c r="CM33" t="str">
        <f>IF(NOT(ISERROR(HLOOKUP(Standings!CM$3,Entries!$C46:$K46,1,FALSE))),"x",IF(NOT(ISERROR(HLOOKUP(Standings!CM$3,Entries!$L46:$L46,1,FALSE))),"S",""))</f>
        <v/>
      </c>
      <c r="CN33" t="str">
        <f>IF(NOT(ISERROR(HLOOKUP(Standings!CN$3,Entries!$C46:$K46,1,FALSE))),"x",IF(NOT(ISERROR(HLOOKUP(Standings!CN$3,Entries!$L46:$L46,1,FALSE))),"S",""))</f>
        <v>x</v>
      </c>
      <c r="CO33" t="str">
        <f>IF(NOT(ISERROR(HLOOKUP(Standings!CO$3,Entries!$C46:$K46,1,FALSE))),"x",IF(NOT(ISERROR(HLOOKUP(Standings!CO$3,Entries!$L46:$L46,1,FALSE))),"S",""))</f>
        <v/>
      </c>
      <c r="CP33" t="str">
        <f>IF(NOT(ISERROR(HLOOKUP(Standings!CP$3,Entries!$C46:$K46,1,FALSE))),"x",IF(NOT(ISERROR(HLOOKUP(Standings!CP$3,Entries!$L46:$L46,1,FALSE))),"S",""))</f>
        <v/>
      </c>
      <c r="CQ33" t="str">
        <f>IF(NOT(ISERROR(HLOOKUP(Standings!CQ$3,Entries!$C46:$K46,1,FALSE))),"x",IF(NOT(ISERROR(HLOOKUP(Standings!CQ$3,Entries!$L46:$L46,1,FALSE))),"S",""))</f>
        <v/>
      </c>
      <c r="CR33" t="str">
        <f>IF(NOT(ISERROR(HLOOKUP(Standings!CR$3,Entries!$C46:$K46,1,FALSE))),"x",IF(NOT(ISERROR(HLOOKUP(Standings!CR$3,Entries!$L46:$L46,1,FALSE))),"S",""))</f>
        <v/>
      </c>
      <c r="CS33" t="str">
        <f>IF(NOT(ISERROR(HLOOKUP(Standings!CS$3,Entries!$C46:$K46,1,FALSE))),"x",IF(NOT(ISERROR(HLOOKUP(Standings!CS$3,Entries!$L46:$L46,1,FALSE))),"S",""))</f>
        <v/>
      </c>
      <c r="CT33" t="str">
        <f>IF(NOT(ISERROR(HLOOKUP(Standings!CT$3,Entries!$C46:$K46,1,FALSE))),"x",IF(NOT(ISERROR(HLOOKUP(Standings!CT$3,Entries!$L46:$L46,1,FALSE))),"S",""))</f>
        <v/>
      </c>
      <c r="CU33" t="str">
        <f>IF(NOT(ISERROR(HLOOKUP(Standings!CU$3,Entries!$C46:$K46,1,FALSE))),"x",IF(NOT(ISERROR(HLOOKUP(Standings!CU$3,Entries!$L46:$L46,1,FALSE))),"S",""))</f>
        <v/>
      </c>
      <c r="CV33" t="str">
        <f>IF(NOT(ISERROR(HLOOKUP(Standings!CV$3,Entries!$C46:$K46,1,FALSE))),"x",IF(NOT(ISERROR(HLOOKUP(Standings!CV$3,Entries!$L46:$L46,1,FALSE))),"S",""))</f>
        <v/>
      </c>
      <c r="CW33" t="str">
        <f>IF(NOT(ISERROR(HLOOKUP(Standings!CW$3,Entries!$C46:$K46,1,FALSE))),"x",IF(NOT(ISERROR(HLOOKUP(Standings!CW$3,Entries!$L46:$L46,1,FALSE))),"S",""))</f>
        <v/>
      </c>
      <c r="CX33" t="str">
        <f>IF(NOT(ISERROR(HLOOKUP(Standings!CX$3,Entries!$C46:$K46,1,FALSE))),"x",IF(NOT(ISERROR(HLOOKUP(Standings!CX$3,Entries!$L46:$L46,1,FALSE))),"S",""))</f>
        <v/>
      </c>
      <c r="CY33" t="str">
        <f>IF(NOT(ISERROR(HLOOKUP(Standings!CY$3,Entries!$C46:$K46,1,FALSE))),"x",IF(NOT(ISERROR(HLOOKUP(Standings!CY$3,Entries!$L46:$L46,1,FALSE))),"S",""))</f>
        <v/>
      </c>
      <c r="CZ33" t="str">
        <f>IF(NOT(ISERROR(HLOOKUP(Standings!CZ$3,Entries!$C46:$K46,1,FALSE))),"x",IF(NOT(ISERROR(HLOOKUP(Standings!CZ$3,Entries!$L46:$L46,1,FALSE))),"S",""))</f>
        <v>x</v>
      </c>
      <c r="DA33" t="str">
        <f>IF(NOT(ISERROR(HLOOKUP(Standings!DA$3,Entries!$C46:$K46,1,FALSE))),"x",IF(NOT(ISERROR(HLOOKUP(Standings!DA$3,Entries!$L46:$L46,1,FALSE))),"S",""))</f>
        <v/>
      </c>
      <c r="DB33" t="str">
        <f>IF(NOT(ISERROR(HLOOKUP(Standings!DB$3,Entries!$C46:$K46,1,FALSE))),"x",IF(NOT(ISERROR(HLOOKUP(Standings!DB$3,Entries!$L46:$L46,1,FALSE))),"S",""))</f>
        <v/>
      </c>
    </row>
    <row r="34" spans="1:106" x14ac:dyDescent="0.25">
      <c r="B34">
        <v>71</v>
      </c>
      <c r="C34" t="str">
        <f>Entries!B51</f>
        <v>Tony M Pick 2</v>
      </c>
      <c r="D34" s="4">
        <f>IF(C34="","",RANK(E34,$E$10:$E$111))</f>
        <v>21</v>
      </c>
      <c r="E34" s="31">
        <f>IF(C34="","",ROUND(SUM(F34:AK34),0))</f>
        <v>5</v>
      </c>
      <c r="F34" s="40" t="str">
        <f>IF(BG34="","",IF(BG34="x",F$6,0)+IF(BG34="S",-F$6-0.00001,0))</f>
        <v/>
      </c>
      <c r="G34" s="41" t="str">
        <f>IF(BH34="","",IF(BH34="x",G$6,0)+IF(BH34="S",-G$6-0.00001,0))</f>
        <v/>
      </c>
      <c r="H34" s="41">
        <f>IF(BI34="","",IF(BI34="x",H$6,0)+IF(BI34="S",-H$6-0.00001,0))</f>
        <v>2</v>
      </c>
      <c r="I34" s="42" t="str">
        <f>IF(BJ34="","",IF(BJ34="x",I$6,0)+IF(BJ34="S",-I$6-0.00001,0))</f>
        <v/>
      </c>
      <c r="J34" s="40" t="str">
        <f>IF(BK34="","",IF(BK34="x",J$6,0)+IF(BK34="S",-J$6-0.00001,0))</f>
        <v/>
      </c>
      <c r="K34" s="41" t="str">
        <f>IF(BL34="","",IF(BL34="x",K$6,0)+IF(BL34="S",-K$6-0.00001,0))</f>
        <v/>
      </c>
      <c r="L34" s="41" t="str">
        <f>IF(BM34="","",IF(BM34="x",L$6,0)+IF(BM34="S",-L$6-0.00001,0))</f>
        <v/>
      </c>
      <c r="M34" s="42" t="str">
        <f>IF(BN34="","",IF(BN34="x",M$6,0)+IF(BN34="S",-M$6-0.00001,0))</f>
        <v/>
      </c>
      <c r="N34" s="43" t="str">
        <f>IF(BO34="","",IF(BO34="x",N$6,0)+IF(BO34="S",-N$6-0.00001,0))</f>
        <v/>
      </c>
      <c r="O34" s="41">
        <f>IF(BP34="","",IF(BP34="x",O$6,0)+IF(BP34="S",-O$6-0.00001,0))</f>
        <v>1</v>
      </c>
      <c r="P34" s="41" t="str">
        <f>IF(BQ34="","",IF(BQ34="x",P$6,0)+IF(BQ34="S",-P$6-0.00001,0))</f>
        <v/>
      </c>
      <c r="Q34" s="42" t="str">
        <f>IF(BR34="","",IF(BR34="x",Q$6,0)+IF(BR34="S",-Q$6-0.00001,0))</f>
        <v/>
      </c>
      <c r="R34" s="40" t="str">
        <f>IF(BS34="","",IF(BS34="x",R$6,0)+IF(BS34="S",-R$6-0.00001,0))</f>
        <v/>
      </c>
      <c r="S34" s="41" t="str">
        <f>IF(BT34="","",IF(BT34="x",S$6,0)+IF(BT34="S",-S$6-0.00001,0))</f>
        <v/>
      </c>
      <c r="T34" s="43" t="str">
        <f>IF(BU34="","",IF(BU34="x",T$6,0)+IF(BU34="S",-T$6-0.00001,0))</f>
        <v/>
      </c>
      <c r="U34" s="42" t="str">
        <f>IF(BV34="","",IF(BV34="x",U$6,0)+IF(BV34="S",-U$6-0.00001,0))</f>
        <v/>
      </c>
      <c r="V34" s="40" t="str">
        <f>IF(BW34="","",IF(BW34="x",V$6,0)+IF(BW34="S",-V$6-0.00001,0))</f>
        <v/>
      </c>
      <c r="W34" s="41" t="str">
        <f>IF(BX34="","",IF(BX34="x",W$6,0)+IF(BX34="S",-W$6-0.00001,0))</f>
        <v/>
      </c>
      <c r="X34" s="41" t="str">
        <f>IF(BY34="","",IF(BY34="x",X$6,0)+IF(BY34="S",-X$6-0.00001,0))</f>
        <v/>
      </c>
      <c r="Y34" s="42" t="str">
        <f>IF(BZ34="","",IF(BZ34="x",Y$6,0)+IF(BZ34="S",-Y$6-0.00001,0))</f>
        <v/>
      </c>
      <c r="Z34" s="40" t="str">
        <f>IF(CA34="","",IF(CA34="x",Z$6,0)+IF(CA34="S",-Z$6-0.00001,0))</f>
        <v/>
      </c>
      <c r="AA34" s="41" t="str">
        <f>IF(CB34="","",IF(CB34="x",AA$6,0)+IF(CB34="S",-AA$6-0.00001,0))</f>
        <v/>
      </c>
      <c r="AB34" s="41" t="str">
        <f>IF(CC34="","",IF(CC34="x",AB$6,0)+IF(CC34="S",-AB$6-0.00001,0))</f>
        <v/>
      </c>
      <c r="AC34" s="42" t="str">
        <f>IF(CD34="","",IF(CD34="x",AC$6,0)+IF(CD34="S",-AC$6-0.00001,0))</f>
        <v/>
      </c>
      <c r="AD34" s="40">
        <f>IF(CE34="","",IF(CE34="x",AD$6,0)+IF(CE34="S",-AD$6-0.00001,0))</f>
        <v>1</v>
      </c>
      <c r="AE34" s="41" t="str">
        <f>IF(CF34="","",IF(CF34="x",AE$6,0)+IF(CF34="S",-AE$6-0.00001,0))</f>
        <v/>
      </c>
      <c r="AF34" s="41" t="str">
        <f>IF(CG34="","",IF(CG34="x",AF$6,0)+IF(CG34="S",-AF$6-0.00001,0))</f>
        <v/>
      </c>
      <c r="AG34" s="42" t="str">
        <f>IF(CH34="","",IF(CH34="x",AG$6,0)+IF(CH34="S",-AG$6-0.00001,0))</f>
        <v/>
      </c>
      <c r="AH34" s="40">
        <f>IF(CI34="","",IF(CI34="x",AH$6,0)+IF(CI34="S",-AH$6-0.00001,0))</f>
        <v>1</v>
      </c>
      <c r="AI34" s="41" t="str">
        <f>IF(CJ34="","",IF(CJ34="x",AI$6,0)+IF(CJ34="S",-AI$6-0.00001,0))</f>
        <v/>
      </c>
      <c r="AJ34" s="41" t="str">
        <f>IF(CK34="","",IF(CK34="x",AJ$6,0)+IF(CK34="S",-AJ$6-0.00001,0))</f>
        <v/>
      </c>
      <c r="AK34" s="42" t="str">
        <f>IF(CL34="","",IF(CL34="x",AK$6,0)+IF(CL34="S",-AK$6-0.00001,0))</f>
        <v/>
      </c>
      <c r="AL34" s="40" t="str">
        <f>IF(CM34="","",IF(CM34="x",AL$6,0)+IF(CM34="S",-AL$6-0.00001,0))</f>
        <v/>
      </c>
      <c r="AM34" s="41" t="str">
        <f>IF(CN34="","",IF(CN34="x",AM$6,0)+IF(CN34="S",-AM$6-0.00001,0))</f>
        <v/>
      </c>
      <c r="AN34" s="41" t="str">
        <f>IF(CO34="","",IF(CO34="x",AN$6,0)+IF(CO34="S",-AN$6-0.00001,0))</f>
        <v/>
      </c>
      <c r="AO34" s="42" t="str">
        <f>IF(CP34="","",IF(CP34="x",AO$6,0)+IF(CP34="S",-AO$6-0.00001,0))</f>
        <v/>
      </c>
      <c r="AP34" s="40">
        <f>IF(CQ34="","",IF(CQ34="x",AP$6,0)+IF(CQ34="S",-AP$6-0.00001,0))</f>
        <v>-1.0000000000000001E-5</v>
      </c>
      <c r="AQ34" s="41" t="str">
        <f>IF(CR34="","",IF(CR34="x",AQ$6,0)+IF(CR34="S",-AQ$6-0.00001,0))</f>
        <v/>
      </c>
      <c r="AR34" s="41">
        <f>IF(CS34="","",IF(CS34="x",AR$6,0)+IF(CS34="S",-AR$6-0.00001,0))</f>
        <v>0</v>
      </c>
      <c r="AS34" s="42" t="str">
        <f>IF(CT34="","",IF(CT34="x",AS$6,0)+IF(CT34="S",-AS$6-0.00001,0))</f>
        <v/>
      </c>
      <c r="AT34" s="40" t="str">
        <f>IF(CU34="","",IF(CU34="x",AT$6,0)+IF(CU34="S",-AT$6-0.00001,0))</f>
        <v/>
      </c>
      <c r="AU34" s="41" t="str">
        <f>IF(CV34="","",IF(CV34="x",AU$6,0)+IF(CV34="S",-AU$6-0.00001,0))</f>
        <v/>
      </c>
      <c r="AV34" s="41" t="str">
        <f>IF(CW34="","",IF(CW34="x",AV$6,0)+IF(CW34="S",-AV$6-0.00001,0))</f>
        <v/>
      </c>
      <c r="AW34" s="42" t="str">
        <f>IF(CX34="","",IF(CX34="x",AW$6,0)+IF(CX34="S",-AW$6-0.00001,0))</f>
        <v/>
      </c>
      <c r="AX34" s="40" t="str">
        <f>IF(CY34="","",IF(CY34="x",AX$6,0)+IF(CY34="S",-AX$6-0.00001,0))</f>
        <v/>
      </c>
      <c r="AY34" s="41" t="str">
        <f>IF(CZ34="","",IF(CZ34="x",AY$6,0)+IF(CZ34="S",-AY$6-0.00001,0))</f>
        <v/>
      </c>
      <c r="AZ34" s="41" t="str">
        <f>IF(DA34="","",IF(DA34="x",AZ$6,0)+IF(DA34="S",-AZ$6-0.00001,0))</f>
        <v/>
      </c>
      <c r="BA34" s="42" t="str">
        <f>IF(DB34="","",IF(DB34="x",BA$6,0)+IF(DB34="S",-BA$6-0.00001,0))</f>
        <v/>
      </c>
      <c r="BB34" s="37" t="s">
        <v>106</v>
      </c>
      <c r="BC34" s="21"/>
      <c r="BD34" s="21"/>
      <c r="BG34" t="str">
        <f>IF(NOT(ISERROR(HLOOKUP(Standings!BG$3,Entries!$C51:$K51,1,FALSE))),"x",IF(NOT(ISERROR(HLOOKUP(Standings!BG$3,Entries!$L51:$L51,1,FALSE))),"S",""))</f>
        <v/>
      </c>
      <c r="BH34" t="str">
        <f>IF(NOT(ISERROR(HLOOKUP(Standings!BH$3,Entries!$C51:$K51,1,FALSE))),"x",IF(NOT(ISERROR(HLOOKUP(Standings!BH$3,Entries!$L51:$L51,1,FALSE))),"S",""))</f>
        <v/>
      </c>
      <c r="BI34" t="str">
        <f>IF(NOT(ISERROR(HLOOKUP(Standings!BI$3,Entries!$C51:$K51,1,FALSE))),"x",IF(NOT(ISERROR(HLOOKUP(Standings!BI$3,Entries!$L51:$L51,1,FALSE))),"S",""))</f>
        <v>x</v>
      </c>
      <c r="BJ34" t="str">
        <f>IF(NOT(ISERROR(HLOOKUP(Standings!BJ$3,Entries!$C51:$K51,1,FALSE))),"x",IF(NOT(ISERROR(HLOOKUP(Standings!BJ$3,Entries!$L51:$L51,1,FALSE))),"S",""))</f>
        <v/>
      </c>
      <c r="BK34" t="str">
        <f>IF(NOT(ISERROR(HLOOKUP(Standings!BK$3,Entries!$C51:$K51,1,FALSE))),"x",IF(NOT(ISERROR(HLOOKUP(Standings!BK$3,Entries!$L51:$L51,1,FALSE))),"S",""))</f>
        <v/>
      </c>
      <c r="BL34" t="str">
        <f>IF(NOT(ISERROR(HLOOKUP(Standings!BL$3,Entries!$C51:$K51,1,FALSE))),"x",IF(NOT(ISERROR(HLOOKUP(Standings!BL$3,Entries!$L51:$L51,1,FALSE))),"S",""))</f>
        <v/>
      </c>
      <c r="BM34" t="str">
        <f>IF(NOT(ISERROR(HLOOKUP(Standings!BM$3,Entries!$C51:$K51,1,FALSE))),"x",IF(NOT(ISERROR(HLOOKUP(Standings!BM$3,Entries!$L51:$L51,1,FALSE))),"S",""))</f>
        <v/>
      </c>
      <c r="BN34" t="str">
        <f>IF(NOT(ISERROR(HLOOKUP(Standings!BN$3,Entries!$C51:$K51,1,FALSE))),"x",IF(NOT(ISERROR(HLOOKUP(Standings!BN$3,Entries!$L51:$L51,1,FALSE))),"S",""))</f>
        <v/>
      </c>
      <c r="BO34" t="str">
        <f>IF(NOT(ISERROR(HLOOKUP(Standings!BO$3,Entries!$C51:$K51,1,FALSE))),"x",IF(NOT(ISERROR(HLOOKUP(Standings!BO$3,Entries!$L51:$L51,1,FALSE))),"S",""))</f>
        <v/>
      </c>
      <c r="BP34" t="str">
        <f>IF(NOT(ISERROR(HLOOKUP(Standings!BP$3,Entries!$C51:$K51,1,FALSE))),"x",IF(NOT(ISERROR(HLOOKUP(Standings!BP$3,Entries!$L51:$L51,1,FALSE))),"S",""))</f>
        <v>x</v>
      </c>
      <c r="BQ34" t="str">
        <f>IF(NOT(ISERROR(HLOOKUP(Standings!BQ$3,Entries!$C51:$K51,1,FALSE))),"x",IF(NOT(ISERROR(HLOOKUP(Standings!BQ$3,Entries!$L51:$L51,1,FALSE))),"S",""))</f>
        <v/>
      </c>
      <c r="BR34" t="str">
        <f>IF(NOT(ISERROR(HLOOKUP(Standings!BR$3,Entries!$C51:$K51,1,FALSE))),"x",IF(NOT(ISERROR(HLOOKUP(Standings!BR$3,Entries!$L51:$L51,1,FALSE))),"S",""))</f>
        <v/>
      </c>
      <c r="BS34" t="str">
        <f>IF(NOT(ISERROR(HLOOKUP(Standings!BS$3,Entries!$C51:$K51,1,FALSE))),"x",IF(NOT(ISERROR(HLOOKUP(Standings!BS$3,Entries!$L51:$L51,1,FALSE))),"S",""))</f>
        <v/>
      </c>
      <c r="BT34" t="str">
        <f>IF(NOT(ISERROR(HLOOKUP(Standings!BT$3,Entries!$C51:$K51,1,FALSE))),"x",IF(NOT(ISERROR(HLOOKUP(Standings!BT$3,Entries!$L51:$L51,1,FALSE))),"S",""))</f>
        <v/>
      </c>
      <c r="BU34" t="str">
        <f>IF(NOT(ISERROR(HLOOKUP(Standings!BU$3,Entries!$C51:$K51,1,FALSE))),"x",IF(NOT(ISERROR(HLOOKUP(Standings!BU$3,Entries!$L51:$L51,1,FALSE))),"S",""))</f>
        <v/>
      </c>
      <c r="BV34" t="str">
        <f>IF(NOT(ISERROR(HLOOKUP(Standings!BV$3,Entries!$C51:$K51,1,FALSE))),"x",IF(NOT(ISERROR(HLOOKUP(Standings!BV$3,Entries!$L51:$L51,1,FALSE))),"S",""))</f>
        <v/>
      </c>
      <c r="BW34" t="str">
        <f>IF(NOT(ISERROR(HLOOKUP(Standings!BW$3,Entries!$C51:$K51,1,FALSE))),"x",IF(NOT(ISERROR(HLOOKUP(Standings!BW$3,Entries!$L51:$L51,1,FALSE))),"S",""))</f>
        <v/>
      </c>
      <c r="BX34" t="str">
        <f>IF(NOT(ISERROR(HLOOKUP(Standings!BX$3,Entries!$C51:$K51,1,FALSE))),"x",IF(NOT(ISERROR(HLOOKUP(Standings!BX$3,Entries!$L51:$L51,1,FALSE))),"S",""))</f>
        <v/>
      </c>
      <c r="BY34" t="str">
        <f>IF(NOT(ISERROR(HLOOKUP(Standings!BY$3,Entries!$C51:$K51,1,FALSE))),"x",IF(NOT(ISERROR(HLOOKUP(Standings!BY$3,Entries!$L51:$L51,1,FALSE))),"S",""))</f>
        <v/>
      </c>
      <c r="BZ34" t="str">
        <f>IF(NOT(ISERROR(HLOOKUP(Standings!BZ$3,Entries!$C51:$K51,1,FALSE))),"x",IF(NOT(ISERROR(HLOOKUP(Standings!BZ$3,Entries!$L51:$L51,1,FALSE))),"S",""))</f>
        <v/>
      </c>
      <c r="CA34" t="str">
        <f>IF(NOT(ISERROR(HLOOKUP(Standings!CA$3,Entries!$C51:$K51,1,FALSE))),"x",IF(NOT(ISERROR(HLOOKUP(Standings!CA$3,Entries!$L51:$L51,1,FALSE))),"S",""))</f>
        <v/>
      </c>
      <c r="CB34" t="str">
        <f>IF(NOT(ISERROR(HLOOKUP(Standings!CB$3,Entries!$C51:$K51,1,FALSE))),"x",IF(NOT(ISERROR(HLOOKUP(Standings!CB$3,Entries!$L51:$L51,1,FALSE))),"S",""))</f>
        <v/>
      </c>
      <c r="CC34" t="str">
        <f>IF(NOT(ISERROR(HLOOKUP(Standings!CC$3,Entries!$C51:$K51,1,FALSE))),"x",IF(NOT(ISERROR(HLOOKUP(Standings!CC$3,Entries!$L51:$L51,1,FALSE))),"S",""))</f>
        <v/>
      </c>
      <c r="CD34" t="str">
        <f>IF(NOT(ISERROR(HLOOKUP(Standings!CD$3,Entries!$C51:$K51,1,FALSE))),"x",IF(NOT(ISERROR(HLOOKUP(Standings!CD$3,Entries!$L51:$L51,1,FALSE))),"S",""))</f>
        <v/>
      </c>
      <c r="CE34" t="str">
        <f>IF(NOT(ISERROR(HLOOKUP(Standings!CE$3,Entries!$C51:$K51,1,FALSE))),"x",IF(NOT(ISERROR(HLOOKUP(Standings!CE$3,Entries!$L51:$L51,1,FALSE))),"S",""))</f>
        <v>x</v>
      </c>
      <c r="CF34" t="str">
        <f>IF(NOT(ISERROR(HLOOKUP(Standings!CF$3,Entries!$C51:$K51,1,FALSE))),"x",IF(NOT(ISERROR(HLOOKUP(Standings!CF$3,Entries!$L51:$L51,1,FALSE))),"S",""))</f>
        <v/>
      </c>
      <c r="CG34" t="str">
        <f>IF(NOT(ISERROR(HLOOKUP(Standings!CG$3,Entries!$C51:$K51,1,FALSE))),"x",IF(NOT(ISERROR(HLOOKUP(Standings!CG$3,Entries!$L51:$L51,1,FALSE))),"S",""))</f>
        <v/>
      </c>
      <c r="CH34" t="str">
        <f>IF(NOT(ISERROR(HLOOKUP(Standings!CH$3,Entries!$C51:$K51,1,FALSE))),"x",IF(NOT(ISERROR(HLOOKUP(Standings!CH$3,Entries!$L51:$L51,1,FALSE))),"S",""))</f>
        <v/>
      </c>
      <c r="CI34" t="str">
        <f>IF(NOT(ISERROR(HLOOKUP(Standings!CI$3,Entries!$C51:$K51,1,FALSE))),"x",IF(NOT(ISERROR(HLOOKUP(Standings!CI$3,Entries!$L51:$L51,1,FALSE))),"S",""))</f>
        <v>x</v>
      </c>
      <c r="CJ34" t="str">
        <f>IF(NOT(ISERROR(HLOOKUP(Standings!CJ$3,Entries!$C51:$K51,1,FALSE))),"x",IF(NOT(ISERROR(HLOOKUP(Standings!CJ$3,Entries!$L51:$L51,1,FALSE))),"S",""))</f>
        <v/>
      </c>
      <c r="CK34" t="str">
        <f>IF(NOT(ISERROR(HLOOKUP(Standings!CK$3,Entries!$C51:$K51,1,FALSE))),"x",IF(NOT(ISERROR(HLOOKUP(Standings!CK$3,Entries!$L51:$L51,1,FALSE))),"S",""))</f>
        <v/>
      </c>
      <c r="CL34" t="str">
        <f>IF(NOT(ISERROR(HLOOKUP(Standings!CL$3,Entries!$C51:$K51,1,FALSE))),"x",IF(NOT(ISERROR(HLOOKUP(Standings!CL$3,Entries!$L51:$L51,1,FALSE))),"S",""))</f>
        <v/>
      </c>
      <c r="CM34" t="str">
        <f>IF(NOT(ISERROR(HLOOKUP(Standings!CM$3,Entries!$C51:$K51,1,FALSE))),"x",IF(NOT(ISERROR(HLOOKUP(Standings!CM$3,Entries!$L51:$L51,1,FALSE))),"S",""))</f>
        <v/>
      </c>
      <c r="CN34" t="str">
        <f>IF(NOT(ISERROR(HLOOKUP(Standings!CN$3,Entries!$C51:$K51,1,FALSE))),"x",IF(NOT(ISERROR(HLOOKUP(Standings!CN$3,Entries!$L51:$L51,1,FALSE))),"S",""))</f>
        <v/>
      </c>
      <c r="CO34" t="str">
        <f>IF(NOT(ISERROR(HLOOKUP(Standings!CO$3,Entries!$C51:$K51,1,FALSE))),"x",IF(NOT(ISERROR(HLOOKUP(Standings!CO$3,Entries!$L51:$L51,1,FALSE))),"S",""))</f>
        <v/>
      </c>
      <c r="CP34" t="str">
        <f>IF(NOT(ISERROR(HLOOKUP(Standings!CP$3,Entries!$C51:$K51,1,FALSE))),"x",IF(NOT(ISERROR(HLOOKUP(Standings!CP$3,Entries!$L51:$L51,1,FALSE))),"S",""))</f>
        <v/>
      </c>
      <c r="CQ34" t="str">
        <f>IF(NOT(ISERROR(HLOOKUP(Standings!CQ$3,Entries!$C51:$K51,1,FALSE))),"x",IF(NOT(ISERROR(HLOOKUP(Standings!CQ$3,Entries!$L51:$L51,1,FALSE))),"S",""))</f>
        <v>S</v>
      </c>
      <c r="CR34" t="str">
        <f>IF(NOT(ISERROR(HLOOKUP(Standings!CR$3,Entries!$C51:$K51,1,FALSE))),"x",IF(NOT(ISERROR(HLOOKUP(Standings!CR$3,Entries!$L51:$L51,1,FALSE))),"S",""))</f>
        <v/>
      </c>
      <c r="CS34" t="str">
        <f>IF(NOT(ISERROR(HLOOKUP(Standings!CS$3,Entries!$C51:$K51,1,FALSE))),"x",IF(NOT(ISERROR(HLOOKUP(Standings!CS$3,Entries!$L51:$L51,1,FALSE))),"S",""))</f>
        <v>x</v>
      </c>
      <c r="CT34" t="str">
        <f>IF(NOT(ISERROR(HLOOKUP(Standings!CT$3,Entries!$C51:$K51,1,FALSE))),"x",IF(NOT(ISERROR(HLOOKUP(Standings!CT$3,Entries!$L51:$L51,1,FALSE))),"S",""))</f>
        <v/>
      </c>
      <c r="CU34" t="str">
        <f>IF(NOT(ISERROR(HLOOKUP(Standings!CU$3,Entries!$C51:$K51,1,FALSE))),"x",IF(NOT(ISERROR(HLOOKUP(Standings!CU$3,Entries!$L51:$L51,1,FALSE))),"S",""))</f>
        <v/>
      </c>
      <c r="CV34" t="str">
        <f>IF(NOT(ISERROR(HLOOKUP(Standings!CV$3,Entries!$C51:$K51,1,FALSE))),"x",IF(NOT(ISERROR(HLOOKUP(Standings!CV$3,Entries!$L51:$L51,1,FALSE))),"S",""))</f>
        <v/>
      </c>
      <c r="CW34" t="str">
        <f>IF(NOT(ISERROR(HLOOKUP(Standings!CW$3,Entries!$C51:$K51,1,FALSE))),"x",IF(NOT(ISERROR(HLOOKUP(Standings!CW$3,Entries!$L51:$L51,1,FALSE))),"S",""))</f>
        <v/>
      </c>
      <c r="CX34" t="str">
        <f>IF(NOT(ISERROR(HLOOKUP(Standings!CX$3,Entries!$C51:$K51,1,FALSE))),"x",IF(NOT(ISERROR(HLOOKUP(Standings!CX$3,Entries!$L51:$L51,1,FALSE))),"S",""))</f>
        <v/>
      </c>
      <c r="CY34" t="str">
        <f>IF(NOT(ISERROR(HLOOKUP(Standings!CY$3,Entries!$C51:$K51,1,FALSE))),"x",IF(NOT(ISERROR(HLOOKUP(Standings!CY$3,Entries!$L51:$L51,1,FALSE))),"S",""))</f>
        <v/>
      </c>
      <c r="CZ34" t="str">
        <f>IF(NOT(ISERROR(HLOOKUP(Standings!CZ$3,Entries!$C51:$K51,1,FALSE))),"x",IF(NOT(ISERROR(HLOOKUP(Standings!CZ$3,Entries!$L51:$L51,1,FALSE))),"S",""))</f>
        <v/>
      </c>
      <c r="DA34" t="str">
        <f>IF(NOT(ISERROR(HLOOKUP(Standings!DA$3,Entries!$C51:$K51,1,FALSE))),"x",IF(NOT(ISERROR(HLOOKUP(Standings!DA$3,Entries!$L51:$L51,1,FALSE))),"S",""))</f>
        <v/>
      </c>
      <c r="DB34" t="str">
        <f>IF(NOT(ISERROR(HLOOKUP(Standings!DB$3,Entries!$C51:$K51,1,FALSE))),"x",IF(NOT(ISERROR(HLOOKUP(Standings!DB$3,Entries!$L51:$L51,1,FALSE))),"S",""))</f>
        <v/>
      </c>
    </row>
    <row r="35" spans="1:106" x14ac:dyDescent="0.25">
      <c r="B35">
        <v>65</v>
      </c>
      <c r="C35" t="str">
        <f>Entries!B60</f>
        <v>Brianco1</v>
      </c>
      <c r="D35" s="4">
        <f>IF(C35="","",RANK(E35,$E$10:$E$111))</f>
        <v>21</v>
      </c>
      <c r="E35" s="31">
        <f>IF(C35="","",ROUND(SUM(F35:AK35),0))</f>
        <v>5</v>
      </c>
      <c r="F35" s="40">
        <f>IF(BG35="","",IF(BG35="x",F$6,0)+IF(BG35="S",-F$6-0.00001,0))</f>
        <v>2</v>
      </c>
      <c r="G35" s="41" t="str">
        <f>IF(BH35="","",IF(BH35="x",G$6,0)+IF(BH35="S",-G$6-0.00001,0))</f>
        <v/>
      </c>
      <c r="H35" s="41" t="str">
        <f>IF(BI35="","",IF(BI35="x",H$6,0)+IF(BI35="S",-H$6-0.00001,0))</f>
        <v/>
      </c>
      <c r="I35" s="42" t="str">
        <f>IF(BJ35="","",IF(BJ35="x",I$6,0)+IF(BJ35="S",-I$6-0.00001,0))</f>
        <v/>
      </c>
      <c r="J35" s="40">
        <f>IF(BK35="","",IF(BK35="x",J$6,0)+IF(BK35="S",-J$6-0.00001,0))</f>
        <v>1</v>
      </c>
      <c r="K35" s="41" t="str">
        <f>IF(BL35="","",IF(BL35="x",K$6,0)+IF(BL35="S",-K$6-0.00001,0))</f>
        <v/>
      </c>
      <c r="L35" s="41" t="str">
        <f>IF(BM35="","",IF(BM35="x",L$6,0)+IF(BM35="S",-L$6-0.00001,0))</f>
        <v/>
      </c>
      <c r="M35" s="42" t="str">
        <f>IF(BN35="","",IF(BN35="x",M$6,0)+IF(BN35="S",-M$6-0.00001,0))</f>
        <v/>
      </c>
      <c r="N35" s="43" t="str">
        <f>IF(BO35="","",IF(BO35="x",N$6,0)+IF(BO35="S",-N$6-0.00001,0))</f>
        <v/>
      </c>
      <c r="O35" s="41" t="str">
        <f>IF(BP35="","",IF(BP35="x",O$6,0)+IF(BP35="S",-O$6-0.00001,0))</f>
        <v/>
      </c>
      <c r="P35" s="41" t="str">
        <f>IF(BQ35="","",IF(BQ35="x",P$6,0)+IF(BQ35="S",-P$6-0.00001,0))</f>
        <v/>
      </c>
      <c r="Q35" s="42" t="str">
        <f>IF(BR35="","",IF(BR35="x",Q$6,0)+IF(BR35="S",-Q$6-0.00001,0))</f>
        <v/>
      </c>
      <c r="R35" s="40">
        <f>IF(BS35="","",IF(BS35="x",R$6,0)+IF(BS35="S",-R$6-0.00001,0))</f>
        <v>2</v>
      </c>
      <c r="S35" s="41" t="str">
        <f>IF(BT35="","",IF(BT35="x",S$6,0)+IF(BT35="S",-S$6-0.00001,0))</f>
        <v/>
      </c>
      <c r="T35" s="43" t="str">
        <f>IF(BU35="","",IF(BU35="x",T$6,0)+IF(BU35="S",-T$6-0.00001,0))</f>
        <v/>
      </c>
      <c r="U35" s="42">
        <f>IF(BV35="","",IF(BV35="x",U$6,0)+IF(BV35="S",-U$6-0.00001,0))</f>
        <v>-1.0000000000000001E-5</v>
      </c>
      <c r="V35" s="40" t="str">
        <f>IF(BW35="","",IF(BW35="x",V$6,0)+IF(BW35="S",-V$6-0.00001,0))</f>
        <v/>
      </c>
      <c r="W35" s="41" t="str">
        <f>IF(BX35="","",IF(BX35="x",W$6,0)+IF(BX35="S",-W$6-0.00001,0))</f>
        <v/>
      </c>
      <c r="X35" s="41" t="str">
        <f>IF(BY35="","",IF(BY35="x",X$6,0)+IF(BY35="S",-X$6-0.00001,0))</f>
        <v/>
      </c>
      <c r="Y35" s="42" t="str">
        <f>IF(BZ35="","",IF(BZ35="x",Y$6,0)+IF(BZ35="S",-Y$6-0.00001,0))</f>
        <v/>
      </c>
      <c r="Z35" s="40" t="str">
        <f>IF(CA35="","",IF(CA35="x",Z$6,0)+IF(CA35="S",-Z$6-0.00001,0))</f>
        <v/>
      </c>
      <c r="AA35" s="41" t="str">
        <f>IF(CB35="","",IF(CB35="x",AA$6,0)+IF(CB35="S",-AA$6-0.00001,0))</f>
        <v/>
      </c>
      <c r="AB35" s="41" t="str">
        <f>IF(CC35="","",IF(CC35="x",AB$6,0)+IF(CC35="S",-AB$6-0.00001,0))</f>
        <v/>
      </c>
      <c r="AC35" s="42" t="str">
        <f>IF(CD35="","",IF(CD35="x",AC$6,0)+IF(CD35="S",-AC$6-0.00001,0))</f>
        <v/>
      </c>
      <c r="AD35" s="40" t="str">
        <f>IF(CE35="","",IF(CE35="x",AD$6,0)+IF(CE35="S",-AD$6-0.00001,0))</f>
        <v/>
      </c>
      <c r="AE35" s="41" t="str">
        <f>IF(CF35="","",IF(CF35="x",AE$6,0)+IF(CF35="S",-AE$6-0.00001,0))</f>
        <v/>
      </c>
      <c r="AF35" s="41" t="str">
        <f>IF(CG35="","",IF(CG35="x",AF$6,0)+IF(CG35="S",-AF$6-0.00001,0))</f>
        <v/>
      </c>
      <c r="AG35" s="42" t="str">
        <f>IF(CH35="","",IF(CH35="x",AG$6,0)+IF(CH35="S",-AG$6-0.00001,0))</f>
        <v/>
      </c>
      <c r="AH35" s="40" t="str">
        <f>IF(CI35="","",IF(CI35="x",AH$6,0)+IF(CI35="S",-AH$6-0.00001,0))</f>
        <v/>
      </c>
      <c r="AI35" s="41" t="str">
        <f>IF(CJ35="","",IF(CJ35="x",AI$6,0)+IF(CJ35="S",-AI$6-0.00001,0))</f>
        <v/>
      </c>
      <c r="AJ35" s="41" t="str">
        <f>IF(CK35="","",IF(CK35="x",AJ$6,0)+IF(CK35="S",-AJ$6-0.00001,0))</f>
        <v/>
      </c>
      <c r="AK35" s="42" t="str">
        <f>IF(CL35="","",IF(CL35="x",AK$6,0)+IF(CL35="S",-AK$6-0.00001,0))</f>
        <v/>
      </c>
      <c r="AL35" s="40" t="str">
        <f>IF(CM35="","",IF(CM35="x",AL$6,0)+IF(CM35="S",-AL$6-0.00001,0))</f>
        <v/>
      </c>
      <c r="AM35" s="41" t="str">
        <f>IF(CN35="","",IF(CN35="x",AM$6,0)+IF(CN35="S",-AM$6-0.00001,0))</f>
        <v/>
      </c>
      <c r="AN35" s="41" t="str">
        <f>IF(CO35="","",IF(CO35="x",AN$6,0)+IF(CO35="S",-AN$6-0.00001,0))</f>
        <v/>
      </c>
      <c r="AO35" s="42" t="str">
        <f>IF(CP35="","",IF(CP35="x",AO$6,0)+IF(CP35="S",-AO$6-0.00001,0))</f>
        <v/>
      </c>
      <c r="AP35" s="40" t="str">
        <f>IF(CQ35="","",IF(CQ35="x",AP$6,0)+IF(CQ35="S",-AP$6-0.00001,0))</f>
        <v/>
      </c>
      <c r="AQ35" s="41" t="str">
        <f>IF(CR35="","",IF(CR35="x",AQ$6,0)+IF(CR35="S",-AQ$6-0.00001,0))</f>
        <v/>
      </c>
      <c r="AR35" s="41" t="str">
        <f>IF(CS35="","",IF(CS35="x",AR$6,0)+IF(CS35="S",-AR$6-0.00001,0))</f>
        <v/>
      </c>
      <c r="AS35" s="42" t="str">
        <f>IF(CT35="","",IF(CT35="x",AS$6,0)+IF(CT35="S",-AS$6-0.00001,0))</f>
        <v/>
      </c>
      <c r="AT35" s="40">
        <f>IF(CU35="","",IF(CU35="x",AT$6,0)+IF(CU35="S",-AT$6-0.00001,0))</f>
        <v>0</v>
      </c>
      <c r="AU35" s="41" t="str">
        <f>IF(CV35="","",IF(CV35="x",AU$6,0)+IF(CV35="S",-AU$6-0.00001,0))</f>
        <v/>
      </c>
      <c r="AV35" s="41" t="str">
        <f>IF(CW35="","",IF(CW35="x",AV$6,0)+IF(CW35="S",-AV$6-0.00001,0))</f>
        <v/>
      </c>
      <c r="AW35" s="42" t="str">
        <f>IF(CX35="","",IF(CX35="x",AW$6,0)+IF(CX35="S",-AW$6-0.00001,0))</f>
        <v/>
      </c>
      <c r="AX35" s="40" t="str">
        <f>IF(CY35="","",IF(CY35="x",AX$6,0)+IF(CY35="S",-AX$6-0.00001,0))</f>
        <v/>
      </c>
      <c r="AY35" s="41" t="str">
        <f>IF(CZ35="","",IF(CZ35="x",AY$6,0)+IF(CZ35="S",-AY$6-0.00001,0))</f>
        <v/>
      </c>
      <c r="AZ35" s="41" t="str">
        <f>IF(DA35="","",IF(DA35="x",AZ$6,0)+IF(DA35="S",-AZ$6-0.00001,0))</f>
        <v/>
      </c>
      <c r="BA35" s="42" t="str">
        <f>IF(DB35="","",IF(DB35="x",BA$6,0)+IF(DB35="S",-BA$6-0.00001,0))</f>
        <v/>
      </c>
      <c r="BB35" s="37" t="s">
        <v>106</v>
      </c>
      <c r="BC35" s="21"/>
      <c r="BD35" s="21"/>
      <c r="BG35" t="str">
        <f>IF(NOT(ISERROR(HLOOKUP(Standings!BG$3,Entries!$C60:$K60,1,FALSE))),"x",IF(NOT(ISERROR(HLOOKUP(Standings!BG$3,Entries!$L60:$L60,1,FALSE))),"S",""))</f>
        <v>x</v>
      </c>
      <c r="BH35" t="str">
        <f>IF(NOT(ISERROR(HLOOKUP(Standings!BH$3,Entries!$C60:$K60,1,FALSE))),"x",IF(NOT(ISERROR(HLOOKUP(Standings!BH$3,Entries!$L60:$L60,1,FALSE))),"S",""))</f>
        <v/>
      </c>
      <c r="BI35" t="str">
        <f>IF(NOT(ISERROR(HLOOKUP(Standings!BI$3,Entries!$C60:$K60,1,FALSE))),"x",IF(NOT(ISERROR(HLOOKUP(Standings!BI$3,Entries!$L60:$L60,1,FALSE))),"S",""))</f>
        <v/>
      </c>
      <c r="BJ35" t="str">
        <f>IF(NOT(ISERROR(HLOOKUP(Standings!BJ$3,Entries!$C60:$K60,1,FALSE))),"x",IF(NOT(ISERROR(HLOOKUP(Standings!BJ$3,Entries!$L60:$L60,1,FALSE))),"S",""))</f>
        <v/>
      </c>
      <c r="BK35" t="str">
        <f>IF(NOT(ISERROR(HLOOKUP(Standings!BK$3,Entries!$C60:$K60,1,FALSE))),"x",IF(NOT(ISERROR(HLOOKUP(Standings!BK$3,Entries!$L60:$L60,1,FALSE))),"S",""))</f>
        <v>x</v>
      </c>
      <c r="BL35" t="str">
        <f>IF(NOT(ISERROR(HLOOKUP(Standings!BL$3,Entries!$C60:$K60,1,FALSE))),"x",IF(NOT(ISERROR(HLOOKUP(Standings!BL$3,Entries!$L60:$L60,1,FALSE))),"S",""))</f>
        <v/>
      </c>
      <c r="BM35" t="str">
        <f>IF(NOT(ISERROR(HLOOKUP(Standings!BM$3,Entries!$C60:$K60,1,FALSE))),"x",IF(NOT(ISERROR(HLOOKUP(Standings!BM$3,Entries!$L60:$L60,1,FALSE))),"S",""))</f>
        <v/>
      </c>
      <c r="BN35" t="str">
        <f>IF(NOT(ISERROR(HLOOKUP(Standings!BN$3,Entries!$C60:$K60,1,FALSE))),"x",IF(NOT(ISERROR(HLOOKUP(Standings!BN$3,Entries!$L60:$L60,1,FALSE))),"S",""))</f>
        <v/>
      </c>
      <c r="BO35" t="str">
        <f>IF(NOT(ISERROR(HLOOKUP(Standings!BO$3,Entries!$C60:$K60,1,FALSE))),"x",IF(NOT(ISERROR(HLOOKUP(Standings!BO$3,Entries!$L60:$L60,1,FALSE))),"S",""))</f>
        <v/>
      </c>
      <c r="BP35" t="str">
        <f>IF(NOT(ISERROR(HLOOKUP(Standings!BP$3,Entries!$C60:$K60,1,FALSE))),"x",IF(NOT(ISERROR(HLOOKUP(Standings!BP$3,Entries!$L60:$L60,1,FALSE))),"S",""))</f>
        <v/>
      </c>
      <c r="BQ35" t="str">
        <f>IF(NOT(ISERROR(HLOOKUP(Standings!BQ$3,Entries!$C60:$K60,1,FALSE))),"x",IF(NOT(ISERROR(HLOOKUP(Standings!BQ$3,Entries!$L60:$L60,1,FALSE))),"S",""))</f>
        <v/>
      </c>
      <c r="BR35" t="str">
        <f>IF(NOT(ISERROR(HLOOKUP(Standings!BR$3,Entries!$C60:$K60,1,FALSE))),"x",IF(NOT(ISERROR(HLOOKUP(Standings!BR$3,Entries!$L60:$L60,1,FALSE))),"S",""))</f>
        <v/>
      </c>
      <c r="BS35" t="str">
        <f>IF(NOT(ISERROR(HLOOKUP(Standings!BS$3,Entries!$C60:$K60,1,FALSE))),"x",IF(NOT(ISERROR(HLOOKUP(Standings!BS$3,Entries!$L60:$L60,1,FALSE))),"S",""))</f>
        <v>x</v>
      </c>
      <c r="BT35" t="str">
        <f>IF(NOT(ISERROR(HLOOKUP(Standings!BT$3,Entries!$C60:$K60,1,FALSE))),"x",IF(NOT(ISERROR(HLOOKUP(Standings!BT$3,Entries!$L60:$L60,1,FALSE))),"S",""))</f>
        <v/>
      </c>
      <c r="BU35" t="str">
        <f>IF(NOT(ISERROR(HLOOKUP(Standings!BU$3,Entries!$C60:$K60,1,FALSE))),"x",IF(NOT(ISERROR(HLOOKUP(Standings!BU$3,Entries!$L60:$L60,1,FALSE))),"S",""))</f>
        <v/>
      </c>
      <c r="BV35" t="str">
        <f>IF(NOT(ISERROR(HLOOKUP(Standings!BV$3,Entries!$C60:$K60,1,FALSE))),"x",IF(NOT(ISERROR(HLOOKUP(Standings!BV$3,Entries!$L60:$L60,1,FALSE))),"S",""))</f>
        <v>S</v>
      </c>
      <c r="BW35" t="str">
        <f>IF(NOT(ISERROR(HLOOKUP(Standings!BW$3,Entries!$C60:$K60,1,FALSE))),"x",IF(NOT(ISERROR(HLOOKUP(Standings!BW$3,Entries!$L60:$L60,1,FALSE))),"S",""))</f>
        <v/>
      </c>
      <c r="BX35" t="str">
        <f>IF(NOT(ISERROR(HLOOKUP(Standings!BX$3,Entries!$C60:$K60,1,FALSE))),"x",IF(NOT(ISERROR(HLOOKUP(Standings!BX$3,Entries!$L60:$L60,1,FALSE))),"S",""))</f>
        <v/>
      </c>
      <c r="BY35" t="str">
        <f>IF(NOT(ISERROR(HLOOKUP(Standings!BY$3,Entries!$C60:$K60,1,FALSE))),"x",IF(NOT(ISERROR(HLOOKUP(Standings!BY$3,Entries!$L60:$L60,1,FALSE))),"S",""))</f>
        <v/>
      </c>
      <c r="BZ35" t="str">
        <f>IF(NOT(ISERROR(HLOOKUP(Standings!BZ$3,Entries!$C60:$K60,1,FALSE))),"x",IF(NOT(ISERROR(HLOOKUP(Standings!BZ$3,Entries!$L60:$L60,1,FALSE))),"S",""))</f>
        <v/>
      </c>
      <c r="CA35" t="str">
        <f>IF(NOT(ISERROR(HLOOKUP(Standings!CA$3,Entries!$C60:$K60,1,FALSE))),"x",IF(NOT(ISERROR(HLOOKUP(Standings!CA$3,Entries!$L60:$L60,1,FALSE))),"S",""))</f>
        <v/>
      </c>
      <c r="CB35" t="str">
        <f>IF(NOT(ISERROR(HLOOKUP(Standings!CB$3,Entries!$C60:$K60,1,FALSE))),"x",IF(NOT(ISERROR(HLOOKUP(Standings!CB$3,Entries!$L60:$L60,1,FALSE))),"S",""))</f>
        <v/>
      </c>
      <c r="CC35" t="str">
        <f>IF(NOT(ISERROR(HLOOKUP(Standings!CC$3,Entries!$C60:$K60,1,FALSE))),"x",IF(NOT(ISERROR(HLOOKUP(Standings!CC$3,Entries!$L60:$L60,1,FALSE))),"S",""))</f>
        <v/>
      </c>
      <c r="CD35" t="str">
        <f>IF(NOT(ISERROR(HLOOKUP(Standings!CD$3,Entries!$C60:$K60,1,FALSE))),"x",IF(NOT(ISERROR(HLOOKUP(Standings!CD$3,Entries!$L60:$L60,1,FALSE))),"S",""))</f>
        <v/>
      </c>
      <c r="CE35" t="str">
        <f>IF(NOT(ISERROR(HLOOKUP(Standings!CE$3,Entries!$C60:$K60,1,FALSE))),"x",IF(NOT(ISERROR(HLOOKUP(Standings!CE$3,Entries!$L60:$L60,1,FALSE))),"S",""))</f>
        <v/>
      </c>
      <c r="CF35" t="str">
        <f>IF(NOT(ISERROR(HLOOKUP(Standings!CF$3,Entries!$C60:$K60,1,FALSE))),"x",IF(NOT(ISERROR(HLOOKUP(Standings!CF$3,Entries!$L60:$L60,1,FALSE))),"S",""))</f>
        <v/>
      </c>
      <c r="CG35" t="str">
        <f>IF(NOT(ISERROR(HLOOKUP(Standings!CG$3,Entries!$C60:$K60,1,FALSE))),"x",IF(NOT(ISERROR(HLOOKUP(Standings!CG$3,Entries!$L60:$L60,1,FALSE))),"S",""))</f>
        <v/>
      </c>
      <c r="CH35" t="str">
        <f>IF(NOT(ISERROR(HLOOKUP(Standings!CH$3,Entries!$C60:$K60,1,FALSE))),"x",IF(NOT(ISERROR(HLOOKUP(Standings!CH$3,Entries!$L60:$L60,1,FALSE))),"S",""))</f>
        <v/>
      </c>
      <c r="CI35" t="str">
        <f>IF(NOT(ISERROR(HLOOKUP(Standings!CI$3,Entries!$C60:$K60,1,FALSE))),"x",IF(NOT(ISERROR(HLOOKUP(Standings!CI$3,Entries!$L60:$L60,1,FALSE))),"S",""))</f>
        <v/>
      </c>
      <c r="CJ35" t="str">
        <f>IF(NOT(ISERROR(HLOOKUP(Standings!CJ$3,Entries!$C60:$K60,1,FALSE))),"x",IF(NOT(ISERROR(HLOOKUP(Standings!CJ$3,Entries!$L60:$L60,1,FALSE))),"S",""))</f>
        <v/>
      </c>
      <c r="CK35" t="str">
        <f>IF(NOT(ISERROR(HLOOKUP(Standings!CK$3,Entries!$C60:$K60,1,FALSE))),"x",IF(NOT(ISERROR(HLOOKUP(Standings!CK$3,Entries!$L60:$L60,1,FALSE))),"S",""))</f>
        <v/>
      </c>
      <c r="CL35" t="str">
        <f>IF(NOT(ISERROR(HLOOKUP(Standings!CL$3,Entries!$C60:$K60,1,FALSE))),"x",IF(NOT(ISERROR(HLOOKUP(Standings!CL$3,Entries!$L60:$L60,1,FALSE))),"S",""))</f>
        <v/>
      </c>
      <c r="CM35" t="str">
        <f>IF(NOT(ISERROR(HLOOKUP(Standings!CM$3,Entries!$C60:$K60,1,FALSE))),"x",IF(NOT(ISERROR(HLOOKUP(Standings!CM$3,Entries!$L60:$L60,1,FALSE))),"S",""))</f>
        <v/>
      </c>
      <c r="CN35" t="str">
        <f>IF(NOT(ISERROR(HLOOKUP(Standings!CN$3,Entries!$C60:$K60,1,FALSE))),"x",IF(NOT(ISERROR(HLOOKUP(Standings!CN$3,Entries!$L60:$L60,1,FALSE))),"S",""))</f>
        <v/>
      </c>
      <c r="CO35" t="str">
        <f>IF(NOT(ISERROR(HLOOKUP(Standings!CO$3,Entries!$C60:$K60,1,FALSE))),"x",IF(NOT(ISERROR(HLOOKUP(Standings!CO$3,Entries!$L60:$L60,1,FALSE))),"S",""))</f>
        <v/>
      </c>
      <c r="CP35" t="str">
        <f>IF(NOT(ISERROR(HLOOKUP(Standings!CP$3,Entries!$C60:$K60,1,FALSE))),"x",IF(NOT(ISERROR(HLOOKUP(Standings!CP$3,Entries!$L60:$L60,1,FALSE))),"S",""))</f>
        <v/>
      </c>
      <c r="CQ35" t="str">
        <f>IF(NOT(ISERROR(HLOOKUP(Standings!CQ$3,Entries!$C60:$K60,1,FALSE))),"x",IF(NOT(ISERROR(HLOOKUP(Standings!CQ$3,Entries!$L60:$L60,1,FALSE))),"S",""))</f>
        <v/>
      </c>
      <c r="CR35" t="str">
        <f>IF(NOT(ISERROR(HLOOKUP(Standings!CR$3,Entries!$C60:$K60,1,FALSE))),"x",IF(NOT(ISERROR(HLOOKUP(Standings!CR$3,Entries!$L60:$L60,1,FALSE))),"S",""))</f>
        <v/>
      </c>
      <c r="CS35" t="str">
        <f>IF(NOT(ISERROR(HLOOKUP(Standings!CS$3,Entries!$C60:$K60,1,FALSE))),"x",IF(NOT(ISERROR(HLOOKUP(Standings!CS$3,Entries!$L60:$L60,1,FALSE))),"S",""))</f>
        <v/>
      </c>
      <c r="CT35" t="str">
        <f>IF(NOT(ISERROR(HLOOKUP(Standings!CT$3,Entries!$C60:$K60,1,FALSE))),"x",IF(NOT(ISERROR(HLOOKUP(Standings!CT$3,Entries!$L60:$L60,1,FALSE))),"S",""))</f>
        <v/>
      </c>
      <c r="CU35" t="str">
        <f>IF(NOT(ISERROR(HLOOKUP(Standings!CU$3,Entries!$C60:$K60,1,FALSE))),"x",IF(NOT(ISERROR(HLOOKUP(Standings!CU$3,Entries!$L60:$L60,1,FALSE))),"S",""))</f>
        <v>x</v>
      </c>
      <c r="CV35" t="str">
        <f>IF(NOT(ISERROR(HLOOKUP(Standings!CV$3,Entries!$C60:$K60,1,FALSE))),"x",IF(NOT(ISERROR(HLOOKUP(Standings!CV$3,Entries!$L60:$L60,1,FALSE))),"S",""))</f>
        <v/>
      </c>
      <c r="CW35" t="str">
        <f>IF(NOT(ISERROR(HLOOKUP(Standings!CW$3,Entries!$C60:$K60,1,FALSE))),"x",IF(NOT(ISERROR(HLOOKUP(Standings!CW$3,Entries!$L60:$L60,1,FALSE))),"S",""))</f>
        <v/>
      </c>
      <c r="CX35" t="str">
        <f>IF(NOT(ISERROR(HLOOKUP(Standings!CX$3,Entries!$C60:$K60,1,FALSE))),"x",IF(NOT(ISERROR(HLOOKUP(Standings!CX$3,Entries!$L60:$L60,1,FALSE))),"S",""))</f>
        <v/>
      </c>
      <c r="CY35" t="str">
        <f>IF(NOT(ISERROR(HLOOKUP(Standings!CY$3,Entries!$C60:$K60,1,FALSE))),"x",IF(NOT(ISERROR(HLOOKUP(Standings!CY$3,Entries!$L60:$L60,1,FALSE))),"S",""))</f>
        <v/>
      </c>
      <c r="CZ35" t="str">
        <f>IF(NOT(ISERROR(HLOOKUP(Standings!CZ$3,Entries!$C60:$K60,1,FALSE))),"x",IF(NOT(ISERROR(HLOOKUP(Standings!CZ$3,Entries!$L60:$L60,1,FALSE))),"S",""))</f>
        <v/>
      </c>
      <c r="DA35" t="str">
        <f>IF(NOT(ISERROR(HLOOKUP(Standings!DA$3,Entries!$C60:$K60,1,FALSE))),"x",IF(NOT(ISERROR(HLOOKUP(Standings!DA$3,Entries!$L60:$L60,1,FALSE))),"S",""))</f>
        <v/>
      </c>
      <c r="DB35" t="str">
        <f>IF(NOT(ISERROR(HLOOKUP(Standings!DB$3,Entries!$C60:$K60,1,FALSE))),"x",IF(NOT(ISERROR(HLOOKUP(Standings!DB$3,Entries!$L60:$L60,1,FALSE))),"S",""))</f>
        <v/>
      </c>
    </row>
    <row r="36" spans="1:106" x14ac:dyDescent="0.25">
      <c r="A36" s="18"/>
      <c r="B36">
        <v>11</v>
      </c>
      <c r="C36" t="str">
        <f>Entries!B63</f>
        <v>chrishalverson1</v>
      </c>
      <c r="D36" s="4">
        <f>IF(C36="","",RANK(E36,$E$10:$E$111))</f>
        <v>21</v>
      </c>
      <c r="E36" s="31">
        <f>IF(C36="","",ROUND(SUM(F36:AK36),0))</f>
        <v>5</v>
      </c>
      <c r="F36" s="40" t="str">
        <f>IF(BG36="","",IF(BG36="x",F$6,0)+IF(BG36="S",-F$6-0.00001,0))</f>
        <v/>
      </c>
      <c r="G36" s="41" t="str">
        <f>IF(BH36="","",IF(BH36="x",G$6,0)+IF(BH36="S",-G$6-0.00001,0))</f>
        <v/>
      </c>
      <c r="H36" s="41" t="str">
        <f>IF(BI36="","",IF(BI36="x",H$6,0)+IF(BI36="S",-H$6-0.00001,0))</f>
        <v/>
      </c>
      <c r="I36" s="42" t="str">
        <f>IF(BJ36="","",IF(BJ36="x",I$6,0)+IF(BJ36="S",-I$6-0.00001,0))</f>
        <v/>
      </c>
      <c r="J36" s="40" t="str">
        <f>IF(BK36="","",IF(BK36="x",J$6,0)+IF(BK36="S",-J$6-0.00001,0))</f>
        <v/>
      </c>
      <c r="K36" s="41" t="str">
        <f>IF(BL36="","",IF(BL36="x",K$6,0)+IF(BL36="S",-K$6-0.00001,0))</f>
        <v/>
      </c>
      <c r="L36" s="41" t="str">
        <f>IF(BM36="","",IF(BM36="x",L$6,0)+IF(BM36="S",-L$6-0.00001,0))</f>
        <v/>
      </c>
      <c r="M36" s="42" t="str">
        <f>IF(BN36="","",IF(BN36="x",M$6,0)+IF(BN36="S",-M$6-0.00001,0))</f>
        <v/>
      </c>
      <c r="N36" s="43" t="str">
        <f>IF(BO36="","",IF(BO36="x",N$6,0)+IF(BO36="S",-N$6-0.00001,0))</f>
        <v/>
      </c>
      <c r="O36" s="41" t="str">
        <f>IF(BP36="","",IF(BP36="x",O$6,0)+IF(BP36="S",-O$6-0.00001,0))</f>
        <v/>
      </c>
      <c r="P36" s="41" t="str">
        <f>IF(BQ36="","",IF(BQ36="x",P$6,0)+IF(BQ36="S",-P$6-0.00001,0))</f>
        <v/>
      </c>
      <c r="Q36" s="42" t="str">
        <f>IF(BR36="","",IF(BR36="x",Q$6,0)+IF(BR36="S",-Q$6-0.00001,0))</f>
        <v/>
      </c>
      <c r="R36" s="40">
        <f>IF(BS36="","",IF(BS36="x",R$6,0)+IF(BS36="S",-R$6-0.00001,0))</f>
        <v>2</v>
      </c>
      <c r="S36" s="41" t="str">
        <f>IF(BT36="","",IF(BT36="x",S$6,0)+IF(BT36="S",-S$6-0.00001,0))</f>
        <v/>
      </c>
      <c r="T36" s="43" t="str">
        <f>IF(BU36="","",IF(BU36="x",T$6,0)+IF(BU36="S",-T$6-0.00001,0))</f>
        <v/>
      </c>
      <c r="U36" s="42" t="str">
        <f>IF(BV36="","",IF(BV36="x",U$6,0)+IF(BV36="S",-U$6-0.00001,0))</f>
        <v/>
      </c>
      <c r="V36" s="40">
        <f>IF(BW36="","",IF(BW36="x",V$6,0)+IF(BW36="S",-V$6-0.00001,0))</f>
        <v>2</v>
      </c>
      <c r="W36" s="41" t="str">
        <f>IF(BX36="","",IF(BX36="x",W$6,0)+IF(BX36="S",-W$6-0.00001,0))</f>
        <v/>
      </c>
      <c r="X36" s="41" t="str">
        <f>IF(BY36="","",IF(BY36="x",X$6,0)+IF(BY36="S",-X$6-0.00001,0))</f>
        <v/>
      </c>
      <c r="Y36" s="42" t="str">
        <f>IF(BZ36="","",IF(BZ36="x",Y$6,0)+IF(BZ36="S",-Y$6-0.00001,0))</f>
        <v/>
      </c>
      <c r="Z36" s="40">
        <f>IF(CA36="","",IF(CA36="x",Z$6,0)+IF(CA36="S",-Z$6-0.00001,0))</f>
        <v>1</v>
      </c>
      <c r="AA36" s="41" t="str">
        <f>IF(CB36="","",IF(CB36="x",AA$6,0)+IF(CB36="S",-AA$6-0.00001,0))</f>
        <v/>
      </c>
      <c r="AB36" s="41" t="str">
        <f>IF(CC36="","",IF(CC36="x",AB$6,0)+IF(CC36="S",-AB$6-0.00001,0))</f>
        <v/>
      </c>
      <c r="AC36" s="42" t="str">
        <f>IF(CD36="","",IF(CD36="x",AC$6,0)+IF(CD36="S",-AC$6-0.00001,0))</f>
        <v/>
      </c>
      <c r="AD36" s="40" t="str">
        <f>IF(CE36="","",IF(CE36="x",AD$6,0)+IF(CE36="S",-AD$6-0.00001,0))</f>
        <v/>
      </c>
      <c r="AE36" s="41" t="str">
        <f>IF(CF36="","",IF(CF36="x",AE$6,0)+IF(CF36="S",-AE$6-0.00001,0))</f>
        <v/>
      </c>
      <c r="AF36" s="41" t="str">
        <f>IF(CG36="","",IF(CG36="x",AF$6,0)+IF(CG36="S",-AF$6-0.00001,0))</f>
        <v/>
      </c>
      <c r="AG36" s="42" t="str">
        <f>IF(CH36="","",IF(CH36="x",AG$6,0)+IF(CH36="S",-AG$6-0.00001,0))</f>
        <v/>
      </c>
      <c r="AH36" s="40" t="str">
        <f>IF(CI36="","",IF(CI36="x",AH$6,0)+IF(CI36="S",-AH$6-0.00001,0))</f>
        <v/>
      </c>
      <c r="AI36" s="41" t="str">
        <f>IF(CJ36="","",IF(CJ36="x",AI$6,0)+IF(CJ36="S",-AI$6-0.00001,0))</f>
        <v/>
      </c>
      <c r="AJ36" s="41" t="str">
        <f>IF(CK36="","",IF(CK36="x",AJ$6,0)+IF(CK36="S",-AJ$6-0.00001,0))</f>
        <v/>
      </c>
      <c r="AK36" s="42" t="str">
        <f>IF(CL36="","",IF(CL36="x",AK$6,0)+IF(CL36="S",-AK$6-0.00001,0))</f>
        <v/>
      </c>
      <c r="AL36" s="40" t="str">
        <f>IF(CM36="","",IF(CM36="x",AL$6,0)+IF(CM36="S",-AL$6-0.00001,0))</f>
        <v/>
      </c>
      <c r="AM36" s="41" t="str">
        <f>IF(CN36="","",IF(CN36="x",AM$6,0)+IF(CN36="S",-AM$6-0.00001,0))</f>
        <v/>
      </c>
      <c r="AN36" s="41" t="str">
        <f>IF(CO36="","",IF(CO36="x",AN$6,0)+IF(CO36="S",-AN$6-0.00001,0))</f>
        <v/>
      </c>
      <c r="AO36" s="42" t="str">
        <f>IF(CP36="","",IF(CP36="x",AO$6,0)+IF(CP36="S",-AO$6-0.00001,0))</f>
        <v/>
      </c>
      <c r="AP36" s="40" t="str">
        <f>IF(CQ36="","",IF(CQ36="x",AP$6,0)+IF(CQ36="S",-AP$6-0.00001,0))</f>
        <v/>
      </c>
      <c r="AQ36" s="41" t="str">
        <f>IF(CR36="","",IF(CR36="x",AQ$6,0)+IF(CR36="S",-AQ$6-0.00001,0))</f>
        <v/>
      </c>
      <c r="AR36" s="41" t="str">
        <f>IF(CS36="","",IF(CS36="x",AR$6,0)+IF(CS36="S",-AR$6-0.00001,0))</f>
        <v/>
      </c>
      <c r="AS36" s="42">
        <f>IF(CT36="","",IF(CT36="x",AS$6,0)+IF(CT36="S",-AS$6-0.00001,0))</f>
        <v>-1.0000000000000001E-5</v>
      </c>
      <c r="AT36" s="40" t="str">
        <f>IF(CU36="","",IF(CU36="x",AT$6,0)+IF(CU36="S",-AT$6-0.00001,0))</f>
        <v/>
      </c>
      <c r="AU36" s="41" t="str">
        <f>IF(CV36="","",IF(CV36="x",AU$6,0)+IF(CV36="S",-AU$6-0.00001,0))</f>
        <v/>
      </c>
      <c r="AV36" s="41" t="str">
        <f>IF(CW36="","",IF(CW36="x",AV$6,0)+IF(CW36="S",-AV$6-0.00001,0))</f>
        <v/>
      </c>
      <c r="AW36" s="42" t="str">
        <f>IF(CX36="","",IF(CX36="x",AW$6,0)+IF(CX36="S",-AW$6-0.00001,0))</f>
        <v/>
      </c>
      <c r="AX36" s="40" t="str">
        <f>IF(CY36="","",IF(CY36="x",AX$6,0)+IF(CY36="S",-AX$6-0.00001,0))</f>
        <v/>
      </c>
      <c r="AY36" s="41" t="str">
        <f>IF(CZ36="","",IF(CZ36="x",AY$6,0)+IF(CZ36="S",-AY$6-0.00001,0))</f>
        <v/>
      </c>
      <c r="AZ36" s="41" t="str">
        <f>IF(DA36="","",IF(DA36="x",AZ$6,0)+IF(DA36="S",-AZ$6-0.00001,0))</f>
        <v/>
      </c>
      <c r="BA36" s="42" t="str">
        <f>IF(DB36="","",IF(DB36="x",BA$6,0)+IF(DB36="S",-BA$6-0.00001,0))</f>
        <v/>
      </c>
      <c r="BB36" s="37" t="s">
        <v>106</v>
      </c>
      <c r="BC36" s="21"/>
      <c r="BG36" t="str">
        <f>IF(NOT(ISERROR(HLOOKUP(Standings!BG$3,Entries!$C63:$K63,1,FALSE))),"x",IF(NOT(ISERROR(HLOOKUP(Standings!BG$3,Entries!$L63:$L63,1,FALSE))),"S",""))</f>
        <v/>
      </c>
      <c r="BH36" t="str">
        <f>IF(NOT(ISERROR(HLOOKUP(Standings!BH$3,Entries!$C63:$K63,1,FALSE))),"x",IF(NOT(ISERROR(HLOOKUP(Standings!BH$3,Entries!$L63:$L63,1,FALSE))),"S",""))</f>
        <v/>
      </c>
      <c r="BI36" t="str">
        <f>IF(NOT(ISERROR(HLOOKUP(Standings!BI$3,Entries!$C63:$K63,1,FALSE))),"x",IF(NOT(ISERROR(HLOOKUP(Standings!BI$3,Entries!$L63:$L63,1,FALSE))),"S",""))</f>
        <v/>
      </c>
      <c r="BJ36" t="str">
        <f>IF(NOT(ISERROR(HLOOKUP(Standings!BJ$3,Entries!$C63:$K63,1,FALSE))),"x",IF(NOT(ISERROR(HLOOKUP(Standings!BJ$3,Entries!$L63:$L63,1,FALSE))),"S",""))</f>
        <v/>
      </c>
      <c r="BK36" t="str">
        <f>IF(NOT(ISERROR(HLOOKUP(Standings!BK$3,Entries!$C63:$K63,1,FALSE))),"x",IF(NOT(ISERROR(HLOOKUP(Standings!BK$3,Entries!$L63:$L63,1,FALSE))),"S",""))</f>
        <v/>
      </c>
      <c r="BL36" t="str">
        <f>IF(NOT(ISERROR(HLOOKUP(Standings!BL$3,Entries!$C63:$K63,1,FALSE))),"x",IF(NOT(ISERROR(HLOOKUP(Standings!BL$3,Entries!$L63:$L63,1,FALSE))),"S",""))</f>
        <v/>
      </c>
      <c r="BM36" t="str">
        <f>IF(NOT(ISERROR(HLOOKUP(Standings!BM$3,Entries!$C63:$K63,1,FALSE))),"x",IF(NOT(ISERROR(HLOOKUP(Standings!BM$3,Entries!$L63:$L63,1,FALSE))),"S",""))</f>
        <v/>
      </c>
      <c r="BN36" t="str">
        <f>IF(NOT(ISERROR(HLOOKUP(Standings!BN$3,Entries!$C63:$K63,1,FALSE))),"x",IF(NOT(ISERROR(HLOOKUP(Standings!BN$3,Entries!$L63:$L63,1,FALSE))),"S",""))</f>
        <v/>
      </c>
      <c r="BO36" t="str">
        <f>IF(NOT(ISERROR(HLOOKUP(Standings!BO$3,Entries!$C63:$K63,1,FALSE))),"x",IF(NOT(ISERROR(HLOOKUP(Standings!BO$3,Entries!$L63:$L63,1,FALSE))),"S",""))</f>
        <v/>
      </c>
      <c r="BP36" t="str">
        <f>IF(NOT(ISERROR(HLOOKUP(Standings!BP$3,Entries!$C63:$K63,1,FALSE))),"x",IF(NOT(ISERROR(HLOOKUP(Standings!BP$3,Entries!$L63:$L63,1,FALSE))),"S",""))</f>
        <v/>
      </c>
      <c r="BQ36" t="str">
        <f>IF(NOT(ISERROR(HLOOKUP(Standings!BQ$3,Entries!$C63:$K63,1,FALSE))),"x",IF(NOT(ISERROR(HLOOKUP(Standings!BQ$3,Entries!$L63:$L63,1,FALSE))),"S",""))</f>
        <v/>
      </c>
      <c r="BR36" t="str">
        <f>IF(NOT(ISERROR(HLOOKUP(Standings!BR$3,Entries!$C63:$K63,1,FALSE))),"x",IF(NOT(ISERROR(HLOOKUP(Standings!BR$3,Entries!$L63:$L63,1,FALSE))),"S",""))</f>
        <v/>
      </c>
      <c r="BS36" t="str">
        <f>IF(NOT(ISERROR(HLOOKUP(Standings!BS$3,Entries!$C63:$K63,1,FALSE))),"x",IF(NOT(ISERROR(HLOOKUP(Standings!BS$3,Entries!$L63:$L63,1,FALSE))),"S",""))</f>
        <v>x</v>
      </c>
      <c r="BT36" t="str">
        <f>IF(NOT(ISERROR(HLOOKUP(Standings!BT$3,Entries!$C63:$K63,1,FALSE))),"x",IF(NOT(ISERROR(HLOOKUP(Standings!BT$3,Entries!$L63:$L63,1,FALSE))),"S",""))</f>
        <v/>
      </c>
      <c r="BU36" t="str">
        <f>IF(NOT(ISERROR(HLOOKUP(Standings!BU$3,Entries!$C63:$K63,1,FALSE))),"x",IF(NOT(ISERROR(HLOOKUP(Standings!BU$3,Entries!$L63:$L63,1,FALSE))),"S",""))</f>
        <v/>
      </c>
      <c r="BV36" t="str">
        <f>IF(NOT(ISERROR(HLOOKUP(Standings!BV$3,Entries!$C63:$K63,1,FALSE))),"x",IF(NOT(ISERROR(HLOOKUP(Standings!BV$3,Entries!$L63:$L63,1,FALSE))),"S",""))</f>
        <v/>
      </c>
      <c r="BW36" t="str">
        <f>IF(NOT(ISERROR(HLOOKUP(Standings!BW$3,Entries!$C63:$K63,1,FALSE))),"x",IF(NOT(ISERROR(HLOOKUP(Standings!BW$3,Entries!$L63:$L63,1,FALSE))),"S",""))</f>
        <v>x</v>
      </c>
      <c r="BX36" t="str">
        <f>IF(NOT(ISERROR(HLOOKUP(Standings!BX$3,Entries!$C63:$K63,1,FALSE))),"x",IF(NOT(ISERROR(HLOOKUP(Standings!BX$3,Entries!$L63:$L63,1,FALSE))),"S",""))</f>
        <v/>
      </c>
      <c r="BY36" t="str">
        <f>IF(NOT(ISERROR(HLOOKUP(Standings!BY$3,Entries!$C63:$K63,1,FALSE))),"x",IF(NOT(ISERROR(HLOOKUP(Standings!BY$3,Entries!$L63:$L63,1,FALSE))),"S",""))</f>
        <v/>
      </c>
      <c r="BZ36" t="str">
        <f>IF(NOT(ISERROR(HLOOKUP(Standings!BZ$3,Entries!$C63:$K63,1,FALSE))),"x",IF(NOT(ISERROR(HLOOKUP(Standings!BZ$3,Entries!$L63:$L63,1,FALSE))),"S",""))</f>
        <v/>
      </c>
      <c r="CA36" t="str">
        <f>IF(NOT(ISERROR(HLOOKUP(Standings!CA$3,Entries!$C63:$K63,1,FALSE))),"x",IF(NOT(ISERROR(HLOOKUP(Standings!CA$3,Entries!$L63:$L63,1,FALSE))),"S",""))</f>
        <v>x</v>
      </c>
      <c r="CB36" t="str">
        <f>IF(NOT(ISERROR(HLOOKUP(Standings!CB$3,Entries!$C63:$K63,1,FALSE))),"x",IF(NOT(ISERROR(HLOOKUP(Standings!CB$3,Entries!$L63:$L63,1,FALSE))),"S",""))</f>
        <v/>
      </c>
      <c r="CC36" t="str">
        <f>IF(NOT(ISERROR(HLOOKUP(Standings!CC$3,Entries!$C63:$K63,1,FALSE))),"x",IF(NOT(ISERROR(HLOOKUP(Standings!CC$3,Entries!$L63:$L63,1,FALSE))),"S",""))</f>
        <v/>
      </c>
      <c r="CD36" t="str">
        <f>IF(NOT(ISERROR(HLOOKUP(Standings!CD$3,Entries!$C63:$K63,1,FALSE))),"x",IF(NOT(ISERROR(HLOOKUP(Standings!CD$3,Entries!$L63:$L63,1,FALSE))),"S",""))</f>
        <v/>
      </c>
      <c r="CE36" t="str">
        <f>IF(NOT(ISERROR(HLOOKUP(Standings!CE$3,Entries!$C63:$K63,1,FALSE))),"x",IF(NOT(ISERROR(HLOOKUP(Standings!CE$3,Entries!$L63:$L63,1,FALSE))),"S",""))</f>
        <v/>
      </c>
      <c r="CF36" t="str">
        <f>IF(NOT(ISERROR(HLOOKUP(Standings!CF$3,Entries!$C63:$K63,1,FALSE))),"x",IF(NOT(ISERROR(HLOOKUP(Standings!CF$3,Entries!$L63:$L63,1,FALSE))),"S",""))</f>
        <v/>
      </c>
      <c r="CG36" t="str">
        <f>IF(NOT(ISERROR(HLOOKUP(Standings!CG$3,Entries!$C63:$K63,1,FALSE))),"x",IF(NOT(ISERROR(HLOOKUP(Standings!CG$3,Entries!$L63:$L63,1,FALSE))),"S",""))</f>
        <v/>
      </c>
      <c r="CH36" t="str">
        <f>IF(NOT(ISERROR(HLOOKUP(Standings!CH$3,Entries!$C63:$K63,1,FALSE))),"x",IF(NOT(ISERROR(HLOOKUP(Standings!CH$3,Entries!$L63:$L63,1,FALSE))),"S",""))</f>
        <v/>
      </c>
      <c r="CI36" t="str">
        <f>IF(NOT(ISERROR(HLOOKUP(Standings!CI$3,Entries!$C63:$K63,1,FALSE))),"x",IF(NOT(ISERROR(HLOOKUP(Standings!CI$3,Entries!$L63:$L63,1,FALSE))),"S",""))</f>
        <v/>
      </c>
      <c r="CJ36" t="str">
        <f>IF(NOT(ISERROR(HLOOKUP(Standings!CJ$3,Entries!$C63:$K63,1,FALSE))),"x",IF(NOT(ISERROR(HLOOKUP(Standings!CJ$3,Entries!$L63:$L63,1,FALSE))),"S",""))</f>
        <v/>
      </c>
      <c r="CK36" t="str">
        <f>IF(NOT(ISERROR(HLOOKUP(Standings!CK$3,Entries!$C63:$K63,1,FALSE))),"x",IF(NOT(ISERROR(HLOOKUP(Standings!CK$3,Entries!$L63:$L63,1,FALSE))),"S",""))</f>
        <v/>
      </c>
      <c r="CL36" t="str">
        <f>IF(NOT(ISERROR(HLOOKUP(Standings!CL$3,Entries!$C63:$K63,1,FALSE))),"x",IF(NOT(ISERROR(HLOOKUP(Standings!CL$3,Entries!$L63:$L63,1,FALSE))),"S",""))</f>
        <v/>
      </c>
      <c r="CM36" t="str">
        <f>IF(NOT(ISERROR(HLOOKUP(Standings!CM$3,Entries!$C63:$K63,1,FALSE))),"x",IF(NOT(ISERROR(HLOOKUP(Standings!CM$3,Entries!$L63:$L63,1,FALSE))),"S",""))</f>
        <v/>
      </c>
      <c r="CN36" t="str">
        <f>IF(NOT(ISERROR(HLOOKUP(Standings!CN$3,Entries!$C63:$K63,1,FALSE))),"x",IF(NOT(ISERROR(HLOOKUP(Standings!CN$3,Entries!$L63:$L63,1,FALSE))),"S",""))</f>
        <v/>
      </c>
      <c r="CO36" t="str">
        <f>IF(NOT(ISERROR(HLOOKUP(Standings!CO$3,Entries!$C63:$K63,1,FALSE))),"x",IF(NOT(ISERROR(HLOOKUP(Standings!CO$3,Entries!$L63:$L63,1,FALSE))),"S",""))</f>
        <v/>
      </c>
      <c r="CP36" t="str">
        <f>IF(NOT(ISERROR(HLOOKUP(Standings!CP$3,Entries!$C63:$K63,1,FALSE))),"x",IF(NOT(ISERROR(HLOOKUP(Standings!CP$3,Entries!$L63:$L63,1,FALSE))),"S",""))</f>
        <v/>
      </c>
      <c r="CQ36" t="str">
        <f>IF(NOT(ISERROR(HLOOKUP(Standings!CQ$3,Entries!$C63:$K63,1,FALSE))),"x",IF(NOT(ISERROR(HLOOKUP(Standings!CQ$3,Entries!$L63:$L63,1,FALSE))),"S",""))</f>
        <v/>
      </c>
      <c r="CR36" t="str">
        <f>IF(NOT(ISERROR(HLOOKUP(Standings!CR$3,Entries!$C63:$K63,1,FALSE))),"x",IF(NOT(ISERROR(HLOOKUP(Standings!CR$3,Entries!$L63:$L63,1,FALSE))),"S",""))</f>
        <v/>
      </c>
      <c r="CS36" t="str">
        <f>IF(NOT(ISERROR(HLOOKUP(Standings!CS$3,Entries!$C63:$K63,1,FALSE))),"x",IF(NOT(ISERROR(HLOOKUP(Standings!CS$3,Entries!$L63:$L63,1,FALSE))),"S",""))</f>
        <v/>
      </c>
      <c r="CT36" t="str">
        <f>IF(NOT(ISERROR(HLOOKUP(Standings!CT$3,Entries!$C63:$K63,1,FALSE))),"x",IF(NOT(ISERROR(HLOOKUP(Standings!CT$3,Entries!$L63:$L63,1,FALSE))),"S",""))</f>
        <v>S</v>
      </c>
      <c r="CU36" t="str">
        <f>IF(NOT(ISERROR(HLOOKUP(Standings!CU$3,Entries!$C63:$K63,1,FALSE))),"x",IF(NOT(ISERROR(HLOOKUP(Standings!CU$3,Entries!$L63:$L63,1,FALSE))),"S",""))</f>
        <v/>
      </c>
      <c r="CV36" t="str">
        <f>IF(NOT(ISERROR(HLOOKUP(Standings!CV$3,Entries!$C63:$K63,1,FALSE))),"x",IF(NOT(ISERROR(HLOOKUP(Standings!CV$3,Entries!$L63:$L63,1,FALSE))),"S",""))</f>
        <v/>
      </c>
      <c r="CW36" t="str">
        <f>IF(NOT(ISERROR(HLOOKUP(Standings!CW$3,Entries!$C63:$K63,1,FALSE))),"x",IF(NOT(ISERROR(HLOOKUP(Standings!CW$3,Entries!$L63:$L63,1,FALSE))),"S",""))</f>
        <v/>
      </c>
      <c r="CX36" t="str">
        <f>IF(NOT(ISERROR(HLOOKUP(Standings!CX$3,Entries!$C63:$K63,1,FALSE))),"x",IF(NOT(ISERROR(HLOOKUP(Standings!CX$3,Entries!$L63:$L63,1,FALSE))),"S",""))</f>
        <v/>
      </c>
      <c r="CY36" t="str">
        <f>IF(NOT(ISERROR(HLOOKUP(Standings!CY$3,Entries!$C63:$K63,1,FALSE))),"x",IF(NOT(ISERROR(HLOOKUP(Standings!CY$3,Entries!$L63:$L63,1,FALSE))),"S",""))</f>
        <v/>
      </c>
      <c r="CZ36" t="str">
        <f>IF(NOT(ISERROR(HLOOKUP(Standings!CZ$3,Entries!$C63:$K63,1,FALSE))),"x",IF(NOT(ISERROR(HLOOKUP(Standings!CZ$3,Entries!$L63:$L63,1,FALSE))),"S",""))</f>
        <v/>
      </c>
      <c r="DA36" t="str">
        <f>IF(NOT(ISERROR(HLOOKUP(Standings!DA$3,Entries!$C63:$K63,1,FALSE))),"x",IF(NOT(ISERROR(HLOOKUP(Standings!DA$3,Entries!$L63:$L63,1,FALSE))),"S",""))</f>
        <v/>
      </c>
      <c r="DB36" t="str">
        <f>IF(NOT(ISERROR(HLOOKUP(Standings!DB$3,Entries!$C63:$K63,1,FALSE))),"x",IF(NOT(ISERROR(HLOOKUP(Standings!DB$3,Entries!$L63:$L63,1,FALSE))),"S",""))</f>
        <v/>
      </c>
    </row>
    <row r="37" spans="1:106" ht="16.5" customHeight="1" x14ac:dyDescent="0.25">
      <c r="B37">
        <v>56</v>
      </c>
      <c r="C37" t="str">
        <f>Entries!B68</f>
        <v>Ryan H</v>
      </c>
      <c r="D37" s="4">
        <f>IF(C37="","",RANK(E37,$E$10:$E$111))</f>
        <v>21</v>
      </c>
      <c r="E37" s="31">
        <f>IF(C37="","",ROUND(SUM(F37:AK37),0))</f>
        <v>5</v>
      </c>
      <c r="F37" s="40" t="str">
        <f>IF(BG37="","",IF(BG37="x",F$6,0)+IF(BG37="S",-F$6-0.00001,0))</f>
        <v/>
      </c>
      <c r="G37" s="41" t="str">
        <f>IF(BH37="","",IF(BH37="x",G$6,0)+IF(BH37="S",-G$6-0.00001,0))</f>
        <v/>
      </c>
      <c r="H37" s="41" t="str">
        <f>IF(BI37="","",IF(BI37="x",H$6,0)+IF(BI37="S",-H$6-0.00001,0))</f>
        <v/>
      </c>
      <c r="I37" s="42" t="str">
        <f>IF(BJ37="","",IF(BJ37="x",I$6,0)+IF(BJ37="S",-I$6-0.00001,0))</f>
        <v/>
      </c>
      <c r="J37" s="40" t="str">
        <f>IF(BK37="","",IF(BK37="x",J$6,0)+IF(BK37="S",-J$6-0.00001,0))</f>
        <v/>
      </c>
      <c r="K37" s="41" t="str">
        <f>IF(BL37="","",IF(BL37="x",K$6,0)+IF(BL37="S",-K$6-0.00001,0))</f>
        <v/>
      </c>
      <c r="L37" s="41" t="str">
        <f>IF(BM37="","",IF(BM37="x",L$6,0)+IF(BM37="S",-L$6-0.00001,0))</f>
        <v/>
      </c>
      <c r="M37" s="42" t="str">
        <f>IF(BN37="","",IF(BN37="x",M$6,0)+IF(BN37="S",-M$6-0.00001,0))</f>
        <v/>
      </c>
      <c r="N37" s="43" t="str">
        <f>IF(BO37="","",IF(BO37="x",N$6,0)+IF(BO37="S",-N$6-0.00001,0))</f>
        <v/>
      </c>
      <c r="O37" s="41" t="str">
        <f>IF(BP37="","",IF(BP37="x",O$6,0)+IF(BP37="S",-O$6-0.00001,0))</f>
        <v/>
      </c>
      <c r="P37" s="41" t="str">
        <f>IF(BQ37="","",IF(BQ37="x",P$6,0)+IF(BQ37="S",-P$6-0.00001,0))</f>
        <v/>
      </c>
      <c r="Q37" s="42" t="str">
        <f>IF(BR37="","",IF(BR37="x",Q$6,0)+IF(BR37="S",-Q$6-0.00001,0))</f>
        <v/>
      </c>
      <c r="R37" s="40">
        <f>IF(BS37="","",IF(BS37="x",R$6,0)+IF(BS37="S",-R$6-0.00001,0))</f>
        <v>2</v>
      </c>
      <c r="S37" s="41" t="str">
        <f>IF(BT37="","",IF(BT37="x",S$6,0)+IF(BT37="S",-S$6-0.00001,0))</f>
        <v/>
      </c>
      <c r="T37" s="43" t="str">
        <f>IF(BU37="","",IF(BU37="x",T$6,0)+IF(BU37="S",-T$6-0.00001,0))</f>
        <v/>
      </c>
      <c r="U37" s="42" t="str">
        <f>IF(BV37="","",IF(BV37="x",U$6,0)+IF(BV37="S",-U$6-0.00001,0))</f>
        <v/>
      </c>
      <c r="V37" s="40">
        <f>IF(BW37="","",IF(BW37="x",V$6,0)+IF(BW37="S",-V$6-0.00001,0))</f>
        <v>2</v>
      </c>
      <c r="W37" s="41" t="str">
        <f>IF(BX37="","",IF(BX37="x",W$6,0)+IF(BX37="S",-W$6-0.00001,0))</f>
        <v/>
      </c>
      <c r="X37" s="41" t="str">
        <f>IF(BY37="","",IF(BY37="x",X$6,0)+IF(BY37="S",-X$6-0.00001,0))</f>
        <v/>
      </c>
      <c r="Y37" s="42" t="str">
        <f>IF(BZ37="","",IF(BZ37="x",Y$6,0)+IF(BZ37="S",-Y$6-0.00001,0))</f>
        <v/>
      </c>
      <c r="Z37" s="40" t="str">
        <f>IF(CA37="","",IF(CA37="x",Z$6,0)+IF(CA37="S",-Z$6-0.00001,0))</f>
        <v/>
      </c>
      <c r="AA37" s="41" t="str">
        <f>IF(CB37="","",IF(CB37="x",AA$6,0)+IF(CB37="S",-AA$6-0.00001,0))</f>
        <v/>
      </c>
      <c r="AB37" s="41" t="str">
        <f>IF(CC37="","",IF(CC37="x",AB$6,0)+IF(CC37="S",-AB$6-0.00001,0))</f>
        <v/>
      </c>
      <c r="AC37" s="42" t="str">
        <f>IF(CD37="","",IF(CD37="x",AC$6,0)+IF(CD37="S",-AC$6-0.00001,0))</f>
        <v/>
      </c>
      <c r="AD37" s="40" t="str">
        <f>IF(CE37="","",IF(CE37="x",AD$6,0)+IF(CE37="S",-AD$6-0.00001,0))</f>
        <v/>
      </c>
      <c r="AE37" s="41">
        <f>IF(CF37="","",IF(CF37="x",AE$6,0)+IF(CF37="S",-AE$6-0.00001,0))</f>
        <v>1</v>
      </c>
      <c r="AF37" s="41" t="str">
        <f>IF(CG37="","",IF(CG37="x",AF$6,0)+IF(CG37="S",-AF$6-0.00001,0))</f>
        <v/>
      </c>
      <c r="AG37" s="42" t="str">
        <f>IF(CH37="","",IF(CH37="x",AG$6,0)+IF(CH37="S",-AG$6-0.00001,0))</f>
        <v/>
      </c>
      <c r="AH37" s="40" t="str">
        <f>IF(CI37="","",IF(CI37="x",AH$6,0)+IF(CI37="S",-AH$6-0.00001,0))</f>
        <v/>
      </c>
      <c r="AI37" s="41" t="str">
        <f>IF(CJ37="","",IF(CJ37="x",AI$6,0)+IF(CJ37="S",-AI$6-0.00001,0))</f>
        <v/>
      </c>
      <c r="AJ37" s="41" t="str">
        <f>IF(CK37="","",IF(CK37="x",AJ$6,0)+IF(CK37="S",-AJ$6-0.00001,0))</f>
        <v/>
      </c>
      <c r="AK37" s="42" t="str">
        <f>IF(CL37="","",IF(CL37="x",AK$6,0)+IF(CL37="S",-AK$6-0.00001,0))</f>
        <v/>
      </c>
      <c r="AL37" s="40" t="str">
        <f>IF(CM37="","",IF(CM37="x",AL$6,0)+IF(CM37="S",-AL$6-0.00001,0))</f>
        <v/>
      </c>
      <c r="AM37" s="41" t="str">
        <f>IF(CN37="","",IF(CN37="x",AM$6,0)+IF(CN37="S",-AM$6-0.00001,0))</f>
        <v/>
      </c>
      <c r="AN37" s="41">
        <f>IF(CO37="","",IF(CO37="x",AN$6,0)+IF(CO37="S",-AN$6-0.00001,0))</f>
        <v>-1.0000000000000001E-5</v>
      </c>
      <c r="AO37" s="42" t="str">
        <f>IF(CP37="","",IF(CP37="x",AO$6,0)+IF(CP37="S",-AO$6-0.00001,0))</f>
        <v/>
      </c>
      <c r="AP37" s="40">
        <f>IF(CQ37="","",IF(CQ37="x",AP$6,0)+IF(CQ37="S",-AP$6-0.00001,0))</f>
        <v>0</v>
      </c>
      <c r="AQ37" s="41" t="str">
        <f>IF(CR37="","",IF(CR37="x",AQ$6,0)+IF(CR37="S",-AQ$6-0.00001,0))</f>
        <v/>
      </c>
      <c r="AR37" s="41" t="str">
        <f>IF(CS37="","",IF(CS37="x",AR$6,0)+IF(CS37="S",-AR$6-0.00001,0))</f>
        <v/>
      </c>
      <c r="AS37" s="42" t="str">
        <f>IF(CT37="","",IF(CT37="x",AS$6,0)+IF(CT37="S",-AS$6-0.00001,0))</f>
        <v/>
      </c>
      <c r="AT37" s="40" t="str">
        <f>IF(CU37="","",IF(CU37="x",AT$6,0)+IF(CU37="S",-AT$6-0.00001,0))</f>
        <v/>
      </c>
      <c r="AU37" s="41" t="str">
        <f>IF(CV37="","",IF(CV37="x",AU$6,0)+IF(CV37="S",-AU$6-0.00001,0))</f>
        <v/>
      </c>
      <c r="AV37" s="41" t="str">
        <f>IF(CW37="","",IF(CW37="x",AV$6,0)+IF(CW37="S",-AV$6-0.00001,0))</f>
        <v/>
      </c>
      <c r="AW37" s="42" t="str">
        <f>IF(CX37="","",IF(CX37="x",AW$6,0)+IF(CX37="S",-AW$6-0.00001,0))</f>
        <v/>
      </c>
      <c r="AX37" s="40" t="str">
        <f>IF(CY37="","",IF(CY37="x",AX$6,0)+IF(CY37="S",-AX$6-0.00001,0))</f>
        <v/>
      </c>
      <c r="AY37" s="41" t="str">
        <f>IF(CZ37="","",IF(CZ37="x",AY$6,0)+IF(CZ37="S",-AY$6-0.00001,0))</f>
        <v/>
      </c>
      <c r="AZ37" s="41" t="str">
        <f>IF(DA37="","",IF(DA37="x",AZ$6,0)+IF(DA37="S",-AZ$6-0.00001,0))</f>
        <v/>
      </c>
      <c r="BA37" s="42" t="str">
        <f>IF(DB37="","",IF(DB37="x",BA$6,0)+IF(DB37="S",-BA$6-0.00001,0))</f>
        <v/>
      </c>
      <c r="BB37" s="37" t="s">
        <v>106</v>
      </c>
      <c r="BC37" s="21"/>
      <c r="BD37" s="21"/>
      <c r="BG37" t="str">
        <f>IF(NOT(ISERROR(HLOOKUP(Standings!BG$3,Entries!$C68:$K68,1,FALSE))),"x",IF(NOT(ISERROR(HLOOKUP(Standings!BG$3,Entries!$L68:$L68,1,FALSE))),"S",""))</f>
        <v/>
      </c>
      <c r="BH37" t="str">
        <f>IF(NOT(ISERROR(HLOOKUP(Standings!BH$3,Entries!$C68:$K68,1,FALSE))),"x",IF(NOT(ISERROR(HLOOKUP(Standings!BH$3,Entries!$L68:$L68,1,FALSE))),"S",""))</f>
        <v/>
      </c>
      <c r="BI37" t="str">
        <f>IF(NOT(ISERROR(HLOOKUP(Standings!BI$3,Entries!$C68:$K68,1,FALSE))),"x",IF(NOT(ISERROR(HLOOKUP(Standings!BI$3,Entries!$L68:$L68,1,FALSE))),"S",""))</f>
        <v/>
      </c>
      <c r="BJ37" t="str">
        <f>IF(NOT(ISERROR(HLOOKUP(Standings!BJ$3,Entries!$C68:$K68,1,FALSE))),"x",IF(NOT(ISERROR(HLOOKUP(Standings!BJ$3,Entries!$L68:$L68,1,FALSE))),"S",""))</f>
        <v/>
      </c>
      <c r="BK37" t="str">
        <f>IF(NOT(ISERROR(HLOOKUP(Standings!BK$3,Entries!$C68:$K68,1,FALSE))),"x",IF(NOT(ISERROR(HLOOKUP(Standings!BK$3,Entries!$L68:$L68,1,FALSE))),"S",""))</f>
        <v/>
      </c>
      <c r="BL37" t="str">
        <f>IF(NOT(ISERROR(HLOOKUP(Standings!BL$3,Entries!$C68:$K68,1,FALSE))),"x",IF(NOT(ISERROR(HLOOKUP(Standings!BL$3,Entries!$L68:$L68,1,FALSE))),"S",""))</f>
        <v/>
      </c>
      <c r="BM37" t="str">
        <f>IF(NOT(ISERROR(HLOOKUP(Standings!BM$3,Entries!$C68:$K68,1,FALSE))),"x",IF(NOT(ISERROR(HLOOKUP(Standings!BM$3,Entries!$L68:$L68,1,FALSE))),"S",""))</f>
        <v/>
      </c>
      <c r="BN37" t="str">
        <f>IF(NOT(ISERROR(HLOOKUP(Standings!BN$3,Entries!$C68:$K68,1,FALSE))),"x",IF(NOT(ISERROR(HLOOKUP(Standings!BN$3,Entries!$L68:$L68,1,FALSE))),"S",""))</f>
        <v/>
      </c>
      <c r="BO37" t="str">
        <f>IF(NOT(ISERROR(HLOOKUP(Standings!BO$3,Entries!$C68:$K68,1,FALSE))),"x",IF(NOT(ISERROR(HLOOKUP(Standings!BO$3,Entries!$L68:$L68,1,FALSE))),"S",""))</f>
        <v/>
      </c>
      <c r="BP37" t="str">
        <f>IF(NOT(ISERROR(HLOOKUP(Standings!BP$3,Entries!$C68:$K68,1,FALSE))),"x",IF(NOT(ISERROR(HLOOKUP(Standings!BP$3,Entries!$L68:$L68,1,FALSE))),"S",""))</f>
        <v/>
      </c>
      <c r="BQ37" t="str">
        <f>IF(NOT(ISERROR(HLOOKUP(Standings!BQ$3,Entries!$C68:$K68,1,FALSE))),"x",IF(NOT(ISERROR(HLOOKUP(Standings!BQ$3,Entries!$L68:$L68,1,FALSE))),"S",""))</f>
        <v/>
      </c>
      <c r="BR37" t="str">
        <f>IF(NOT(ISERROR(HLOOKUP(Standings!BR$3,Entries!$C68:$K68,1,FALSE))),"x",IF(NOT(ISERROR(HLOOKUP(Standings!BR$3,Entries!$L68:$L68,1,FALSE))),"S",""))</f>
        <v/>
      </c>
      <c r="BS37" t="str">
        <f>IF(NOT(ISERROR(HLOOKUP(Standings!BS$3,Entries!$C68:$K68,1,FALSE))),"x",IF(NOT(ISERROR(HLOOKUP(Standings!BS$3,Entries!$L68:$L68,1,FALSE))),"S",""))</f>
        <v>x</v>
      </c>
      <c r="BT37" t="str">
        <f>IF(NOT(ISERROR(HLOOKUP(Standings!BT$3,Entries!$C68:$K68,1,FALSE))),"x",IF(NOT(ISERROR(HLOOKUP(Standings!BT$3,Entries!$L68:$L68,1,FALSE))),"S",""))</f>
        <v/>
      </c>
      <c r="BU37" t="str">
        <f>IF(NOT(ISERROR(HLOOKUP(Standings!BU$3,Entries!$C68:$K68,1,FALSE))),"x",IF(NOT(ISERROR(HLOOKUP(Standings!BU$3,Entries!$L68:$L68,1,FALSE))),"S",""))</f>
        <v/>
      </c>
      <c r="BV37" t="str">
        <f>IF(NOT(ISERROR(HLOOKUP(Standings!BV$3,Entries!$C68:$K68,1,FALSE))),"x",IF(NOT(ISERROR(HLOOKUP(Standings!BV$3,Entries!$L68:$L68,1,FALSE))),"S",""))</f>
        <v/>
      </c>
      <c r="BW37" t="str">
        <f>IF(NOT(ISERROR(HLOOKUP(Standings!BW$3,Entries!$C68:$K68,1,FALSE))),"x",IF(NOT(ISERROR(HLOOKUP(Standings!BW$3,Entries!$L68:$L68,1,FALSE))),"S",""))</f>
        <v>x</v>
      </c>
      <c r="BX37" t="str">
        <f>IF(NOT(ISERROR(HLOOKUP(Standings!BX$3,Entries!$C68:$K68,1,FALSE))),"x",IF(NOT(ISERROR(HLOOKUP(Standings!BX$3,Entries!$L68:$L68,1,FALSE))),"S",""))</f>
        <v/>
      </c>
      <c r="BY37" t="str">
        <f>IF(NOT(ISERROR(HLOOKUP(Standings!BY$3,Entries!$C68:$K68,1,FALSE))),"x",IF(NOT(ISERROR(HLOOKUP(Standings!BY$3,Entries!$L68:$L68,1,FALSE))),"S",""))</f>
        <v/>
      </c>
      <c r="BZ37" t="str">
        <f>IF(NOT(ISERROR(HLOOKUP(Standings!BZ$3,Entries!$C68:$K68,1,FALSE))),"x",IF(NOT(ISERROR(HLOOKUP(Standings!BZ$3,Entries!$L68:$L68,1,FALSE))),"S",""))</f>
        <v/>
      </c>
      <c r="CA37" t="str">
        <f>IF(NOT(ISERROR(HLOOKUP(Standings!CA$3,Entries!$C68:$K68,1,FALSE))),"x",IF(NOT(ISERROR(HLOOKUP(Standings!CA$3,Entries!$L68:$L68,1,FALSE))),"S",""))</f>
        <v/>
      </c>
      <c r="CB37" t="str">
        <f>IF(NOT(ISERROR(HLOOKUP(Standings!CB$3,Entries!$C68:$K68,1,FALSE))),"x",IF(NOT(ISERROR(HLOOKUP(Standings!CB$3,Entries!$L68:$L68,1,FALSE))),"S",""))</f>
        <v/>
      </c>
      <c r="CC37" t="str">
        <f>IF(NOT(ISERROR(HLOOKUP(Standings!CC$3,Entries!$C68:$K68,1,FALSE))),"x",IF(NOT(ISERROR(HLOOKUP(Standings!CC$3,Entries!$L68:$L68,1,FALSE))),"S",""))</f>
        <v/>
      </c>
      <c r="CD37" t="str">
        <f>IF(NOT(ISERROR(HLOOKUP(Standings!CD$3,Entries!$C68:$K68,1,FALSE))),"x",IF(NOT(ISERROR(HLOOKUP(Standings!CD$3,Entries!$L68:$L68,1,FALSE))),"S",""))</f>
        <v/>
      </c>
      <c r="CE37" t="str">
        <f>IF(NOT(ISERROR(HLOOKUP(Standings!CE$3,Entries!$C68:$K68,1,FALSE))),"x",IF(NOT(ISERROR(HLOOKUP(Standings!CE$3,Entries!$L68:$L68,1,FALSE))),"S",""))</f>
        <v/>
      </c>
      <c r="CF37" t="str">
        <f>IF(NOT(ISERROR(HLOOKUP(Standings!CF$3,Entries!$C68:$K68,1,FALSE))),"x",IF(NOT(ISERROR(HLOOKUP(Standings!CF$3,Entries!$L68:$L68,1,FALSE))),"S",""))</f>
        <v>x</v>
      </c>
      <c r="CG37" t="str">
        <f>IF(NOT(ISERROR(HLOOKUP(Standings!CG$3,Entries!$C68:$K68,1,FALSE))),"x",IF(NOT(ISERROR(HLOOKUP(Standings!CG$3,Entries!$L68:$L68,1,FALSE))),"S",""))</f>
        <v/>
      </c>
      <c r="CH37" t="str">
        <f>IF(NOT(ISERROR(HLOOKUP(Standings!CH$3,Entries!$C68:$K68,1,FALSE))),"x",IF(NOT(ISERROR(HLOOKUP(Standings!CH$3,Entries!$L68:$L68,1,FALSE))),"S",""))</f>
        <v/>
      </c>
      <c r="CI37" t="str">
        <f>IF(NOT(ISERROR(HLOOKUP(Standings!CI$3,Entries!$C68:$K68,1,FALSE))),"x",IF(NOT(ISERROR(HLOOKUP(Standings!CI$3,Entries!$L68:$L68,1,FALSE))),"S",""))</f>
        <v/>
      </c>
      <c r="CJ37" t="str">
        <f>IF(NOT(ISERROR(HLOOKUP(Standings!CJ$3,Entries!$C68:$K68,1,FALSE))),"x",IF(NOT(ISERROR(HLOOKUP(Standings!CJ$3,Entries!$L68:$L68,1,FALSE))),"S",""))</f>
        <v/>
      </c>
      <c r="CK37" t="str">
        <f>IF(NOT(ISERROR(HLOOKUP(Standings!CK$3,Entries!$C68:$K68,1,FALSE))),"x",IF(NOT(ISERROR(HLOOKUP(Standings!CK$3,Entries!$L68:$L68,1,FALSE))),"S",""))</f>
        <v/>
      </c>
      <c r="CL37" t="str">
        <f>IF(NOT(ISERROR(HLOOKUP(Standings!CL$3,Entries!$C68:$K68,1,FALSE))),"x",IF(NOT(ISERROR(HLOOKUP(Standings!CL$3,Entries!$L68:$L68,1,FALSE))),"S",""))</f>
        <v/>
      </c>
      <c r="CM37" t="str">
        <f>IF(NOT(ISERROR(HLOOKUP(Standings!CM$3,Entries!$C68:$K68,1,FALSE))),"x",IF(NOT(ISERROR(HLOOKUP(Standings!CM$3,Entries!$L68:$L68,1,FALSE))),"S",""))</f>
        <v/>
      </c>
      <c r="CN37" t="str">
        <f>IF(NOT(ISERROR(HLOOKUP(Standings!CN$3,Entries!$C68:$K68,1,FALSE))),"x",IF(NOT(ISERROR(HLOOKUP(Standings!CN$3,Entries!$L68:$L68,1,FALSE))),"S",""))</f>
        <v/>
      </c>
      <c r="CO37" t="str">
        <f>IF(NOT(ISERROR(HLOOKUP(Standings!CO$3,Entries!$C68:$K68,1,FALSE))),"x",IF(NOT(ISERROR(HLOOKUP(Standings!CO$3,Entries!$L68:$L68,1,FALSE))),"S",""))</f>
        <v>S</v>
      </c>
      <c r="CP37" t="str">
        <f>IF(NOT(ISERROR(HLOOKUP(Standings!CP$3,Entries!$C68:$K68,1,FALSE))),"x",IF(NOT(ISERROR(HLOOKUP(Standings!CP$3,Entries!$L68:$L68,1,FALSE))),"S",""))</f>
        <v/>
      </c>
      <c r="CQ37" t="str">
        <f>IF(NOT(ISERROR(HLOOKUP(Standings!CQ$3,Entries!$C68:$K68,1,FALSE))),"x",IF(NOT(ISERROR(HLOOKUP(Standings!CQ$3,Entries!$L68:$L68,1,FALSE))),"S",""))</f>
        <v>x</v>
      </c>
      <c r="CR37" t="str">
        <f>IF(NOT(ISERROR(HLOOKUP(Standings!CR$3,Entries!$C68:$K68,1,FALSE))),"x",IF(NOT(ISERROR(HLOOKUP(Standings!CR$3,Entries!$L68:$L68,1,FALSE))),"S",""))</f>
        <v/>
      </c>
      <c r="CS37" t="str">
        <f>IF(NOT(ISERROR(HLOOKUP(Standings!CS$3,Entries!$C68:$K68,1,FALSE))),"x",IF(NOT(ISERROR(HLOOKUP(Standings!CS$3,Entries!$L68:$L68,1,FALSE))),"S",""))</f>
        <v/>
      </c>
      <c r="CT37" t="str">
        <f>IF(NOT(ISERROR(HLOOKUP(Standings!CT$3,Entries!$C68:$K68,1,FALSE))),"x",IF(NOT(ISERROR(HLOOKUP(Standings!CT$3,Entries!$L68:$L68,1,FALSE))),"S",""))</f>
        <v/>
      </c>
      <c r="CU37" t="str">
        <f>IF(NOT(ISERROR(HLOOKUP(Standings!CU$3,Entries!$C68:$K68,1,FALSE))),"x",IF(NOT(ISERROR(HLOOKUP(Standings!CU$3,Entries!$L68:$L68,1,FALSE))),"S",""))</f>
        <v/>
      </c>
      <c r="CV37" t="str">
        <f>IF(NOT(ISERROR(HLOOKUP(Standings!CV$3,Entries!$C68:$K68,1,FALSE))),"x",IF(NOT(ISERROR(HLOOKUP(Standings!CV$3,Entries!$L68:$L68,1,FALSE))),"S",""))</f>
        <v/>
      </c>
      <c r="CW37" t="str">
        <f>IF(NOT(ISERROR(HLOOKUP(Standings!CW$3,Entries!$C68:$K68,1,FALSE))),"x",IF(NOT(ISERROR(HLOOKUP(Standings!CW$3,Entries!$L68:$L68,1,FALSE))),"S",""))</f>
        <v/>
      </c>
      <c r="CX37" t="str">
        <f>IF(NOT(ISERROR(HLOOKUP(Standings!CX$3,Entries!$C68:$K68,1,FALSE))),"x",IF(NOT(ISERROR(HLOOKUP(Standings!CX$3,Entries!$L68:$L68,1,FALSE))),"S",""))</f>
        <v/>
      </c>
      <c r="CY37" t="str">
        <f>IF(NOT(ISERROR(HLOOKUP(Standings!CY$3,Entries!$C68:$K68,1,FALSE))),"x",IF(NOT(ISERROR(HLOOKUP(Standings!CY$3,Entries!$L68:$L68,1,FALSE))),"S",""))</f>
        <v/>
      </c>
      <c r="CZ37" t="str">
        <f>IF(NOT(ISERROR(HLOOKUP(Standings!CZ$3,Entries!$C68:$K68,1,FALSE))),"x",IF(NOT(ISERROR(HLOOKUP(Standings!CZ$3,Entries!$L68:$L68,1,FALSE))),"S",""))</f>
        <v/>
      </c>
      <c r="DA37" t="str">
        <f>IF(NOT(ISERROR(HLOOKUP(Standings!DA$3,Entries!$C68:$K68,1,FALSE))),"x",IF(NOT(ISERROR(HLOOKUP(Standings!DA$3,Entries!$L68:$L68,1,FALSE))),"S",""))</f>
        <v/>
      </c>
      <c r="DB37" t="str">
        <f>IF(NOT(ISERROR(HLOOKUP(Standings!DB$3,Entries!$C68:$K68,1,FALSE))),"x",IF(NOT(ISERROR(HLOOKUP(Standings!DB$3,Entries!$L68:$L68,1,FALSE))),"S",""))</f>
        <v/>
      </c>
    </row>
    <row r="38" spans="1:106" x14ac:dyDescent="0.25">
      <c r="B38">
        <v>43</v>
      </c>
      <c r="C38" t="str">
        <f>Entries!B69</f>
        <v>EColvin1</v>
      </c>
      <c r="D38" s="4">
        <f>IF(C38="","",RANK(E38,$E$10:$E$111))</f>
        <v>21</v>
      </c>
      <c r="E38" s="31">
        <f>IF(C38="","",ROUND(SUM(F38:AK38),0))</f>
        <v>5</v>
      </c>
      <c r="F38" s="40" t="str">
        <f>IF(BG38="","",IF(BG38="x",F$6,0)+IF(BG38="S",-F$6-0.00001,0))</f>
        <v/>
      </c>
      <c r="G38" s="41" t="str">
        <f>IF(BH38="","",IF(BH38="x",G$6,0)+IF(BH38="S",-G$6-0.00001,0))</f>
        <v/>
      </c>
      <c r="H38" s="41">
        <f>IF(BI38="","",IF(BI38="x",H$6,0)+IF(BI38="S",-H$6-0.00001,0))</f>
        <v>2</v>
      </c>
      <c r="I38" s="42" t="str">
        <f>IF(BJ38="","",IF(BJ38="x",I$6,0)+IF(BJ38="S",-I$6-0.00001,0))</f>
        <v/>
      </c>
      <c r="J38" s="40" t="str">
        <f>IF(BK38="","",IF(BK38="x",J$6,0)+IF(BK38="S",-J$6-0.00001,0))</f>
        <v/>
      </c>
      <c r="K38" s="41">
        <f>IF(BL38="","",IF(BL38="x",K$6,0)+IF(BL38="S",-K$6-0.00001,0))</f>
        <v>1</v>
      </c>
      <c r="L38" s="41" t="str">
        <f>IF(BM38="","",IF(BM38="x",L$6,0)+IF(BM38="S",-L$6-0.00001,0))</f>
        <v/>
      </c>
      <c r="M38" s="42" t="str">
        <f>IF(BN38="","",IF(BN38="x",M$6,0)+IF(BN38="S",-M$6-0.00001,0))</f>
        <v/>
      </c>
      <c r="N38" s="43" t="str">
        <f>IF(BO38="","",IF(BO38="x",N$6,0)+IF(BO38="S",-N$6-0.00001,0))</f>
        <v/>
      </c>
      <c r="O38" s="41" t="str">
        <f>IF(BP38="","",IF(BP38="x",O$6,0)+IF(BP38="S",-O$6-0.00001,0))</f>
        <v/>
      </c>
      <c r="P38" s="41" t="str">
        <f>IF(BQ38="","",IF(BQ38="x",P$6,0)+IF(BQ38="S",-P$6-0.00001,0))</f>
        <v/>
      </c>
      <c r="Q38" s="42" t="str">
        <f>IF(BR38="","",IF(BR38="x",Q$6,0)+IF(BR38="S",-Q$6-0.00001,0))</f>
        <v/>
      </c>
      <c r="R38" s="40" t="str">
        <f>IF(BS38="","",IF(BS38="x",R$6,0)+IF(BS38="S",-R$6-0.00001,0))</f>
        <v/>
      </c>
      <c r="S38" s="41" t="str">
        <f>IF(BT38="","",IF(BT38="x",S$6,0)+IF(BT38="S",-S$6-0.00001,0))</f>
        <v/>
      </c>
      <c r="T38" s="43" t="str">
        <f>IF(BU38="","",IF(BU38="x",T$6,0)+IF(BU38="S",-T$6-0.00001,0))</f>
        <v/>
      </c>
      <c r="U38" s="42" t="str">
        <f>IF(BV38="","",IF(BV38="x",U$6,0)+IF(BV38="S",-U$6-0.00001,0))</f>
        <v/>
      </c>
      <c r="V38" s="40" t="str">
        <f>IF(BW38="","",IF(BW38="x",V$6,0)+IF(BW38="S",-V$6-0.00001,0))</f>
        <v/>
      </c>
      <c r="W38" s="41" t="str">
        <f>IF(BX38="","",IF(BX38="x",W$6,0)+IF(BX38="S",-W$6-0.00001,0))</f>
        <v/>
      </c>
      <c r="X38" s="41" t="str">
        <f>IF(BY38="","",IF(BY38="x",X$6,0)+IF(BY38="S",-X$6-0.00001,0))</f>
        <v/>
      </c>
      <c r="Y38" s="42">
        <f>IF(BZ38="","",IF(BZ38="x",Y$6,0)+IF(BZ38="S",-Y$6-0.00001,0))</f>
        <v>0</v>
      </c>
      <c r="Z38" s="40" t="str">
        <f>IF(CA38="","",IF(CA38="x",Z$6,0)+IF(CA38="S",-Z$6-0.00001,0))</f>
        <v/>
      </c>
      <c r="AA38" s="41" t="str">
        <f>IF(CB38="","",IF(CB38="x",AA$6,0)+IF(CB38="S",-AA$6-0.00001,0))</f>
        <v/>
      </c>
      <c r="AB38" s="41" t="str">
        <f>IF(CC38="","",IF(CC38="x",AB$6,0)+IF(CC38="S",-AB$6-0.00001,0))</f>
        <v/>
      </c>
      <c r="AC38" s="42" t="str">
        <f>IF(CD38="","",IF(CD38="x",AC$6,0)+IF(CD38="S",-AC$6-0.00001,0))</f>
        <v/>
      </c>
      <c r="AD38" s="40">
        <f>IF(CE38="","",IF(CE38="x",AD$6,0)+IF(CE38="S",-AD$6-0.00001,0))</f>
        <v>1</v>
      </c>
      <c r="AE38" s="41">
        <f>IF(CF38="","",IF(CF38="x",AE$6,0)+IF(CF38="S",-AE$6-0.00001,0))</f>
        <v>1</v>
      </c>
      <c r="AF38" s="41" t="str">
        <f>IF(CG38="","",IF(CG38="x",AF$6,0)+IF(CG38="S",-AF$6-0.00001,0))</f>
        <v/>
      </c>
      <c r="AG38" s="42" t="str">
        <f>IF(CH38="","",IF(CH38="x",AG$6,0)+IF(CH38="S",-AG$6-0.00001,0))</f>
        <v/>
      </c>
      <c r="AH38" s="40" t="str">
        <f>IF(CI38="","",IF(CI38="x",AH$6,0)+IF(CI38="S",-AH$6-0.00001,0))</f>
        <v/>
      </c>
      <c r="AI38" s="41" t="str">
        <f>IF(CJ38="","",IF(CJ38="x",AI$6,0)+IF(CJ38="S",-AI$6-0.00001,0))</f>
        <v/>
      </c>
      <c r="AJ38" s="41" t="str">
        <f>IF(CK38="","",IF(CK38="x",AJ$6,0)+IF(CK38="S",-AJ$6-0.00001,0))</f>
        <v/>
      </c>
      <c r="AK38" s="42" t="str">
        <f>IF(CL38="","",IF(CL38="x",AK$6,0)+IF(CL38="S",-AK$6-0.00001,0))</f>
        <v/>
      </c>
      <c r="AL38" s="40">
        <f>IF(CM38="","",IF(CM38="x",AL$6,0)+IF(CM38="S",-AL$6-0.00001,0))</f>
        <v>-1.0000000000000001E-5</v>
      </c>
      <c r="AM38" s="41" t="str">
        <f>IF(CN38="","",IF(CN38="x",AM$6,0)+IF(CN38="S",-AM$6-0.00001,0))</f>
        <v/>
      </c>
      <c r="AN38" s="41" t="str">
        <f>IF(CO38="","",IF(CO38="x",AN$6,0)+IF(CO38="S",-AN$6-0.00001,0))</f>
        <v/>
      </c>
      <c r="AO38" s="42" t="str">
        <f>IF(CP38="","",IF(CP38="x",AO$6,0)+IF(CP38="S",-AO$6-0.00001,0))</f>
        <v/>
      </c>
      <c r="AP38" s="40" t="str">
        <f>IF(CQ38="","",IF(CQ38="x",AP$6,0)+IF(CQ38="S",-AP$6-0.00001,0))</f>
        <v/>
      </c>
      <c r="AQ38" s="41" t="str">
        <f>IF(CR38="","",IF(CR38="x",AQ$6,0)+IF(CR38="S",-AQ$6-0.00001,0))</f>
        <v/>
      </c>
      <c r="AR38" s="41" t="str">
        <f>IF(CS38="","",IF(CS38="x",AR$6,0)+IF(CS38="S",-AR$6-0.00001,0))</f>
        <v/>
      </c>
      <c r="AS38" s="42" t="str">
        <f>IF(CT38="","",IF(CT38="x",AS$6,0)+IF(CT38="S",-AS$6-0.00001,0))</f>
        <v/>
      </c>
      <c r="AT38" s="40">
        <f>IF(CU38="","",IF(CU38="x",AT$6,0)+IF(CU38="S",-AT$6-0.00001,0))</f>
        <v>0</v>
      </c>
      <c r="AU38" s="41" t="str">
        <f>IF(CV38="","",IF(CV38="x",AU$6,0)+IF(CV38="S",-AU$6-0.00001,0))</f>
        <v/>
      </c>
      <c r="AV38" s="41" t="str">
        <f>IF(CW38="","",IF(CW38="x",AV$6,0)+IF(CW38="S",-AV$6-0.00001,0))</f>
        <v/>
      </c>
      <c r="AW38" s="42" t="str">
        <f>IF(CX38="","",IF(CX38="x",AW$6,0)+IF(CX38="S",-AW$6-0.00001,0))</f>
        <v/>
      </c>
      <c r="AX38" s="40" t="str">
        <f>IF(CY38="","",IF(CY38="x",AX$6,0)+IF(CY38="S",-AX$6-0.00001,0))</f>
        <v/>
      </c>
      <c r="AY38" s="41">
        <f>IF(CZ38="","",IF(CZ38="x",AY$6,0)+IF(CZ38="S",-AY$6-0.00001,0))</f>
        <v>0</v>
      </c>
      <c r="AZ38" s="41" t="str">
        <f>IF(DA38="","",IF(DA38="x",AZ$6,0)+IF(DA38="S",-AZ$6-0.00001,0))</f>
        <v/>
      </c>
      <c r="BA38" s="42" t="str">
        <f>IF(DB38="","",IF(DB38="x",BA$6,0)+IF(DB38="S",-BA$6-0.00001,0))</f>
        <v/>
      </c>
      <c r="BB38" s="37" t="s">
        <v>106</v>
      </c>
      <c r="BC38" s="21"/>
      <c r="BD38" s="21"/>
      <c r="BG38" t="str">
        <f>IF(NOT(ISERROR(HLOOKUP(Standings!BG$3,Entries!$C69:$K69,1,FALSE))),"x",IF(NOT(ISERROR(HLOOKUP(Standings!BG$3,Entries!$L69:$L69,1,FALSE))),"S",""))</f>
        <v/>
      </c>
      <c r="BH38" t="str">
        <f>IF(NOT(ISERROR(HLOOKUP(Standings!BH$3,Entries!$C69:$K69,1,FALSE))),"x",IF(NOT(ISERROR(HLOOKUP(Standings!BH$3,Entries!$L69:$L69,1,FALSE))),"S",""))</f>
        <v/>
      </c>
      <c r="BI38" t="str">
        <f>IF(NOT(ISERROR(HLOOKUP(Standings!BI$3,Entries!$C69:$K69,1,FALSE))),"x",IF(NOT(ISERROR(HLOOKUP(Standings!BI$3,Entries!$L69:$L69,1,FALSE))),"S",""))</f>
        <v>x</v>
      </c>
      <c r="BJ38" t="str">
        <f>IF(NOT(ISERROR(HLOOKUP(Standings!BJ$3,Entries!$C69:$K69,1,FALSE))),"x",IF(NOT(ISERROR(HLOOKUP(Standings!BJ$3,Entries!$L69:$L69,1,FALSE))),"S",""))</f>
        <v/>
      </c>
      <c r="BK38" t="str">
        <f>IF(NOT(ISERROR(HLOOKUP(Standings!BK$3,Entries!$C69:$K69,1,FALSE))),"x",IF(NOT(ISERROR(HLOOKUP(Standings!BK$3,Entries!$L69:$L69,1,FALSE))),"S",""))</f>
        <v/>
      </c>
      <c r="BL38" t="str">
        <f>IF(NOT(ISERROR(HLOOKUP(Standings!BL$3,Entries!$C69:$K69,1,FALSE))),"x",IF(NOT(ISERROR(HLOOKUP(Standings!BL$3,Entries!$L69:$L69,1,FALSE))),"S",""))</f>
        <v>x</v>
      </c>
      <c r="BM38" t="str">
        <f>IF(NOT(ISERROR(HLOOKUP(Standings!BM$3,Entries!$C69:$K69,1,FALSE))),"x",IF(NOT(ISERROR(HLOOKUP(Standings!BM$3,Entries!$L69:$L69,1,FALSE))),"S",""))</f>
        <v/>
      </c>
      <c r="BN38" t="str">
        <f>IF(NOT(ISERROR(HLOOKUP(Standings!BN$3,Entries!$C69:$K69,1,FALSE))),"x",IF(NOT(ISERROR(HLOOKUP(Standings!BN$3,Entries!$L69:$L69,1,FALSE))),"S",""))</f>
        <v/>
      </c>
      <c r="BO38" t="str">
        <f>IF(NOT(ISERROR(HLOOKUP(Standings!BO$3,Entries!$C69:$K69,1,FALSE))),"x",IF(NOT(ISERROR(HLOOKUP(Standings!BO$3,Entries!$L69:$L69,1,FALSE))),"S",""))</f>
        <v/>
      </c>
      <c r="BP38" t="str">
        <f>IF(NOT(ISERROR(HLOOKUP(Standings!BP$3,Entries!$C69:$K69,1,FALSE))),"x",IF(NOT(ISERROR(HLOOKUP(Standings!BP$3,Entries!$L69:$L69,1,FALSE))),"S",""))</f>
        <v/>
      </c>
      <c r="BQ38" t="str">
        <f>IF(NOT(ISERROR(HLOOKUP(Standings!BQ$3,Entries!$C69:$K69,1,FALSE))),"x",IF(NOT(ISERROR(HLOOKUP(Standings!BQ$3,Entries!$L69:$L69,1,FALSE))),"S",""))</f>
        <v/>
      </c>
      <c r="BR38" t="str">
        <f>IF(NOT(ISERROR(HLOOKUP(Standings!BR$3,Entries!$C69:$K69,1,FALSE))),"x",IF(NOT(ISERROR(HLOOKUP(Standings!BR$3,Entries!$L69:$L69,1,FALSE))),"S",""))</f>
        <v/>
      </c>
      <c r="BS38" t="str">
        <f>IF(NOT(ISERROR(HLOOKUP(Standings!BS$3,Entries!$C69:$K69,1,FALSE))),"x",IF(NOT(ISERROR(HLOOKUP(Standings!BS$3,Entries!$L69:$L69,1,FALSE))),"S",""))</f>
        <v/>
      </c>
      <c r="BT38" t="str">
        <f>IF(NOT(ISERROR(HLOOKUP(Standings!BT$3,Entries!$C69:$K69,1,FALSE))),"x",IF(NOT(ISERROR(HLOOKUP(Standings!BT$3,Entries!$L69:$L69,1,FALSE))),"S",""))</f>
        <v/>
      </c>
      <c r="BU38" t="str">
        <f>IF(NOT(ISERROR(HLOOKUP(Standings!BU$3,Entries!$C69:$K69,1,FALSE))),"x",IF(NOT(ISERROR(HLOOKUP(Standings!BU$3,Entries!$L69:$L69,1,FALSE))),"S",""))</f>
        <v/>
      </c>
      <c r="BV38" t="str">
        <f>IF(NOT(ISERROR(HLOOKUP(Standings!BV$3,Entries!$C69:$K69,1,FALSE))),"x",IF(NOT(ISERROR(HLOOKUP(Standings!BV$3,Entries!$L69:$L69,1,FALSE))),"S",""))</f>
        <v/>
      </c>
      <c r="BW38" t="str">
        <f>IF(NOT(ISERROR(HLOOKUP(Standings!BW$3,Entries!$C69:$K69,1,FALSE))),"x",IF(NOT(ISERROR(HLOOKUP(Standings!BW$3,Entries!$L69:$L69,1,FALSE))),"S",""))</f>
        <v/>
      </c>
      <c r="BX38" t="str">
        <f>IF(NOT(ISERROR(HLOOKUP(Standings!BX$3,Entries!$C69:$K69,1,FALSE))),"x",IF(NOT(ISERROR(HLOOKUP(Standings!BX$3,Entries!$L69:$L69,1,FALSE))),"S",""))</f>
        <v/>
      </c>
      <c r="BY38" t="str">
        <f>IF(NOT(ISERROR(HLOOKUP(Standings!BY$3,Entries!$C69:$K69,1,FALSE))),"x",IF(NOT(ISERROR(HLOOKUP(Standings!BY$3,Entries!$L69:$L69,1,FALSE))),"S",""))</f>
        <v/>
      </c>
      <c r="BZ38" t="str">
        <f>IF(NOT(ISERROR(HLOOKUP(Standings!BZ$3,Entries!$C69:$K69,1,FALSE))),"x",IF(NOT(ISERROR(HLOOKUP(Standings!BZ$3,Entries!$L69:$L69,1,FALSE))),"S",""))</f>
        <v>x</v>
      </c>
      <c r="CA38" t="str">
        <f>IF(NOT(ISERROR(HLOOKUP(Standings!CA$3,Entries!$C69:$K69,1,FALSE))),"x",IF(NOT(ISERROR(HLOOKUP(Standings!CA$3,Entries!$L69:$L69,1,FALSE))),"S",""))</f>
        <v/>
      </c>
      <c r="CB38" t="str">
        <f>IF(NOT(ISERROR(HLOOKUP(Standings!CB$3,Entries!$C69:$K69,1,FALSE))),"x",IF(NOT(ISERROR(HLOOKUP(Standings!CB$3,Entries!$L69:$L69,1,FALSE))),"S",""))</f>
        <v/>
      </c>
      <c r="CC38" t="str">
        <f>IF(NOT(ISERROR(HLOOKUP(Standings!CC$3,Entries!$C69:$K69,1,FALSE))),"x",IF(NOT(ISERROR(HLOOKUP(Standings!CC$3,Entries!$L69:$L69,1,FALSE))),"S",""))</f>
        <v/>
      </c>
      <c r="CD38" t="str">
        <f>IF(NOT(ISERROR(HLOOKUP(Standings!CD$3,Entries!$C69:$K69,1,FALSE))),"x",IF(NOT(ISERROR(HLOOKUP(Standings!CD$3,Entries!$L69:$L69,1,FALSE))),"S",""))</f>
        <v/>
      </c>
      <c r="CE38" t="str">
        <f>IF(NOT(ISERROR(HLOOKUP(Standings!CE$3,Entries!$C69:$K69,1,FALSE))),"x",IF(NOT(ISERROR(HLOOKUP(Standings!CE$3,Entries!$L69:$L69,1,FALSE))),"S",""))</f>
        <v>x</v>
      </c>
      <c r="CF38" t="str">
        <f>IF(NOT(ISERROR(HLOOKUP(Standings!CF$3,Entries!$C69:$K69,1,FALSE))),"x",IF(NOT(ISERROR(HLOOKUP(Standings!CF$3,Entries!$L69:$L69,1,FALSE))),"S",""))</f>
        <v>x</v>
      </c>
      <c r="CG38" t="str">
        <f>IF(NOT(ISERROR(HLOOKUP(Standings!CG$3,Entries!$C69:$K69,1,FALSE))),"x",IF(NOT(ISERROR(HLOOKUP(Standings!CG$3,Entries!$L69:$L69,1,FALSE))),"S",""))</f>
        <v/>
      </c>
      <c r="CH38" t="str">
        <f>IF(NOT(ISERROR(HLOOKUP(Standings!CH$3,Entries!$C69:$K69,1,FALSE))),"x",IF(NOT(ISERROR(HLOOKUP(Standings!CH$3,Entries!$L69:$L69,1,FALSE))),"S",""))</f>
        <v/>
      </c>
      <c r="CI38" t="str">
        <f>IF(NOT(ISERROR(HLOOKUP(Standings!CI$3,Entries!$C69:$K69,1,FALSE))),"x",IF(NOT(ISERROR(HLOOKUP(Standings!CI$3,Entries!$L69:$L69,1,FALSE))),"S",""))</f>
        <v/>
      </c>
      <c r="CJ38" t="str">
        <f>IF(NOT(ISERROR(HLOOKUP(Standings!CJ$3,Entries!$C69:$K69,1,FALSE))),"x",IF(NOT(ISERROR(HLOOKUP(Standings!CJ$3,Entries!$L69:$L69,1,FALSE))),"S",""))</f>
        <v/>
      </c>
      <c r="CK38" t="str">
        <f>IF(NOT(ISERROR(HLOOKUP(Standings!CK$3,Entries!$C69:$K69,1,FALSE))),"x",IF(NOT(ISERROR(HLOOKUP(Standings!CK$3,Entries!$L69:$L69,1,FALSE))),"S",""))</f>
        <v/>
      </c>
      <c r="CL38" t="str">
        <f>IF(NOT(ISERROR(HLOOKUP(Standings!CL$3,Entries!$C69:$K69,1,FALSE))),"x",IF(NOT(ISERROR(HLOOKUP(Standings!CL$3,Entries!$L69:$L69,1,FALSE))),"S",""))</f>
        <v/>
      </c>
      <c r="CM38" t="str">
        <f>IF(NOT(ISERROR(HLOOKUP(Standings!CM$3,Entries!$C69:$K69,1,FALSE))),"x",IF(NOT(ISERROR(HLOOKUP(Standings!CM$3,Entries!$L69:$L69,1,FALSE))),"S",""))</f>
        <v>S</v>
      </c>
      <c r="CN38" t="str">
        <f>IF(NOT(ISERROR(HLOOKUP(Standings!CN$3,Entries!$C69:$K69,1,FALSE))),"x",IF(NOT(ISERROR(HLOOKUP(Standings!CN$3,Entries!$L69:$L69,1,FALSE))),"S",""))</f>
        <v/>
      </c>
      <c r="CO38" t="str">
        <f>IF(NOT(ISERROR(HLOOKUP(Standings!CO$3,Entries!$C69:$K69,1,FALSE))),"x",IF(NOT(ISERROR(HLOOKUP(Standings!CO$3,Entries!$L69:$L69,1,FALSE))),"S",""))</f>
        <v/>
      </c>
      <c r="CP38" t="str">
        <f>IF(NOT(ISERROR(HLOOKUP(Standings!CP$3,Entries!$C69:$K69,1,FALSE))),"x",IF(NOT(ISERROR(HLOOKUP(Standings!CP$3,Entries!$L69:$L69,1,FALSE))),"S",""))</f>
        <v/>
      </c>
      <c r="CQ38" t="str">
        <f>IF(NOT(ISERROR(HLOOKUP(Standings!CQ$3,Entries!$C69:$K69,1,FALSE))),"x",IF(NOT(ISERROR(HLOOKUP(Standings!CQ$3,Entries!$L69:$L69,1,FALSE))),"S",""))</f>
        <v/>
      </c>
      <c r="CR38" t="str">
        <f>IF(NOT(ISERROR(HLOOKUP(Standings!CR$3,Entries!$C69:$K69,1,FALSE))),"x",IF(NOT(ISERROR(HLOOKUP(Standings!CR$3,Entries!$L69:$L69,1,FALSE))),"S",""))</f>
        <v/>
      </c>
      <c r="CS38" t="str">
        <f>IF(NOT(ISERROR(HLOOKUP(Standings!CS$3,Entries!$C69:$K69,1,FALSE))),"x",IF(NOT(ISERROR(HLOOKUP(Standings!CS$3,Entries!$L69:$L69,1,FALSE))),"S",""))</f>
        <v/>
      </c>
      <c r="CT38" t="str">
        <f>IF(NOT(ISERROR(HLOOKUP(Standings!CT$3,Entries!$C69:$K69,1,FALSE))),"x",IF(NOT(ISERROR(HLOOKUP(Standings!CT$3,Entries!$L69:$L69,1,FALSE))),"S",""))</f>
        <v/>
      </c>
      <c r="CU38" t="str">
        <f>IF(NOT(ISERROR(HLOOKUP(Standings!CU$3,Entries!$C69:$K69,1,FALSE))),"x",IF(NOT(ISERROR(HLOOKUP(Standings!CU$3,Entries!$L69:$L69,1,FALSE))),"S",""))</f>
        <v>x</v>
      </c>
      <c r="CV38" t="str">
        <f>IF(NOT(ISERROR(HLOOKUP(Standings!CV$3,Entries!$C69:$K69,1,FALSE))),"x",IF(NOT(ISERROR(HLOOKUP(Standings!CV$3,Entries!$L69:$L69,1,FALSE))),"S",""))</f>
        <v/>
      </c>
      <c r="CW38" t="str">
        <f>IF(NOT(ISERROR(HLOOKUP(Standings!CW$3,Entries!$C69:$K69,1,FALSE))),"x",IF(NOT(ISERROR(HLOOKUP(Standings!CW$3,Entries!$L69:$L69,1,FALSE))),"S",""))</f>
        <v/>
      </c>
      <c r="CX38" t="str">
        <f>IF(NOT(ISERROR(HLOOKUP(Standings!CX$3,Entries!$C69:$K69,1,FALSE))),"x",IF(NOT(ISERROR(HLOOKUP(Standings!CX$3,Entries!$L69:$L69,1,FALSE))),"S",""))</f>
        <v/>
      </c>
      <c r="CY38" t="str">
        <f>IF(NOT(ISERROR(HLOOKUP(Standings!CY$3,Entries!$C69:$K69,1,FALSE))),"x",IF(NOT(ISERROR(HLOOKUP(Standings!CY$3,Entries!$L69:$L69,1,FALSE))),"S",""))</f>
        <v/>
      </c>
      <c r="CZ38" t="str">
        <f>IF(NOT(ISERROR(HLOOKUP(Standings!CZ$3,Entries!$C69:$K69,1,FALSE))),"x",IF(NOT(ISERROR(HLOOKUP(Standings!CZ$3,Entries!$L69:$L69,1,FALSE))),"S",""))</f>
        <v>x</v>
      </c>
      <c r="DA38" t="str">
        <f>IF(NOT(ISERROR(HLOOKUP(Standings!DA$3,Entries!$C69:$K69,1,FALSE))),"x",IF(NOT(ISERROR(HLOOKUP(Standings!DA$3,Entries!$L69:$L69,1,FALSE))),"S",""))</f>
        <v/>
      </c>
      <c r="DB38" t="str">
        <f>IF(NOT(ISERROR(HLOOKUP(Standings!DB$3,Entries!$C69:$K69,1,FALSE))),"x",IF(NOT(ISERROR(HLOOKUP(Standings!DB$3,Entries!$L69:$L69,1,FALSE))),"S",""))</f>
        <v/>
      </c>
    </row>
    <row r="39" spans="1:106" x14ac:dyDescent="0.25">
      <c r="A39" s="18"/>
      <c r="B39">
        <v>26</v>
      </c>
      <c r="C39" t="str">
        <f>Entries!B78</f>
        <v>Craig Miller 2</v>
      </c>
      <c r="D39" s="4">
        <f>IF(C39="","",RANK(E39,$E$10:$E$111))</f>
        <v>21</v>
      </c>
      <c r="E39" s="31">
        <f>IF(C39="","",ROUND(SUM(F39:AK39),0))</f>
        <v>5</v>
      </c>
      <c r="F39" s="40" t="str">
        <f>IF(BG39="","",IF(BG39="x",F$6,0)+IF(BG39="S",-F$6-0.00001,0))</f>
        <v/>
      </c>
      <c r="G39" s="41" t="str">
        <f>IF(BH39="","",IF(BH39="x",G$6,0)+IF(BH39="S",-G$6-0.00001,0))</f>
        <v/>
      </c>
      <c r="H39" s="41" t="str">
        <f>IF(BI39="","",IF(BI39="x",H$6,0)+IF(BI39="S",-H$6-0.00001,0))</f>
        <v/>
      </c>
      <c r="I39" s="42" t="str">
        <f>IF(BJ39="","",IF(BJ39="x",I$6,0)+IF(BJ39="S",-I$6-0.00001,0))</f>
        <v/>
      </c>
      <c r="J39" s="40" t="str">
        <f>IF(BK39="","",IF(BK39="x",J$6,0)+IF(BK39="S",-J$6-0.00001,0))</f>
        <v/>
      </c>
      <c r="K39" s="41" t="str">
        <f>IF(BL39="","",IF(BL39="x",K$6,0)+IF(BL39="S",-K$6-0.00001,0))</f>
        <v/>
      </c>
      <c r="L39" s="41" t="str">
        <f>IF(BM39="","",IF(BM39="x",L$6,0)+IF(BM39="S",-L$6-0.00001,0))</f>
        <v/>
      </c>
      <c r="M39" s="42" t="str">
        <f>IF(BN39="","",IF(BN39="x",M$6,0)+IF(BN39="S",-M$6-0.00001,0))</f>
        <v/>
      </c>
      <c r="N39" s="43" t="str">
        <f>IF(BO39="","",IF(BO39="x",N$6,0)+IF(BO39="S",-N$6-0.00001,0))</f>
        <v/>
      </c>
      <c r="O39" s="41" t="str">
        <f>IF(BP39="","",IF(BP39="x",O$6,0)+IF(BP39="S",-O$6-0.00001,0))</f>
        <v/>
      </c>
      <c r="P39" s="41" t="str">
        <f>IF(BQ39="","",IF(BQ39="x",P$6,0)+IF(BQ39="S",-P$6-0.00001,0))</f>
        <v/>
      </c>
      <c r="Q39" s="42" t="str">
        <f>IF(BR39="","",IF(BR39="x",Q$6,0)+IF(BR39="S",-Q$6-0.00001,0))</f>
        <v/>
      </c>
      <c r="R39" s="40">
        <f>IF(BS39="","",IF(BS39="x",R$6,0)+IF(BS39="S",-R$6-0.00001,0))</f>
        <v>2</v>
      </c>
      <c r="S39" s="41" t="str">
        <f>IF(BT39="","",IF(BT39="x",S$6,0)+IF(BT39="S",-S$6-0.00001,0))</f>
        <v/>
      </c>
      <c r="T39" s="43" t="str">
        <f>IF(BU39="","",IF(BU39="x",T$6,0)+IF(BU39="S",-T$6-0.00001,0))</f>
        <v/>
      </c>
      <c r="U39" s="42" t="str">
        <f>IF(BV39="","",IF(BV39="x",U$6,0)+IF(BV39="S",-U$6-0.00001,0))</f>
        <v/>
      </c>
      <c r="V39" s="40" t="str">
        <f>IF(BW39="","",IF(BW39="x",V$6,0)+IF(BW39="S",-V$6-0.00001,0))</f>
        <v/>
      </c>
      <c r="W39" s="41" t="str">
        <f>IF(BX39="","",IF(BX39="x",W$6,0)+IF(BX39="S",-W$6-0.00001,0))</f>
        <v/>
      </c>
      <c r="X39" s="41">
        <f>IF(BY39="","",IF(BY39="x",X$6,0)+IF(BY39="S",-X$6-0.00001,0))</f>
        <v>2</v>
      </c>
      <c r="Y39" s="42" t="str">
        <f>IF(BZ39="","",IF(BZ39="x",Y$6,0)+IF(BZ39="S",-Y$6-0.00001,0))</f>
        <v/>
      </c>
      <c r="Z39" s="40" t="str">
        <f>IF(CA39="","",IF(CA39="x",Z$6,0)+IF(CA39="S",-Z$6-0.00001,0))</f>
        <v/>
      </c>
      <c r="AA39" s="41" t="str">
        <f>IF(CB39="","",IF(CB39="x",AA$6,0)+IF(CB39="S",-AA$6-0.00001,0))</f>
        <v/>
      </c>
      <c r="AB39" s="41" t="str">
        <f>IF(CC39="","",IF(CC39="x",AB$6,0)+IF(CC39="S",-AB$6-0.00001,0))</f>
        <v/>
      </c>
      <c r="AC39" s="42" t="str">
        <f>IF(CD39="","",IF(CD39="x",AC$6,0)+IF(CD39="S",-AC$6-0.00001,0))</f>
        <v/>
      </c>
      <c r="AD39" s="40">
        <f>IF(CE39="","",IF(CE39="x",AD$6,0)+IF(CE39="S",-AD$6-0.00001,0))</f>
        <v>1</v>
      </c>
      <c r="AE39" s="41" t="str">
        <f>IF(CF39="","",IF(CF39="x",AE$6,0)+IF(CF39="S",-AE$6-0.00001,0))</f>
        <v/>
      </c>
      <c r="AF39" s="41" t="str">
        <f>IF(CG39="","",IF(CG39="x",AF$6,0)+IF(CG39="S",-AF$6-0.00001,0))</f>
        <v/>
      </c>
      <c r="AG39" s="42" t="str">
        <f>IF(CH39="","",IF(CH39="x",AG$6,0)+IF(CH39="S",-AG$6-0.00001,0))</f>
        <v/>
      </c>
      <c r="AH39" s="40" t="str">
        <f>IF(CI39="","",IF(CI39="x",AH$6,0)+IF(CI39="S",-AH$6-0.00001,0))</f>
        <v/>
      </c>
      <c r="AI39" s="41" t="str">
        <f>IF(CJ39="","",IF(CJ39="x",AI$6,0)+IF(CJ39="S",-AI$6-0.00001,0))</f>
        <v/>
      </c>
      <c r="AJ39" s="41" t="str">
        <f>IF(CK39="","",IF(CK39="x",AJ$6,0)+IF(CK39="S",-AJ$6-0.00001,0))</f>
        <v/>
      </c>
      <c r="AK39" s="42" t="str">
        <f>IF(CL39="","",IF(CL39="x",AK$6,0)+IF(CL39="S",-AK$6-0.00001,0))</f>
        <v/>
      </c>
      <c r="AL39" s="40" t="str">
        <f>IF(CM39="","",IF(CM39="x",AL$6,0)+IF(CM39="S",-AL$6-0.00001,0))</f>
        <v/>
      </c>
      <c r="AM39" s="41" t="str">
        <f>IF(CN39="","",IF(CN39="x",AM$6,0)+IF(CN39="S",-AM$6-0.00001,0))</f>
        <v/>
      </c>
      <c r="AN39" s="41">
        <f>IF(CO39="","",IF(CO39="x",AN$6,0)+IF(CO39="S",-AN$6-0.00001,0))</f>
        <v>0</v>
      </c>
      <c r="AO39" s="42" t="str">
        <f>IF(CP39="","",IF(CP39="x",AO$6,0)+IF(CP39="S",-AO$6-0.00001,0))</f>
        <v/>
      </c>
      <c r="AP39" s="40" t="str">
        <f>IF(CQ39="","",IF(CQ39="x",AP$6,0)+IF(CQ39="S",-AP$6-0.00001,0))</f>
        <v/>
      </c>
      <c r="AQ39" s="41" t="str">
        <f>IF(CR39="","",IF(CR39="x",AQ$6,0)+IF(CR39="S",-AQ$6-0.00001,0))</f>
        <v/>
      </c>
      <c r="AR39" s="41" t="str">
        <f>IF(CS39="","",IF(CS39="x",AR$6,0)+IF(CS39="S",-AR$6-0.00001,0))</f>
        <v/>
      </c>
      <c r="AS39" s="42" t="str">
        <f>IF(CT39="","",IF(CT39="x",AS$6,0)+IF(CT39="S",-AS$6-0.00001,0))</f>
        <v/>
      </c>
      <c r="AT39" s="40" t="str">
        <f>IF(CU39="","",IF(CU39="x",AT$6,0)+IF(CU39="S",-AT$6-0.00001,0))</f>
        <v/>
      </c>
      <c r="AU39" s="41" t="str">
        <f>IF(CV39="","",IF(CV39="x",AU$6,0)+IF(CV39="S",-AU$6-0.00001,0))</f>
        <v/>
      </c>
      <c r="AV39" s="41" t="str">
        <f>IF(CW39="","",IF(CW39="x",AV$6,0)+IF(CW39="S",-AV$6-0.00001,0))</f>
        <v/>
      </c>
      <c r="AW39" s="42" t="str">
        <f>IF(CX39="","",IF(CX39="x",AW$6,0)+IF(CX39="S",-AW$6-0.00001,0))</f>
        <v/>
      </c>
      <c r="AX39" s="40" t="str">
        <f>IF(CY39="","",IF(CY39="x",AX$6,0)+IF(CY39="S",-AX$6-0.00001,0))</f>
        <v/>
      </c>
      <c r="AY39" s="41" t="str">
        <f>IF(CZ39="","",IF(CZ39="x",AY$6,0)+IF(CZ39="S",-AY$6-0.00001,0))</f>
        <v/>
      </c>
      <c r="AZ39" s="41" t="str">
        <f>IF(DA39="","",IF(DA39="x",AZ$6,0)+IF(DA39="S",-AZ$6-0.00001,0))</f>
        <v/>
      </c>
      <c r="BA39" s="42" t="str">
        <f>IF(DB39="","",IF(DB39="x",BA$6,0)+IF(DB39="S",-BA$6-0.00001,0))</f>
        <v/>
      </c>
      <c r="BB39" s="37" t="s">
        <v>106</v>
      </c>
      <c r="BC39" s="21"/>
      <c r="BD39" s="21"/>
      <c r="BG39" t="str">
        <f>IF(NOT(ISERROR(HLOOKUP(Standings!BG$3,Entries!$C78:$K78,1,FALSE))),"x",IF(NOT(ISERROR(HLOOKUP(Standings!BG$3,Entries!$L78:$L78,1,FALSE))),"S",""))</f>
        <v/>
      </c>
      <c r="BH39" t="str">
        <f>IF(NOT(ISERROR(HLOOKUP(Standings!BH$3,Entries!$C78:$K78,1,FALSE))),"x",IF(NOT(ISERROR(HLOOKUP(Standings!BH$3,Entries!$L78:$L78,1,FALSE))),"S",""))</f>
        <v/>
      </c>
      <c r="BI39" t="str">
        <f>IF(NOT(ISERROR(HLOOKUP(Standings!BI$3,Entries!$C78:$K78,1,FALSE))),"x",IF(NOT(ISERROR(HLOOKUP(Standings!BI$3,Entries!$L78:$L78,1,FALSE))),"S",""))</f>
        <v/>
      </c>
      <c r="BJ39" t="str">
        <f>IF(NOT(ISERROR(HLOOKUP(Standings!BJ$3,Entries!$C78:$K78,1,FALSE))),"x",IF(NOT(ISERROR(HLOOKUP(Standings!BJ$3,Entries!$L78:$L78,1,FALSE))),"S",""))</f>
        <v/>
      </c>
      <c r="BK39" t="str">
        <f>IF(NOT(ISERROR(HLOOKUP(Standings!BK$3,Entries!$C78:$K78,1,FALSE))),"x",IF(NOT(ISERROR(HLOOKUP(Standings!BK$3,Entries!$L78:$L78,1,FALSE))),"S",""))</f>
        <v/>
      </c>
      <c r="BL39" t="str">
        <f>IF(NOT(ISERROR(HLOOKUP(Standings!BL$3,Entries!$C78:$K78,1,FALSE))),"x",IF(NOT(ISERROR(HLOOKUP(Standings!BL$3,Entries!$L78:$L78,1,FALSE))),"S",""))</f>
        <v/>
      </c>
      <c r="BM39" t="str">
        <f>IF(NOT(ISERROR(HLOOKUP(Standings!BM$3,Entries!$C78:$K78,1,FALSE))),"x",IF(NOT(ISERROR(HLOOKUP(Standings!BM$3,Entries!$L78:$L78,1,FALSE))),"S",""))</f>
        <v/>
      </c>
      <c r="BN39" t="str">
        <f>IF(NOT(ISERROR(HLOOKUP(Standings!BN$3,Entries!$C78:$K78,1,FALSE))),"x",IF(NOT(ISERROR(HLOOKUP(Standings!BN$3,Entries!$L78:$L78,1,FALSE))),"S",""))</f>
        <v/>
      </c>
      <c r="BO39" t="str">
        <f>IF(NOT(ISERROR(HLOOKUP(Standings!BO$3,Entries!$C78:$K78,1,FALSE))),"x",IF(NOT(ISERROR(HLOOKUP(Standings!BO$3,Entries!$L78:$L78,1,FALSE))),"S",""))</f>
        <v/>
      </c>
      <c r="BP39" t="str">
        <f>IF(NOT(ISERROR(HLOOKUP(Standings!BP$3,Entries!$C78:$K78,1,FALSE))),"x",IF(NOT(ISERROR(HLOOKUP(Standings!BP$3,Entries!$L78:$L78,1,FALSE))),"S",""))</f>
        <v/>
      </c>
      <c r="BQ39" t="str">
        <f>IF(NOT(ISERROR(HLOOKUP(Standings!BQ$3,Entries!$C78:$K78,1,FALSE))),"x",IF(NOT(ISERROR(HLOOKUP(Standings!BQ$3,Entries!$L78:$L78,1,FALSE))),"S",""))</f>
        <v/>
      </c>
      <c r="BR39" t="str">
        <f>IF(NOT(ISERROR(HLOOKUP(Standings!BR$3,Entries!$C78:$K78,1,FALSE))),"x",IF(NOT(ISERROR(HLOOKUP(Standings!BR$3,Entries!$L78:$L78,1,FALSE))),"S",""))</f>
        <v/>
      </c>
      <c r="BS39" t="str">
        <f>IF(NOT(ISERROR(HLOOKUP(Standings!BS$3,Entries!$C78:$K78,1,FALSE))),"x",IF(NOT(ISERROR(HLOOKUP(Standings!BS$3,Entries!$L78:$L78,1,FALSE))),"S",""))</f>
        <v>x</v>
      </c>
      <c r="BT39" t="str">
        <f>IF(NOT(ISERROR(HLOOKUP(Standings!BT$3,Entries!$C78:$K78,1,FALSE))),"x",IF(NOT(ISERROR(HLOOKUP(Standings!BT$3,Entries!$L78:$L78,1,FALSE))),"S",""))</f>
        <v/>
      </c>
      <c r="BU39" t="str">
        <f>IF(NOT(ISERROR(HLOOKUP(Standings!BU$3,Entries!$C78:$K78,1,FALSE))),"x",IF(NOT(ISERROR(HLOOKUP(Standings!BU$3,Entries!$L78:$L78,1,FALSE))),"S",""))</f>
        <v/>
      </c>
      <c r="BV39" t="str">
        <f>IF(NOT(ISERROR(HLOOKUP(Standings!BV$3,Entries!$C78:$K78,1,FALSE))),"x",IF(NOT(ISERROR(HLOOKUP(Standings!BV$3,Entries!$L78:$L78,1,FALSE))),"S",""))</f>
        <v/>
      </c>
      <c r="BW39" t="str">
        <f>IF(NOT(ISERROR(HLOOKUP(Standings!BW$3,Entries!$C78:$K78,1,FALSE))),"x",IF(NOT(ISERROR(HLOOKUP(Standings!BW$3,Entries!$L78:$L78,1,FALSE))),"S",""))</f>
        <v/>
      </c>
      <c r="BX39" t="str">
        <f>IF(NOT(ISERROR(HLOOKUP(Standings!BX$3,Entries!$C78:$K78,1,FALSE))),"x",IF(NOT(ISERROR(HLOOKUP(Standings!BX$3,Entries!$L78:$L78,1,FALSE))),"S",""))</f>
        <v/>
      </c>
      <c r="BY39" t="str">
        <f>IF(NOT(ISERROR(HLOOKUP(Standings!BY$3,Entries!$C78:$K78,1,FALSE))),"x",IF(NOT(ISERROR(HLOOKUP(Standings!BY$3,Entries!$L78:$L78,1,FALSE))),"S",""))</f>
        <v>x</v>
      </c>
      <c r="BZ39" t="str">
        <f>IF(NOT(ISERROR(HLOOKUP(Standings!BZ$3,Entries!$C78:$K78,1,FALSE))),"x",IF(NOT(ISERROR(HLOOKUP(Standings!BZ$3,Entries!$L78:$L78,1,FALSE))),"S",""))</f>
        <v/>
      </c>
      <c r="CA39" t="str">
        <f>IF(NOT(ISERROR(HLOOKUP(Standings!CA$3,Entries!$C78:$K78,1,FALSE))),"x",IF(NOT(ISERROR(HLOOKUP(Standings!CA$3,Entries!$L78:$L78,1,FALSE))),"S",""))</f>
        <v/>
      </c>
      <c r="CB39" t="str">
        <f>IF(NOT(ISERROR(HLOOKUP(Standings!CB$3,Entries!$C78:$K78,1,FALSE))),"x",IF(NOT(ISERROR(HLOOKUP(Standings!CB$3,Entries!$L78:$L78,1,FALSE))),"S",""))</f>
        <v/>
      </c>
      <c r="CC39" t="str">
        <f>IF(NOT(ISERROR(HLOOKUP(Standings!CC$3,Entries!$C78:$K78,1,FALSE))),"x",IF(NOT(ISERROR(HLOOKUP(Standings!CC$3,Entries!$L78:$L78,1,FALSE))),"S",""))</f>
        <v/>
      </c>
      <c r="CD39" t="str">
        <f>IF(NOT(ISERROR(HLOOKUP(Standings!CD$3,Entries!$C78:$K78,1,FALSE))),"x",IF(NOT(ISERROR(HLOOKUP(Standings!CD$3,Entries!$L78:$L78,1,FALSE))),"S",""))</f>
        <v/>
      </c>
      <c r="CE39" t="str">
        <f>IF(NOT(ISERROR(HLOOKUP(Standings!CE$3,Entries!$C78:$K78,1,FALSE))),"x",IF(NOT(ISERROR(HLOOKUP(Standings!CE$3,Entries!$L78:$L78,1,FALSE))),"S",""))</f>
        <v>x</v>
      </c>
      <c r="CF39" t="str">
        <f>IF(NOT(ISERROR(HLOOKUP(Standings!CF$3,Entries!$C78:$K78,1,FALSE))),"x",IF(NOT(ISERROR(HLOOKUP(Standings!CF$3,Entries!$L78:$L78,1,FALSE))),"S",""))</f>
        <v/>
      </c>
      <c r="CG39" t="str">
        <f>IF(NOT(ISERROR(HLOOKUP(Standings!CG$3,Entries!$C78:$K78,1,FALSE))),"x",IF(NOT(ISERROR(HLOOKUP(Standings!CG$3,Entries!$L78:$L78,1,FALSE))),"S",""))</f>
        <v/>
      </c>
      <c r="CH39" t="str">
        <f>IF(NOT(ISERROR(HLOOKUP(Standings!CH$3,Entries!$C78:$K78,1,FALSE))),"x",IF(NOT(ISERROR(HLOOKUP(Standings!CH$3,Entries!$L78:$L78,1,FALSE))),"S",""))</f>
        <v/>
      </c>
      <c r="CI39" t="str">
        <f>IF(NOT(ISERROR(HLOOKUP(Standings!CI$3,Entries!$C78:$K78,1,FALSE))),"x",IF(NOT(ISERROR(HLOOKUP(Standings!CI$3,Entries!$L78:$L78,1,FALSE))),"S",""))</f>
        <v/>
      </c>
      <c r="CJ39" t="str">
        <f>IF(NOT(ISERROR(HLOOKUP(Standings!CJ$3,Entries!$C78:$K78,1,FALSE))),"x",IF(NOT(ISERROR(HLOOKUP(Standings!CJ$3,Entries!$L78:$L78,1,FALSE))),"S",""))</f>
        <v/>
      </c>
      <c r="CK39" t="str">
        <f>IF(NOT(ISERROR(HLOOKUP(Standings!CK$3,Entries!$C78:$K78,1,FALSE))),"x",IF(NOT(ISERROR(HLOOKUP(Standings!CK$3,Entries!$L78:$L78,1,FALSE))),"S",""))</f>
        <v/>
      </c>
      <c r="CL39" t="str">
        <f>IF(NOT(ISERROR(HLOOKUP(Standings!CL$3,Entries!$C78:$K78,1,FALSE))),"x",IF(NOT(ISERROR(HLOOKUP(Standings!CL$3,Entries!$L78:$L78,1,FALSE))),"S",""))</f>
        <v/>
      </c>
      <c r="CM39" t="str">
        <f>IF(NOT(ISERROR(HLOOKUP(Standings!CM$3,Entries!$C78:$K78,1,FALSE))),"x",IF(NOT(ISERROR(HLOOKUP(Standings!CM$3,Entries!$L78:$L78,1,FALSE))),"S",""))</f>
        <v/>
      </c>
      <c r="CN39" t="str">
        <f>IF(NOT(ISERROR(HLOOKUP(Standings!CN$3,Entries!$C78:$K78,1,FALSE))),"x",IF(NOT(ISERROR(HLOOKUP(Standings!CN$3,Entries!$L78:$L78,1,FALSE))),"S",""))</f>
        <v/>
      </c>
      <c r="CO39" t="str">
        <f>IF(NOT(ISERROR(HLOOKUP(Standings!CO$3,Entries!$C78:$K78,1,FALSE))),"x",IF(NOT(ISERROR(HLOOKUP(Standings!CO$3,Entries!$L78:$L78,1,FALSE))),"S",""))</f>
        <v>x</v>
      </c>
      <c r="CP39" t="str">
        <f>IF(NOT(ISERROR(HLOOKUP(Standings!CP$3,Entries!$C78:$K78,1,FALSE))),"x",IF(NOT(ISERROR(HLOOKUP(Standings!CP$3,Entries!$L78:$L78,1,FALSE))),"S",""))</f>
        <v/>
      </c>
      <c r="CQ39" t="str">
        <f>IF(NOT(ISERROR(HLOOKUP(Standings!CQ$3,Entries!$C78:$K78,1,FALSE))),"x",IF(NOT(ISERROR(HLOOKUP(Standings!CQ$3,Entries!$L78:$L78,1,FALSE))),"S",""))</f>
        <v/>
      </c>
      <c r="CR39" t="str">
        <f>IF(NOT(ISERROR(HLOOKUP(Standings!CR$3,Entries!$C78:$K78,1,FALSE))),"x",IF(NOT(ISERROR(HLOOKUP(Standings!CR$3,Entries!$L78:$L78,1,FALSE))),"S",""))</f>
        <v/>
      </c>
      <c r="CS39" t="str">
        <f>IF(NOT(ISERROR(HLOOKUP(Standings!CS$3,Entries!$C78:$K78,1,FALSE))),"x",IF(NOT(ISERROR(HLOOKUP(Standings!CS$3,Entries!$L78:$L78,1,FALSE))),"S",""))</f>
        <v/>
      </c>
      <c r="CT39" t="str">
        <f>IF(NOT(ISERROR(HLOOKUP(Standings!CT$3,Entries!$C78:$K78,1,FALSE))),"x",IF(NOT(ISERROR(HLOOKUP(Standings!CT$3,Entries!$L78:$L78,1,FALSE))),"S",""))</f>
        <v/>
      </c>
      <c r="CU39" t="str">
        <f>IF(NOT(ISERROR(HLOOKUP(Standings!CU$3,Entries!$C78:$K78,1,FALSE))),"x",IF(NOT(ISERROR(HLOOKUP(Standings!CU$3,Entries!$L78:$L78,1,FALSE))),"S",""))</f>
        <v/>
      </c>
      <c r="CV39" t="str">
        <f>IF(NOT(ISERROR(HLOOKUP(Standings!CV$3,Entries!$C78:$K78,1,FALSE))),"x",IF(NOT(ISERROR(HLOOKUP(Standings!CV$3,Entries!$L78:$L78,1,FALSE))),"S",""))</f>
        <v/>
      </c>
      <c r="CW39" t="str">
        <f>IF(NOT(ISERROR(HLOOKUP(Standings!CW$3,Entries!$C78:$K78,1,FALSE))),"x",IF(NOT(ISERROR(HLOOKUP(Standings!CW$3,Entries!$L78:$L78,1,FALSE))),"S",""))</f>
        <v/>
      </c>
      <c r="CX39" t="str">
        <f>IF(NOT(ISERROR(HLOOKUP(Standings!CX$3,Entries!$C78:$K78,1,FALSE))),"x",IF(NOT(ISERROR(HLOOKUP(Standings!CX$3,Entries!$L78:$L78,1,FALSE))),"S",""))</f>
        <v/>
      </c>
      <c r="CY39" t="str">
        <f>IF(NOT(ISERROR(HLOOKUP(Standings!CY$3,Entries!$C78:$K78,1,FALSE))),"x",IF(NOT(ISERROR(HLOOKUP(Standings!CY$3,Entries!$L78:$L78,1,FALSE))),"S",""))</f>
        <v/>
      </c>
      <c r="CZ39" t="str">
        <f>IF(NOT(ISERROR(HLOOKUP(Standings!CZ$3,Entries!$C78:$K78,1,FALSE))),"x",IF(NOT(ISERROR(HLOOKUP(Standings!CZ$3,Entries!$L78:$L78,1,FALSE))),"S",""))</f>
        <v/>
      </c>
      <c r="DA39" t="str">
        <f>IF(NOT(ISERROR(HLOOKUP(Standings!DA$3,Entries!$C78:$K78,1,FALSE))),"x",IF(NOT(ISERROR(HLOOKUP(Standings!DA$3,Entries!$L78:$L78,1,FALSE))),"S",""))</f>
        <v/>
      </c>
      <c r="DB39" t="str">
        <f>IF(NOT(ISERROR(HLOOKUP(Standings!DB$3,Entries!$C78:$K78,1,FALSE))),"x",IF(NOT(ISERROR(HLOOKUP(Standings!DB$3,Entries!$L78:$L78,1,FALSE))),"S",""))</f>
        <v/>
      </c>
    </row>
    <row r="40" spans="1:106" x14ac:dyDescent="0.25">
      <c r="A40" s="18"/>
      <c r="B40">
        <v>26</v>
      </c>
      <c r="C40" t="str">
        <f>Entries!B94</f>
        <v>BrianCleaveland1</v>
      </c>
      <c r="D40" s="4">
        <f>IF(C40="","",RANK(E40,$E$10:$E$111))</f>
        <v>21</v>
      </c>
      <c r="E40" s="31">
        <f>IF(C40="","",ROUND(SUM(F40:AK40),0))</f>
        <v>5</v>
      </c>
      <c r="F40" s="40">
        <f>IF(BG40="","",IF(BG40="x",F$6,0)+IF(BG40="S",-F$6-0.00001,0))</f>
        <v>2</v>
      </c>
      <c r="G40" s="41" t="str">
        <f>IF(BH40="","",IF(BH40="x",G$6,0)+IF(BH40="S",-G$6-0.00001,0))</f>
        <v/>
      </c>
      <c r="H40" s="41" t="str">
        <f>IF(BI40="","",IF(BI40="x",H$6,0)+IF(BI40="S",-H$6-0.00001,0))</f>
        <v/>
      </c>
      <c r="I40" s="42" t="str">
        <f>IF(BJ40="","",IF(BJ40="x",I$6,0)+IF(BJ40="S",-I$6-0.00001,0))</f>
        <v/>
      </c>
      <c r="J40" s="40" t="str">
        <f>IF(BK40="","",IF(BK40="x",J$6,0)+IF(BK40="S",-J$6-0.00001,0))</f>
        <v/>
      </c>
      <c r="K40" s="41" t="str">
        <f>IF(BL40="","",IF(BL40="x",K$6,0)+IF(BL40="S",-K$6-0.00001,0))</f>
        <v/>
      </c>
      <c r="L40" s="41" t="str">
        <f>IF(BM40="","",IF(BM40="x",L$6,0)+IF(BM40="S",-L$6-0.00001,0))</f>
        <v/>
      </c>
      <c r="M40" s="42" t="str">
        <f>IF(BN40="","",IF(BN40="x",M$6,0)+IF(BN40="S",-M$6-0.00001,0))</f>
        <v/>
      </c>
      <c r="N40" s="43" t="str">
        <f>IF(BO40="","",IF(BO40="x",N$6,0)+IF(BO40="S",-N$6-0.00001,0))</f>
        <v/>
      </c>
      <c r="O40" s="41" t="str">
        <f>IF(BP40="","",IF(BP40="x",O$6,0)+IF(BP40="S",-O$6-0.00001,0))</f>
        <v/>
      </c>
      <c r="P40" s="41" t="str">
        <f>IF(BQ40="","",IF(BQ40="x",P$6,0)+IF(BQ40="S",-P$6-0.00001,0))</f>
        <v/>
      </c>
      <c r="Q40" s="42" t="str">
        <f>IF(BR40="","",IF(BR40="x",Q$6,0)+IF(BR40="S",-Q$6-0.00001,0))</f>
        <v/>
      </c>
      <c r="R40" s="40">
        <f>IF(BS40="","",IF(BS40="x",R$6,0)+IF(BS40="S",-R$6-0.00001,0))</f>
        <v>2</v>
      </c>
      <c r="S40" s="41" t="str">
        <f>IF(BT40="","",IF(BT40="x",S$6,0)+IF(BT40="S",-S$6-0.00001,0))</f>
        <v/>
      </c>
      <c r="T40" s="43" t="str">
        <f>IF(BU40="","",IF(BU40="x",T$6,0)+IF(BU40="S",-T$6-0.00001,0))</f>
        <v/>
      </c>
      <c r="U40" s="42" t="str">
        <f>IF(BV40="","",IF(BV40="x",U$6,0)+IF(BV40="S",-U$6-0.00001,0))</f>
        <v/>
      </c>
      <c r="V40" s="40" t="str">
        <f>IF(BW40="","",IF(BW40="x",V$6,0)+IF(BW40="S",-V$6-0.00001,0))</f>
        <v/>
      </c>
      <c r="W40" s="41" t="str">
        <f>IF(BX40="","",IF(BX40="x",W$6,0)+IF(BX40="S",-W$6-0.00001,0))</f>
        <v/>
      </c>
      <c r="X40" s="41" t="str">
        <f>IF(BY40="","",IF(BY40="x",X$6,0)+IF(BY40="S",-X$6-0.00001,0))</f>
        <v/>
      </c>
      <c r="Y40" s="42" t="str">
        <f>IF(BZ40="","",IF(BZ40="x",Y$6,0)+IF(BZ40="S",-Y$6-0.00001,0))</f>
        <v/>
      </c>
      <c r="Z40" s="40" t="str">
        <f>IF(CA40="","",IF(CA40="x",Z$6,0)+IF(CA40="S",-Z$6-0.00001,0))</f>
        <v/>
      </c>
      <c r="AA40" s="41">
        <f>IF(CB40="","",IF(CB40="x",AA$6,0)+IF(CB40="S",-AA$6-0.00001,0))</f>
        <v>1</v>
      </c>
      <c r="AB40" s="41" t="str">
        <f>IF(CC40="","",IF(CC40="x",AB$6,0)+IF(CC40="S",-AB$6-0.00001,0))</f>
        <v/>
      </c>
      <c r="AC40" s="42" t="str">
        <f>IF(CD40="","",IF(CD40="x",AC$6,0)+IF(CD40="S",-AC$6-0.00001,0))</f>
        <v/>
      </c>
      <c r="AD40" s="40">
        <f>IF(CE40="","",IF(CE40="x",AD$6,0)+IF(CE40="S",-AD$6-0.00001,0))</f>
        <v>1</v>
      </c>
      <c r="AE40" s="41" t="str">
        <f>IF(CF40="","",IF(CF40="x",AE$6,0)+IF(CF40="S",-AE$6-0.00001,0))</f>
        <v/>
      </c>
      <c r="AF40" s="41">
        <f>IF(CG40="","",IF(CG40="x",AF$6,0)+IF(CG40="S",-AF$6-0.00001,0))</f>
        <v>-1.0000100000000001</v>
      </c>
      <c r="AG40" s="42" t="str">
        <f>IF(CH40="","",IF(CH40="x",AG$6,0)+IF(CH40="S",-AG$6-0.00001,0))</f>
        <v/>
      </c>
      <c r="AH40" s="40" t="str">
        <f>IF(CI40="","",IF(CI40="x",AH$6,0)+IF(CI40="S",-AH$6-0.00001,0))</f>
        <v/>
      </c>
      <c r="AI40" s="41" t="str">
        <f>IF(CJ40="","",IF(CJ40="x",AI$6,0)+IF(CJ40="S",-AI$6-0.00001,0))</f>
        <v/>
      </c>
      <c r="AJ40" s="41" t="str">
        <f>IF(CK40="","",IF(CK40="x",AJ$6,0)+IF(CK40="S",-AJ$6-0.00001,0))</f>
        <v/>
      </c>
      <c r="AK40" s="42" t="str">
        <f>IF(CL40="","",IF(CL40="x",AK$6,0)+IF(CL40="S",-AK$6-0.00001,0))</f>
        <v/>
      </c>
      <c r="AL40" s="40" t="str">
        <f>IF(CM40="","",IF(CM40="x",AL$6,0)+IF(CM40="S",-AL$6-0.00001,0))</f>
        <v/>
      </c>
      <c r="AM40" s="41" t="str">
        <f>IF(CN40="","",IF(CN40="x",AM$6,0)+IF(CN40="S",-AM$6-0.00001,0))</f>
        <v/>
      </c>
      <c r="AN40" s="41" t="str">
        <f>IF(CO40="","",IF(CO40="x",AN$6,0)+IF(CO40="S",-AN$6-0.00001,0))</f>
        <v/>
      </c>
      <c r="AO40" s="42" t="str">
        <f>IF(CP40="","",IF(CP40="x",AO$6,0)+IF(CP40="S",-AO$6-0.00001,0))</f>
        <v/>
      </c>
      <c r="AP40" s="40" t="str">
        <f>IF(CQ40="","",IF(CQ40="x",AP$6,0)+IF(CQ40="S",-AP$6-0.00001,0))</f>
        <v/>
      </c>
      <c r="AQ40" s="41" t="str">
        <f>IF(CR40="","",IF(CR40="x",AQ$6,0)+IF(CR40="S",-AQ$6-0.00001,0))</f>
        <v/>
      </c>
      <c r="AR40" s="41" t="str">
        <f>IF(CS40="","",IF(CS40="x",AR$6,0)+IF(CS40="S",-AR$6-0.00001,0))</f>
        <v/>
      </c>
      <c r="AS40" s="42" t="str">
        <f>IF(CT40="","",IF(CT40="x",AS$6,0)+IF(CT40="S",-AS$6-0.00001,0))</f>
        <v/>
      </c>
      <c r="AT40" s="40" t="str">
        <f>IF(CU40="","",IF(CU40="x",AT$6,0)+IF(CU40="S",-AT$6-0.00001,0))</f>
        <v/>
      </c>
      <c r="AU40" s="41" t="str">
        <f>IF(CV40="","",IF(CV40="x",AU$6,0)+IF(CV40="S",-AU$6-0.00001,0))</f>
        <v/>
      </c>
      <c r="AV40" s="41" t="str">
        <f>IF(CW40="","",IF(CW40="x",AV$6,0)+IF(CW40="S",-AV$6-0.00001,0))</f>
        <v/>
      </c>
      <c r="AW40" s="42" t="str">
        <f>IF(CX40="","",IF(CX40="x",AW$6,0)+IF(CX40="S",-AW$6-0.00001,0))</f>
        <v/>
      </c>
      <c r="AX40" s="40" t="str">
        <f>IF(CY40="","",IF(CY40="x",AX$6,0)+IF(CY40="S",-AX$6-0.00001,0))</f>
        <v/>
      </c>
      <c r="AY40" s="41" t="str">
        <f>IF(CZ40="","",IF(CZ40="x",AY$6,0)+IF(CZ40="S",-AY$6-0.00001,0))</f>
        <v/>
      </c>
      <c r="AZ40" s="41" t="str">
        <f>IF(DA40="","",IF(DA40="x",AZ$6,0)+IF(DA40="S",-AZ$6-0.00001,0))</f>
        <v/>
      </c>
      <c r="BA40" s="42" t="str">
        <f>IF(DB40="","",IF(DB40="x",BA$6,0)+IF(DB40="S",-BA$6-0.00001,0))</f>
        <v/>
      </c>
      <c r="BB40" s="37" t="s">
        <v>106</v>
      </c>
      <c r="BC40" s="21"/>
      <c r="BD40" s="21"/>
      <c r="BG40" t="str">
        <f>IF(NOT(ISERROR(HLOOKUP(Standings!BG$3,Entries!$C94:$K94,1,FALSE))),"x",IF(NOT(ISERROR(HLOOKUP(Standings!BG$3,Entries!$L94:$L94,1,FALSE))),"S",""))</f>
        <v>x</v>
      </c>
      <c r="BH40" t="str">
        <f>IF(NOT(ISERROR(HLOOKUP(Standings!BH$3,Entries!$C94:$K94,1,FALSE))),"x",IF(NOT(ISERROR(HLOOKUP(Standings!BH$3,Entries!$L94:$L94,1,FALSE))),"S",""))</f>
        <v/>
      </c>
      <c r="BI40" t="str">
        <f>IF(NOT(ISERROR(HLOOKUP(Standings!BI$3,Entries!$C94:$K94,1,FALSE))),"x",IF(NOT(ISERROR(HLOOKUP(Standings!BI$3,Entries!$L94:$L94,1,FALSE))),"S",""))</f>
        <v/>
      </c>
      <c r="BJ40" t="str">
        <f>IF(NOT(ISERROR(HLOOKUP(Standings!BJ$3,Entries!$C94:$K94,1,FALSE))),"x",IF(NOT(ISERROR(HLOOKUP(Standings!BJ$3,Entries!$L94:$L94,1,FALSE))),"S",""))</f>
        <v/>
      </c>
      <c r="BK40" t="str">
        <f>IF(NOT(ISERROR(HLOOKUP(Standings!BK$3,Entries!$C94:$K94,1,FALSE))),"x",IF(NOT(ISERROR(HLOOKUP(Standings!BK$3,Entries!$L94:$L94,1,FALSE))),"S",""))</f>
        <v/>
      </c>
      <c r="BL40" t="str">
        <f>IF(NOT(ISERROR(HLOOKUP(Standings!BL$3,Entries!$C94:$K94,1,FALSE))),"x",IF(NOT(ISERROR(HLOOKUP(Standings!BL$3,Entries!$L94:$L94,1,FALSE))),"S",""))</f>
        <v/>
      </c>
      <c r="BM40" t="str">
        <f>IF(NOT(ISERROR(HLOOKUP(Standings!BM$3,Entries!$C94:$K94,1,FALSE))),"x",IF(NOT(ISERROR(HLOOKUP(Standings!BM$3,Entries!$L94:$L94,1,FALSE))),"S",""))</f>
        <v/>
      </c>
      <c r="BN40" t="str">
        <f>IF(NOT(ISERROR(HLOOKUP(Standings!BN$3,Entries!$C94:$K94,1,FALSE))),"x",IF(NOT(ISERROR(HLOOKUP(Standings!BN$3,Entries!$L94:$L94,1,FALSE))),"S",""))</f>
        <v/>
      </c>
      <c r="BO40" t="str">
        <f>IF(NOT(ISERROR(HLOOKUP(Standings!BO$3,Entries!$C94:$K94,1,FALSE))),"x",IF(NOT(ISERROR(HLOOKUP(Standings!BO$3,Entries!$L94:$L94,1,FALSE))),"S",""))</f>
        <v/>
      </c>
      <c r="BP40" t="str">
        <f>IF(NOT(ISERROR(HLOOKUP(Standings!BP$3,Entries!$C94:$K94,1,FALSE))),"x",IF(NOT(ISERROR(HLOOKUP(Standings!BP$3,Entries!$L94:$L94,1,FALSE))),"S",""))</f>
        <v/>
      </c>
      <c r="BQ40" t="str">
        <f>IF(NOT(ISERROR(HLOOKUP(Standings!BQ$3,Entries!$C94:$K94,1,FALSE))),"x",IF(NOT(ISERROR(HLOOKUP(Standings!BQ$3,Entries!$L94:$L94,1,FALSE))),"S",""))</f>
        <v/>
      </c>
      <c r="BR40" t="str">
        <f>IF(NOT(ISERROR(HLOOKUP(Standings!BR$3,Entries!$C94:$K94,1,FALSE))),"x",IF(NOT(ISERROR(HLOOKUP(Standings!BR$3,Entries!$L94:$L94,1,FALSE))),"S",""))</f>
        <v/>
      </c>
      <c r="BS40" t="str">
        <f>IF(NOT(ISERROR(HLOOKUP(Standings!BS$3,Entries!$C94:$K94,1,FALSE))),"x",IF(NOT(ISERROR(HLOOKUP(Standings!BS$3,Entries!$L94:$L94,1,FALSE))),"S",""))</f>
        <v>x</v>
      </c>
      <c r="BT40" t="str">
        <f>IF(NOT(ISERROR(HLOOKUP(Standings!BT$3,Entries!$C94:$K94,1,FALSE))),"x",IF(NOT(ISERROR(HLOOKUP(Standings!BT$3,Entries!$L94:$L94,1,FALSE))),"S",""))</f>
        <v/>
      </c>
      <c r="BU40" t="str">
        <f>IF(NOT(ISERROR(HLOOKUP(Standings!BU$3,Entries!$C94:$K94,1,FALSE))),"x",IF(NOT(ISERROR(HLOOKUP(Standings!BU$3,Entries!$L94:$L94,1,FALSE))),"S",""))</f>
        <v/>
      </c>
      <c r="BV40" t="str">
        <f>IF(NOT(ISERROR(HLOOKUP(Standings!BV$3,Entries!$C94:$K94,1,FALSE))),"x",IF(NOT(ISERROR(HLOOKUP(Standings!BV$3,Entries!$L94:$L94,1,FALSE))),"S",""))</f>
        <v/>
      </c>
      <c r="BW40" t="str">
        <f>IF(NOT(ISERROR(HLOOKUP(Standings!BW$3,Entries!$C94:$K94,1,FALSE))),"x",IF(NOT(ISERROR(HLOOKUP(Standings!BW$3,Entries!$L94:$L94,1,FALSE))),"S",""))</f>
        <v/>
      </c>
      <c r="BX40" t="str">
        <f>IF(NOT(ISERROR(HLOOKUP(Standings!BX$3,Entries!$C94:$K94,1,FALSE))),"x",IF(NOT(ISERROR(HLOOKUP(Standings!BX$3,Entries!$L94:$L94,1,FALSE))),"S",""))</f>
        <v/>
      </c>
      <c r="BY40" t="str">
        <f>IF(NOT(ISERROR(HLOOKUP(Standings!BY$3,Entries!$C94:$K94,1,FALSE))),"x",IF(NOT(ISERROR(HLOOKUP(Standings!BY$3,Entries!$L94:$L94,1,FALSE))),"S",""))</f>
        <v/>
      </c>
      <c r="BZ40" t="str">
        <f>IF(NOT(ISERROR(HLOOKUP(Standings!BZ$3,Entries!$C94:$K94,1,FALSE))),"x",IF(NOT(ISERROR(HLOOKUP(Standings!BZ$3,Entries!$L94:$L94,1,FALSE))),"S",""))</f>
        <v/>
      </c>
      <c r="CA40" t="str">
        <f>IF(NOT(ISERROR(HLOOKUP(Standings!CA$3,Entries!$C94:$K94,1,FALSE))),"x",IF(NOT(ISERROR(HLOOKUP(Standings!CA$3,Entries!$L94:$L94,1,FALSE))),"S",""))</f>
        <v/>
      </c>
      <c r="CB40" t="str">
        <f>IF(NOT(ISERROR(HLOOKUP(Standings!CB$3,Entries!$C94:$K94,1,FALSE))),"x",IF(NOT(ISERROR(HLOOKUP(Standings!CB$3,Entries!$L94:$L94,1,FALSE))),"S",""))</f>
        <v>x</v>
      </c>
      <c r="CC40" t="str">
        <f>IF(NOT(ISERROR(HLOOKUP(Standings!CC$3,Entries!$C94:$K94,1,FALSE))),"x",IF(NOT(ISERROR(HLOOKUP(Standings!CC$3,Entries!$L94:$L94,1,FALSE))),"S",""))</f>
        <v/>
      </c>
      <c r="CD40" t="str">
        <f>IF(NOT(ISERROR(HLOOKUP(Standings!CD$3,Entries!$C94:$K94,1,FALSE))),"x",IF(NOT(ISERROR(HLOOKUP(Standings!CD$3,Entries!$L94:$L94,1,FALSE))),"S",""))</f>
        <v/>
      </c>
      <c r="CE40" t="str">
        <f>IF(NOT(ISERROR(HLOOKUP(Standings!CE$3,Entries!$C94:$K94,1,FALSE))),"x",IF(NOT(ISERROR(HLOOKUP(Standings!CE$3,Entries!$L94:$L94,1,FALSE))),"S",""))</f>
        <v>x</v>
      </c>
      <c r="CF40" t="str">
        <f>IF(NOT(ISERROR(HLOOKUP(Standings!CF$3,Entries!$C94:$K94,1,FALSE))),"x",IF(NOT(ISERROR(HLOOKUP(Standings!CF$3,Entries!$L94:$L94,1,FALSE))),"S",""))</f>
        <v/>
      </c>
      <c r="CG40" t="str">
        <f>IF(NOT(ISERROR(HLOOKUP(Standings!CG$3,Entries!$C94:$K94,1,FALSE))),"x",IF(NOT(ISERROR(HLOOKUP(Standings!CG$3,Entries!$L94:$L94,1,FALSE))),"S",""))</f>
        <v>S</v>
      </c>
      <c r="CH40" t="str">
        <f>IF(NOT(ISERROR(HLOOKUP(Standings!CH$3,Entries!$C94:$K94,1,FALSE))),"x",IF(NOT(ISERROR(HLOOKUP(Standings!CH$3,Entries!$L94:$L94,1,FALSE))),"S",""))</f>
        <v/>
      </c>
      <c r="CI40" t="str">
        <f>IF(NOT(ISERROR(HLOOKUP(Standings!CI$3,Entries!$C94:$K94,1,FALSE))),"x",IF(NOT(ISERROR(HLOOKUP(Standings!CI$3,Entries!$L94:$L94,1,FALSE))),"S",""))</f>
        <v/>
      </c>
      <c r="CJ40" t="str">
        <f>IF(NOT(ISERROR(HLOOKUP(Standings!CJ$3,Entries!$C94:$K94,1,FALSE))),"x",IF(NOT(ISERROR(HLOOKUP(Standings!CJ$3,Entries!$L94:$L94,1,FALSE))),"S",""))</f>
        <v/>
      </c>
      <c r="CK40" t="str">
        <f>IF(NOT(ISERROR(HLOOKUP(Standings!CK$3,Entries!$C94:$K94,1,FALSE))),"x",IF(NOT(ISERROR(HLOOKUP(Standings!CK$3,Entries!$L94:$L94,1,FALSE))),"S",""))</f>
        <v/>
      </c>
      <c r="CL40" t="str">
        <f>IF(NOT(ISERROR(HLOOKUP(Standings!CL$3,Entries!$C94:$K94,1,FALSE))),"x",IF(NOT(ISERROR(HLOOKUP(Standings!CL$3,Entries!$L94:$L94,1,FALSE))),"S",""))</f>
        <v/>
      </c>
      <c r="CM40" t="str">
        <f>IF(NOT(ISERROR(HLOOKUP(Standings!CM$3,Entries!$C94:$K94,1,FALSE))),"x",IF(NOT(ISERROR(HLOOKUP(Standings!CM$3,Entries!$L94:$L94,1,FALSE))),"S",""))</f>
        <v/>
      </c>
      <c r="CN40" t="str">
        <f>IF(NOT(ISERROR(HLOOKUP(Standings!CN$3,Entries!$C94:$K94,1,FALSE))),"x",IF(NOT(ISERROR(HLOOKUP(Standings!CN$3,Entries!$L94:$L94,1,FALSE))),"S",""))</f>
        <v/>
      </c>
      <c r="CO40" t="str">
        <f>IF(NOT(ISERROR(HLOOKUP(Standings!CO$3,Entries!$C94:$K94,1,FALSE))),"x",IF(NOT(ISERROR(HLOOKUP(Standings!CO$3,Entries!$L94:$L94,1,FALSE))),"S",""))</f>
        <v/>
      </c>
      <c r="CP40" t="str">
        <f>IF(NOT(ISERROR(HLOOKUP(Standings!CP$3,Entries!$C94:$K94,1,FALSE))),"x",IF(NOT(ISERROR(HLOOKUP(Standings!CP$3,Entries!$L94:$L94,1,FALSE))),"S",""))</f>
        <v/>
      </c>
      <c r="CQ40" t="str">
        <f>IF(NOT(ISERROR(HLOOKUP(Standings!CQ$3,Entries!$C94:$K94,1,FALSE))),"x",IF(NOT(ISERROR(HLOOKUP(Standings!CQ$3,Entries!$L94:$L94,1,FALSE))),"S",""))</f>
        <v/>
      </c>
      <c r="CR40" t="str">
        <f>IF(NOT(ISERROR(HLOOKUP(Standings!CR$3,Entries!$C94:$K94,1,FALSE))),"x",IF(NOT(ISERROR(HLOOKUP(Standings!CR$3,Entries!$L94:$L94,1,FALSE))),"S",""))</f>
        <v/>
      </c>
      <c r="CS40" t="str">
        <f>IF(NOT(ISERROR(HLOOKUP(Standings!CS$3,Entries!$C94:$K94,1,FALSE))),"x",IF(NOT(ISERROR(HLOOKUP(Standings!CS$3,Entries!$L94:$L94,1,FALSE))),"S",""))</f>
        <v/>
      </c>
      <c r="CT40" t="str">
        <f>IF(NOT(ISERROR(HLOOKUP(Standings!CT$3,Entries!$C94:$K94,1,FALSE))),"x",IF(NOT(ISERROR(HLOOKUP(Standings!CT$3,Entries!$L94:$L94,1,FALSE))),"S",""))</f>
        <v/>
      </c>
      <c r="CU40" t="str">
        <f>IF(NOT(ISERROR(HLOOKUP(Standings!CU$3,Entries!$C94:$K94,1,FALSE))),"x",IF(NOT(ISERROR(HLOOKUP(Standings!CU$3,Entries!$L94:$L94,1,FALSE))),"S",""))</f>
        <v/>
      </c>
      <c r="CV40" t="str">
        <f>IF(NOT(ISERROR(HLOOKUP(Standings!CV$3,Entries!$C94:$K94,1,FALSE))),"x",IF(NOT(ISERROR(HLOOKUP(Standings!CV$3,Entries!$L94:$L94,1,FALSE))),"S",""))</f>
        <v/>
      </c>
      <c r="CW40" t="str">
        <f>IF(NOT(ISERROR(HLOOKUP(Standings!CW$3,Entries!$C94:$K94,1,FALSE))),"x",IF(NOT(ISERROR(HLOOKUP(Standings!CW$3,Entries!$L94:$L94,1,FALSE))),"S",""))</f>
        <v/>
      </c>
      <c r="CX40" t="str">
        <f>IF(NOT(ISERROR(HLOOKUP(Standings!CX$3,Entries!$C94:$K94,1,FALSE))),"x",IF(NOT(ISERROR(HLOOKUP(Standings!CX$3,Entries!$L94:$L94,1,FALSE))),"S",""))</f>
        <v/>
      </c>
      <c r="CY40" t="str">
        <f>IF(NOT(ISERROR(HLOOKUP(Standings!CY$3,Entries!$C94:$K94,1,FALSE))),"x",IF(NOT(ISERROR(HLOOKUP(Standings!CY$3,Entries!$L94:$L94,1,FALSE))),"S",""))</f>
        <v/>
      </c>
      <c r="CZ40" t="str">
        <f>IF(NOT(ISERROR(HLOOKUP(Standings!CZ$3,Entries!$C94:$K94,1,FALSE))),"x",IF(NOT(ISERROR(HLOOKUP(Standings!CZ$3,Entries!$L94:$L94,1,FALSE))),"S",""))</f>
        <v/>
      </c>
      <c r="DA40" t="str">
        <f>IF(NOT(ISERROR(HLOOKUP(Standings!DA$3,Entries!$C94:$K94,1,FALSE))),"x",IF(NOT(ISERROR(HLOOKUP(Standings!DA$3,Entries!$L94:$L94,1,FALSE))),"S",""))</f>
        <v/>
      </c>
      <c r="DB40" t="str">
        <f>IF(NOT(ISERROR(HLOOKUP(Standings!DB$3,Entries!$C94:$K94,1,FALSE))),"x",IF(NOT(ISERROR(HLOOKUP(Standings!DB$3,Entries!$L94:$L94,1,FALSE))),"S",""))</f>
        <v/>
      </c>
    </row>
    <row r="41" spans="1:106" x14ac:dyDescent="0.25">
      <c r="A41" s="18"/>
      <c r="B41">
        <v>21</v>
      </c>
      <c r="C41" t="str">
        <f>Entries!B4</f>
        <v>petelochner1</v>
      </c>
      <c r="D41" s="4">
        <f>IF(C41="","",RANK(E41,$E$10:$E$111))</f>
        <v>32</v>
      </c>
      <c r="E41" s="31">
        <f>IF(C41="","",ROUND(SUM(F41:AK41),0))</f>
        <v>4</v>
      </c>
      <c r="F41" s="40" t="str">
        <f>IF(BG41="","",IF(BG41="x",F$6,0)+IF(BG41="S",-F$6-0.00001,0))</f>
        <v/>
      </c>
      <c r="G41" s="41" t="str">
        <f>IF(BH41="","",IF(BH41="x",G$6,0)+IF(BH41="S",-G$6-0.00001,0))</f>
        <v/>
      </c>
      <c r="H41" s="41" t="str">
        <f>IF(BI41="","",IF(BI41="x",H$6,0)+IF(BI41="S",-H$6-0.00001,0))</f>
        <v/>
      </c>
      <c r="I41" s="42" t="str">
        <f>IF(BJ41="","",IF(BJ41="x",I$6,0)+IF(BJ41="S",-I$6-0.00001,0))</f>
        <v/>
      </c>
      <c r="J41" s="40" t="str">
        <f>IF(BK41="","",IF(BK41="x",J$6,0)+IF(BK41="S",-J$6-0.00001,0))</f>
        <v/>
      </c>
      <c r="K41" s="41" t="str">
        <f>IF(BL41="","",IF(BL41="x",K$6,0)+IF(BL41="S",-K$6-0.00001,0))</f>
        <v/>
      </c>
      <c r="L41" s="41" t="str">
        <f>IF(BM41="","",IF(BM41="x",L$6,0)+IF(BM41="S",-L$6-0.00001,0))</f>
        <v/>
      </c>
      <c r="M41" s="42" t="str">
        <f>IF(BN41="","",IF(BN41="x",M$6,0)+IF(BN41="S",-M$6-0.00001,0))</f>
        <v/>
      </c>
      <c r="N41" s="43" t="str">
        <f>IF(BO41="","",IF(BO41="x",N$6,0)+IF(BO41="S",-N$6-0.00001,0))</f>
        <v/>
      </c>
      <c r="O41" s="41" t="str">
        <f>IF(BP41="","",IF(BP41="x",O$6,0)+IF(BP41="S",-O$6-0.00001,0))</f>
        <v/>
      </c>
      <c r="P41" s="41" t="str">
        <f>IF(BQ41="","",IF(BQ41="x",P$6,0)+IF(BQ41="S",-P$6-0.00001,0))</f>
        <v/>
      </c>
      <c r="Q41" s="42" t="str">
        <f>IF(BR41="","",IF(BR41="x",Q$6,0)+IF(BR41="S",-Q$6-0.00001,0))</f>
        <v/>
      </c>
      <c r="R41" s="40">
        <f>IF(BS41="","",IF(BS41="x",R$6,0)+IF(BS41="S",-R$6-0.00001,0))</f>
        <v>2</v>
      </c>
      <c r="S41" s="41" t="str">
        <f>IF(BT41="","",IF(BT41="x",S$6,0)+IF(BT41="S",-S$6-0.00001,0))</f>
        <v/>
      </c>
      <c r="T41" s="43" t="str">
        <f>IF(BU41="","",IF(BU41="x",T$6,0)+IF(BU41="S",-T$6-0.00001,0))</f>
        <v/>
      </c>
      <c r="U41" s="42" t="str">
        <f>IF(BV41="","",IF(BV41="x",U$6,0)+IF(BV41="S",-U$6-0.00001,0))</f>
        <v/>
      </c>
      <c r="V41" s="40" t="str">
        <f>IF(BW41="","",IF(BW41="x",V$6,0)+IF(BW41="S",-V$6-0.00001,0))</f>
        <v/>
      </c>
      <c r="W41" s="41" t="str">
        <f>IF(BX41="","",IF(BX41="x",W$6,0)+IF(BX41="S",-W$6-0.00001,0))</f>
        <v/>
      </c>
      <c r="X41" s="41" t="str">
        <f>IF(BY41="","",IF(BY41="x",X$6,0)+IF(BY41="S",-X$6-0.00001,0))</f>
        <v/>
      </c>
      <c r="Y41" s="42" t="str">
        <f>IF(BZ41="","",IF(BZ41="x",Y$6,0)+IF(BZ41="S",-Y$6-0.00001,0))</f>
        <v/>
      </c>
      <c r="Z41" s="40" t="str">
        <f>IF(CA41="","",IF(CA41="x",Z$6,0)+IF(CA41="S",-Z$6-0.00001,0))</f>
        <v/>
      </c>
      <c r="AA41" s="41" t="str">
        <f>IF(CB41="","",IF(CB41="x",AA$6,0)+IF(CB41="S",-AA$6-0.00001,0))</f>
        <v/>
      </c>
      <c r="AB41" s="41" t="str">
        <f>IF(CC41="","",IF(CC41="x",AB$6,0)+IF(CC41="S",-AB$6-0.00001,0))</f>
        <v/>
      </c>
      <c r="AC41" s="42" t="str">
        <f>IF(CD41="","",IF(CD41="x",AC$6,0)+IF(CD41="S",-AC$6-0.00001,0))</f>
        <v/>
      </c>
      <c r="AD41" s="40">
        <f>IF(CE41="","",IF(CE41="x",AD$6,0)+IF(CE41="S",-AD$6-0.00001,0))</f>
        <v>1</v>
      </c>
      <c r="AE41" s="41" t="str">
        <f>IF(CF41="","",IF(CF41="x",AE$6,0)+IF(CF41="S",-AE$6-0.00001,0))</f>
        <v/>
      </c>
      <c r="AF41" s="41" t="str">
        <f>IF(CG41="","",IF(CG41="x",AF$6,0)+IF(CG41="S",-AF$6-0.00001,0))</f>
        <v/>
      </c>
      <c r="AG41" s="42" t="str">
        <f>IF(CH41="","",IF(CH41="x",AG$6,0)+IF(CH41="S",-AG$6-0.00001,0))</f>
        <v/>
      </c>
      <c r="AH41" s="40">
        <f>IF(CI41="","",IF(CI41="x",AH$6,0)+IF(CI41="S",-AH$6-0.00001,0))</f>
        <v>1</v>
      </c>
      <c r="AI41" s="41" t="str">
        <f>IF(CJ41="","",IF(CJ41="x",AI$6,0)+IF(CJ41="S",-AI$6-0.00001,0))</f>
        <v/>
      </c>
      <c r="AJ41" s="41" t="str">
        <f>IF(CK41="","",IF(CK41="x",AJ$6,0)+IF(CK41="S",-AJ$6-0.00001,0))</f>
        <v/>
      </c>
      <c r="AK41" s="42" t="str">
        <f>IF(CL41="","",IF(CL41="x",AK$6,0)+IF(CL41="S",-AK$6-0.00001,0))</f>
        <v/>
      </c>
      <c r="AL41" s="40" t="str">
        <f>IF(CM41="","",IF(CM41="x",AL$6,0)+IF(CM41="S",-AL$6-0.00001,0))</f>
        <v/>
      </c>
      <c r="AM41" s="41" t="str">
        <f>IF(CN41="","",IF(CN41="x",AM$6,0)+IF(CN41="S",-AM$6-0.00001,0))</f>
        <v/>
      </c>
      <c r="AN41" s="41" t="str">
        <f>IF(CO41="","",IF(CO41="x",AN$6,0)+IF(CO41="S",-AN$6-0.00001,0))</f>
        <v/>
      </c>
      <c r="AO41" s="42" t="str">
        <f>IF(CP41="","",IF(CP41="x",AO$6,0)+IF(CP41="S",-AO$6-0.00001,0))</f>
        <v/>
      </c>
      <c r="AP41" s="40" t="str">
        <f>IF(CQ41="","",IF(CQ41="x",AP$6,0)+IF(CQ41="S",-AP$6-0.00001,0))</f>
        <v/>
      </c>
      <c r="AQ41" s="41" t="str">
        <f>IF(CR41="","",IF(CR41="x",AQ$6,0)+IF(CR41="S",-AQ$6-0.00001,0))</f>
        <v/>
      </c>
      <c r="AR41" s="41">
        <f>IF(CS41="","",IF(CS41="x",AR$6,0)+IF(CS41="S",-AR$6-0.00001,0))</f>
        <v>0</v>
      </c>
      <c r="AS41" s="42" t="str">
        <f>IF(CT41="","",IF(CT41="x",AS$6,0)+IF(CT41="S",-AS$6-0.00001,0))</f>
        <v/>
      </c>
      <c r="AT41" s="40" t="str">
        <f>IF(CU41="","",IF(CU41="x",AT$6,0)+IF(CU41="S",-AT$6-0.00001,0))</f>
        <v/>
      </c>
      <c r="AU41" s="41" t="str">
        <f>IF(CV41="","",IF(CV41="x",AU$6,0)+IF(CV41="S",-AU$6-0.00001,0))</f>
        <v/>
      </c>
      <c r="AV41" s="41" t="str">
        <f>IF(CW41="","",IF(CW41="x",AV$6,0)+IF(CW41="S",-AV$6-0.00001,0))</f>
        <v/>
      </c>
      <c r="AW41" s="42" t="str">
        <f>IF(CX41="","",IF(CX41="x",AW$6,0)+IF(CX41="S",-AW$6-0.00001,0))</f>
        <v/>
      </c>
      <c r="AX41" s="40">
        <f>IF(CY41="","",IF(CY41="x",AX$6,0)+IF(CY41="S",-AX$6-0.00001,0))</f>
        <v>-1.0000000000000001E-5</v>
      </c>
      <c r="AY41" s="41">
        <f>IF(CZ41="","",IF(CZ41="x",AY$6,0)+IF(CZ41="S",-AY$6-0.00001,0))</f>
        <v>0</v>
      </c>
      <c r="AZ41" s="41" t="str">
        <f>IF(DA41="","",IF(DA41="x",AZ$6,0)+IF(DA41="S",-AZ$6-0.00001,0))</f>
        <v/>
      </c>
      <c r="BA41" s="42" t="str">
        <f>IF(DB41="","",IF(DB41="x",BA$6,0)+IF(DB41="S",-BA$6-0.00001,0))</f>
        <v/>
      </c>
      <c r="BB41" s="37" t="s">
        <v>106</v>
      </c>
      <c r="BC41" s="21"/>
      <c r="BD41" s="21"/>
      <c r="BG41" t="str">
        <f>IF(NOT(ISERROR(HLOOKUP(Standings!BG$3,Entries!$C4:$K4,1,FALSE))),"x",IF(NOT(ISERROR(HLOOKUP(Standings!BG$3,Entries!$L4:$L4,1,FALSE))),"S",""))</f>
        <v/>
      </c>
      <c r="BH41" t="str">
        <f>IF(NOT(ISERROR(HLOOKUP(Standings!BH$3,Entries!$C4:$K4,1,FALSE))),"x",IF(NOT(ISERROR(HLOOKUP(Standings!BH$3,Entries!$L4:$L4,1,FALSE))),"S",""))</f>
        <v/>
      </c>
      <c r="BI41" t="str">
        <f>IF(NOT(ISERROR(HLOOKUP(Standings!BI$3,Entries!$C4:$K4,1,FALSE))),"x",IF(NOT(ISERROR(HLOOKUP(Standings!BI$3,Entries!$L4:$L4,1,FALSE))),"S",""))</f>
        <v/>
      </c>
      <c r="BJ41" t="str">
        <f>IF(NOT(ISERROR(HLOOKUP(Standings!BJ$3,Entries!$C4:$K4,1,FALSE))),"x",IF(NOT(ISERROR(HLOOKUP(Standings!BJ$3,Entries!$L4:$L4,1,FALSE))),"S",""))</f>
        <v/>
      </c>
      <c r="BK41" t="str">
        <f>IF(NOT(ISERROR(HLOOKUP(Standings!BK$3,Entries!$C4:$K4,1,FALSE))),"x",IF(NOT(ISERROR(HLOOKUP(Standings!BK$3,Entries!$L4:$L4,1,FALSE))),"S",""))</f>
        <v/>
      </c>
      <c r="BL41" t="str">
        <f>IF(NOT(ISERROR(HLOOKUP(Standings!BL$3,Entries!$C4:$K4,1,FALSE))),"x",IF(NOT(ISERROR(HLOOKUP(Standings!BL$3,Entries!$L4:$L4,1,FALSE))),"S",""))</f>
        <v/>
      </c>
      <c r="BM41" t="str">
        <f>IF(NOT(ISERROR(HLOOKUP(Standings!BM$3,Entries!$C4:$K4,1,FALSE))),"x",IF(NOT(ISERROR(HLOOKUP(Standings!BM$3,Entries!$L4:$L4,1,FALSE))),"S",""))</f>
        <v/>
      </c>
      <c r="BN41" t="str">
        <f>IF(NOT(ISERROR(HLOOKUP(Standings!BN$3,Entries!$C4:$K4,1,FALSE))),"x",IF(NOT(ISERROR(HLOOKUP(Standings!BN$3,Entries!$L4:$L4,1,FALSE))),"S",""))</f>
        <v/>
      </c>
      <c r="BO41" t="str">
        <f>IF(NOT(ISERROR(HLOOKUP(Standings!BO$3,Entries!$C4:$K4,1,FALSE))),"x",IF(NOT(ISERROR(HLOOKUP(Standings!BO$3,Entries!$L4:$L4,1,FALSE))),"S",""))</f>
        <v/>
      </c>
      <c r="BP41" t="str">
        <f>IF(NOT(ISERROR(HLOOKUP(Standings!BP$3,Entries!$C4:$K4,1,FALSE))),"x",IF(NOT(ISERROR(HLOOKUP(Standings!BP$3,Entries!$L4:$L4,1,FALSE))),"S",""))</f>
        <v/>
      </c>
      <c r="BQ41" t="str">
        <f>IF(NOT(ISERROR(HLOOKUP(Standings!BQ$3,Entries!$C4:$K4,1,FALSE))),"x",IF(NOT(ISERROR(HLOOKUP(Standings!BQ$3,Entries!$L4:$L4,1,FALSE))),"S",""))</f>
        <v/>
      </c>
      <c r="BR41" t="str">
        <f>IF(NOT(ISERROR(HLOOKUP(Standings!BR$3,Entries!$C4:$K4,1,FALSE))),"x",IF(NOT(ISERROR(HLOOKUP(Standings!BR$3,Entries!$L4:$L4,1,FALSE))),"S",""))</f>
        <v/>
      </c>
      <c r="BS41" t="str">
        <f>IF(NOT(ISERROR(HLOOKUP(Standings!BS$3,Entries!$C4:$K4,1,FALSE))),"x",IF(NOT(ISERROR(HLOOKUP(Standings!BS$3,Entries!$L4:$L4,1,FALSE))),"S",""))</f>
        <v>x</v>
      </c>
      <c r="BT41" t="str">
        <f>IF(NOT(ISERROR(HLOOKUP(Standings!BT$3,Entries!$C4:$K4,1,FALSE))),"x",IF(NOT(ISERROR(HLOOKUP(Standings!BT$3,Entries!$L4:$L4,1,FALSE))),"S",""))</f>
        <v/>
      </c>
      <c r="BU41" t="str">
        <f>IF(NOT(ISERROR(HLOOKUP(Standings!BU$3,Entries!$C4:$K4,1,FALSE))),"x",IF(NOT(ISERROR(HLOOKUP(Standings!BU$3,Entries!$L4:$L4,1,FALSE))),"S",""))</f>
        <v/>
      </c>
      <c r="BV41" t="str">
        <f>IF(NOT(ISERROR(HLOOKUP(Standings!BV$3,Entries!$C4:$K4,1,FALSE))),"x",IF(NOT(ISERROR(HLOOKUP(Standings!BV$3,Entries!$L4:$L4,1,FALSE))),"S",""))</f>
        <v/>
      </c>
      <c r="BW41" t="str">
        <f>IF(NOT(ISERROR(HLOOKUP(Standings!BW$3,Entries!$C4:$K4,1,FALSE))),"x",IF(NOT(ISERROR(HLOOKUP(Standings!BW$3,Entries!$L4:$L4,1,FALSE))),"S",""))</f>
        <v/>
      </c>
      <c r="BX41" t="str">
        <f>IF(NOT(ISERROR(HLOOKUP(Standings!BX$3,Entries!$C4:$K4,1,FALSE))),"x",IF(NOT(ISERROR(HLOOKUP(Standings!BX$3,Entries!$L4:$L4,1,FALSE))),"S",""))</f>
        <v/>
      </c>
      <c r="BY41" t="str">
        <f>IF(NOT(ISERROR(HLOOKUP(Standings!BY$3,Entries!$C4:$K4,1,FALSE))),"x",IF(NOT(ISERROR(HLOOKUP(Standings!BY$3,Entries!$L4:$L4,1,FALSE))),"S",""))</f>
        <v/>
      </c>
      <c r="BZ41" t="str">
        <f>IF(NOT(ISERROR(HLOOKUP(Standings!BZ$3,Entries!$C4:$K4,1,FALSE))),"x",IF(NOT(ISERROR(HLOOKUP(Standings!BZ$3,Entries!$L4:$L4,1,FALSE))),"S",""))</f>
        <v/>
      </c>
      <c r="CA41" t="str">
        <f>IF(NOT(ISERROR(HLOOKUP(Standings!CA$3,Entries!$C4:$K4,1,FALSE))),"x",IF(NOT(ISERROR(HLOOKUP(Standings!CA$3,Entries!$L4:$L4,1,FALSE))),"S",""))</f>
        <v/>
      </c>
      <c r="CB41" t="str">
        <f>IF(NOT(ISERROR(HLOOKUP(Standings!CB$3,Entries!$C4:$K4,1,FALSE))),"x",IF(NOT(ISERROR(HLOOKUP(Standings!CB$3,Entries!$L4:$L4,1,FALSE))),"S",""))</f>
        <v/>
      </c>
      <c r="CC41" t="str">
        <f>IF(NOT(ISERROR(HLOOKUP(Standings!CC$3,Entries!$C4:$K4,1,FALSE))),"x",IF(NOT(ISERROR(HLOOKUP(Standings!CC$3,Entries!$L4:$L4,1,FALSE))),"S",""))</f>
        <v/>
      </c>
      <c r="CD41" t="str">
        <f>IF(NOT(ISERROR(HLOOKUP(Standings!CD$3,Entries!$C4:$K4,1,FALSE))),"x",IF(NOT(ISERROR(HLOOKUP(Standings!CD$3,Entries!$L4:$L4,1,FALSE))),"S",""))</f>
        <v/>
      </c>
      <c r="CE41" t="str">
        <f>IF(NOT(ISERROR(HLOOKUP(Standings!CE$3,Entries!$C4:$K4,1,FALSE))),"x",IF(NOT(ISERROR(HLOOKUP(Standings!CE$3,Entries!$L4:$L4,1,FALSE))),"S",""))</f>
        <v>x</v>
      </c>
      <c r="CF41" t="str">
        <f>IF(NOT(ISERROR(HLOOKUP(Standings!CF$3,Entries!$C4:$K4,1,FALSE))),"x",IF(NOT(ISERROR(HLOOKUP(Standings!CF$3,Entries!$L4:$L4,1,FALSE))),"S",""))</f>
        <v/>
      </c>
      <c r="CG41" t="str">
        <f>IF(NOT(ISERROR(HLOOKUP(Standings!CG$3,Entries!$C4:$K4,1,FALSE))),"x",IF(NOT(ISERROR(HLOOKUP(Standings!CG$3,Entries!$L4:$L4,1,FALSE))),"S",""))</f>
        <v/>
      </c>
      <c r="CH41" t="str">
        <f>IF(NOT(ISERROR(HLOOKUP(Standings!CH$3,Entries!$C4:$K4,1,FALSE))),"x",IF(NOT(ISERROR(HLOOKUP(Standings!CH$3,Entries!$L4:$L4,1,FALSE))),"S",""))</f>
        <v/>
      </c>
      <c r="CI41" t="str">
        <f>IF(NOT(ISERROR(HLOOKUP(Standings!CI$3,Entries!$C4:$K4,1,FALSE))),"x",IF(NOT(ISERROR(HLOOKUP(Standings!CI$3,Entries!$L4:$L4,1,FALSE))),"S",""))</f>
        <v>x</v>
      </c>
      <c r="CJ41" t="str">
        <f>IF(NOT(ISERROR(HLOOKUP(Standings!CJ$3,Entries!$C4:$K4,1,FALSE))),"x",IF(NOT(ISERROR(HLOOKUP(Standings!CJ$3,Entries!$L4:$L4,1,FALSE))),"S",""))</f>
        <v/>
      </c>
      <c r="CK41" t="str">
        <f>IF(NOT(ISERROR(HLOOKUP(Standings!CK$3,Entries!$C4:$K4,1,FALSE))),"x",IF(NOT(ISERROR(HLOOKUP(Standings!CK$3,Entries!$L4:$L4,1,FALSE))),"S",""))</f>
        <v/>
      </c>
      <c r="CL41" t="str">
        <f>IF(NOT(ISERROR(HLOOKUP(Standings!CL$3,Entries!$C4:$K4,1,FALSE))),"x",IF(NOT(ISERROR(HLOOKUP(Standings!CL$3,Entries!$L4:$L4,1,FALSE))),"S",""))</f>
        <v/>
      </c>
      <c r="CM41" t="str">
        <f>IF(NOT(ISERROR(HLOOKUP(Standings!CM$3,Entries!$C4:$K4,1,FALSE))),"x",IF(NOT(ISERROR(HLOOKUP(Standings!CM$3,Entries!$L4:$L4,1,FALSE))),"S",""))</f>
        <v/>
      </c>
      <c r="CN41" t="str">
        <f>IF(NOT(ISERROR(HLOOKUP(Standings!CN$3,Entries!$C4:$K4,1,FALSE))),"x",IF(NOT(ISERROR(HLOOKUP(Standings!CN$3,Entries!$L4:$L4,1,FALSE))),"S",""))</f>
        <v/>
      </c>
      <c r="CO41" t="str">
        <f>IF(NOT(ISERROR(HLOOKUP(Standings!CO$3,Entries!$C4:$K4,1,FALSE))),"x",IF(NOT(ISERROR(HLOOKUP(Standings!CO$3,Entries!$L4:$L4,1,FALSE))),"S",""))</f>
        <v/>
      </c>
      <c r="CP41" t="str">
        <f>IF(NOT(ISERROR(HLOOKUP(Standings!CP$3,Entries!$C4:$K4,1,FALSE))),"x",IF(NOT(ISERROR(HLOOKUP(Standings!CP$3,Entries!$L4:$L4,1,FALSE))),"S",""))</f>
        <v/>
      </c>
      <c r="CQ41" t="str">
        <f>IF(NOT(ISERROR(HLOOKUP(Standings!CQ$3,Entries!$C4:$K4,1,FALSE))),"x",IF(NOT(ISERROR(HLOOKUP(Standings!CQ$3,Entries!$L4:$L4,1,FALSE))),"S",""))</f>
        <v/>
      </c>
      <c r="CR41" t="str">
        <f>IF(NOT(ISERROR(HLOOKUP(Standings!CR$3,Entries!$C4:$K4,1,FALSE))),"x",IF(NOT(ISERROR(HLOOKUP(Standings!CR$3,Entries!$L4:$L4,1,FALSE))),"S",""))</f>
        <v/>
      </c>
      <c r="CS41" t="str">
        <f>IF(NOT(ISERROR(HLOOKUP(Standings!CS$3,Entries!$C4:$K4,1,FALSE))),"x",IF(NOT(ISERROR(HLOOKUP(Standings!CS$3,Entries!$L4:$L4,1,FALSE))),"S",""))</f>
        <v>x</v>
      </c>
      <c r="CT41" t="str">
        <f>IF(NOT(ISERROR(HLOOKUP(Standings!CT$3,Entries!$C4:$K4,1,FALSE))),"x",IF(NOT(ISERROR(HLOOKUP(Standings!CT$3,Entries!$L4:$L4,1,FALSE))),"S",""))</f>
        <v/>
      </c>
      <c r="CU41" t="str">
        <f>IF(NOT(ISERROR(HLOOKUP(Standings!CU$3,Entries!$C4:$K4,1,FALSE))),"x",IF(NOT(ISERROR(HLOOKUP(Standings!CU$3,Entries!$L4:$L4,1,FALSE))),"S",""))</f>
        <v/>
      </c>
      <c r="CV41" t="str">
        <f>IF(NOT(ISERROR(HLOOKUP(Standings!CV$3,Entries!$C4:$K4,1,FALSE))),"x",IF(NOT(ISERROR(HLOOKUP(Standings!CV$3,Entries!$L4:$L4,1,FALSE))),"S",""))</f>
        <v/>
      </c>
      <c r="CW41" t="str">
        <f>IF(NOT(ISERROR(HLOOKUP(Standings!CW$3,Entries!$C4:$K4,1,FALSE))),"x",IF(NOT(ISERROR(HLOOKUP(Standings!CW$3,Entries!$L4:$L4,1,FALSE))),"S",""))</f>
        <v/>
      </c>
      <c r="CX41" t="str">
        <f>IF(NOT(ISERROR(HLOOKUP(Standings!CX$3,Entries!$C4:$K4,1,FALSE))),"x",IF(NOT(ISERROR(HLOOKUP(Standings!CX$3,Entries!$L4:$L4,1,FALSE))),"S",""))</f>
        <v/>
      </c>
      <c r="CY41" t="str">
        <f>IF(NOT(ISERROR(HLOOKUP(Standings!CY$3,Entries!$C4:$K4,1,FALSE))),"x",IF(NOT(ISERROR(HLOOKUP(Standings!CY$3,Entries!$L4:$L4,1,FALSE))),"S",""))</f>
        <v>S</v>
      </c>
      <c r="CZ41" t="str">
        <f>IF(NOT(ISERROR(HLOOKUP(Standings!CZ$3,Entries!$C4:$K4,1,FALSE))),"x",IF(NOT(ISERROR(HLOOKUP(Standings!CZ$3,Entries!$L4:$L4,1,FALSE))),"S",""))</f>
        <v>x</v>
      </c>
      <c r="DA41" t="str">
        <f>IF(NOT(ISERROR(HLOOKUP(Standings!DA$3,Entries!$C4:$K4,1,FALSE))),"x",IF(NOT(ISERROR(HLOOKUP(Standings!DA$3,Entries!$L4:$L4,1,FALSE))),"S",""))</f>
        <v/>
      </c>
      <c r="DB41" t="str">
        <f>IF(NOT(ISERROR(HLOOKUP(Standings!DB$3,Entries!$C4:$K4,1,FALSE))),"x",IF(NOT(ISERROR(HLOOKUP(Standings!DB$3,Entries!$L4:$L4,1,FALSE))),"S",""))</f>
        <v/>
      </c>
    </row>
    <row r="42" spans="1:106" x14ac:dyDescent="0.25">
      <c r="B42">
        <v>71</v>
      </c>
      <c r="C42" t="str">
        <f>Entries!B7</f>
        <v>John Falck</v>
      </c>
      <c r="D42" s="4">
        <f>IF(C42="","",RANK(E42,$E$10:$E$111))</f>
        <v>32</v>
      </c>
      <c r="E42" s="31">
        <f>IF(C42="","",ROUND(SUM(F42:AK42),0))</f>
        <v>4</v>
      </c>
      <c r="F42" s="40" t="str">
        <f>IF(BG42="","",IF(BG42="x",F$6,0)+IF(BG42="S",-F$6-0.00001,0))</f>
        <v/>
      </c>
      <c r="G42" s="41" t="str">
        <f>IF(BH42="","",IF(BH42="x",G$6,0)+IF(BH42="S",-G$6-0.00001,0))</f>
        <v/>
      </c>
      <c r="H42" s="41" t="str">
        <f>IF(BI42="","",IF(BI42="x",H$6,0)+IF(BI42="S",-H$6-0.00001,0))</f>
        <v/>
      </c>
      <c r="I42" s="42" t="str">
        <f>IF(BJ42="","",IF(BJ42="x",I$6,0)+IF(BJ42="S",-I$6-0.00001,0))</f>
        <v/>
      </c>
      <c r="J42" s="40" t="str">
        <f>IF(BK42="","",IF(BK42="x",J$6,0)+IF(BK42="S",-J$6-0.00001,0))</f>
        <v/>
      </c>
      <c r="K42" s="41" t="str">
        <f>IF(BL42="","",IF(BL42="x",K$6,0)+IF(BL42="S",-K$6-0.00001,0))</f>
        <v/>
      </c>
      <c r="L42" s="41">
        <f>IF(BM42="","",IF(BM42="x",L$6,0)+IF(BM42="S",-L$6-0.00001,0))</f>
        <v>1</v>
      </c>
      <c r="M42" s="42" t="str">
        <f>IF(BN42="","",IF(BN42="x",M$6,0)+IF(BN42="S",-M$6-0.00001,0))</f>
        <v/>
      </c>
      <c r="N42" s="43" t="str">
        <f>IF(BO42="","",IF(BO42="x",N$6,0)+IF(BO42="S",-N$6-0.00001,0))</f>
        <v/>
      </c>
      <c r="O42" s="41" t="str">
        <f>IF(BP42="","",IF(BP42="x",O$6,0)+IF(BP42="S",-O$6-0.00001,0))</f>
        <v/>
      </c>
      <c r="P42" s="41" t="str">
        <f>IF(BQ42="","",IF(BQ42="x",P$6,0)+IF(BQ42="S",-P$6-0.00001,0))</f>
        <v/>
      </c>
      <c r="Q42" s="42" t="str">
        <f>IF(BR42="","",IF(BR42="x",Q$6,0)+IF(BR42="S",-Q$6-0.00001,0))</f>
        <v/>
      </c>
      <c r="R42" s="40" t="str">
        <f>IF(BS42="","",IF(BS42="x",R$6,0)+IF(BS42="S",-R$6-0.00001,0))</f>
        <v/>
      </c>
      <c r="S42" s="41" t="str">
        <f>IF(BT42="","",IF(BT42="x",S$6,0)+IF(BT42="S",-S$6-0.00001,0))</f>
        <v/>
      </c>
      <c r="T42" s="43" t="str">
        <f>IF(BU42="","",IF(BU42="x",T$6,0)+IF(BU42="S",-T$6-0.00001,0))</f>
        <v/>
      </c>
      <c r="U42" s="42" t="str">
        <f>IF(BV42="","",IF(BV42="x",U$6,0)+IF(BV42="S",-U$6-0.00001,0))</f>
        <v/>
      </c>
      <c r="V42" s="40" t="str">
        <f>IF(BW42="","",IF(BW42="x",V$6,0)+IF(BW42="S",-V$6-0.00001,0))</f>
        <v/>
      </c>
      <c r="W42" s="41" t="str">
        <f>IF(BX42="","",IF(BX42="x",W$6,0)+IF(BX42="S",-W$6-0.00001,0))</f>
        <v/>
      </c>
      <c r="X42" s="41" t="str">
        <f>IF(BY42="","",IF(BY42="x",X$6,0)+IF(BY42="S",-X$6-0.00001,0))</f>
        <v/>
      </c>
      <c r="Y42" s="42" t="str">
        <f>IF(BZ42="","",IF(BZ42="x",Y$6,0)+IF(BZ42="S",-Y$6-0.00001,0))</f>
        <v/>
      </c>
      <c r="Z42" s="40" t="str">
        <f>IF(CA42="","",IF(CA42="x",Z$6,0)+IF(CA42="S",-Z$6-0.00001,0))</f>
        <v/>
      </c>
      <c r="AA42" s="41" t="str">
        <f>IF(CB42="","",IF(CB42="x",AA$6,0)+IF(CB42="S",-AA$6-0.00001,0))</f>
        <v/>
      </c>
      <c r="AB42" s="41" t="str">
        <f>IF(CC42="","",IF(CC42="x",AB$6,0)+IF(CC42="S",-AB$6-0.00001,0))</f>
        <v/>
      </c>
      <c r="AC42" s="42">
        <f>IF(CD42="","",IF(CD42="x",AC$6,0)+IF(CD42="S",-AC$6-0.00001,0))</f>
        <v>2</v>
      </c>
      <c r="AD42" s="40" t="str">
        <f>IF(CE42="","",IF(CE42="x",AD$6,0)+IF(CE42="S",-AD$6-0.00001,0))</f>
        <v/>
      </c>
      <c r="AE42" s="41" t="str">
        <f>IF(CF42="","",IF(CF42="x",AE$6,0)+IF(CF42="S",-AE$6-0.00001,0))</f>
        <v/>
      </c>
      <c r="AF42" s="41" t="str">
        <f>IF(CG42="","",IF(CG42="x",AF$6,0)+IF(CG42="S",-AF$6-0.00001,0))</f>
        <v/>
      </c>
      <c r="AG42" s="42">
        <f>IF(CH42="","",IF(CH42="x",AG$6,0)+IF(CH42="S",-AG$6-0.00001,0))</f>
        <v>1</v>
      </c>
      <c r="AH42" s="40" t="str">
        <f>IF(CI42="","",IF(CI42="x",AH$6,0)+IF(CI42="S",-AH$6-0.00001,0))</f>
        <v/>
      </c>
      <c r="AI42" s="41" t="str">
        <f>IF(CJ42="","",IF(CJ42="x",AI$6,0)+IF(CJ42="S",-AI$6-0.00001,0))</f>
        <v/>
      </c>
      <c r="AJ42" s="41" t="str">
        <f>IF(CK42="","",IF(CK42="x",AJ$6,0)+IF(CK42="S",-AJ$6-0.00001,0))</f>
        <v/>
      </c>
      <c r="AK42" s="42" t="str">
        <f>IF(CL42="","",IF(CL42="x",AK$6,0)+IF(CL42="S",-AK$6-0.00001,0))</f>
        <v/>
      </c>
      <c r="AL42" s="40">
        <f>IF(CM42="","",IF(CM42="x",AL$6,0)+IF(CM42="S",-AL$6-0.00001,0))</f>
        <v>0</v>
      </c>
      <c r="AM42" s="41" t="str">
        <f>IF(CN42="","",IF(CN42="x",AM$6,0)+IF(CN42="S",-AM$6-0.00001,0))</f>
        <v/>
      </c>
      <c r="AN42" s="41" t="str">
        <f>IF(CO42="","",IF(CO42="x",AN$6,0)+IF(CO42="S",-AN$6-0.00001,0))</f>
        <v/>
      </c>
      <c r="AO42" s="42" t="str">
        <f>IF(CP42="","",IF(CP42="x",AO$6,0)+IF(CP42="S",-AO$6-0.00001,0))</f>
        <v/>
      </c>
      <c r="AP42" s="40">
        <f>IF(CQ42="","",IF(CQ42="x",AP$6,0)+IF(CQ42="S",-AP$6-0.00001,0))</f>
        <v>-1.0000000000000001E-5</v>
      </c>
      <c r="AQ42" s="41" t="str">
        <f>IF(CR42="","",IF(CR42="x",AQ$6,0)+IF(CR42="S",-AQ$6-0.00001,0))</f>
        <v/>
      </c>
      <c r="AR42" s="41" t="str">
        <f>IF(CS42="","",IF(CS42="x",AR$6,0)+IF(CS42="S",-AR$6-0.00001,0))</f>
        <v/>
      </c>
      <c r="AS42" s="42">
        <f>IF(CT42="","",IF(CT42="x",AS$6,0)+IF(CT42="S",-AS$6-0.00001,0))</f>
        <v>0</v>
      </c>
      <c r="AT42" s="40" t="str">
        <f>IF(CU42="","",IF(CU42="x",AT$6,0)+IF(CU42="S",-AT$6-0.00001,0))</f>
        <v/>
      </c>
      <c r="AU42" s="41" t="str">
        <f>IF(CV42="","",IF(CV42="x",AU$6,0)+IF(CV42="S",-AU$6-0.00001,0))</f>
        <v/>
      </c>
      <c r="AV42" s="41" t="str">
        <f>IF(CW42="","",IF(CW42="x",AV$6,0)+IF(CW42="S",-AV$6-0.00001,0))</f>
        <v/>
      </c>
      <c r="AW42" s="42" t="str">
        <f>IF(CX42="","",IF(CX42="x",AW$6,0)+IF(CX42="S",-AW$6-0.00001,0))</f>
        <v/>
      </c>
      <c r="AX42" s="40">
        <f>IF(CY42="","",IF(CY42="x",AX$6,0)+IF(CY42="S",-AX$6-0.00001,0))</f>
        <v>0</v>
      </c>
      <c r="AY42" s="41" t="str">
        <f>IF(CZ42="","",IF(CZ42="x",AY$6,0)+IF(CZ42="S",-AY$6-0.00001,0))</f>
        <v/>
      </c>
      <c r="AZ42" s="41" t="str">
        <f>IF(DA42="","",IF(DA42="x",AZ$6,0)+IF(DA42="S",-AZ$6-0.00001,0))</f>
        <v/>
      </c>
      <c r="BA42" s="42" t="str">
        <f>IF(DB42="","",IF(DB42="x",BA$6,0)+IF(DB42="S",-BA$6-0.00001,0))</f>
        <v/>
      </c>
      <c r="BB42" s="37" t="s">
        <v>106</v>
      </c>
      <c r="BC42" s="21"/>
      <c r="BD42" s="21"/>
      <c r="BG42" t="str">
        <f>IF(NOT(ISERROR(HLOOKUP(Standings!BG$3,Entries!$C7:$K7,1,FALSE))),"x",IF(NOT(ISERROR(HLOOKUP(Standings!BG$3,Entries!$L7:$L7,1,FALSE))),"S",""))</f>
        <v/>
      </c>
      <c r="BH42" t="str">
        <f>IF(NOT(ISERROR(HLOOKUP(Standings!BH$3,Entries!$C7:$K7,1,FALSE))),"x",IF(NOT(ISERROR(HLOOKUP(Standings!BH$3,Entries!$L7:$L7,1,FALSE))),"S",""))</f>
        <v/>
      </c>
      <c r="BI42" t="str">
        <f>IF(NOT(ISERROR(HLOOKUP(Standings!BI$3,Entries!$C7:$K7,1,FALSE))),"x",IF(NOT(ISERROR(HLOOKUP(Standings!BI$3,Entries!$L7:$L7,1,FALSE))),"S",""))</f>
        <v/>
      </c>
      <c r="BJ42" t="str">
        <f>IF(NOT(ISERROR(HLOOKUP(Standings!BJ$3,Entries!$C7:$K7,1,FALSE))),"x",IF(NOT(ISERROR(HLOOKUP(Standings!BJ$3,Entries!$L7:$L7,1,FALSE))),"S",""))</f>
        <v/>
      </c>
      <c r="BK42" t="str">
        <f>IF(NOT(ISERROR(HLOOKUP(Standings!BK$3,Entries!$C7:$K7,1,FALSE))),"x",IF(NOT(ISERROR(HLOOKUP(Standings!BK$3,Entries!$L7:$L7,1,FALSE))),"S",""))</f>
        <v/>
      </c>
      <c r="BL42" t="str">
        <f>IF(NOT(ISERROR(HLOOKUP(Standings!BL$3,Entries!$C7:$K7,1,FALSE))),"x",IF(NOT(ISERROR(HLOOKUP(Standings!BL$3,Entries!$L7:$L7,1,FALSE))),"S",""))</f>
        <v/>
      </c>
      <c r="BM42" t="str">
        <f>IF(NOT(ISERROR(HLOOKUP(Standings!BM$3,Entries!$C7:$K7,1,FALSE))),"x",IF(NOT(ISERROR(HLOOKUP(Standings!BM$3,Entries!$L7:$L7,1,FALSE))),"S",""))</f>
        <v>x</v>
      </c>
      <c r="BN42" t="str">
        <f>IF(NOT(ISERROR(HLOOKUP(Standings!BN$3,Entries!$C7:$K7,1,FALSE))),"x",IF(NOT(ISERROR(HLOOKUP(Standings!BN$3,Entries!$L7:$L7,1,FALSE))),"S",""))</f>
        <v/>
      </c>
      <c r="BO42" t="str">
        <f>IF(NOT(ISERROR(HLOOKUP(Standings!BO$3,Entries!$C7:$K7,1,FALSE))),"x",IF(NOT(ISERROR(HLOOKUP(Standings!BO$3,Entries!$L7:$L7,1,FALSE))),"S",""))</f>
        <v/>
      </c>
      <c r="BP42" t="str">
        <f>IF(NOT(ISERROR(HLOOKUP(Standings!BP$3,Entries!$C7:$K7,1,FALSE))),"x",IF(NOT(ISERROR(HLOOKUP(Standings!BP$3,Entries!$L7:$L7,1,FALSE))),"S",""))</f>
        <v/>
      </c>
      <c r="BQ42" t="str">
        <f>IF(NOT(ISERROR(HLOOKUP(Standings!BQ$3,Entries!$C7:$K7,1,FALSE))),"x",IF(NOT(ISERROR(HLOOKUP(Standings!BQ$3,Entries!$L7:$L7,1,FALSE))),"S",""))</f>
        <v/>
      </c>
      <c r="BR42" t="str">
        <f>IF(NOT(ISERROR(HLOOKUP(Standings!BR$3,Entries!$C7:$K7,1,FALSE))),"x",IF(NOT(ISERROR(HLOOKUP(Standings!BR$3,Entries!$L7:$L7,1,FALSE))),"S",""))</f>
        <v/>
      </c>
      <c r="BS42" t="str">
        <f>IF(NOT(ISERROR(HLOOKUP(Standings!BS$3,Entries!$C7:$K7,1,FALSE))),"x",IF(NOT(ISERROR(HLOOKUP(Standings!BS$3,Entries!$L7:$L7,1,FALSE))),"S",""))</f>
        <v/>
      </c>
      <c r="BT42" t="str">
        <f>IF(NOT(ISERROR(HLOOKUP(Standings!BT$3,Entries!$C7:$K7,1,FALSE))),"x",IF(NOT(ISERROR(HLOOKUP(Standings!BT$3,Entries!$L7:$L7,1,FALSE))),"S",""))</f>
        <v/>
      </c>
      <c r="BU42" t="str">
        <f>IF(NOT(ISERROR(HLOOKUP(Standings!BU$3,Entries!$C7:$K7,1,FALSE))),"x",IF(NOT(ISERROR(HLOOKUP(Standings!BU$3,Entries!$L7:$L7,1,FALSE))),"S",""))</f>
        <v/>
      </c>
      <c r="BV42" t="str">
        <f>IF(NOT(ISERROR(HLOOKUP(Standings!BV$3,Entries!$C7:$K7,1,FALSE))),"x",IF(NOT(ISERROR(HLOOKUP(Standings!BV$3,Entries!$L7:$L7,1,FALSE))),"S",""))</f>
        <v/>
      </c>
      <c r="BW42" t="str">
        <f>IF(NOT(ISERROR(HLOOKUP(Standings!BW$3,Entries!$C7:$K7,1,FALSE))),"x",IF(NOT(ISERROR(HLOOKUP(Standings!BW$3,Entries!$L7:$L7,1,FALSE))),"S",""))</f>
        <v/>
      </c>
      <c r="BX42" t="str">
        <f>IF(NOT(ISERROR(HLOOKUP(Standings!BX$3,Entries!$C7:$K7,1,FALSE))),"x",IF(NOT(ISERROR(HLOOKUP(Standings!BX$3,Entries!$L7:$L7,1,FALSE))),"S",""))</f>
        <v/>
      </c>
      <c r="BY42" t="str">
        <f>IF(NOT(ISERROR(HLOOKUP(Standings!BY$3,Entries!$C7:$K7,1,FALSE))),"x",IF(NOT(ISERROR(HLOOKUP(Standings!BY$3,Entries!$L7:$L7,1,FALSE))),"S",""))</f>
        <v/>
      </c>
      <c r="BZ42" t="str">
        <f>IF(NOT(ISERROR(HLOOKUP(Standings!BZ$3,Entries!$C7:$K7,1,FALSE))),"x",IF(NOT(ISERROR(HLOOKUP(Standings!BZ$3,Entries!$L7:$L7,1,FALSE))),"S",""))</f>
        <v/>
      </c>
      <c r="CA42" t="str">
        <f>IF(NOT(ISERROR(HLOOKUP(Standings!CA$3,Entries!$C7:$K7,1,FALSE))),"x",IF(NOT(ISERROR(HLOOKUP(Standings!CA$3,Entries!$L7:$L7,1,FALSE))),"S",""))</f>
        <v/>
      </c>
      <c r="CB42" t="str">
        <f>IF(NOT(ISERROR(HLOOKUP(Standings!CB$3,Entries!$C7:$K7,1,FALSE))),"x",IF(NOT(ISERROR(HLOOKUP(Standings!CB$3,Entries!$L7:$L7,1,FALSE))),"S",""))</f>
        <v/>
      </c>
      <c r="CC42" t="str">
        <f>IF(NOT(ISERROR(HLOOKUP(Standings!CC$3,Entries!$C7:$K7,1,FALSE))),"x",IF(NOT(ISERROR(HLOOKUP(Standings!CC$3,Entries!$L7:$L7,1,FALSE))),"S",""))</f>
        <v/>
      </c>
      <c r="CD42" t="str">
        <f>IF(NOT(ISERROR(HLOOKUP(Standings!CD$3,Entries!$C7:$K7,1,FALSE))),"x",IF(NOT(ISERROR(HLOOKUP(Standings!CD$3,Entries!$L7:$L7,1,FALSE))),"S",""))</f>
        <v>x</v>
      </c>
      <c r="CE42" t="str">
        <f>IF(NOT(ISERROR(HLOOKUP(Standings!CE$3,Entries!$C7:$K7,1,FALSE))),"x",IF(NOT(ISERROR(HLOOKUP(Standings!CE$3,Entries!$L7:$L7,1,FALSE))),"S",""))</f>
        <v/>
      </c>
      <c r="CF42" t="str">
        <f>IF(NOT(ISERROR(HLOOKUP(Standings!CF$3,Entries!$C7:$K7,1,FALSE))),"x",IF(NOT(ISERROR(HLOOKUP(Standings!CF$3,Entries!$L7:$L7,1,FALSE))),"S",""))</f>
        <v/>
      </c>
      <c r="CG42" t="str">
        <f>IF(NOT(ISERROR(HLOOKUP(Standings!CG$3,Entries!$C7:$K7,1,FALSE))),"x",IF(NOT(ISERROR(HLOOKUP(Standings!CG$3,Entries!$L7:$L7,1,FALSE))),"S",""))</f>
        <v/>
      </c>
      <c r="CH42" t="str">
        <f>IF(NOT(ISERROR(HLOOKUP(Standings!CH$3,Entries!$C7:$K7,1,FALSE))),"x",IF(NOT(ISERROR(HLOOKUP(Standings!CH$3,Entries!$L7:$L7,1,FALSE))),"S",""))</f>
        <v>x</v>
      </c>
      <c r="CI42" t="str">
        <f>IF(NOT(ISERROR(HLOOKUP(Standings!CI$3,Entries!$C7:$K7,1,FALSE))),"x",IF(NOT(ISERROR(HLOOKUP(Standings!CI$3,Entries!$L7:$L7,1,FALSE))),"S",""))</f>
        <v/>
      </c>
      <c r="CJ42" t="str">
        <f>IF(NOT(ISERROR(HLOOKUP(Standings!CJ$3,Entries!$C7:$K7,1,FALSE))),"x",IF(NOT(ISERROR(HLOOKUP(Standings!CJ$3,Entries!$L7:$L7,1,FALSE))),"S",""))</f>
        <v/>
      </c>
      <c r="CK42" t="str">
        <f>IF(NOT(ISERROR(HLOOKUP(Standings!CK$3,Entries!$C7:$K7,1,FALSE))),"x",IF(NOT(ISERROR(HLOOKUP(Standings!CK$3,Entries!$L7:$L7,1,FALSE))),"S",""))</f>
        <v/>
      </c>
      <c r="CL42" t="str">
        <f>IF(NOT(ISERROR(HLOOKUP(Standings!CL$3,Entries!$C7:$K7,1,FALSE))),"x",IF(NOT(ISERROR(HLOOKUP(Standings!CL$3,Entries!$L7:$L7,1,FALSE))),"S",""))</f>
        <v/>
      </c>
      <c r="CM42" t="str">
        <f>IF(NOT(ISERROR(HLOOKUP(Standings!CM$3,Entries!$C7:$K7,1,FALSE))),"x",IF(NOT(ISERROR(HLOOKUP(Standings!CM$3,Entries!$L7:$L7,1,FALSE))),"S",""))</f>
        <v>x</v>
      </c>
      <c r="CN42" t="str">
        <f>IF(NOT(ISERROR(HLOOKUP(Standings!CN$3,Entries!$C7:$K7,1,FALSE))),"x",IF(NOT(ISERROR(HLOOKUP(Standings!CN$3,Entries!$L7:$L7,1,FALSE))),"S",""))</f>
        <v/>
      </c>
      <c r="CO42" t="str">
        <f>IF(NOT(ISERROR(HLOOKUP(Standings!CO$3,Entries!$C7:$K7,1,FALSE))),"x",IF(NOT(ISERROR(HLOOKUP(Standings!CO$3,Entries!$L7:$L7,1,FALSE))),"S",""))</f>
        <v/>
      </c>
      <c r="CP42" t="str">
        <f>IF(NOT(ISERROR(HLOOKUP(Standings!CP$3,Entries!$C7:$K7,1,FALSE))),"x",IF(NOT(ISERROR(HLOOKUP(Standings!CP$3,Entries!$L7:$L7,1,FALSE))),"S",""))</f>
        <v/>
      </c>
      <c r="CQ42" t="str">
        <f>IF(NOT(ISERROR(HLOOKUP(Standings!CQ$3,Entries!$C7:$K7,1,FALSE))),"x",IF(NOT(ISERROR(HLOOKUP(Standings!CQ$3,Entries!$L7:$L7,1,FALSE))),"S",""))</f>
        <v>S</v>
      </c>
      <c r="CR42" t="str">
        <f>IF(NOT(ISERROR(HLOOKUP(Standings!CR$3,Entries!$C7:$K7,1,FALSE))),"x",IF(NOT(ISERROR(HLOOKUP(Standings!CR$3,Entries!$L7:$L7,1,FALSE))),"S",""))</f>
        <v/>
      </c>
      <c r="CS42" t="str">
        <f>IF(NOT(ISERROR(HLOOKUP(Standings!CS$3,Entries!$C7:$K7,1,FALSE))),"x",IF(NOT(ISERROR(HLOOKUP(Standings!CS$3,Entries!$L7:$L7,1,FALSE))),"S",""))</f>
        <v/>
      </c>
      <c r="CT42" t="str">
        <f>IF(NOT(ISERROR(HLOOKUP(Standings!CT$3,Entries!$C7:$K7,1,FALSE))),"x",IF(NOT(ISERROR(HLOOKUP(Standings!CT$3,Entries!$L7:$L7,1,FALSE))),"S",""))</f>
        <v>x</v>
      </c>
      <c r="CU42" t="str">
        <f>IF(NOT(ISERROR(HLOOKUP(Standings!CU$3,Entries!$C7:$K7,1,FALSE))),"x",IF(NOT(ISERROR(HLOOKUP(Standings!CU$3,Entries!$L7:$L7,1,FALSE))),"S",""))</f>
        <v/>
      </c>
      <c r="CV42" t="str">
        <f>IF(NOT(ISERROR(HLOOKUP(Standings!CV$3,Entries!$C7:$K7,1,FALSE))),"x",IF(NOT(ISERROR(HLOOKUP(Standings!CV$3,Entries!$L7:$L7,1,FALSE))),"S",""))</f>
        <v/>
      </c>
      <c r="CW42" t="str">
        <f>IF(NOT(ISERROR(HLOOKUP(Standings!CW$3,Entries!$C7:$K7,1,FALSE))),"x",IF(NOT(ISERROR(HLOOKUP(Standings!CW$3,Entries!$L7:$L7,1,FALSE))),"S",""))</f>
        <v/>
      </c>
      <c r="CX42" t="str">
        <f>IF(NOT(ISERROR(HLOOKUP(Standings!CX$3,Entries!$C7:$K7,1,FALSE))),"x",IF(NOT(ISERROR(HLOOKUP(Standings!CX$3,Entries!$L7:$L7,1,FALSE))),"S",""))</f>
        <v/>
      </c>
      <c r="CY42" t="str">
        <f>IF(NOT(ISERROR(HLOOKUP(Standings!CY$3,Entries!$C7:$K7,1,FALSE))),"x",IF(NOT(ISERROR(HLOOKUP(Standings!CY$3,Entries!$L7:$L7,1,FALSE))),"S",""))</f>
        <v>x</v>
      </c>
      <c r="CZ42" t="str">
        <f>IF(NOT(ISERROR(HLOOKUP(Standings!CZ$3,Entries!$C7:$K7,1,FALSE))),"x",IF(NOT(ISERROR(HLOOKUP(Standings!CZ$3,Entries!$L7:$L7,1,FALSE))),"S",""))</f>
        <v/>
      </c>
      <c r="DA42" t="str">
        <f>IF(NOT(ISERROR(HLOOKUP(Standings!DA$3,Entries!$C7:$K7,1,FALSE))),"x",IF(NOT(ISERROR(HLOOKUP(Standings!DA$3,Entries!$L7:$L7,1,FALSE))),"S",""))</f>
        <v/>
      </c>
      <c r="DB42" t="str">
        <f>IF(NOT(ISERROR(HLOOKUP(Standings!DB$3,Entries!$C7:$K7,1,FALSE))),"x",IF(NOT(ISERROR(HLOOKUP(Standings!DB$3,Entries!$L7:$L7,1,FALSE))),"S",""))</f>
        <v/>
      </c>
    </row>
    <row r="43" spans="1:106" x14ac:dyDescent="0.25">
      <c r="B43">
        <v>71</v>
      </c>
      <c r="C43" t="str">
        <f>Entries!B8</f>
        <v>Manson1ColumbusGotLost</v>
      </c>
      <c r="D43" s="4">
        <f>IF(C43="","",RANK(E43,$E$10:$E$111))</f>
        <v>32</v>
      </c>
      <c r="E43" s="32">
        <f>IF(C43="","",ROUND(SUM(F43:AK43),0))</f>
        <v>4</v>
      </c>
      <c r="F43" s="40">
        <f>IF(BG43="","",IF(BG43="x",F$6,0)+IF(BG43="S",-F$6-0.00001,0))</f>
        <v>2</v>
      </c>
      <c r="G43" s="41" t="str">
        <f>IF(BH43="","",IF(BH43="x",G$6,0)+IF(BH43="S",-G$6-0.00001,0))</f>
        <v/>
      </c>
      <c r="H43" s="41" t="str">
        <f>IF(BI43="","",IF(BI43="x",H$6,0)+IF(BI43="S",-H$6-0.00001,0))</f>
        <v/>
      </c>
      <c r="I43" s="42" t="str">
        <f>IF(BJ43="","",IF(BJ43="x",I$6,0)+IF(BJ43="S",-I$6-0.00001,0))</f>
        <v/>
      </c>
      <c r="J43" s="40" t="str">
        <f>IF(BK43="","",IF(BK43="x",J$6,0)+IF(BK43="S",-J$6-0.00001,0))</f>
        <v/>
      </c>
      <c r="K43" s="41">
        <f>IF(BL43="","",IF(BL43="x",K$6,0)+IF(BL43="S",-K$6-0.00001,0))</f>
        <v>1</v>
      </c>
      <c r="L43" s="41" t="str">
        <f>IF(BM43="","",IF(BM43="x",L$6,0)+IF(BM43="S",-L$6-0.00001,0))</f>
        <v/>
      </c>
      <c r="M43" s="42" t="str">
        <f>IF(BN43="","",IF(BN43="x",M$6,0)+IF(BN43="S",-M$6-0.00001,0))</f>
        <v/>
      </c>
      <c r="N43" s="43" t="str">
        <f>IF(BO43="","",IF(BO43="x",N$6,0)+IF(BO43="S",-N$6-0.00001,0))</f>
        <v/>
      </c>
      <c r="O43" s="41" t="str">
        <f>IF(BP43="","",IF(BP43="x",O$6,0)+IF(BP43="S",-O$6-0.00001,0))</f>
        <v/>
      </c>
      <c r="P43" s="41" t="str">
        <f>IF(BQ43="","",IF(BQ43="x",P$6,0)+IF(BQ43="S",-P$6-0.00001,0))</f>
        <v/>
      </c>
      <c r="Q43" s="42" t="str">
        <f>IF(BR43="","",IF(BR43="x",Q$6,0)+IF(BR43="S",-Q$6-0.00001,0))</f>
        <v/>
      </c>
      <c r="R43" s="40" t="str">
        <f>IF(BS43="","",IF(BS43="x",R$6,0)+IF(BS43="S",-R$6-0.00001,0))</f>
        <v/>
      </c>
      <c r="S43" s="41" t="str">
        <f>IF(BT43="","",IF(BT43="x",S$6,0)+IF(BT43="S",-S$6-0.00001,0))</f>
        <v/>
      </c>
      <c r="T43" s="43" t="str">
        <f>IF(BU43="","",IF(BU43="x",T$6,0)+IF(BU43="S",-T$6-0.00001,0))</f>
        <v/>
      </c>
      <c r="U43" s="42" t="str">
        <f>IF(BV43="","",IF(BV43="x",U$6,0)+IF(BV43="S",-U$6-0.00001,0))</f>
        <v/>
      </c>
      <c r="V43" s="40">
        <f>IF(BW43="","",IF(BW43="x",V$6,0)+IF(BW43="S",-V$6-0.00001,0))</f>
        <v>2</v>
      </c>
      <c r="W43" s="41" t="str">
        <f>IF(BX43="","",IF(BX43="x",W$6,0)+IF(BX43="S",-W$6-0.00001,0))</f>
        <v/>
      </c>
      <c r="X43" s="41" t="str">
        <f>IF(BY43="","",IF(BY43="x",X$6,0)+IF(BY43="S",-X$6-0.00001,0))</f>
        <v/>
      </c>
      <c r="Y43" s="42" t="str">
        <f>IF(BZ43="","",IF(BZ43="x",Y$6,0)+IF(BZ43="S",-Y$6-0.00001,0))</f>
        <v/>
      </c>
      <c r="Z43" s="40" t="str">
        <f>IF(CA43="","",IF(CA43="x",Z$6,0)+IF(CA43="S",-Z$6-0.00001,0))</f>
        <v/>
      </c>
      <c r="AA43" s="41" t="str">
        <f>IF(CB43="","",IF(CB43="x",AA$6,0)+IF(CB43="S",-AA$6-0.00001,0))</f>
        <v/>
      </c>
      <c r="AB43" s="41" t="str">
        <f>IF(CC43="","",IF(CC43="x",AB$6,0)+IF(CC43="S",-AB$6-0.00001,0))</f>
        <v/>
      </c>
      <c r="AC43" s="42" t="str">
        <f>IF(CD43="","",IF(CD43="x",AC$6,0)+IF(CD43="S",-AC$6-0.00001,0))</f>
        <v/>
      </c>
      <c r="AD43" s="40" t="str">
        <f>IF(CE43="","",IF(CE43="x",AD$6,0)+IF(CE43="S",-AD$6-0.00001,0))</f>
        <v/>
      </c>
      <c r="AE43" s="41" t="str">
        <f>IF(CF43="","",IF(CF43="x",AE$6,0)+IF(CF43="S",-AE$6-0.00001,0))</f>
        <v/>
      </c>
      <c r="AF43" s="41" t="str">
        <f>IF(CG43="","",IF(CG43="x",AF$6,0)+IF(CG43="S",-AF$6-0.00001,0))</f>
        <v/>
      </c>
      <c r="AG43" s="42" t="str">
        <f>IF(CH43="","",IF(CH43="x",AG$6,0)+IF(CH43="S",-AG$6-0.00001,0))</f>
        <v/>
      </c>
      <c r="AH43" s="40">
        <f>IF(CI43="","",IF(CI43="x",AH$6,0)+IF(CI43="S",-AH$6-0.00001,0))</f>
        <v>-1.0000100000000001</v>
      </c>
      <c r="AI43" s="41" t="str">
        <f>IF(CJ43="","",IF(CJ43="x",AI$6,0)+IF(CJ43="S",-AI$6-0.00001,0))</f>
        <v/>
      </c>
      <c r="AJ43" s="41" t="str">
        <f>IF(CK43="","",IF(CK43="x",AJ$6,0)+IF(CK43="S",-AJ$6-0.00001,0))</f>
        <v/>
      </c>
      <c r="AK43" s="42" t="str">
        <f>IF(CL43="","",IF(CL43="x",AK$6,0)+IF(CL43="S",-AK$6-0.00001,0))</f>
        <v/>
      </c>
      <c r="AL43" s="40">
        <f>IF(CM43="","",IF(CM43="x",AL$6,0)+IF(CM43="S",-AL$6-0.00001,0))</f>
        <v>0</v>
      </c>
      <c r="AM43" s="41" t="str">
        <f>IF(CN43="","",IF(CN43="x",AM$6,0)+IF(CN43="S",-AM$6-0.00001,0))</f>
        <v/>
      </c>
      <c r="AN43" s="41" t="str">
        <f>IF(CO43="","",IF(CO43="x",AN$6,0)+IF(CO43="S",-AN$6-0.00001,0))</f>
        <v/>
      </c>
      <c r="AO43" s="42" t="str">
        <f>IF(CP43="","",IF(CP43="x",AO$6,0)+IF(CP43="S",-AO$6-0.00001,0))</f>
        <v/>
      </c>
      <c r="AP43" s="40" t="str">
        <f>IF(CQ43="","",IF(CQ43="x",AP$6,0)+IF(CQ43="S",-AP$6-0.00001,0))</f>
        <v/>
      </c>
      <c r="AQ43" s="41" t="str">
        <f>IF(CR43="","",IF(CR43="x",AQ$6,0)+IF(CR43="S",-AQ$6-0.00001,0))</f>
        <v/>
      </c>
      <c r="AR43" s="41" t="str">
        <f>IF(CS43="","",IF(CS43="x",AR$6,0)+IF(CS43="S",-AR$6-0.00001,0))</f>
        <v/>
      </c>
      <c r="AS43" s="42" t="str">
        <f>IF(CT43="","",IF(CT43="x",AS$6,0)+IF(CT43="S",-AS$6-0.00001,0))</f>
        <v/>
      </c>
      <c r="AT43" s="40" t="str">
        <f>IF(CU43="","",IF(CU43="x",AT$6,0)+IF(CU43="S",-AT$6-0.00001,0))</f>
        <v/>
      </c>
      <c r="AU43" s="41" t="str">
        <f>IF(CV43="","",IF(CV43="x",AU$6,0)+IF(CV43="S",-AU$6-0.00001,0))</f>
        <v/>
      </c>
      <c r="AV43" s="41" t="str">
        <f>IF(CW43="","",IF(CW43="x",AV$6,0)+IF(CW43="S",-AV$6-0.00001,0))</f>
        <v/>
      </c>
      <c r="AW43" s="42" t="str">
        <f>IF(CX43="","",IF(CX43="x",AW$6,0)+IF(CX43="S",-AW$6-0.00001,0))</f>
        <v/>
      </c>
      <c r="AX43" s="40" t="str">
        <f>IF(CY43="","",IF(CY43="x",AX$6,0)+IF(CY43="S",-AX$6-0.00001,0))</f>
        <v/>
      </c>
      <c r="AY43" s="41" t="str">
        <f>IF(CZ43="","",IF(CZ43="x",AY$6,0)+IF(CZ43="S",-AY$6-0.00001,0))</f>
        <v/>
      </c>
      <c r="AZ43" s="41" t="str">
        <f>IF(DA43="","",IF(DA43="x",AZ$6,0)+IF(DA43="S",-AZ$6-0.00001,0))</f>
        <v/>
      </c>
      <c r="BA43" s="42" t="str">
        <f>IF(DB43="","",IF(DB43="x",BA$6,0)+IF(DB43="S",-BA$6-0.00001,0))</f>
        <v/>
      </c>
      <c r="BB43" s="37" t="s">
        <v>106</v>
      </c>
      <c r="BC43" s="21"/>
      <c r="BD43" s="21"/>
      <c r="BG43" t="str">
        <f>IF(NOT(ISERROR(HLOOKUP(Standings!BG$3,Entries!$C8:$K8,1,FALSE))),"x",IF(NOT(ISERROR(HLOOKUP(Standings!BG$3,Entries!$L8:$L8,1,FALSE))),"S",""))</f>
        <v>x</v>
      </c>
      <c r="BH43" t="str">
        <f>IF(NOT(ISERROR(HLOOKUP(Standings!BH$3,Entries!$C8:$K8,1,FALSE))),"x",IF(NOT(ISERROR(HLOOKUP(Standings!BH$3,Entries!$L8:$L8,1,FALSE))),"S",""))</f>
        <v/>
      </c>
      <c r="BI43" t="str">
        <f>IF(NOT(ISERROR(HLOOKUP(Standings!BI$3,Entries!$C8:$K8,1,FALSE))),"x",IF(NOT(ISERROR(HLOOKUP(Standings!BI$3,Entries!$L8:$L8,1,FALSE))),"S",""))</f>
        <v/>
      </c>
      <c r="BJ43" t="str">
        <f>IF(NOT(ISERROR(HLOOKUP(Standings!BJ$3,Entries!$C8:$K8,1,FALSE))),"x",IF(NOT(ISERROR(HLOOKUP(Standings!BJ$3,Entries!$L8:$L8,1,FALSE))),"S",""))</f>
        <v/>
      </c>
      <c r="BK43" t="str">
        <f>IF(NOT(ISERROR(HLOOKUP(Standings!BK$3,Entries!$C8:$K8,1,FALSE))),"x",IF(NOT(ISERROR(HLOOKUP(Standings!BK$3,Entries!$L8:$L8,1,FALSE))),"S",""))</f>
        <v/>
      </c>
      <c r="BL43" t="str">
        <f>IF(NOT(ISERROR(HLOOKUP(Standings!BL$3,Entries!$C8:$K8,1,FALSE))),"x",IF(NOT(ISERROR(HLOOKUP(Standings!BL$3,Entries!$L8:$L8,1,FALSE))),"S",""))</f>
        <v>x</v>
      </c>
      <c r="BM43" t="str">
        <f>IF(NOT(ISERROR(HLOOKUP(Standings!BM$3,Entries!$C8:$K8,1,FALSE))),"x",IF(NOT(ISERROR(HLOOKUP(Standings!BM$3,Entries!$L8:$L8,1,FALSE))),"S",""))</f>
        <v/>
      </c>
      <c r="BN43" t="str">
        <f>IF(NOT(ISERROR(HLOOKUP(Standings!BN$3,Entries!$C8:$K8,1,FALSE))),"x",IF(NOT(ISERROR(HLOOKUP(Standings!BN$3,Entries!$L8:$L8,1,FALSE))),"S",""))</f>
        <v/>
      </c>
      <c r="BO43" t="str">
        <f>IF(NOT(ISERROR(HLOOKUP(Standings!BO$3,Entries!$C8:$K8,1,FALSE))),"x",IF(NOT(ISERROR(HLOOKUP(Standings!BO$3,Entries!$L8:$L8,1,FALSE))),"S",""))</f>
        <v/>
      </c>
      <c r="BP43" t="str">
        <f>IF(NOT(ISERROR(HLOOKUP(Standings!BP$3,Entries!$C8:$K8,1,FALSE))),"x",IF(NOT(ISERROR(HLOOKUP(Standings!BP$3,Entries!$L8:$L8,1,FALSE))),"S",""))</f>
        <v/>
      </c>
      <c r="BQ43" t="str">
        <f>IF(NOT(ISERROR(HLOOKUP(Standings!BQ$3,Entries!$C8:$K8,1,FALSE))),"x",IF(NOT(ISERROR(HLOOKUP(Standings!BQ$3,Entries!$L8:$L8,1,FALSE))),"S",""))</f>
        <v/>
      </c>
      <c r="BR43" t="str">
        <f>IF(NOT(ISERROR(HLOOKUP(Standings!BR$3,Entries!$C8:$K8,1,FALSE))),"x",IF(NOT(ISERROR(HLOOKUP(Standings!BR$3,Entries!$L8:$L8,1,FALSE))),"S",""))</f>
        <v/>
      </c>
      <c r="BS43" t="str">
        <f>IF(NOT(ISERROR(HLOOKUP(Standings!BS$3,Entries!$C8:$K8,1,FALSE))),"x",IF(NOT(ISERROR(HLOOKUP(Standings!BS$3,Entries!$L8:$L8,1,FALSE))),"S",""))</f>
        <v/>
      </c>
      <c r="BT43" t="str">
        <f>IF(NOT(ISERROR(HLOOKUP(Standings!BT$3,Entries!$C8:$K8,1,FALSE))),"x",IF(NOT(ISERROR(HLOOKUP(Standings!BT$3,Entries!$L8:$L8,1,FALSE))),"S",""))</f>
        <v/>
      </c>
      <c r="BU43" t="str">
        <f>IF(NOT(ISERROR(HLOOKUP(Standings!BU$3,Entries!$C8:$K8,1,FALSE))),"x",IF(NOT(ISERROR(HLOOKUP(Standings!BU$3,Entries!$L8:$L8,1,FALSE))),"S",""))</f>
        <v/>
      </c>
      <c r="BV43" t="str">
        <f>IF(NOT(ISERROR(HLOOKUP(Standings!BV$3,Entries!$C8:$K8,1,FALSE))),"x",IF(NOT(ISERROR(HLOOKUP(Standings!BV$3,Entries!$L8:$L8,1,FALSE))),"S",""))</f>
        <v/>
      </c>
      <c r="BW43" t="str">
        <f>IF(NOT(ISERROR(HLOOKUP(Standings!BW$3,Entries!$C8:$K8,1,FALSE))),"x",IF(NOT(ISERROR(HLOOKUP(Standings!BW$3,Entries!$L8:$L8,1,FALSE))),"S",""))</f>
        <v>x</v>
      </c>
      <c r="BX43" t="str">
        <f>IF(NOT(ISERROR(HLOOKUP(Standings!BX$3,Entries!$C8:$K8,1,FALSE))),"x",IF(NOT(ISERROR(HLOOKUP(Standings!BX$3,Entries!$L8:$L8,1,FALSE))),"S",""))</f>
        <v/>
      </c>
      <c r="BY43" t="str">
        <f>IF(NOT(ISERROR(HLOOKUP(Standings!BY$3,Entries!$C8:$K8,1,FALSE))),"x",IF(NOT(ISERROR(HLOOKUP(Standings!BY$3,Entries!$L8:$L8,1,FALSE))),"S",""))</f>
        <v/>
      </c>
      <c r="BZ43" t="str">
        <f>IF(NOT(ISERROR(HLOOKUP(Standings!BZ$3,Entries!$C8:$K8,1,FALSE))),"x",IF(NOT(ISERROR(HLOOKUP(Standings!BZ$3,Entries!$L8:$L8,1,FALSE))),"S",""))</f>
        <v/>
      </c>
      <c r="CA43" t="str">
        <f>IF(NOT(ISERROR(HLOOKUP(Standings!CA$3,Entries!$C8:$K8,1,FALSE))),"x",IF(NOT(ISERROR(HLOOKUP(Standings!CA$3,Entries!$L8:$L8,1,FALSE))),"S",""))</f>
        <v/>
      </c>
      <c r="CB43" t="str">
        <f>IF(NOT(ISERROR(HLOOKUP(Standings!CB$3,Entries!$C8:$K8,1,FALSE))),"x",IF(NOT(ISERROR(HLOOKUP(Standings!CB$3,Entries!$L8:$L8,1,FALSE))),"S",""))</f>
        <v/>
      </c>
      <c r="CC43" t="str">
        <f>IF(NOT(ISERROR(HLOOKUP(Standings!CC$3,Entries!$C8:$K8,1,FALSE))),"x",IF(NOT(ISERROR(HLOOKUP(Standings!CC$3,Entries!$L8:$L8,1,FALSE))),"S",""))</f>
        <v/>
      </c>
      <c r="CD43" t="str">
        <f>IF(NOT(ISERROR(HLOOKUP(Standings!CD$3,Entries!$C8:$K8,1,FALSE))),"x",IF(NOT(ISERROR(HLOOKUP(Standings!CD$3,Entries!$L8:$L8,1,FALSE))),"S",""))</f>
        <v/>
      </c>
      <c r="CE43" t="str">
        <f>IF(NOT(ISERROR(HLOOKUP(Standings!CE$3,Entries!$C8:$K8,1,FALSE))),"x",IF(NOT(ISERROR(HLOOKUP(Standings!CE$3,Entries!$L8:$L8,1,FALSE))),"S",""))</f>
        <v/>
      </c>
      <c r="CF43" t="str">
        <f>IF(NOT(ISERROR(HLOOKUP(Standings!CF$3,Entries!$C8:$K8,1,FALSE))),"x",IF(NOT(ISERROR(HLOOKUP(Standings!CF$3,Entries!$L8:$L8,1,FALSE))),"S",""))</f>
        <v/>
      </c>
      <c r="CG43" t="str">
        <f>IF(NOT(ISERROR(HLOOKUP(Standings!CG$3,Entries!$C8:$K8,1,FALSE))),"x",IF(NOT(ISERROR(HLOOKUP(Standings!CG$3,Entries!$L8:$L8,1,FALSE))),"S",""))</f>
        <v/>
      </c>
      <c r="CH43" t="str">
        <f>IF(NOT(ISERROR(HLOOKUP(Standings!CH$3,Entries!$C8:$K8,1,FALSE))),"x",IF(NOT(ISERROR(HLOOKUP(Standings!CH$3,Entries!$L8:$L8,1,FALSE))),"S",""))</f>
        <v/>
      </c>
      <c r="CI43" t="str">
        <f>IF(NOT(ISERROR(HLOOKUP(Standings!CI$3,Entries!$C8:$K8,1,FALSE))),"x",IF(NOT(ISERROR(HLOOKUP(Standings!CI$3,Entries!$L8:$L8,1,FALSE))),"S",""))</f>
        <v>S</v>
      </c>
      <c r="CJ43" t="str">
        <f>IF(NOT(ISERROR(HLOOKUP(Standings!CJ$3,Entries!$C8:$K8,1,FALSE))),"x",IF(NOT(ISERROR(HLOOKUP(Standings!CJ$3,Entries!$L8:$L8,1,FALSE))),"S",""))</f>
        <v/>
      </c>
      <c r="CK43" t="str">
        <f>IF(NOT(ISERROR(HLOOKUP(Standings!CK$3,Entries!$C8:$K8,1,FALSE))),"x",IF(NOT(ISERROR(HLOOKUP(Standings!CK$3,Entries!$L8:$L8,1,FALSE))),"S",""))</f>
        <v/>
      </c>
      <c r="CL43" t="str">
        <f>IF(NOT(ISERROR(HLOOKUP(Standings!CL$3,Entries!$C8:$K8,1,FALSE))),"x",IF(NOT(ISERROR(HLOOKUP(Standings!CL$3,Entries!$L8:$L8,1,FALSE))),"S",""))</f>
        <v/>
      </c>
      <c r="CM43" t="str">
        <f>IF(NOT(ISERROR(HLOOKUP(Standings!CM$3,Entries!$C8:$K8,1,FALSE))),"x",IF(NOT(ISERROR(HLOOKUP(Standings!CM$3,Entries!$L8:$L8,1,FALSE))),"S",""))</f>
        <v>x</v>
      </c>
      <c r="CN43" t="str">
        <f>IF(NOT(ISERROR(HLOOKUP(Standings!CN$3,Entries!$C8:$K8,1,FALSE))),"x",IF(NOT(ISERROR(HLOOKUP(Standings!CN$3,Entries!$L8:$L8,1,FALSE))),"S",""))</f>
        <v/>
      </c>
      <c r="CO43" t="str">
        <f>IF(NOT(ISERROR(HLOOKUP(Standings!CO$3,Entries!$C8:$K8,1,FALSE))),"x",IF(NOT(ISERROR(HLOOKUP(Standings!CO$3,Entries!$L8:$L8,1,FALSE))),"S",""))</f>
        <v/>
      </c>
      <c r="CP43" t="str">
        <f>IF(NOT(ISERROR(HLOOKUP(Standings!CP$3,Entries!$C8:$K8,1,FALSE))),"x",IF(NOT(ISERROR(HLOOKUP(Standings!CP$3,Entries!$L8:$L8,1,FALSE))),"S",""))</f>
        <v/>
      </c>
      <c r="CQ43" t="str">
        <f>IF(NOT(ISERROR(HLOOKUP(Standings!CQ$3,Entries!$C8:$K8,1,FALSE))),"x",IF(NOT(ISERROR(HLOOKUP(Standings!CQ$3,Entries!$L8:$L8,1,FALSE))),"S",""))</f>
        <v/>
      </c>
      <c r="CR43" t="str">
        <f>IF(NOT(ISERROR(HLOOKUP(Standings!CR$3,Entries!$C8:$K8,1,FALSE))),"x",IF(NOT(ISERROR(HLOOKUP(Standings!CR$3,Entries!$L8:$L8,1,FALSE))),"S",""))</f>
        <v/>
      </c>
      <c r="CS43" t="str">
        <f>IF(NOT(ISERROR(HLOOKUP(Standings!CS$3,Entries!$C8:$K8,1,FALSE))),"x",IF(NOT(ISERROR(HLOOKUP(Standings!CS$3,Entries!$L8:$L8,1,FALSE))),"S",""))</f>
        <v/>
      </c>
      <c r="CT43" t="str">
        <f>IF(NOT(ISERROR(HLOOKUP(Standings!CT$3,Entries!$C8:$K8,1,FALSE))),"x",IF(NOT(ISERROR(HLOOKUP(Standings!CT$3,Entries!$L8:$L8,1,FALSE))),"S",""))</f>
        <v/>
      </c>
      <c r="CU43" t="str">
        <f>IF(NOT(ISERROR(HLOOKUP(Standings!CU$3,Entries!$C8:$K8,1,FALSE))),"x",IF(NOT(ISERROR(HLOOKUP(Standings!CU$3,Entries!$L8:$L8,1,FALSE))),"S",""))</f>
        <v/>
      </c>
      <c r="CV43" t="str">
        <f>IF(NOT(ISERROR(HLOOKUP(Standings!CV$3,Entries!$C8:$K8,1,FALSE))),"x",IF(NOT(ISERROR(HLOOKUP(Standings!CV$3,Entries!$L8:$L8,1,FALSE))),"S",""))</f>
        <v/>
      </c>
      <c r="CW43" t="str">
        <f>IF(NOT(ISERROR(HLOOKUP(Standings!CW$3,Entries!$C8:$K8,1,FALSE))),"x",IF(NOT(ISERROR(HLOOKUP(Standings!CW$3,Entries!$L8:$L8,1,FALSE))),"S",""))</f>
        <v/>
      </c>
      <c r="CX43" t="str">
        <f>IF(NOT(ISERROR(HLOOKUP(Standings!CX$3,Entries!$C8:$K8,1,FALSE))),"x",IF(NOT(ISERROR(HLOOKUP(Standings!CX$3,Entries!$L8:$L8,1,FALSE))),"S",""))</f>
        <v/>
      </c>
      <c r="CY43" t="str">
        <f>IF(NOT(ISERROR(HLOOKUP(Standings!CY$3,Entries!$C8:$K8,1,FALSE))),"x",IF(NOT(ISERROR(HLOOKUP(Standings!CY$3,Entries!$L8:$L8,1,FALSE))),"S",""))</f>
        <v/>
      </c>
      <c r="CZ43" t="str">
        <f>IF(NOT(ISERROR(HLOOKUP(Standings!CZ$3,Entries!$C8:$K8,1,FALSE))),"x",IF(NOT(ISERROR(HLOOKUP(Standings!CZ$3,Entries!$L8:$L8,1,FALSE))),"S",""))</f>
        <v/>
      </c>
      <c r="DA43" t="str">
        <f>IF(NOT(ISERROR(HLOOKUP(Standings!DA$3,Entries!$C8:$K8,1,FALSE))),"x",IF(NOT(ISERROR(HLOOKUP(Standings!DA$3,Entries!$L8:$L8,1,FALSE))),"S",""))</f>
        <v/>
      </c>
      <c r="DB43" t="str">
        <f>IF(NOT(ISERROR(HLOOKUP(Standings!DB$3,Entries!$C8:$K8,1,FALSE))),"x",IF(NOT(ISERROR(HLOOKUP(Standings!DB$3,Entries!$L8:$L8,1,FALSE))),"S",""))</f>
        <v/>
      </c>
    </row>
    <row r="44" spans="1:106" x14ac:dyDescent="0.25">
      <c r="B44">
        <v>72</v>
      </c>
      <c r="C44" t="str">
        <f>Entries!B14</f>
        <v>shoup2</v>
      </c>
      <c r="D44" s="4">
        <f>IF(C44="","",RANK(E44,$E$10:$E$111))</f>
        <v>32</v>
      </c>
      <c r="E44" s="31">
        <f>IF(C44="","",ROUND(SUM(F44:AK44),0))</f>
        <v>4</v>
      </c>
      <c r="F44" s="40" t="str">
        <f>IF(BG44="","",IF(BG44="x",F$6,0)+IF(BG44="S",-F$6-0.00001,0))</f>
        <v/>
      </c>
      <c r="G44" s="41" t="str">
        <f>IF(BH44="","",IF(BH44="x",G$6,0)+IF(BH44="S",-G$6-0.00001,0))</f>
        <v/>
      </c>
      <c r="H44" s="41" t="str">
        <f>IF(BI44="","",IF(BI44="x",H$6,0)+IF(BI44="S",-H$6-0.00001,0))</f>
        <v/>
      </c>
      <c r="I44" s="42" t="str">
        <f>IF(BJ44="","",IF(BJ44="x",I$6,0)+IF(BJ44="S",-I$6-0.00001,0))</f>
        <v/>
      </c>
      <c r="J44" s="40" t="str">
        <f>IF(BK44="","",IF(BK44="x",J$6,0)+IF(BK44="S",-J$6-0.00001,0))</f>
        <v/>
      </c>
      <c r="K44" s="41">
        <f>IF(BL44="","",IF(BL44="x",K$6,0)+IF(BL44="S",-K$6-0.00001,0))</f>
        <v>1</v>
      </c>
      <c r="L44" s="41" t="str">
        <f>IF(BM44="","",IF(BM44="x",L$6,0)+IF(BM44="S",-L$6-0.00001,0))</f>
        <v/>
      </c>
      <c r="M44" s="42" t="str">
        <f>IF(BN44="","",IF(BN44="x",M$6,0)+IF(BN44="S",-M$6-0.00001,0))</f>
        <v/>
      </c>
      <c r="N44" s="43" t="str">
        <f>IF(BO44="","",IF(BO44="x",N$6,0)+IF(BO44="S",-N$6-0.00001,0))</f>
        <v/>
      </c>
      <c r="O44" s="41" t="str">
        <f>IF(BP44="","",IF(BP44="x",O$6,0)+IF(BP44="S",-O$6-0.00001,0))</f>
        <v/>
      </c>
      <c r="P44" s="41" t="str">
        <f>IF(BQ44="","",IF(BQ44="x",P$6,0)+IF(BQ44="S",-P$6-0.00001,0))</f>
        <v/>
      </c>
      <c r="Q44" s="42" t="str">
        <f>IF(BR44="","",IF(BR44="x",Q$6,0)+IF(BR44="S",-Q$6-0.00001,0))</f>
        <v/>
      </c>
      <c r="R44" s="40" t="str">
        <f>IF(BS44="","",IF(BS44="x",R$6,0)+IF(BS44="S",-R$6-0.00001,0))</f>
        <v/>
      </c>
      <c r="S44" s="41" t="str">
        <f>IF(BT44="","",IF(BT44="x",S$6,0)+IF(BT44="S",-S$6-0.00001,0))</f>
        <v/>
      </c>
      <c r="T44" s="43" t="str">
        <f>IF(BU44="","",IF(BU44="x",T$6,0)+IF(BU44="S",-T$6-0.00001,0))</f>
        <v/>
      </c>
      <c r="U44" s="42">
        <f>IF(BV44="","",IF(BV44="x",U$6,0)+IF(BV44="S",-U$6-0.00001,0))</f>
        <v>0</v>
      </c>
      <c r="V44" s="40">
        <f>IF(BW44="","",IF(BW44="x",V$6,0)+IF(BW44="S",-V$6-0.00001,0))</f>
        <v>2</v>
      </c>
      <c r="W44" s="41" t="str">
        <f>IF(BX44="","",IF(BX44="x",W$6,0)+IF(BX44="S",-W$6-0.00001,0))</f>
        <v/>
      </c>
      <c r="X44" s="41" t="str">
        <f>IF(BY44="","",IF(BY44="x",X$6,0)+IF(BY44="S",-X$6-0.00001,0))</f>
        <v/>
      </c>
      <c r="Y44" s="42" t="str">
        <f>IF(BZ44="","",IF(BZ44="x",Y$6,0)+IF(BZ44="S",-Y$6-0.00001,0))</f>
        <v/>
      </c>
      <c r="Z44" s="40" t="str">
        <f>IF(CA44="","",IF(CA44="x",Z$6,0)+IF(CA44="S",-Z$6-0.00001,0))</f>
        <v/>
      </c>
      <c r="AA44" s="41" t="str">
        <f>IF(CB44="","",IF(CB44="x",AA$6,0)+IF(CB44="S",-AA$6-0.00001,0))</f>
        <v/>
      </c>
      <c r="AB44" s="41" t="str">
        <f>IF(CC44="","",IF(CC44="x",AB$6,0)+IF(CC44="S",-AB$6-0.00001,0))</f>
        <v/>
      </c>
      <c r="AC44" s="42" t="str">
        <f>IF(CD44="","",IF(CD44="x",AC$6,0)+IF(CD44="S",-AC$6-0.00001,0))</f>
        <v/>
      </c>
      <c r="AD44" s="40">
        <f>IF(CE44="","",IF(CE44="x",AD$6,0)+IF(CE44="S",-AD$6-0.00001,0))</f>
        <v>1</v>
      </c>
      <c r="AE44" s="41" t="str">
        <f>IF(CF44="","",IF(CF44="x",AE$6,0)+IF(CF44="S",-AE$6-0.00001,0))</f>
        <v/>
      </c>
      <c r="AF44" s="41" t="str">
        <f>IF(CG44="","",IF(CG44="x",AF$6,0)+IF(CG44="S",-AF$6-0.00001,0))</f>
        <v/>
      </c>
      <c r="AG44" s="42" t="str">
        <f>IF(CH44="","",IF(CH44="x",AG$6,0)+IF(CH44="S",-AG$6-0.00001,0))</f>
        <v/>
      </c>
      <c r="AH44" s="40" t="str">
        <f>IF(CI44="","",IF(CI44="x",AH$6,0)+IF(CI44="S",-AH$6-0.00001,0))</f>
        <v/>
      </c>
      <c r="AI44" s="41" t="str">
        <f>IF(CJ44="","",IF(CJ44="x",AI$6,0)+IF(CJ44="S",-AI$6-0.00001,0))</f>
        <v/>
      </c>
      <c r="AJ44" s="41" t="str">
        <f>IF(CK44="","",IF(CK44="x",AJ$6,0)+IF(CK44="S",-AJ$6-0.00001,0))</f>
        <v/>
      </c>
      <c r="AK44" s="42" t="str">
        <f>IF(CL44="","",IF(CL44="x",AK$6,0)+IF(CL44="S",-AK$6-0.00001,0))</f>
        <v/>
      </c>
      <c r="AL44" s="40" t="str">
        <f>IF(CM44="","",IF(CM44="x",AL$6,0)+IF(CM44="S",-AL$6-0.00001,0))</f>
        <v/>
      </c>
      <c r="AM44" s="41" t="str">
        <f>IF(CN44="","",IF(CN44="x",AM$6,0)+IF(CN44="S",-AM$6-0.00001,0))</f>
        <v/>
      </c>
      <c r="AN44" s="41">
        <f>IF(CO44="","",IF(CO44="x",AN$6,0)+IF(CO44="S",-AN$6-0.00001,0))</f>
        <v>-1.0000000000000001E-5</v>
      </c>
      <c r="AO44" s="42" t="str">
        <f>IF(CP44="","",IF(CP44="x",AO$6,0)+IF(CP44="S",-AO$6-0.00001,0))</f>
        <v/>
      </c>
      <c r="AP44" s="40" t="str">
        <f>IF(CQ44="","",IF(CQ44="x",AP$6,0)+IF(CQ44="S",-AP$6-0.00001,0))</f>
        <v/>
      </c>
      <c r="AQ44" s="41" t="str">
        <f>IF(CR44="","",IF(CR44="x",AQ$6,0)+IF(CR44="S",-AQ$6-0.00001,0))</f>
        <v/>
      </c>
      <c r="AR44" s="41" t="str">
        <f>IF(CS44="","",IF(CS44="x",AR$6,0)+IF(CS44="S",-AR$6-0.00001,0))</f>
        <v/>
      </c>
      <c r="AS44" s="42" t="str">
        <f>IF(CT44="","",IF(CT44="x",AS$6,0)+IF(CT44="S",-AS$6-0.00001,0))</f>
        <v/>
      </c>
      <c r="AT44" s="40" t="str">
        <f>IF(CU44="","",IF(CU44="x",AT$6,0)+IF(CU44="S",-AT$6-0.00001,0))</f>
        <v/>
      </c>
      <c r="AU44" s="41" t="str">
        <f>IF(CV44="","",IF(CV44="x",AU$6,0)+IF(CV44="S",-AU$6-0.00001,0))</f>
        <v/>
      </c>
      <c r="AV44" s="41" t="str">
        <f>IF(CW44="","",IF(CW44="x",AV$6,0)+IF(CW44="S",-AV$6-0.00001,0))</f>
        <v/>
      </c>
      <c r="AW44" s="42" t="str">
        <f>IF(CX44="","",IF(CX44="x",AW$6,0)+IF(CX44="S",-AW$6-0.00001,0))</f>
        <v/>
      </c>
      <c r="AX44" s="40" t="str">
        <f>IF(CY44="","",IF(CY44="x",AX$6,0)+IF(CY44="S",-AX$6-0.00001,0))</f>
        <v/>
      </c>
      <c r="AY44" s="41" t="str">
        <f>IF(CZ44="","",IF(CZ44="x",AY$6,0)+IF(CZ44="S",-AY$6-0.00001,0))</f>
        <v/>
      </c>
      <c r="AZ44" s="41" t="str">
        <f>IF(DA44="","",IF(DA44="x",AZ$6,0)+IF(DA44="S",-AZ$6-0.00001,0))</f>
        <v/>
      </c>
      <c r="BA44" s="42" t="str">
        <f>IF(DB44="","",IF(DB44="x",BA$6,0)+IF(DB44="S",-BA$6-0.00001,0))</f>
        <v/>
      </c>
      <c r="BB44" s="37" t="s">
        <v>106</v>
      </c>
      <c r="BG44" t="str">
        <f>IF(NOT(ISERROR(HLOOKUP(Standings!BG$3,Entries!$C14:$K14,1,FALSE))),"x",IF(NOT(ISERROR(HLOOKUP(Standings!BG$3,Entries!$L14:$L14,1,FALSE))),"S",""))</f>
        <v/>
      </c>
      <c r="BH44" t="str">
        <f>IF(NOT(ISERROR(HLOOKUP(Standings!BH$3,Entries!$C14:$K14,1,FALSE))),"x",IF(NOT(ISERROR(HLOOKUP(Standings!BH$3,Entries!$L14:$L14,1,FALSE))),"S",""))</f>
        <v/>
      </c>
      <c r="BI44" t="str">
        <f>IF(NOT(ISERROR(HLOOKUP(Standings!BI$3,Entries!$C14:$K14,1,FALSE))),"x",IF(NOT(ISERROR(HLOOKUP(Standings!BI$3,Entries!$L14:$L14,1,FALSE))),"S",""))</f>
        <v/>
      </c>
      <c r="BJ44" t="str">
        <f>IF(NOT(ISERROR(HLOOKUP(Standings!BJ$3,Entries!$C14:$K14,1,FALSE))),"x",IF(NOT(ISERROR(HLOOKUP(Standings!BJ$3,Entries!$L14:$L14,1,FALSE))),"S",""))</f>
        <v/>
      </c>
      <c r="BK44" t="str">
        <f>IF(NOT(ISERROR(HLOOKUP(Standings!BK$3,Entries!$C14:$K14,1,FALSE))),"x",IF(NOT(ISERROR(HLOOKUP(Standings!BK$3,Entries!$L14:$L14,1,FALSE))),"S",""))</f>
        <v/>
      </c>
      <c r="BL44" t="str">
        <f>IF(NOT(ISERROR(HLOOKUP(Standings!BL$3,Entries!$C14:$K14,1,FALSE))),"x",IF(NOT(ISERROR(HLOOKUP(Standings!BL$3,Entries!$L14:$L14,1,FALSE))),"S",""))</f>
        <v>x</v>
      </c>
      <c r="BM44" t="str">
        <f>IF(NOT(ISERROR(HLOOKUP(Standings!BM$3,Entries!$C14:$K14,1,FALSE))),"x",IF(NOT(ISERROR(HLOOKUP(Standings!BM$3,Entries!$L14:$L14,1,FALSE))),"S",""))</f>
        <v/>
      </c>
      <c r="BN44" t="str">
        <f>IF(NOT(ISERROR(HLOOKUP(Standings!BN$3,Entries!$C14:$K14,1,FALSE))),"x",IF(NOT(ISERROR(HLOOKUP(Standings!BN$3,Entries!$L14:$L14,1,FALSE))),"S",""))</f>
        <v/>
      </c>
      <c r="BO44" t="str">
        <f>IF(NOT(ISERROR(HLOOKUP(Standings!BO$3,Entries!$C14:$K14,1,FALSE))),"x",IF(NOT(ISERROR(HLOOKUP(Standings!BO$3,Entries!$L14:$L14,1,FALSE))),"S",""))</f>
        <v/>
      </c>
      <c r="BP44" t="str">
        <f>IF(NOT(ISERROR(HLOOKUP(Standings!BP$3,Entries!$C14:$K14,1,FALSE))),"x",IF(NOT(ISERROR(HLOOKUP(Standings!BP$3,Entries!$L14:$L14,1,FALSE))),"S",""))</f>
        <v/>
      </c>
      <c r="BQ44" t="str">
        <f>IF(NOT(ISERROR(HLOOKUP(Standings!BQ$3,Entries!$C14:$K14,1,FALSE))),"x",IF(NOT(ISERROR(HLOOKUP(Standings!BQ$3,Entries!$L14:$L14,1,FALSE))),"S",""))</f>
        <v/>
      </c>
      <c r="BR44" t="str">
        <f>IF(NOT(ISERROR(HLOOKUP(Standings!BR$3,Entries!$C14:$K14,1,FALSE))),"x",IF(NOT(ISERROR(HLOOKUP(Standings!BR$3,Entries!$L14:$L14,1,FALSE))),"S",""))</f>
        <v/>
      </c>
      <c r="BS44" t="str">
        <f>IF(NOT(ISERROR(HLOOKUP(Standings!BS$3,Entries!$C14:$K14,1,FALSE))),"x",IF(NOT(ISERROR(HLOOKUP(Standings!BS$3,Entries!$L14:$L14,1,FALSE))),"S",""))</f>
        <v/>
      </c>
      <c r="BT44" t="str">
        <f>IF(NOT(ISERROR(HLOOKUP(Standings!BT$3,Entries!$C14:$K14,1,FALSE))),"x",IF(NOT(ISERROR(HLOOKUP(Standings!BT$3,Entries!$L14:$L14,1,FALSE))),"S",""))</f>
        <v/>
      </c>
      <c r="BU44" t="str">
        <f>IF(NOT(ISERROR(HLOOKUP(Standings!BU$3,Entries!$C14:$K14,1,FALSE))),"x",IF(NOT(ISERROR(HLOOKUP(Standings!BU$3,Entries!$L14:$L14,1,FALSE))),"S",""))</f>
        <v/>
      </c>
      <c r="BV44" t="str">
        <f>IF(NOT(ISERROR(HLOOKUP(Standings!BV$3,Entries!$C14:$K14,1,FALSE))),"x",IF(NOT(ISERROR(HLOOKUP(Standings!BV$3,Entries!$L14:$L14,1,FALSE))),"S",""))</f>
        <v>x</v>
      </c>
      <c r="BW44" t="str">
        <f>IF(NOT(ISERROR(HLOOKUP(Standings!BW$3,Entries!$C14:$K14,1,FALSE))),"x",IF(NOT(ISERROR(HLOOKUP(Standings!BW$3,Entries!$L14:$L14,1,FALSE))),"S",""))</f>
        <v>x</v>
      </c>
      <c r="BX44" t="str">
        <f>IF(NOT(ISERROR(HLOOKUP(Standings!BX$3,Entries!$C14:$K14,1,FALSE))),"x",IF(NOT(ISERROR(HLOOKUP(Standings!BX$3,Entries!$L14:$L14,1,FALSE))),"S",""))</f>
        <v/>
      </c>
      <c r="BY44" t="str">
        <f>IF(NOT(ISERROR(HLOOKUP(Standings!BY$3,Entries!$C14:$K14,1,FALSE))),"x",IF(NOT(ISERROR(HLOOKUP(Standings!BY$3,Entries!$L14:$L14,1,FALSE))),"S",""))</f>
        <v/>
      </c>
      <c r="BZ44" t="str">
        <f>IF(NOT(ISERROR(HLOOKUP(Standings!BZ$3,Entries!$C14:$K14,1,FALSE))),"x",IF(NOT(ISERROR(HLOOKUP(Standings!BZ$3,Entries!$L14:$L14,1,FALSE))),"S",""))</f>
        <v/>
      </c>
      <c r="CA44" t="str">
        <f>IF(NOT(ISERROR(HLOOKUP(Standings!CA$3,Entries!$C14:$K14,1,FALSE))),"x",IF(NOT(ISERROR(HLOOKUP(Standings!CA$3,Entries!$L14:$L14,1,FALSE))),"S",""))</f>
        <v/>
      </c>
      <c r="CB44" t="str">
        <f>IF(NOT(ISERROR(HLOOKUP(Standings!CB$3,Entries!$C14:$K14,1,FALSE))),"x",IF(NOT(ISERROR(HLOOKUP(Standings!CB$3,Entries!$L14:$L14,1,FALSE))),"S",""))</f>
        <v/>
      </c>
      <c r="CC44" t="str">
        <f>IF(NOT(ISERROR(HLOOKUP(Standings!CC$3,Entries!$C14:$K14,1,FALSE))),"x",IF(NOT(ISERROR(HLOOKUP(Standings!CC$3,Entries!$L14:$L14,1,FALSE))),"S",""))</f>
        <v/>
      </c>
      <c r="CD44" t="str">
        <f>IF(NOT(ISERROR(HLOOKUP(Standings!CD$3,Entries!$C14:$K14,1,FALSE))),"x",IF(NOT(ISERROR(HLOOKUP(Standings!CD$3,Entries!$L14:$L14,1,FALSE))),"S",""))</f>
        <v/>
      </c>
      <c r="CE44" t="str">
        <f>IF(NOT(ISERROR(HLOOKUP(Standings!CE$3,Entries!$C14:$K14,1,FALSE))),"x",IF(NOT(ISERROR(HLOOKUP(Standings!CE$3,Entries!$L14:$L14,1,FALSE))),"S",""))</f>
        <v>x</v>
      </c>
      <c r="CF44" t="str">
        <f>IF(NOT(ISERROR(HLOOKUP(Standings!CF$3,Entries!$C14:$K14,1,FALSE))),"x",IF(NOT(ISERROR(HLOOKUP(Standings!CF$3,Entries!$L14:$L14,1,FALSE))),"S",""))</f>
        <v/>
      </c>
      <c r="CG44" t="str">
        <f>IF(NOT(ISERROR(HLOOKUP(Standings!CG$3,Entries!$C14:$K14,1,FALSE))),"x",IF(NOT(ISERROR(HLOOKUP(Standings!CG$3,Entries!$L14:$L14,1,FALSE))),"S",""))</f>
        <v/>
      </c>
      <c r="CH44" t="str">
        <f>IF(NOT(ISERROR(HLOOKUP(Standings!CH$3,Entries!$C14:$K14,1,FALSE))),"x",IF(NOT(ISERROR(HLOOKUP(Standings!CH$3,Entries!$L14:$L14,1,FALSE))),"S",""))</f>
        <v/>
      </c>
      <c r="CI44" t="str">
        <f>IF(NOT(ISERROR(HLOOKUP(Standings!CI$3,Entries!$C14:$K14,1,FALSE))),"x",IF(NOT(ISERROR(HLOOKUP(Standings!CI$3,Entries!$L14:$L14,1,FALSE))),"S",""))</f>
        <v/>
      </c>
      <c r="CJ44" t="str">
        <f>IF(NOT(ISERROR(HLOOKUP(Standings!CJ$3,Entries!$C14:$K14,1,FALSE))),"x",IF(NOT(ISERROR(HLOOKUP(Standings!CJ$3,Entries!$L14:$L14,1,FALSE))),"S",""))</f>
        <v/>
      </c>
      <c r="CK44" t="str">
        <f>IF(NOT(ISERROR(HLOOKUP(Standings!CK$3,Entries!$C14:$K14,1,FALSE))),"x",IF(NOT(ISERROR(HLOOKUP(Standings!CK$3,Entries!$L14:$L14,1,FALSE))),"S",""))</f>
        <v/>
      </c>
      <c r="CL44" t="str">
        <f>IF(NOT(ISERROR(HLOOKUP(Standings!CL$3,Entries!$C14:$K14,1,FALSE))),"x",IF(NOT(ISERROR(HLOOKUP(Standings!CL$3,Entries!$L14:$L14,1,FALSE))),"S",""))</f>
        <v/>
      </c>
      <c r="CM44" t="str">
        <f>IF(NOT(ISERROR(HLOOKUP(Standings!CM$3,Entries!$C14:$K14,1,FALSE))),"x",IF(NOT(ISERROR(HLOOKUP(Standings!CM$3,Entries!$L14:$L14,1,FALSE))),"S",""))</f>
        <v/>
      </c>
      <c r="CN44" t="str">
        <f>IF(NOT(ISERROR(HLOOKUP(Standings!CN$3,Entries!$C14:$K14,1,FALSE))),"x",IF(NOT(ISERROR(HLOOKUP(Standings!CN$3,Entries!$L14:$L14,1,FALSE))),"S",""))</f>
        <v/>
      </c>
      <c r="CO44" t="str">
        <f>IF(NOT(ISERROR(HLOOKUP(Standings!CO$3,Entries!$C14:$K14,1,FALSE))),"x",IF(NOT(ISERROR(HLOOKUP(Standings!CO$3,Entries!$L14:$L14,1,FALSE))),"S",""))</f>
        <v>S</v>
      </c>
      <c r="CP44" t="str">
        <f>IF(NOT(ISERROR(HLOOKUP(Standings!CP$3,Entries!$C14:$K14,1,FALSE))),"x",IF(NOT(ISERROR(HLOOKUP(Standings!CP$3,Entries!$L14:$L14,1,FALSE))),"S",""))</f>
        <v/>
      </c>
      <c r="CQ44" t="str">
        <f>IF(NOT(ISERROR(HLOOKUP(Standings!CQ$3,Entries!$C14:$K14,1,FALSE))),"x",IF(NOT(ISERROR(HLOOKUP(Standings!CQ$3,Entries!$L14:$L14,1,FALSE))),"S",""))</f>
        <v/>
      </c>
      <c r="CR44" t="str">
        <f>IF(NOT(ISERROR(HLOOKUP(Standings!CR$3,Entries!$C14:$K14,1,FALSE))),"x",IF(NOT(ISERROR(HLOOKUP(Standings!CR$3,Entries!$L14:$L14,1,FALSE))),"S",""))</f>
        <v/>
      </c>
      <c r="CS44" t="str">
        <f>IF(NOT(ISERROR(HLOOKUP(Standings!CS$3,Entries!$C14:$K14,1,FALSE))),"x",IF(NOT(ISERROR(HLOOKUP(Standings!CS$3,Entries!$L14:$L14,1,FALSE))),"S",""))</f>
        <v/>
      </c>
      <c r="CT44" t="str">
        <f>IF(NOT(ISERROR(HLOOKUP(Standings!CT$3,Entries!$C14:$K14,1,FALSE))),"x",IF(NOT(ISERROR(HLOOKUP(Standings!CT$3,Entries!$L14:$L14,1,FALSE))),"S",""))</f>
        <v/>
      </c>
      <c r="CU44" t="str">
        <f>IF(NOT(ISERROR(HLOOKUP(Standings!CU$3,Entries!$C14:$K14,1,FALSE))),"x",IF(NOT(ISERROR(HLOOKUP(Standings!CU$3,Entries!$L14:$L14,1,FALSE))),"S",""))</f>
        <v/>
      </c>
      <c r="CV44" t="str">
        <f>IF(NOT(ISERROR(HLOOKUP(Standings!CV$3,Entries!$C14:$K14,1,FALSE))),"x",IF(NOT(ISERROR(HLOOKUP(Standings!CV$3,Entries!$L14:$L14,1,FALSE))),"S",""))</f>
        <v/>
      </c>
      <c r="CW44" t="str">
        <f>IF(NOT(ISERROR(HLOOKUP(Standings!CW$3,Entries!$C14:$K14,1,FALSE))),"x",IF(NOT(ISERROR(HLOOKUP(Standings!CW$3,Entries!$L14:$L14,1,FALSE))),"S",""))</f>
        <v/>
      </c>
      <c r="CX44" t="str">
        <f>IF(NOT(ISERROR(HLOOKUP(Standings!CX$3,Entries!$C14:$K14,1,FALSE))),"x",IF(NOT(ISERROR(HLOOKUP(Standings!CX$3,Entries!$L14:$L14,1,FALSE))),"S",""))</f>
        <v/>
      </c>
      <c r="CY44" t="str">
        <f>IF(NOT(ISERROR(HLOOKUP(Standings!CY$3,Entries!$C14:$K14,1,FALSE))),"x",IF(NOT(ISERROR(HLOOKUP(Standings!CY$3,Entries!$L14:$L14,1,FALSE))),"S",""))</f>
        <v/>
      </c>
      <c r="CZ44" t="str">
        <f>IF(NOT(ISERROR(HLOOKUP(Standings!CZ$3,Entries!$C14:$K14,1,FALSE))),"x",IF(NOT(ISERROR(HLOOKUP(Standings!CZ$3,Entries!$L14:$L14,1,FALSE))),"S",""))</f>
        <v/>
      </c>
      <c r="DA44" t="str">
        <f>IF(NOT(ISERROR(HLOOKUP(Standings!DA$3,Entries!$C14:$K14,1,FALSE))),"x",IF(NOT(ISERROR(HLOOKUP(Standings!DA$3,Entries!$L14:$L14,1,FALSE))),"S",""))</f>
        <v/>
      </c>
      <c r="DB44" t="str">
        <f>IF(NOT(ISERROR(HLOOKUP(Standings!DB$3,Entries!$C14:$K14,1,FALSE))),"x",IF(NOT(ISERROR(HLOOKUP(Standings!DB$3,Entries!$L14:$L14,1,FALSE))),"S",""))</f>
        <v/>
      </c>
    </row>
    <row r="45" spans="1:106" x14ac:dyDescent="0.25">
      <c r="A45" s="18"/>
      <c r="B45">
        <v>14</v>
      </c>
      <c r="C45" t="str">
        <f>Entries!B3</f>
        <v>Corey Strand  V2</v>
      </c>
      <c r="D45" s="4">
        <f>IF(C45="","",RANK(E45,$E$10:$E$111))</f>
        <v>89</v>
      </c>
      <c r="E45" s="31">
        <f t="shared" si="1"/>
        <v>0</v>
      </c>
      <c r="F45" s="40" t="str">
        <f t="shared" ref="F45:F84" si="49">IF(BG45="","",IF(BG45="x",F$6,0)+IF(BG45="S",-F$6-0.00001,0))</f>
        <v/>
      </c>
      <c r="G45" s="41" t="str">
        <f t="shared" si="2"/>
        <v/>
      </c>
      <c r="H45" s="41" t="str">
        <f t="shared" si="3"/>
        <v/>
      </c>
      <c r="I45" s="42" t="str">
        <f t="shared" si="4"/>
        <v/>
      </c>
      <c r="J45" s="40" t="str">
        <f t="shared" si="5"/>
        <v/>
      </c>
      <c r="K45" s="41" t="str">
        <f t="shared" si="6"/>
        <v/>
      </c>
      <c r="L45" s="41" t="str">
        <f t="shared" si="7"/>
        <v/>
      </c>
      <c r="M45" s="42" t="str">
        <f t="shared" si="8"/>
        <v/>
      </c>
      <c r="N45" s="43" t="str">
        <f t="shared" si="9"/>
        <v/>
      </c>
      <c r="O45" s="41" t="str">
        <f t="shared" si="10"/>
        <v/>
      </c>
      <c r="P45" s="41" t="str">
        <f t="shared" si="11"/>
        <v/>
      </c>
      <c r="Q45" s="42" t="str">
        <f t="shared" si="12"/>
        <v/>
      </c>
      <c r="R45" s="40" t="str">
        <f t="shared" si="13"/>
        <v/>
      </c>
      <c r="S45" s="41" t="str">
        <f t="shared" si="14"/>
        <v/>
      </c>
      <c r="T45" s="43" t="str">
        <f t="shared" si="15"/>
        <v/>
      </c>
      <c r="U45" s="42" t="str">
        <f t="shared" si="16"/>
        <v/>
      </c>
      <c r="V45" s="40" t="str">
        <f t="shared" si="17"/>
        <v/>
      </c>
      <c r="W45" s="41" t="str">
        <f t="shared" si="18"/>
        <v/>
      </c>
      <c r="X45" s="41" t="str">
        <f t="shared" si="19"/>
        <v/>
      </c>
      <c r="Y45" s="42" t="str">
        <f t="shared" si="20"/>
        <v/>
      </c>
      <c r="Z45" s="40" t="str">
        <f t="shared" si="21"/>
        <v/>
      </c>
      <c r="AA45" s="41" t="str">
        <f t="shared" si="22"/>
        <v/>
      </c>
      <c r="AB45" s="41" t="str">
        <f t="shared" si="23"/>
        <v/>
      </c>
      <c r="AC45" s="42" t="str">
        <f t="shared" si="24"/>
        <v/>
      </c>
      <c r="AD45" s="40">
        <f t="shared" si="25"/>
        <v>-1.0000100000000001</v>
      </c>
      <c r="AE45" s="41" t="str">
        <f t="shared" si="26"/>
        <v/>
      </c>
      <c r="AF45" s="41" t="str">
        <f t="shared" si="27"/>
        <v/>
      </c>
      <c r="AG45" s="42" t="str">
        <f t="shared" si="28"/>
        <v/>
      </c>
      <c r="AH45" s="40">
        <f t="shared" si="29"/>
        <v>1</v>
      </c>
      <c r="AI45" s="41" t="str">
        <f t="shared" si="30"/>
        <v/>
      </c>
      <c r="AJ45" s="41" t="str">
        <f t="shared" si="31"/>
        <v/>
      </c>
      <c r="AK45" s="42" t="str">
        <f t="shared" si="32"/>
        <v/>
      </c>
      <c r="AL45" s="40" t="str">
        <f t="shared" si="33"/>
        <v/>
      </c>
      <c r="AM45" s="41" t="str">
        <f t="shared" si="34"/>
        <v/>
      </c>
      <c r="AN45" s="41" t="str">
        <f t="shared" si="35"/>
        <v/>
      </c>
      <c r="AO45" s="42" t="str">
        <f t="shared" si="36"/>
        <v/>
      </c>
      <c r="AP45" s="40" t="str">
        <f t="shared" si="37"/>
        <v/>
      </c>
      <c r="AQ45" s="41">
        <f t="shared" si="38"/>
        <v>0</v>
      </c>
      <c r="AR45" s="41" t="str">
        <f t="shared" si="39"/>
        <v/>
      </c>
      <c r="AS45" s="42" t="str">
        <f t="shared" si="40"/>
        <v/>
      </c>
      <c r="AT45" s="40" t="str">
        <f t="shared" si="41"/>
        <v/>
      </c>
      <c r="AU45" s="41" t="str">
        <f t="shared" si="42"/>
        <v/>
      </c>
      <c r="AV45" s="41" t="str">
        <f t="shared" si="43"/>
        <v/>
      </c>
      <c r="AW45" s="42" t="str">
        <f t="shared" si="44"/>
        <v/>
      </c>
      <c r="AX45" s="40">
        <f t="shared" si="45"/>
        <v>0</v>
      </c>
      <c r="AY45" s="41" t="str">
        <f t="shared" si="46"/>
        <v/>
      </c>
      <c r="AZ45" s="41" t="str">
        <f t="shared" si="47"/>
        <v/>
      </c>
      <c r="BA45" s="42" t="str">
        <f t="shared" si="48"/>
        <v/>
      </c>
      <c r="BB45" s="37" t="s">
        <v>106</v>
      </c>
      <c r="BC45" s="21"/>
      <c r="BD45" s="21"/>
      <c r="BE45" s="5"/>
      <c r="BG45" t="str">
        <f>IF(NOT(ISERROR(HLOOKUP(Standings!BG$3,Entries!$C3:$K3,1,FALSE))),"x",IF(NOT(ISERROR(HLOOKUP(Standings!BG$3,Entries!$L3:$L3,1,FALSE))),"S",""))</f>
        <v/>
      </c>
      <c r="BH45" t="str">
        <f>IF(NOT(ISERROR(HLOOKUP(Standings!BH$3,Entries!$C3:$K3,1,FALSE))),"x",IF(NOT(ISERROR(HLOOKUP(Standings!BH$3,Entries!$L3:$L3,1,FALSE))),"S",""))</f>
        <v/>
      </c>
      <c r="BI45" t="str">
        <f>IF(NOT(ISERROR(HLOOKUP(Standings!BI$3,Entries!$C3:$K3,1,FALSE))),"x",IF(NOT(ISERROR(HLOOKUP(Standings!BI$3,Entries!$L3:$L3,1,FALSE))),"S",""))</f>
        <v/>
      </c>
      <c r="BJ45" t="str">
        <f>IF(NOT(ISERROR(HLOOKUP(Standings!BJ$3,Entries!$C3:$K3,1,FALSE))),"x",IF(NOT(ISERROR(HLOOKUP(Standings!BJ$3,Entries!$L3:$L3,1,FALSE))),"S",""))</f>
        <v/>
      </c>
      <c r="BK45" t="str">
        <f>IF(NOT(ISERROR(HLOOKUP(Standings!BK$3,Entries!$C3:$K3,1,FALSE))),"x",IF(NOT(ISERROR(HLOOKUP(Standings!BK$3,Entries!$L3:$L3,1,FALSE))),"S",""))</f>
        <v/>
      </c>
      <c r="BL45" t="str">
        <f>IF(NOT(ISERROR(HLOOKUP(Standings!BL$3,Entries!$C3:$K3,1,FALSE))),"x",IF(NOT(ISERROR(HLOOKUP(Standings!BL$3,Entries!$L3:$L3,1,FALSE))),"S",""))</f>
        <v/>
      </c>
      <c r="BM45" t="str">
        <f>IF(NOT(ISERROR(HLOOKUP(Standings!BM$3,Entries!$C3:$K3,1,FALSE))),"x",IF(NOT(ISERROR(HLOOKUP(Standings!BM$3,Entries!$L3:$L3,1,FALSE))),"S",""))</f>
        <v/>
      </c>
      <c r="BN45" t="str">
        <f>IF(NOT(ISERROR(HLOOKUP(Standings!BN$3,Entries!$C3:$K3,1,FALSE))),"x",IF(NOT(ISERROR(HLOOKUP(Standings!BN$3,Entries!$L3:$L3,1,FALSE))),"S",""))</f>
        <v/>
      </c>
      <c r="BO45" t="str">
        <f>IF(NOT(ISERROR(HLOOKUP(Standings!BO$3,Entries!$C3:$K3,1,FALSE))),"x",IF(NOT(ISERROR(HLOOKUP(Standings!BO$3,Entries!$L3:$L3,1,FALSE))),"S",""))</f>
        <v/>
      </c>
      <c r="BP45" t="str">
        <f>IF(NOT(ISERROR(HLOOKUP(Standings!BP$3,Entries!$C3:$K3,1,FALSE))),"x",IF(NOT(ISERROR(HLOOKUP(Standings!BP$3,Entries!$L3:$L3,1,FALSE))),"S",""))</f>
        <v/>
      </c>
      <c r="BQ45" t="str">
        <f>IF(NOT(ISERROR(HLOOKUP(Standings!BQ$3,Entries!$C3:$K3,1,FALSE))),"x",IF(NOT(ISERROR(HLOOKUP(Standings!BQ$3,Entries!$L3:$L3,1,FALSE))),"S",""))</f>
        <v/>
      </c>
      <c r="BR45" t="str">
        <f>IF(NOT(ISERROR(HLOOKUP(Standings!BR$3,Entries!$C3:$K3,1,FALSE))),"x",IF(NOT(ISERROR(HLOOKUP(Standings!BR$3,Entries!$L3:$L3,1,FALSE))),"S",""))</f>
        <v/>
      </c>
      <c r="BS45" t="str">
        <f>IF(NOT(ISERROR(HLOOKUP(Standings!BS$3,Entries!$C3:$K3,1,FALSE))),"x",IF(NOT(ISERROR(HLOOKUP(Standings!BS$3,Entries!$L3:$L3,1,FALSE))),"S",""))</f>
        <v/>
      </c>
      <c r="BT45" t="str">
        <f>IF(NOT(ISERROR(HLOOKUP(Standings!BT$3,Entries!$C3:$K3,1,FALSE))),"x",IF(NOT(ISERROR(HLOOKUP(Standings!BT$3,Entries!$L3:$L3,1,FALSE))),"S",""))</f>
        <v/>
      </c>
      <c r="BU45" t="str">
        <f>IF(NOT(ISERROR(HLOOKUP(Standings!BU$3,Entries!$C3:$K3,1,FALSE))),"x",IF(NOT(ISERROR(HLOOKUP(Standings!BU$3,Entries!$L3:$L3,1,FALSE))),"S",""))</f>
        <v/>
      </c>
      <c r="BV45" t="str">
        <f>IF(NOT(ISERROR(HLOOKUP(Standings!BV$3,Entries!$C3:$K3,1,FALSE))),"x",IF(NOT(ISERROR(HLOOKUP(Standings!BV$3,Entries!$L3:$L3,1,FALSE))),"S",""))</f>
        <v/>
      </c>
      <c r="BW45" t="str">
        <f>IF(NOT(ISERROR(HLOOKUP(Standings!BW$3,Entries!$C3:$K3,1,FALSE))),"x",IF(NOT(ISERROR(HLOOKUP(Standings!BW$3,Entries!$L3:$L3,1,FALSE))),"S",""))</f>
        <v/>
      </c>
      <c r="BX45" t="str">
        <f>IF(NOT(ISERROR(HLOOKUP(Standings!BX$3,Entries!$C3:$K3,1,FALSE))),"x",IF(NOT(ISERROR(HLOOKUP(Standings!BX$3,Entries!$L3:$L3,1,FALSE))),"S",""))</f>
        <v/>
      </c>
      <c r="BY45" t="str">
        <f>IF(NOT(ISERROR(HLOOKUP(Standings!BY$3,Entries!$C3:$K3,1,FALSE))),"x",IF(NOT(ISERROR(HLOOKUP(Standings!BY$3,Entries!$L3:$L3,1,FALSE))),"S",""))</f>
        <v/>
      </c>
      <c r="BZ45" t="str">
        <f>IF(NOT(ISERROR(HLOOKUP(Standings!BZ$3,Entries!$C3:$K3,1,FALSE))),"x",IF(NOT(ISERROR(HLOOKUP(Standings!BZ$3,Entries!$L3:$L3,1,FALSE))),"S",""))</f>
        <v/>
      </c>
      <c r="CA45" t="str">
        <f>IF(NOT(ISERROR(HLOOKUP(Standings!CA$3,Entries!$C3:$K3,1,FALSE))),"x",IF(NOT(ISERROR(HLOOKUP(Standings!CA$3,Entries!$L3:$L3,1,FALSE))),"S",""))</f>
        <v/>
      </c>
      <c r="CB45" t="str">
        <f>IF(NOT(ISERROR(HLOOKUP(Standings!CB$3,Entries!$C3:$K3,1,FALSE))),"x",IF(NOT(ISERROR(HLOOKUP(Standings!CB$3,Entries!$L3:$L3,1,FALSE))),"S",""))</f>
        <v/>
      </c>
      <c r="CC45" t="str">
        <f>IF(NOT(ISERROR(HLOOKUP(Standings!CC$3,Entries!$C3:$K3,1,FALSE))),"x",IF(NOT(ISERROR(HLOOKUP(Standings!CC$3,Entries!$L3:$L3,1,FALSE))),"S",""))</f>
        <v/>
      </c>
      <c r="CD45" t="str">
        <f>IF(NOT(ISERROR(HLOOKUP(Standings!CD$3,Entries!$C3:$K3,1,FALSE))),"x",IF(NOT(ISERROR(HLOOKUP(Standings!CD$3,Entries!$L3:$L3,1,FALSE))),"S",""))</f>
        <v/>
      </c>
      <c r="CE45" t="str">
        <f>IF(NOT(ISERROR(HLOOKUP(Standings!CE$3,Entries!$C3:$K3,1,FALSE))),"x",IF(NOT(ISERROR(HLOOKUP(Standings!CE$3,Entries!$L3:$L3,1,FALSE))),"S",""))</f>
        <v>S</v>
      </c>
      <c r="CF45" t="str">
        <f>IF(NOT(ISERROR(HLOOKUP(Standings!CF$3,Entries!$C3:$K3,1,FALSE))),"x",IF(NOT(ISERROR(HLOOKUP(Standings!CF$3,Entries!$L3:$L3,1,FALSE))),"S",""))</f>
        <v/>
      </c>
      <c r="CG45" t="str">
        <f>IF(NOT(ISERROR(HLOOKUP(Standings!CG$3,Entries!$C3:$K3,1,FALSE))),"x",IF(NOT(ISERROR(HLOOKUP(Standings!CG$3,Entries!$L3:$L3,1,FALSE))),"S",""))</f>
        <v/>
      </c>
      <c r="CH45" t="str">
        <f>IF(NOT(ISERROR(HLOOKUP(Standings!CH$3,Entries!$C3:$K3,1,FALSE))),"x",IF(NOT(ISERROR(HLOOKUP(Standings!CH$3,Entries!$L3:$L3,1,FALSE))),"S",""))</f>
        <v/>
      </c>
      <c r="CI45" t="str">
        <f>IF(NOT(ISERROR(HLOOKUP(Standings!CI$3,Entries!$C3:$K3,1,FALSE))),"x",IF(NOT(ISERROR(HLOOKUP(Standings!CI$3,Entries!$L3:$L3,1,FALSE))),"S",""))</f>
        <v>x</v>
      </c>
      <c r="CJ45" t="str">
        <f>IF(NOT(ISERROR(HLOOKUP(Standings!CJ$3,Entries!$C3:$K3,1,FALSE))),"x",IF(NOT(ISERROR(HLOOKUP(Standings!CJ$3,Entries!$L3:$L3,1,FALSE))),"S",""))</f>
        <v/>
      </c>
      <c r="CK45" t="str">
        <f>IF(NOT(ISERROR(HLOOKUP(Standings!CK$3,Entries!$C3:$K3,1,FALSE))),"x",IF(NOT(ISERROR(HLOOKUP(Standings!CK$3,Entries!$L3:$L3,1,FALSE))),"S",""))</f>
        <v/>
      </c>
      <c r="CL45" t="str">
        <f>IF(NOT(ISERROR(HLOOKUP(Standings!CL$3,Entries!$C3:$K3,1,FALSE))),"x",IF(NOT(ISERROR(HLOOKUP(Standings!CL$3,Entries!$L3:$L3,1,FALSE))),"S",""))</f>
        <v/>
      </c>
      <c r="CM45" t="str">
        <f>IF(NOT(ISERROR(HLOOKUP(Standings!CM$3,Entries!$C3:$K3,1,FALSE))),"x",IF(NOT(ISERROR(HLOOKUP(Standings!CM$3,Entries!$L3:$L3,1,FALSE))),"S",""))</f>
        <v/>
      </c>
      <c r="CN45" t="str">
        <f>IF(NOT(ISERROR(HLOOKUP(Standings!CN$3,Entries!$C3:$K3,1,FALSE))),"x",IF(NOT(ISERROR(HLOOKUP(Standings!CN$3,Entries!$L3:$L3,1,FALSE))),"S",""))</f>
        <v/>
      </c>
      <c r="CO45" t="str">
        <f>IF(NOT(ISERROR(HLOOKUP(Standings!CO$3,Entries!$C3:$K3,1,FALSE))),"x",IF(NOT(ISERROR(HLOOKUP(Standings!CO$3,Entries!$L3:$L3,1,FALSE))),"S",""))</f>
        <v/>
      </c>
      <c r="CP45" t="str">
        <f>IF(NOT(ISERROR(HLOOKUP(Standings!CP$3,Entries!$C3:$K3,1,FALSE))),"x",IF(NOT(ISERROR(HLOOKUP(Standings!CP$3,Entries!$L3:$L3,1,FALSE))),"S",""))</f>
        <v/>
      </c>
      <c r="CQ45" t="str">
        <f>IF(NOT(ISERROR(HLOOKUP(Standings!CQ$3,Entries!$C3:$K3,1,FALSE))),"x",IF(NOT(ISERROR(HLOOKUP(Standings!CQ$3,Entries!$L3:$L3,1,FALSE))),"S",""))</f>
        <v/>
      </c>
      <c r="CR45" t="str">
        <f>IF(NOT(ISERROR(HLOOKUP(Standings!CR$3,Entries!$C3:$K3,1,FALSE))),"x",IF(NOT(ISERROR(HLOOKUP(Standings!CR$3,Entries!$L3:$L3,1,FALSE))),"S",""))</f>
        <v>x</v>
      </c>
      <c r="CS45" t="str">
        <f>IF(NOT(ISERROR(HLOOKUP(Standings!CS$3,Entries!$C3:$K3,1,FALSE))),"x",IF(NOT(ISERROR(HLOOKUP(Standings!CS$3,Entries!$L3:$L3,1,FALSE))),"S",""))</f>
        <v/>
      </c>
      <c r="CT45" t="str">
        <f>IF(NOT(ISERROR(HLOOKUP(Standings!CT$3,Entries!$C3:$K3,1,FALSE))),"x",IF(NOT(ISERROR(HLOOKUP(Standings!CT$3,Entries!$L3:$L3,1,FALSE))),"S",""))</f>
        <v/>
      </c>
      <c r="CU45" t="str">
        <f>IF(NOT(ISERROR(HLOOKUP(Standings!CU$3,Entries!$C3:$K3,1,FALSE))),"x",IF(NOT(ISERROR(HLOOKUP(Standings!CU$3,Entries!$L3:$L3,1,FALSE))),"S",""))</f>
        <v/>
      </c>
      <c r="CV45" t="str">
        <f>IF(NOT(ISERROR(HLOOKUP(Standings!CV$3,Entries!$C3:$K3,1,FALSE))),"x",IF(NOT(ISERROR(HLOOKUP(Standings!CV$3,Entries!$L3:$L3,1,FALSE))),"S",""))</f>
        <v/>
      </c>
      <c r="CW45" t="str">
        <f>IF(NOT(ISERROR(HLOOKUP(Standings!CW$3,Entries!$C3:$K3,1,FALSE))),"x",IF(NOT(ISERROR(HLOOKUP(Standings!CW$3,Entries!$L3:$L3,1,FALSE))),"S",""))</f>
        <v/>
      </c>
      <c r="CX45" t="str">
        <f>IF(NOT(ISERROR(HLOOKUP(Standings!CX$3,Entries!$C3:$K3,1,FALSE))),"x",IF(NOT(ISERROR(HLOOKUP(Standings!CX$3,Entries!$L3:$L3,1,FALSE))),"S",""))</f>
        <v/>
      </c>
      <c r="CY45" t="str">
        <f>IF(NOT(ISERROR(HLOOKUP(Standings!CY$3,Entries!$C3:$K3,1,FALSE))),"x",IF(NOT(ISERROR(HLOOKUP(Standings!CY$3,Entries!$L3:$L3,1,FALSE))),"S",""))</f>
        <v>x</v>
      </c>
      <c r="CZ45" t="str">
        <f>IF(NOT(ISERROR(HLOOKUP(Standings!CZ$3,Entries!$C3:$K3,1,FALSE))),"x",IF(NOT(ISERROR(HLOOKUP(Standings!CZ$3,Entries!$L3:$L3,1,FALSE))),"S",""))</f>
        <v/>
      </c>
      <c r="DA45" t="str">
        <f>IF(NOT(ISERROR(HLOOKUP(Standings!DA$3,Entries!$C3:$K3,1,FALSE))),"x",IF(NOT(ISERROR(HLOOKUP(Standings!DA$3,Entries!$L3:$L3,1,FALSE))),"S",""))</f>
        <v/>
      </c>
      <c r="DB45" t="str">
        <f>IF(NOT(ISERROR(HLOOKUP(Standings!DB$3,Entries!$C3:$K3,1,FALSE))),"x",IF(NOT(ISERROR(HLOOKUP(Standings!DB$3,Entries!$L3:$L3,1,FALSE))),"S",""))</f>
        <v/>
      </c>
    </row>
    <row r="46" spans="1:106" x14ac:dyDescent="0.25">
      <c r="B46">
        <v>54</v>
      </c>
      <c r="C46" t="str">
        <f>Entries!B5</f>
        <v>MatthewSchaefer</v>
      </c>
      <c r="D46" s="4">
        <f>IF(C46="","",RANK(E46,$E$10:$E$111))</f>
        <v>89</v>
      </c>
      <c r="E46" s="31">
        <f t="shared" si="1"/>
        <v>0</v>
      </c>
      <c r="F46" s="40" t="str">
        <f t="shared" si="49"/>
        <v/>
      </c>
      <c r="G46" s="41" t="str">
        <f t="shared" si="2"/>
        <v/>
      </c>
      <c r="H46" s="41" t="str">
        <f t="shared" si="3"/>
        <v/>
      </c>
      <c r="I46" s="42" t="str">
        <f t="shared" si="4"/>
        <v/>
      </c>
      <c r="J46" s="40" t="str">
        <f t="shared" si="5"/>
        <v/>
      </c>
      <c r="K46" s="41" t="str">
        <f t="shared" si="6"/>
        <v/>
      </c>
      <c r="L46" s="41" t="str">
        <f t="shared" si="7"/>
        <v/>
      </c>
      <c r="M46" s="42" t="str">
        <f t="shared" si="8"/>
        <v/>
      </c>
      <c r="N46" s="43">
        <f t="shared" si="9"/>
        <v>-1.0000100000000001</v>
      </c>
      <c r="O46" s="41" t="str">
        <f t="shared" si="10"/>
        <v/>
      </c>
      <c r="P46" s="41" t="str">
        <f t="shared" si="11"/>
        <v/>
      </c>
      <c r="Q46" s="42" t="str">
        <f t="shared" si="12"/>
        <v/>
      </c>
      <c r="R46" s="40" t="str">
        <f t="shared" si="13"/>
        <v/>
      </c>
      <c r="S46" s="41" t="str">
        <f t="shared" si="14"/>
        <v/>
      </c>
      <c r="T46" s="43" t="str">
        <f t="shared" si="15"/>
        <v/>
      </c>
      <c r="U46" s="42" t="str">
        <f t="shared" si="16"/>
        <v/>
      </c>
      <c r="V46" s="40" t="str">
        <f t="shared" si="17"/>
        <v/>
      </c>
      <c r="W46" s="41" t="str">
        <f t="shared" si="18"/>
        <v/>
      </c>
      <c r="X46" s="41" t="str">
        <f t="shared" si="19"/>
        <v/>
      </c>
      <c r="Y46" s="42" t="str">
        <f t="shared" si="20"/>
        <v/>
      </c>
      <c r="Z46" s="40" t="str">
        <f t="shared" si="21"/>
        <v/>
      </c>
      <c r="AA46" s="41" t="str">
        <f t="shared" si="22"/>
        <v/>
      </c>
      <c r="AB46" s="41" t="str">
        <f t="shared" si="23"/>
        <v/>
      </c>
      <c r="AC46" s="42" t="str">
        <f t="shared" si="24"/>
        <v/>
      </c>
      <c r="AD46" s="40" t="str">
        <f t="shared" si="25"/>
        <v/>
      </c>
      <c r="AE46" s="41" t="str">
        <f t="shared" si="26"/>
        <v/>
      </c>
      <c r="AF46" s="41" t="str">
        <f t="shared" si="27"/>
        <v/>
      </c>
      <c r="AG46" s="42" t="str">
        <f t="shared" si="28"/>
        <v/>
      </c>
      <c r="AH46" s="40">
        <f t="shared" si="29"/>
        <v>1</v>
      </c>
      <c r="AI46" s="41" t="str">
        <f t="shared" si="30"/>
        <v/>
      </c>
      <c r="AJ46" s="41" t="str">
        <f t="shared" si="31"/>
        <v/>
      </c>
      <c r="AK46" s="42" t="str">
        <f t="shared" si="32"/>
        <v/>
      </c>
      <c r="AL46" s="40" t="str">
        <f t="shared" si="33"/>
        <v/>
      </c>
      <c r="AM46" s="41" t="str">
        <f t="shared" si="34"/>
        <v/>
      </c>
      <c r="AN46" s="41">
        <f t="shared" si="35"/>
        <v>0</v>
      </c>
      <c r="AO46" s="42" t="str">
        <f t="shared" si="36"/>
        <v/>
      </c>
      <c r="AP46" s="40">
        <f t="shared" si="37"/>
        <v>0</v>
      </c>
      <c r="AQ46" s="41" t="str">
        <f t="shared" si="38"/>
        <v/>
      </c>
      <c r="AR46" s="41" t="str">
        <f t="shared" si="39"/>
        <v/>
      </c>
      <c r="AS46" s="42" t="str">
        <f t="shared" si="40"/>
        <v/>
      </c>
      <c r="AT46" s="40" t="str">
        <f t="shared" si="41"/>
        <v/>
      </c>
      <c r="AU46" s="41" t="str">
        <f t="shared" si="42"/>
        <v/>
      </c>
      <c r="AV46" s="41" t="str">
        <f t="shared" si="43"/>
        <v/>
      </c>
      <c r="AW46" s="42" t="str">
        <f t="shared" si="44"/>
        <v/>
      </c>
      <c r="AX46" s="40" t="str">
        <f t="shared" si="45"/>
        <v/>
      </c>
      <c r="AY46" s="41" t="str">
        <f t="shared" si="46"/>
        <v/>
      </c>
      <c r="AZ46" s="41" t="str">
        <f t="shared" si="47"/>
        <v/>
      </c>
      <c r="BA46" s="42" t="str">
        <f t="shared" si="48"/>
        <v/>
      </c>
      <c r="BB46" s="37" t="s">
        <v>106</v>
      </c>
      <c r="BC46" s="21"/>
      <c r="BD46" s="21"/>
      <c r="BE46" s="5"/>
      <c r="BG46" t="str">
        <f>IF(NOT(ISERROR(HLOOKUP(Standings!BG$3,Entries!$C5:$K5,1,FALSE))),"x",IF(NOT(ISERROR(HLOOKUP(Standings!BG$3,Entries!$L5:$L5,1,FALSE))),"S",""))</f>
        <v/>
      </c>
      <c r="BH46" t="str">
        <f>IF(NOT(ISERROR(HLOOKUP(Standings!BH$3,Entries!$C5:$K5,1,FALSE))),"x",IF(NOT(ISERROR(HLOOKUP(Standings!BH$3,Entries!$L5:$L5,1,FALSE))),"S",""))</f>
        <v/>
      </c>
      <c r="BI46" t="str">
        <f>IF(NOT(ISERROR(HLOOKUP(Standings!BI$3,Entries!$C5:$K5,1,FALSE))),"x",IF(NOT(ISERROR(HLOOKUP(Standings!BI$3,Entries!$L5:$L5,1,FALSE))),"S",""))</f>
        <v/>
      </c>
      <c r="BJ46" t="str">
        <f>IF(NOT(ISERROR(HLOOKUP(Standings!BJ$3,Entries!$C5:$K5,1,FALSE))),"x",IF(NOT(ISERROR(HLOOKUP(Standings!BJ$3,Entries!$L5:$L5,1,FALSE))),"S",""))</f>
        <v/>
      </c>
      <c r="BK46" t="str">
        <f>IF(NOT(ISERROR(HLOOKUP(Standings!BK$3,Entries!$C5:$K5,1,FALSE))),"x",IF(NOT(ISERROR(HLOOKUP(Standings!BK$3,Entries!$L5:$L5,1,FALSE))),"S",""))</f>
        <v/>
      </c>
      <c r="BL46" t="str">
        <f>IF(NOT(ISERROR(HLOOKUP(Standings!BL$3,Entries!$C5:$K5,1,FALSE))),"x",IF(NOT(ISERROR(HLOOKUP(Standings!BL$3,Entries!$L5:$L5,1,FALSE))),"S",""))</f>
        <v/>
      </c>
      <c r="BM46" t="str">
        <f>IF(NOT(ISERROR(HLOOKUP(Standings!BM$3,Entries!$C5:$K5,1,FALSE))),"x",IF(NOT(ISERROR(HLOOKUP(Standings!BM$3,Entries!$L5:$L5,1,FALSE))),"S",""))</f>
        <v/>
      </c>
      <c r="BN46" t="str">
        <f>IF(NOT(ISERROR(HLOOKUP(Standings!BN$3,Entries!$C5:$K5,1,FALSE))),"x",IF(NOT(ISERROR(HLOOKUP(Standings!BN$3,Entries!$L5:$L5,1,FALSE))),"S",""))</f>
        <v/>
      </c>
      <c r="BO46" t="str">
        <f>IF(NOT(ISERROR(HLOOKUP(Standings!BO$3,Entries!$C5:$K5,1,FALSE))),"x",IF(NOT(ISERROR(HLOOKUP(Standings!BO$3,Entries!$L5:$L5,1,FALSE))),"S",""))</f>
        <v>S</v>
      </c>
      <c r="BP46" t="str">
        <f>IF(NOT(ISERROR(HLOOKUP(Standings!BP$3,Entries!$C5:$K5,1,FALSE))),"x",IF(NOT(ISERROR(HLOOKUP(Standings!BP$3,Entries!$L5:$L5,1,FALSE))),"S",""))</f>
        <v/>
      </c>
      <c r="BQ46" t="str">
        <f>IF(NOT(ISERROR(HLOOKUP(Standings!BQ$3,Entries!$C5:$K5,1,FALSE))),"x",IF(NOT(ISERROR(HLOOKUP(Standings!BQ$3,Entries!$L5:$L5,1,FALSE))),"S",""))</f>
        <v/>
      </c>
      <c r="BR46" t="str">
        <f>IF(NOT(ISERROR(HLOOKUP(Standings!BR$3,Entries!$C5:$K5,1,FALSE))),"x",IF(NOT(ISERROR(HLOOKUP(Standings!BR$3,Entries!$L5:$L5,1,FALSE))),"S",""))</f>
        <v/>
      </c>
      <c r="BS46" t="str">
        <f>IF(NOT(ISERROR(HLOOKUP(Standings!BS$3,Entries!$C5:$K5,1,FALSE))),"x",IF(NOT(ISERROR(HLOOKUP(Standings!BS$3,Entries!$L5:$L5,1,FALSE))),"S",""))</f>
        <v/>
      </c>
      <c r="BT46" t="str">
        <f>IF(NOT(ISERROR(HLOOKUP(Standings!BT$3,Entries!$C5:$K5,1,FALSE))),"x",IF(NOT(ISERROR(HLOOKUP(Standings!BT$3,Entries!$L5:$L5,1,FALSE))),"S",""))</f>
        <v/>
      </c>
      <c r="BU46" t="str">
        <f>IF(NOT(ISERROR(HLOOKUP(Standings!BU$3,Entries!$C5:$K5,1,FALSE))),"x",IF(NOT(ISERROR(HLOOKUP(Standings!BU$3,Entries!$L5:$L5,1,FALSE))),"S",""))</f>
        <v/>
      </c>
      <c r="BV46" t="str">
        <f>IF(NOT(ISERROR(HLOOKUP(Standings!BV$3,Entries!$C5:$K5,1,FALSE))),"x",IF(NOT(ISERROR(HLOOKUP(Standings!BV$3,Entries!$L5:$L5,1,FALSE))),"S",""))</f>
        <v/>
      </c>
      <c r="BW46" t="str">
        <f>IF(NOT(ISERROR(HLOOKUP(Standings!BW$3,Entries!$C5:$K5,1,FALSE))),"x",IF(NOT(ISERROR(HLOOKUP(Standings!BW$3,Entries!$L5:$L5,1,FALSE))),"S",""))</f>
        <v/>
      </c>
      <c r="BX46" t="str">
        <f>IF(NOT(ISERROR(HLOOKUP(Standings!BX$3,Entries!$C5:$K5,1,FALSE))),"x",IF(NOT(ISERROR(HLOOKUP(Standings!BX$3,Entries!$L5:$L5,1,FALSE))),"S",""))</f>
        <v/>
      </c>
      <c r="BY46" t="str">
        <f>IF(NOT(ISERROR(HLOOKUP(Standings!BY$3,Entries!$C5:$K5,1,FALSE))),"x",IF(NOT(ISERROR(HLOOKUP(Standings!BY$3,Entries!$L5:$L5,1,FALSE))),"S",""))</f>
        <v/>
      </c>
      <c r="BZ46" t="str">
        <f>IF(NOT(ISERROR(HLOOKUP(Standings!BZ$3,Entries!$C5:$K5,1,FALSE))),"x",IF(NOT(ISERROR(HLOOKUP(Standings!BZ$3,Entries!$L5:$L5,1,FALSE))),"S",""))</f>
        <v/>
      </c>
      <c r="CA46" t="str">
        <f>IF(NOT(ISERROR(HLOOKUP(Standings!CA$3,Entries!$C5:$K5,1,FALSE))),"x",IF(NOT(ISERROR(HLOOKUP(Standings!CA$3,Entries!$L5:$L5,1,FALSE))),"S",""))</f>
        <v/>
      </c>
      <c r="CB46" t="str">
        <f>IF(NOT(ISERROR(HLOOKUP(Standings!CB$3,Entries!$C5:$K5,1,FALSE))),"x",IF(NOT(ISERROR(HLOOKUP(Standings!CB$3,Entries!$L5:$L5,1,FALSE))),"S",""))</f>
        <v/>
      </c>
      <c r="CC46" t="str">
        <f>IF(NOT(ISERROR(HLOOKUP(Standings!CC$3,Entries!$C5:$K5,1,FALSE))),"x",IF(NOT(ISERROR(HLOOKUP(Standings!CC$3,Entries!$L5:$L5,1,FALSE))),"S",""))</f>
        <v/>
      </c>
      <c r="CD46" t="str">
        <f>IF(NOT(ISERROR(HLOOKUP(Standings!CD$3,Entries!$C5:$K5,1,FALSE))),"x",IF(NOT(ISERROR(HLOOKUP(Standings!CD$3,Entries!$L5:$L5,1,FALSE))),"S",""))</f>
        <v/>
      </c>
      <c r="CE46" t="str">
        <f>IF(NOT(ISERROR(HLOOKUP(Standings!CE$3,Entries!$C5:$K5,1,FALSE))),"x",IF(NOT(ISERROR(HLOOKUP(Standings!CE$3,Entries!$L5:$L5,1,FALSE))),"S",""))</f>
        <v/>
      </c>
      <c r="CF46" t="str">
        <f>IF(NOT(ISERROR(HLOOKUP(Standings!CF$3,Entries!$C5:$K5,1,FALSE))),"x",IF(NOT(ISERROR(HLOOKUP(Standings!CF$3,Entries!$L5:$L5,1,FALSE))),"S",""))</f>
        <v/>
      </c>
      <c r="CG46" t="str">
        <f>IF(NOT(ISERROR(HLOOKUP(Standings!CG$3,Entries!$C5:$K5,1,FALSE))),"x",IF(NOT(ISERROR(HLOOKUP(Standings!CG$3,Entries!$L5:$L5,1,FALSE))),"S",""))</f>
        <v/>
      </c>
      <c r="CH46" t="str">
        <f>IF(NOT(ISERROR(HLOOKUP(Standings!CH$3,Entries!$C5:$K5,1,FALSE))),"x",IF(NOT(ISERROR(HLOOKUP(Standings!CH$3,Entries!$L5:$L5,1,FALSE))),"S",""))</f>
        <v/>
      </c>
      <c r="CI46" t="str">
        <f>IF(NOT(ISERROR(HLOOKUP(Standings!CI$3,Entries!$C5:$K5,1,FALSE))),"x",IF(NOT(ISERROR(HLOOKUP(Standings!CI$3,Entries!$L5:$L5,1,FALSE))),"S",""))</f>
        <v>x</v>
      </c>
      <c r="CJ46" t="str">
        <f>IF(NOT(ISERROR(HLOOKUP(Standings!CJ$3,Entries!$C5:$K5,1,FALSE))),"x",IF(NOT(ISERROR(HLOOKUP(Standings!CJ$3,Entries!$L5:$L5,1,FALSE))),"S",""))</f>
        <v/>
      </c>
      <c r="CK46" t="str">
        <f>IF(NOT(ISERROR(HLOOKUP(Standings!CK$3,Entries!$C5:$K5,1,FALSE))),"x",IF(NOT(ISERROR(HLOOKUP(Standings!CK$3,Entries!$L5:$L5,1,FALSE))),"S",""))</f>
        <v/>
      </c>
      <c r="CL46" t="str">
        <f>IF(NOT(ISERROR(HLOOKUP(Standings!CL$3,Entries!$C5:$K5,1,FALSE))),"x",IF(NOT(ISERROR(HLOOKUP(Standings!CL$3,Entries!$L5:$L5,1,FALSE))),"S",""))</f>
        <v/>
      </c>
      <c r="CM46" t="str">
        <f>IF(NOT(ISERROR(HLOOKUP(Standings!CM$3,Entries!$C5:$K5,1,FALSE))),"x",IF(NOT(ISERROR(HLOOKUP(Standings!CM$3,Entries!$L5:$L5,1,FALSE))),"S",""))</f>
        <v/>
      </c>
      <c r="CN46" t="str">
        <f>IF(NOT(ISERROR(HLOOKUP(Standings!CN$3,Entries!$C5:$K5,1,FALSE))),"x",IF(NOT(ISERROR(HLOOKUP(Standings!CN$3,Entries!$L5:$L5,1,FALSE))),"S",""))</f>
        <v/>
      </c>
      <c r="CO46" t="str">
        <f>IF(NOT(ISERROR(HLOOKUP(Standings!CO$3,Entries!$C5:$K5,1,FALSE))),"x",IF(NOT(ISERROR(HLOOKUP(Standings!CO$3,Entries!$L5:$L5,1,FALSE))),"S",""))</f>
        <v>x</v>
      </c>
      <c r="CP46" t="str">
        <f>IF(NOT(ISERROR(HLOOKUP(Standings!CP$3,Entries!$C5:$K5,1,FALSE))),"x",IF(NOT(ISERROR(HLOOKUP(Standings!CP$3,Entries!$L5:$L5,1,FALSE))),"S",""))</f>
        <v/>
      </c>
      <c r="CQ46" t="str">
        <f>IF(NOT(ISERROR(HLOOKUP(Standings!CQ$3,Entries!$C5:$K5,1,FALSE))),"x",IF(NOT(ISERROR(HLOOKUP(Standings!CQ$3,Entries!$L5:$L5,1,FALSE))),"S",""))</f>
        <v>x</v>
      </c>
      <c r="CR46" t="str">
        <f>IF(NOT(ISERROR(HLOOKUP(Standings!CR$3,Entries!$C5:$K5,1,FALSE))),"x",IF(NOT(ISERROR(HLOOKUP(Standings!CR$3,Entries!$L5:$L5,1,FALSE))),"S",""))</f>
        <v/>
      </c>
      <c r="CS46" t="str">
        <f>IF(NOT(ISERROR(HLOOKUP(Standings!CS$3,Entries!$C5:$K5,1,FALSE))),"x",IF(NOT(ISERROR(HLOOKUP(Standings!CS$3,Entries!$L5:$L5,1,FALSE))),"S",""))</f>
        <v/>
      </c>
      <c r="CT46" t="str">
        <f>IF(NOT(ISERROR(HLOOKUP(Standings!CT$3,Entries!$C5:$K5,1,FALSE))),"x",IF(NOT(ISERROR(HLOOKUP(Standings!CT$3,Entries!$L5:$L5,1,FALSE))),"S",""))</f>
        <v/>
      </c>
      <c r="CU46" t="str">
        <f>IF(NOT(ISERROR(HLOOKUP(Standings!CU$3,Entries!$C5:$K5,1,FALSE))),"x",IF(NOT(ISERROR(HLOOKUP(Standings!CU$3,Entries!$L5:$L5,1,FALSE))),"S",""))</f>
        <v/>
      </c>
      <c r="CV46" t="str">
        <f>IF(NOT(ISERROR(HLOOKUP(Standings!CV$3,Entries!$C5:$K5,1,FALSE))),"x",IF(NOT(ISERROR(HLOOKUP(Standings!CV$3,Entries!$L5:$L5,1,FALSE))),"S",""))</f>
        <v/>
      </c>
      <c r="CW46" t="str">
        <f>IF(NOT(ISERROR(HLOOKUP(Standings!CW$3,Entries!$C5:$K5,1,FALSE))),"x",IF(NOT(ISERROR(HLOOKUP(Standings!CW$3,Entries!$L5:$L5,1,FALSE))),"S",""))</f>
        <v/>
      </c>
      <c r="CX46" t="str">
        <f>IF(NOT(ISERROR(HLOOKUP(Standings!CX$3,Entries!$C5:$K5,1,FALSE))),"x",IF(NOT(ISERROR(HLOOKUP(Standings!CX$3,Entries!$L5:$L5,1,FALSE))),"S",""))</f>
        <v/>
      </c>
      <c r="CY46" t="str">
        <f>IF(NOT(ISERROR(HLOOKUP(Standings!CY$3,Entries!$C5:$K5,1,FALSE))),"x",IF(NOT(ISERROR(HLOOKUP(Standings!CY$3,Entries!$L5:$L5,1,FALSE))),"S",""))</f>
        <v/>
      </c>
      <c r="CZ46" t="str">
        <f>IF(NOT(ISERROR(HLOOKUP(Standings!CZ$3,Entries!$C5:$K5,1,FALSE))),"x",IF(NOT(ISERROR(HLOOKUP(Standings!CZ$3,Entries!$L5:$L5,1,FALSE))),"S",""))</f>
        <v/>
      </c>
      <c r="DA46" t="str">
        <f>IF(NOT(ISERROR(HLOOKUP(Standings!DA$3,Entries!$C5:$K5,1,FALSE))),"x",IF(NOT(ISERROR(HLOOKUP(Standings!DA$3,Entries!$L5:$L5,1,FALSE))),"S",""))</f>
        <v/>
      </c>
      <c r="DB46" t="str">
        <f>IF(NOT(ISERROR(HLOOKUP(Standings!DB$3,Entries!$C5:$K5,1,FALSE))),"x",IF(NOT(ISERROR(HLOOKUP(Standings!DB$3,Entries!$L5:$L5,1,FALSE))),"S",""))</f>
        <v/>
      </c>
    </row>
    <row r="47" spans="1:106" x14ac:dyDescent="0.25">
      <c r="A47" s="18"/>
      <c r="B47">
        <v>23</v>
      </c>
      <c r="C47" t="str">
        <f>Entries!B6</f>
        <v>Marissa Cleaveland2</v>
      </c>
      <c r="D47" s="4">
        <f>IF(C47="","",RANK(E47,$E$10:$E$111))</f>
        <v>81</v>
      </c>
      <c r="E47" s="31">
        <f t="shared" si="1"/>
        <v>1</v>
      </c>
      <c r="F47" s="40" t="str">
        <f t="shared" si="49"/>
        <v/>
      </c>
      <c r="G47" s="41" t="str">
        <f t="shared" si="2"/>
        <v/>
      </c>
      <c r="H47" s="41" t="str">
        <f t="shared" si="3"/>
        <v/>
      </c>
      <c r="I47" s="42">
        <f t="shared" si="4"/>
        <v>0</v>
      </c>
      <c r="J47" s="40" t="str">
        <f t="shared" si="5"/>
        <v/>
      </c>
      <c r="K47" s="41" t="str">
        <f t="shared" si="6"/>
        <v/>
      </c>
      <c r="L47" s="41" t="str">
        <f t="shared" si="7"/>
        <v/>
      </c>
      <c r="M47" s="42" t="str">
        <f t="shared" si="8"/>
        <v/>
      </c>
      <c r="N47" s="43" t="str">
        <f t="shared" si="9"/>
        <v/>
      </c>
      <c r="O47" s="41" t="str">
        <f t="shared" si="10"/>
        <v/>
      </c>
      <c r="P47" s="41" t="str">
        <f t="shared" si="11"/>
        <v/>
      </c>
      <c r="Q47" s="42" t="str">
        <f t="shared" si="12"/>
        <v/>
      </c>
      <c r="R47" s="40" t="str">
        <f t="shared" si="13"/>
        <v/>
      </c>
      <c r="S47" s="41" t="str">
        <f t="shared" si="14"/>
        <v/>
      </c>
      <c r="T47" s="43" t="str">
        <f t="shared" si="15"/>
        <v/>
      </c>
      <c r="U47" s="42">
        <f t="shared" si="16"/>
        <v>0</v>
      </c>
      <c r="V47" s="40" t="str">
        <f t="shared" si="17"/>
        <v/>
      </c>
      <c r="W47" s="41" t="str">
        <f t="shared" si="18"/>
        <v/>
      </c>
      <c r="X47" s="41" t="str">
        <f t="shared" si="19"/>
        <v/>
      </c>
      <c r="Y47" s="42">
        <f t="shared" si="20"/>
        <v>0</v>
      </c>
      <c r="Z47" s="40">
        <f t="shared" si="21"/>
        <v>1</v>
      </c>
      <c r="AA47" s="41" t="str">
        <f t="shared" si="22"/>
        <v/>
      </c>
      <c r="AB47" s="41" t="str">
        <f t="shared" si="23"/>
        <v/>
      </c>
      <c r="AC47" s="42" t="str">
        <f t="shared" si="24"/>
        <v/>
      </c>
      <c r="AD47" s="40" t="str">
        <f t="shared" si="25"/>
        <v/>
      </c>
      <c r="AE47" s="41" t="str">
        <f t="shared" si="26"/>
        <v/>
      </c>
      <c r="AF47" s="41" t="str">
        <f t="shared" si="27"/>
        <v/>
      </c>
      <c r="AG47" s="42" t="str">
        <f t="shared" si="28"/>
        <v/>
      </c>
      <c r="AH47" s="40" t="str">
        <f t="shared" si="29"/>
        <v/>
      </c>
      <c r="AI47" s="41" t="str">
        <f t="shared" si="30"/>
        <v/>
      </c>
      <c r="AJ47" s="41" t="str">
        <f t="shared" si="31"/>
        <v/>
      </c>
      <c r="AK47" s="42" t="str">
        <f t="shared" si="32"/>
        <v/>
      </c>
      <c r="AL47" s="40" t="str">
        <f t="shared" si="33"/>
        <v/>
      </c>
      <c r="AM47" s="41" t="str">
        <f t="shared" si="34"/>
        <v/>
      </c>
      <c r="AN47" s="41" t="str">
        <f t="shared" si="35"/>
        <v/>
      </c>
      <c r="AO47" s="42" t="str">
        <f t="shared" si="36"/>
        <v/>
      </c>
      <c r="AP47" s="40" t="str">
        <f t="shared" si="37"/>
        <v/>
      </c>
      <c r="AQ47" s="41" t="str">
        <f t="shared" si="38"/>
        <v/>
      </c>
      <c r="AR47" s="41" t="str">
        <f t="shared" si="39"/>
        <v/>
      </c>
      <c r="AS47" s="42" t="str">
        <f t="shared" si="40"/>
        <v/>
      </c>
      <c r="AT47" s="40" t="str">
        <f t="shared" si="41"/>
        <v/>
      </c>
      <c r="AU47" s="41" t="str">
        <f t="shared" si="42"/>
        <v/>
      </c>
      <c r="AV47" s="41" t="str">
        <f t="shared" si="43"/>
        <v/>
      </c>
      <c r="AW47" s="42" t="str">
        <f t="shared" si="44"/>
        <v/>
      </c>
      <c r="AX47" s="40" t="str">
        <f t="shared" si="45"/>
        <v/>
      </c>
      <c r="AY47" s="41">
        <f t="shared" si="46"/>
        <v>0</v>
      </c>
      <c r="AZ47" s="41" t="str">
        <f t="shared" si="47"/>
        <v/>
      </c>
      <c r="BA47" s="42" t="str">
        <f t="shared" si="48"/>
        <v/>
      </c>
      <c r="BB47" s="37" t="s">
        <v>106</v>
      </c>
      <c r="BC47" s="21"/>
      <c r="BD47" s="21"/>
      <c r="BE47" s="5"/>
      <c r="BG47" t="str">
        <f>IF(NOT(ISERROR(HLOOKUP(Standings!BG$3,Entries!$C6:$K6,1,FALSE))),"x",IF(NOT(ISERROR(HLOOKUP(Standings!BG$3,Entries!$L6:$L6,1,FALSE))),"S",""))</f>
        <v/>
      </c>
      <c r="BH47" t="str">
        <f>IF(NOT(ISERROR(HLOOKUP(Standings!BH$3,Entries!$C6:$K6,1,FALSE))),"x",IF(NOT(ISERROR(HLOOKUP(Standings!BH$3,Entries!$L6:$L6,1,FALSE))),"S",""))</f>
        <v/>
      </c>
      <c r="BI47" t="str">
        <f>IF(NOT(ISERROR(HLOOKUP(Standings!BI$3,Entries!$C6:$K6,1,FALSE))),"x",IF(NOT(ISERROR(HLOOKUP(Standings!BI$3,Entries!$L6:$L6,1,FALSE))),"S",""))</f>
        <v/>
      </c>
      <c r="BJ47" t="str">
        <f>IF(NOT(ISERROR(HLOOKUP(Standings!BJ$3,Entries!$C6:$K6,1,FALSE))),"x",IF(NOT(ISERROR(HLOOKUP(Standings!BJ$3,Entries!$L6:$L6,1,FALSE))),"S",""))</f>
        <v>x</v>
      </c>
      <c r="BK47" t="str">
        <f>IF(NOT(ISERROR(HLOOKUP(Standings!BK$3,Entries!$C6:$K6,1,FALSE))),"x",IF(NOT(ISERROR(HLOOKUP(Standings!BK$3,Entries!$L6:$L6,1,FALSE))),"S",""))</f>
        <v/>
      </c>
      <c r="BL47" t="str">
        <f>IF(NOT(ISERROR(HLOOKUP(Standings!BL$3,Entries!$C6:$K6,1,FALSE))),"x",IF(NOT(ISERROR(HLOOKUP(Standings!BL$3,Entries!$L6:$L6,1,FALSE))),"S",""))</f>
        <v/>
      </c>
      <c r="BM47" t="str">
        <f>IF(NOT(ISERROR(HLOOKUP(Standings!BM$3,Entries!$C6:$K6,1,FALSE))),"x",IF(NOT(ISERROR(HLOOKUP(Standings!BM$3,Entries!$L6:$L6,1,FALSE))),"S",""))</f>
        <v/>
      </c>
      <c r="BN47" t="str">
        <f>IF(NOT(ISERROR(HLOOKUP(Standings!BN$3,Entries!$C6:$K6,1,FALSE))),"x",IF(NOT(ISERROR(HLOOKUP(Standings!BN$3,Entries!$L6:$L6,1,FALSE))),"S",""))</f>
        <v/>
      </c>
      <c r="BO47" t="str">
        <f>IF(NOT(ISERROR(HLOOKUP(Standings!BO$3,Entries!$C6:$K6,1,FALSE))),"x",IF(NOT(ISERROR(HLOOKUP(Standings!BO$3,Entries!$L6:$L6,1,FALSE))),"S",""))</f>
        <v/>
      </c>
      <c r="BP47" t="str">
        <f>IF(NOT(ISERROR(HLOOKUP(Standings!BP$3,Entries!$C6:$K6,1,FALSE))),"x",IF(NOT(ISERROR(HLOOKUP(Standings!BP$3,Entries!$L6:$L6,1,FALSE))),"S",""))</f>
        <v/>
      </c>
      <c r="BQ47" t="str">
        <f>IF(NOT(ISERROR(HLOOKUP(Standings!BQ$3,Entries!$C6:$K6,1,FALSE))),"x",IF(NOT(ISERROR(HLOOKUP(Standings!BQ$3,Entries!$L6:$L6,1,FALSE))),"S",""))</f>
        <v/>
      </c>
      <c r="BR47" t="str">
        <f>IF(NOT(ISERROR(HLOOKUP(Standings!BR$3,Entries!$C6:$K6,1,FALSE))),"x",IF(NOT(ISERROR(HLOOKUP(Standings!BR$3,Entries!$L6:$L6,1,FALSE))),"S",""))</f>
        <v/>
      </c>
      <c r="BS47" t="str">
        <f>IF(NOT(ISERROR(HLOOKUP(Standings!BS$3,Entries!$C6:$K6,1,FALSE))),"x",IF(NOT(ISERROR(HLOOKUP(Standings!BS$3,Entries!$L6:$L6,1,FALSE))),"S",""))</f>
        <v/>
      </c>
      <c r="BT47" t="str">
        <f>IF(NOT(ISERROR(HLOOKUP(Standings!BT$3,Entries!$C6:$K6,1,FALSE))),"x",IF(NOT(ISERROR(HLOOKUP(Standings!BT$3,Entries!$L6:$L6,1,FALSE))),"S",""))</f>
        <v/>
      </c>
      <c r="BU47" t="str">
        <f>IF(NOT(ISERROR(HLOOKUP(Standings!BU$3,Entries!$C6:$K6,1,FALSE))),"x",IF(NOT(ISERROR(HLOOKUP(Standings!BU$3,Entries!$L6:$L6,1,FALSE))),"S",""))</f>
        <v/>
      </c>
      <c r="BV47" t="str">
        <f>IF(NOT(ISERROR(HLOOKUP(Standings!BV$3,Entries!$C6:$K6,1,FALSE))),"x",IF(NOT(ISERROR(HLOOKUP(Standings!BV$3,Entries!$L6:$L6,1,FALSE))),"S",""))</f>
        <v>x</v>
      </c>
      <c r="BW47" t="str">
        <f>IF(NOT(ISERROR(HLOOKUP(Standings!BW$3,Entries!$C6:$K6,1,FALSE))),"x",IF(NOT(ISERROR(HLOOKUP(Standings!BW$3,Entries!$L6:$L6,1,FALSE))),"S",""))</f>
        <v/>
      </c>
      <c r="BX47" t="str">
        <f>IF(NOT(ISERROR(HLOOKUP(Standings!BX$3,Entries!$C6:$K6,1,FALSE))),"x",IF(NOT(ISERROR(HLOOKUP(Standings!BX$3,Entries!$L6:$L6,1,FALSE))),"S",""))</f>
        <v/>
      </c>
      <c r="BY47" t="str">
        <f>IF(NOT(ISERROR(HLOOKUP(Standings!BY$3,Entries!$C6:$K6,1,FALSE))),"x",IF(NOT(ISERROR(HLOOKUP(Standings!BY$3,Entries!$L6:$L6,1,FALSE))),"S",""))</f>
        <v/>
      </c>
      <c r="BZ47" t="str">
        <f>IF(NOT(ISERROR(HLOOKUP(Standings!BZ$3,Entries!$C6:$K6,1,FALSE))),"x",IF(NOT(ISERROR(HLOOKUP(Standings!BZ$3,Entries!$L6:$L6,1,FALSE))),"S",""))</f>
        <v>x</v>
      </c>
      <c r="CA47" t="str">
        <f>IF(NOT(ISERROR(HLOOKUP(Standings!CA$3,Entries!$C6:$K6,1,FALSE))),"x",IF(NOT(ISERROR(HLOOKUP(Standings!CA$3,Entries!$L6:$L6,1,FALSE))),"S",""))</f>
        <v>x</v>
      </c>
      <c r="CB47" t="str">
        <f>IF(NOT(ISERROR(HLOOKUP(Standings!CB$3,Entries!$C6:$K6,1,FALSE))),"x",IF(NOT(ISERROR(HLOOKUP(Standings!CB$3,Entries!$L6:$L6,1,FALSE))),"S",""))</f>
        <v/>
      </c>
      <c r="CC47" t="str">
        <f>IF(NOT(ISERROR(HLOOKUP(Standings!CC$3,Entries!$C6:$K6,1,FALSE))),"x",IF(NOT(ISERROR(HLOOKUP(Standings!CC$3,Entries!$L6:$L6,1,FALSE))),"S",""))</f>
        <v/>
      </c>
      <c r="CD47" t="str">
        <f>IF(NOT(ISERROR(HLOOKUP(Standings!CD$3,Entries!$C6:$K6,1,FALSE))),"x",IF(NOT(ISERROR(HLOOKUP(Standings!CD$3,Entries!$L6:$L6,1,FALSE))),"S",""))</f>
        <v/>
      </c>
      <c r="CE47" t="str">
        <f>IF(NOT(ISERROR(HLOOKUP(Standings!CE$3,Entries!$C6:$K6,1,FALSE))),"x",IF(NOT(ISERROR(HLOOKUP(Standings!CE$3,Entries!$L6:$L6,1,FALSE))),"S",""))</f>
        <v/>
      </c>
      <c r="CF47" t="str">
        <f>IF(NOT(ISERROR(HLOOKUP(Standings!CF$3,Entries!$C6:$K6,1,FALSE))),"x",IF(NOT(ISERROR(HLOOKUP(Standings!CF$3,Entries!$L6:$L6,1,FALSE))),"S",""))</f>
        <v/>
      </c>
      <c r="CG47" t="str">
        <f>IF(NOT(ISERROR(HLOOKUP(Standings!CG$3,Entries!$C6:$K6,1,FALSE))),"x",IF(NOT(ISERROR(HLOOKUP(Standings!CG$3,Entries!$L6:$L6,1,FALSE))),"S",""))</f>
        <v/>
      </c>
      <c r="CH47" t="str">
        <f>IF(NOT(ISERROR(HLOOKUP(Standings!CH$3,Entries!$C6:$K6,1,FALSE))),"x",IF(NOT(ISERROR(HLOOKUP(Standings!CH$3,Entries!$L6:$L6,1,FALSE))),"S",""))</f>
        <v/>
      </c>
      <c r="CI47" t="str">
        <f>IF(NOT(ISERROR(HLOOKUP(Standings!CI$3,Entries!$C6:$K6,1,FALSE))),"x",IF(NOT(ISERROR(HLOOKUP(Standings!CI$3,Entries!$L6:$L6,1,FALSE))),"S",""))</f>
        <v/>
      </c>
      <c r="CJ47" t="str">
        <f>IF(NOT(ISERROR(HLOOKUP(Standings!CJ$3,Entries!$C6:$K6,1,FALSE))),"x",IF(NOT(ISERROR(HLOOKUP(Standings!CJ$3,Entries!$L6:$L6,1,FALSE))),"S",""))</f>
        <v/>
      </c>
      <c r="CK47" t="str">
        <f>IF(NOT(ISERROR(HLOOKUP(Standings!CK$3,Entries!$C6:$K6,1,FALSE))),"x",IF(NOT(ISERROR(HLOOKUP(Standings!CK$3,Entries!$L6:$L6,1,FALSE))),"S",""))</f>
        <v/>
      </c>
      <c r="CL47" t="str">
        <f>IF(NOT(ISERROR(HLOOKUP(Standings!CL$3,Entries!$C6:$K6,1,FALSE))),"x",IF(NOT(ISERROR(HLOOKUP(Standings!CL$3,Entries!$L6:$L6,1,FALSE))),"S",""))</f>
        <v/>
      </c>
      <c r="CM47" t="str">
        <f>IF(NOT(ISERROR(HLOOKUP(Standings!CM$3,Entries!$C6:$K6,1,FALSE))),"x",IF(NOT(ISERROR(HLOOKUP(Standings!CM$3,Entries!$L6:$L6,1,FALSE))),"S",""))</f>
        <v/>
      </c>
      <c r="CN47" t="str">
        <f>IF(NOT(ISERROR(HLOOKUP(Standings!CN$3,Entries!$C6:$K6,1,FALSE))),"x",IF(NOT(ISERROR(HLOOKUP(Standings!CN$3,Entries!$L6:$L6,1,FALSE))),"S",""))</f>
        <v/>
      </c>
      <c r="CO47" t="str">
        <f>IF(NOT(ISERROR(HLOOKUP(Standings!CO$3,Entries!$C6:$K6,1,FALSE))),"x",IF(NOT(ISERROR(HLOOKUP(Standings!CO$3,Entries!$L6:$L6,1,FALSE))),"S",""))</f>
        <v/>
      </c>
      <c r="CP47" t="str">
        <f>IF(NOT(ISERROR(HLOOKUP(Standings!CP$3,Entries!$C6:$K6,1,FALSE))),"x",IF(NOT(ISERROR(HLOOKUP(Standings!CP$3,Entries!$L6:$L6,1,FALSE))),"S",""))</f>
        <v/>
      </c>
      <c r="CQ47" t="str">
        <f>IF(NOT(ISERROR(HLOOKUP(Standings!CQ$3,Entries!$C6:$K6,1,FALSE))),"x",IF(NOT(ISERROR(HLOOKUP(Standings!CQ$3,Entries!$L6:$L6,1,FALSE))),"S",""))</f>
        <v/>
      </c>
      <c r="CR47" t="str">
        <f>IF(NOT(ISERROR(HLOOKUP(Standings!CR$3,Entries!$C6:$K6,1,FALSE))),"x",IF(NOT(ISERROR(HLOOKUP(Standings!CR$3,Entries!$L6:$L6,1,FALSE))),"S",""))</f>
        <v/>
      </c>
      <c r="CS47" t="str">
        <f>IF(NOT(ISERROR(HLOOKUP(Standings!CS$3,Entries!$C6:$K6,1,FALSE))),"x",IF(NOT(ISERROR(HLOOKUP(Standings!CS$3,Entries!$L6:$L6,1,FALSE))),"S",""))</f>
        <v/>
      </c>
      <c r="CT47" t="str">
        <f>IF(NOT(ISERROR(HLOOKUP(Standings!CT$3,Entries!$C6:$K6,1,FALSE))),"x",IF(NOT(ISERROR(HLOOKUP(Standings!CT$3,Entries!$L6:$L6,1,FALSE))),"S",""))</f>
        <v/>
      </c>
      <c r="CU47" t="str">
        <f>IF(NOT(ISERROR(HLOOKUP(Standings!CU$3,Entries!$C6:$K6,1,FALSE))),"x",IF(NOT(ISERROR(HLOOKUP(Standings!CU$3,Entries!$L6:$L6,1,FALSE))),"S",""))</f>
        <v/>
      </c>
      <c r="CV47" t="str">
        <f>IF(NOT(ISERROR(HLOOKUP(Standings!CV$3,Entries!$C6:$K6,1,FALSE))),"x",IF(NOT(ISERROR(HLOOKUP(Standings!CV$3,Entries!$L6:$L6,1,FALSE))),"S",""))</f>
        <v/>
      </c>
      <c r="CW47" t="str">
        <f>IF(NOT(ISERROR(HLOOKUP(Standings!CW$3,Entries!$C6:$K6,1,FALSE))),"x",IF(NOT(ISERROR(HLOOKUP(Standings!CW$3,Entries!$L6:$L6,1,FALSE))),"S",""))</f>
        <v/>
      </c>
      <c r="CX47" t="str">
        <f>IF(NOT(ISERROR(HLOOKUP(Standings!CX$3,Entries!$C6:$K6,1,FALSE))),"x",IF(NOT(ISERROR(HLOOKUP(Standings!CX$3,Entries!$L6:$L6,1,FALSE))),"S",""))</f>
        <v/>
      </c>
      <c r="CY47" t="str">
        <f>IF(NOT(ISERROR(HLOOKUP(Standings!CY$3,Entries!$C6:$K6,1,FALSE))),"x",IF(NOT(ISERROR(HLOOKUP(Standings!CY$3,Entries!$L6:$L6,1,FALSE))),"S",""))</f>
        <v/>
      </c>
      <c r="CZ47" t="str">
        <f>IF(NOT(ISERROR(HLOOKUP(Standings!CZ$3,Entries!$C6:$K6,1,FALSE))),"x",IF(NOT(ISERROR(HLOOKUP(Standings!CZ$3,Entries!$L6:$L6,1,FALSE))),"S",""))</f>
        <v>x</v>
      </c>
      <c r="DA47" t="str">
        <f>IF(NOT(ISERROR(HLOOKUP(Standings!DA$3,Entries!$C6:$K6,1,FALSE))),"x",IF(NOT(ISERROR(HLOOKUP(Standings!DA$3,Entries!$L6:$L6,1,FALSE))),"S",""))</f>
        <v/>
      </c>
      <c r="DB47" t="str">
        <f>IF(NOT(ISERROR(HLOOKUP(Standings!DB$3,Entries!$C6:$K6,1,FALSE))),"x",IF(NOT(ISERROR(HLOOKUP(Standings!DB$3,Entries!$L6:$L6,1,FALSE))),"S",""))</f>
        <v/>
      </c>
    </row>
    <row r="48" spans="1:106" x14ac:dyDescent="0.25">
      <c r="A48" s="18"/>
      <c r="B48">
        <v>28</v>
      </c>
      <c r="C48" t="str">
        <f>Entries!B9</f>
        <v>Manson2SudAmericaDrama</v>
      </c>
      <c r="D48" s="4">
        <f>IF(C48="","",RANK(E48,$E$10:$E$111))</f>
        <v>81</v>
      </c>
      <c r="E48" s="31">
        <f t="shared" si="1"/>
        <v>1</v>
      </c>
      <c r="F48" s="40" t="str">
        <f t="shared" si="49"/>
        <v/>
      </c>
      <c r="G48" s="41" t="str">
        <f t="shared" si="2"/>
        <v/>
      </c>
      <c r="H48" s="41" t="str">
        <f t="shared" si="3"/>
        <v/>
      </c>
      <c r="I48" s="42" t="str">
        <f t="shared" si="4"/>
        <v/>
      </c>
      <c r="J48" s="40" t="str">
        <f t="shared" si="5"/>
        <v/>
      </c>
      <c r="K48" s="41" t="str">
        <f t="shared" si="6"/>
        <v/>
      </c>
      <c r="L48" s="41" t="str">
        <f t="shared" si="7"/>
        <v/>
      </c>
      <c r="M48" s="42" t="str">
        <f t="shared" si="8"/>
        <v/>
      </c>
      <c r="N48" s="43">
        <f t="shared" si="9"/>
        <v>-1.0000100000000001</v>
      </c>
      <c r="O48" s="41">
        <f t="shared" si="10"/>
        <v>1</v>
      </c>
      <c r="P48" s="41">
        <f t="shared" si="11"/>
        <v>0</v>
      </c>
      <c r="Q48" s="42" t="str">
        <f t="shared" si="12"/>
        <v/>
      </c>
      <c r="R48" s="40" t="str">
        <f t="shared" si="13"/>
        <v/>
      </c>
      <c r="S48" s="41" t="str">
        <f t="shared" si="14"/>
        <v/>
      </c>
      <c r="T48" s="43" t="str">
        <f t="shared" si="15"/>
        <v/>
      </c>
      <c r="U48" s="42" t="str">
        <f t="shared" si="16"/>
        <v/>
      </c>
      <c r="V48" s="40" t="str">
        <f t="shared" si="17"/>
        <v/>
      </c>
      <c r="W48" s="41" t="str">
        <f t="shared" si="18"/>
        <v/>
      </c>
      <c r="X48" s="41" t="str">
        <f t="shared" si="19"/>
        <v/>
      </c>
      <c r="Y48" s="42" t="str">
        <f t="shared" si="20"/>
        <v/>
      </c>
      <c r="Z48" s="40" t="str">
        <f t="shared" si="21"/>
        <v/>
      </c>
      <c r="AA48" s="41">
        <f t="shared" si="22"/>
        <v>1</v>
      </c>
      <c r="AB48" s="41" t="str">
        <f t="shared" si="23"/>
        <v/>
      </c>
      <c r="AC48" s="42" t="str">
        <f t="shared" si="24"/>
        <v/>
      </c>
      <c r="AD48" s="40" t="str">
        <f t="shared" si="25"/>
        <v/>
      </c>
      <c r="AE48" s="41" t="str">
        <f t="shared" si="26"/>
        <v/>
      </c>
      <c r="AF48" s="41" t="str">
        <f t="shared" si="27"/>
        <v/>
      </c>
      <c r="AG48" s="42" t="str">
        <f t="shared" si="28"/>
        <v/>
      </c>
      <c r="AH48" s="40" t="str">
        <f t="shared" si="29"/>
        <v/>
      </c>
      <c r="AI48" s="41" t="str">
        <f t="shared" si="30"/>
        <v/>
      </c>
      <c r="AJ48" s="41" t="str">
        <f t="shared" si="31"/>
        <v/>
      </c>
      <c r="AK48" s="42" t="str">
        <f t="shared" si="32"/>
        <v/>
      </c>
      <c r="AL48" s="40" t="str">
        <f t="shared" si="33"/>
        <v/>
      </c>
      <c r="AM48" s="41" t="str">
        <f t="shared" si="34"/>
        <v/>
      </c>
      <c r="AN48" s="41" t="str">
        <f t="shared" si="35"/>
        <v/>
      </c>
      <c r="AO48" s="42" t="str">
        <f t="shared" si="36"/>
        <v/>
      </c>
      <c r="AP48" s="40">
        <f t="shared" si="37"/>
        <v>0</v>
      </c>
      <c r="AQ48" s="41" t="str">
        <f t="shared" si="38"/>
        <v/>
      </c>
      <c r="AR48" s="41" t="str">
        <f t="shared" si="39"/>
        <v/>
      </c>
      <c r="AS48" s="42" t="str">
        <f t="shared" si="40"/>
        <v/>
      </c>
      <c r="AT48" s="40">
        <f t="shared" si="41"/>
        <v>0</v>
      </c>
      <c r="AU48" s="41" t="str">
        <f t="shared" si="42"/>
        <v/>
      </c>
      <c r="AV48" s="41" t="str">
        <f t="shared" si="43"/>
        <v/>
      </c>
      <c r="AW48" s="42" t="str">
        <f t="shared" si="44"/>
        <v/>
      </c>
      <c r="AX48" s="40" t="str">
        <f t="shared" si="45"/>
        <v/>
      </c>
      <c r="AY48" s="41" t="str">
        <f t="shared" si="46"/>
        <v/>
      </c>
      <c r="AZ48" s="41" t="str">
        <f t="shared" si="47"/>
        <v/>
      </c>
      <c r="BA48" s="42">
        <f t="shared" si="48"/>
        <v>0</v>
      </c>
      <c r="BB48" s="37" t="s">
        <v>106</v>
      </c>
      <c r="BC48" s="21"/>
      <c r="BD48" s="21"/>
      <c r="BG48" t="str">
        <f>IF(NOT(ISERROR(HLOOKUP(Standings!BG$3,Entries!$C9:$K9,1,FALSE))),"x",IF(NOT(ISERROR(HLOOKUP(Standings!BG$3,Entries!$L9:$L9,1,FALSE))),"S",""))</f>
        <v/>
      </c>
      <c r="BH48" t="str">
        <f>IF(NOT(ISERROR(HLOOKUP(Standings!BH$3,Entries!$C9:$K9,1,FALSE))),"x",IF(NOT(ISERROR(HLOOKUP(Standings!BH$3,Entries!$L9:$L9,1,FALSE))),"S",""))</f>
        <v/>
      </c>
      <c r="BI48" t="str">
        <f>IF(NOT(ISERROR(HLOOKUP(Standings!BI$3,Entries!$C9:$K9,1,FALSE))),"x",IF(NOT(ISERROR(HLOOKUP(Standings!BI$3,Entries!$L9:$L9,1,FALSE))),"S",""))</f>
        <v/>
      </c>
      <c r="BJ48" t="str">
        <f>IF(NOT(ISERROR(HLOOKUP(Standings!BJ$3,Entries!$C9:$K9,1,FALSE))),"x",IF(NOT(ISERROR(HLOOKUP(Standings!BJ$3,Entries!$L9:$L9,1,FALSE))),"S",""))</f>
        <v/>
      </c>
      <c r="BK48" t="str">
        <f>IF(NOT(ISERROR(HLOOKUP(Standings!BK$3,Entries!$C9:$K9,1,FALSE))),"x",IF(NOT(ISERROR(HLOOKUP(Standings!BK$3,Entries!$L9:$L9,1,FALSE))),"S",""))</f>
        <v/>
      </c>
      <c r="BL48" t="str">
        <f>IF(NOT(ISERROR(HLOOKUP(Standings!BL$3,Entries!$C9:$K9,1,FALSE))),"x",IF(NOT(ISERROR(HLOOKUP(Standings!BL$3,Entries!$L9:$L9,1,FALSE))),"S",""))</f>
        <v/>
      </c>
      <c r="BM48" t="str">
        <f>IF(NOT(ISERROR(HLOOKUP(Standings!BM$3,Entries!$C9:$K9,1,FALSE))),"x",IF(NOT(ISERROR(HLOOKUP(Standings!BM$3,Entries!$L9:$L9,1,FALSE))),"S",""))</f>
        <v/>
      </c>
      <c r="BN48" t="str">
        <f>IF(NOT(ISERROR(HLOOKUP(Standings!BN$3,Entries!$C9:$K9,1,FALSE))),"x",IF(NOT(ISERROR(HLOOKUP(Standings!BN$3,Entries!$L9:$L9,1,FALSE))),"S",""))</f>
        <v/>
      </c>
      <c r="BO48" t="str">
        <f>IF(NOT(ISERROR(HLOOKUP(Standings!BO$3,Entries!$C9:$K9,1,FALSE))),"x",IF(NOT(ISERROR(HLOOKUP(Standings!BO$3,Entries!$L9:$L9,1,FALSE))),"S",""))</f>
        <v>S</v>
      </c>
      <c r="BP48" t="str">
        <f>IF(NOT(ISERROR(HLOOKUP(Standings!BP$3,Entries!$C9:$K9,1,FALSE))),"x",IF(NOT(ISERROR(HLOOKUP(Standings!BP$3,Entries!$L9:$L9,1,FALSE))),"S",""))</f>
        <v>x</v>
      </c>
      <c r="BQ48" t="str">
        <f>IF(NOT(ISERROR(HLOOKUP(Standings!BQ$3,Entries!$C9:$K9,1,FALSE))),"x",IF(NOT(ISERROR(HLOOKUP(Standings!BQ$3,Entries!$L9:$L9,1,FALSE))),"S",""))</f>
        <v>x</v>
      </c>
      <c r="BR48" t="str">
        <f>IF(NOT(ISERROR(HLOOKUP(Standings!BR$3,Entries!$C9:$K9,1,FALSE))),"x",IF(NOT(ISERROR(HLOOKUP(Standings!BR$3,Entries!$L9:$L9,1,FALSE))),"S",""))</f>
        <v/>
      </c>
      <c r="BS48" t="str">
        <f>IF(NOT(ISERROR(HLOOKUP(Standings!BS$3,Entries!$C9:$K9,1,FALSE))),"x",IF(NOT(ISERROR(HLOOKUP(Standings!BS$3,Entries!$L9:$L9,1,FALSE))),"S",""))</f>
        <v/>
      </c>
      <c r="BT48" t="str">
        <f>IF(NOT(ISERROR(HLOOKUP(Standings!BT$3,Entries!$C9:$K9,1,FALSE))),"x",IF(NOT(ISERROR(HLOOKUP(Standings!BT$3,Entries!$L9:$L9,1,FALSE))),"S",""))</f>
        <v/>
      </c>
      <c r="BU48" t="str">
        <f>IF(NOT(ISERROR(HLOOKUP(Standings!BU$3,Entries!$C9:$K9,1,FALSE))),"x",IF(NOT(ISERROR(HLOOKUP(Standings!BU$3,Entries!$L9:$L9,1,FALSE))),"S",""))</f>
        <v/>
      </c>
      <c r="BV48" t="str">
        <f>IF(NOT(ISERROR(HLOOKUP(Standings!BV$3,Entries!$C9:$K9,1,FALSE))),"x",IF(NOT(ISERROR(HLOOKUP(Standings!BV$3,Entries!$L9:$L9,1,FALSE))),"S",""))</f>
        <v/>
      </c>
      <c r="BW48" t="str">
        <f>IF(NOT(ISERROR(HLOOKUP(Standings!BW$3,Entries!$C9:$K9,1,FALSE))),"x",IF(NOT(ISERROR(HLOOKUP(Standings!BW$3,Entries!$L9:$L9,1,FALSE))),"S",""))</f>
        <v/>
      </c>
      <c r="BX48" t="str">
        <f>IF(NOT(ISERROR(HLOOKUP(Standings!BX$3,Entries!$C9:$K9,1,FALSE))),"x",IF(NOT(ISERROR(HLOOKUP(Standings!BX$3,Entries!$L9:$L9,1,FALSE))),"S",""))</f>
        <v/>
      </c>
      <c r="BY48" t="str">
        <f>IF(NOT(ISERROR(HLOOKUP(Standings!BY$3,Entries!$C9:$K9,1,FALSE))),"x",IF(NOT(ISERROR(HLOOKUP(Standings!BY$3,Entries!$L9:$L9,1,FALSE))),"S",""))</f>
        <v/>
      </c>
      <c r="BZ48" t="str">
        <f>IF(NOT(ISERROR(HLOOKUP(Standings!BZ$3,Entries!$C9:$K9,1,FALSE))),"x",IF(NOT(ISERROR(HLOOKUP(Standings!BZ$3,Entries!$L9:$L9,1,FALSE))),"S",""))</f>
        <v/>
      </c>
      <c r="CA48" t="str">
        <f>IF(NOT(ISERROR(HLOOKUP(Standings!CA$3,Entries!$C9:$K9,1,FALSE))),"x",IF(NOT(ISERROR(HLOOKUP(Standings!CA$3,Entries!$L9:$L9,1,FALSE))),"S",""))</f>
        <v/>
      </c>
      <c r="CB48" t="str">
        <f>IF(NOT(ISERROR(HLOOKUP(Standings!CB$3,Entries!$C9:$K9,1,FALSE))),"x",IF(NOT(ISERROR(HLOOKUP(Standings!CB$3,Entries!$L9:$L9,1,FALSE))),"S",""))</f>
        <v>x</v>
      </c>
      <c r="CC48" t="str">
        <f>IF(NOT(ISERROR(HLOOKUP(Standings!CC$3,Entries!$C9:$K9,1,FALSE))),"x",IF(NOT(ISERROR(HLOOKUP(Standings!CC$3,Entries!$L9:$L9,1,FALSE))),"S",""))</f>
        <v/>
      </c>
      <c r="CD48" t="str">
        <f>IF(NOT(ISERROR(HLOOKUP(Standings!CD$3,Entries!$C9:$K9,1,FALSE))),"x",IF(NOT(ISERROR(HLOOKUP(Standings!CD$3,Entries!$L9:$L9,1,FALSE))),"S",""))</f>
        <v/>
      </c>
      <c r="CE48" t="str">
        <f>IF(NOT(ISERROR(HLOOKUP(Standings!CE$3,Entries!$C9:$K9,1,FALSE))),"x",IF(NOT(ISERROR(HLOOKUP(Standings!CE$3,Entries!$L9:$L9,1,FALSE))),"S",""))</f>
        <v/>
      </c>
      <c r="CF48" t="str">
        <f>IF(NOT(ISERROR(HLOOKUP(Standings!CF$3,Entries!$C9:$K9,1,FALSE))),"x",IF(NOT(ISERROR(HLOOKUP(Standings!CF$3,Entries!$L9:$L9,1,FALSE))),"S",""))</f>
        <v/>
      </c>
      <c r="CG48" t="str">
        <f>IF(NOT(ISERROR(HLOOKUP(Standings!CG$3,Entries!$C9:$K9,1,FALSE))),"x",IF(NOT(ISERROR(HLOOKUP(Standings!CG$3,Entries!$L9:$L9,1,FALSE))),"S",""))</f>
        <v/>
      </c>
      <c r="CH48" t="str">
        <f>IF(NOT(ISERROR(HLOOKUP(Standings!CH$3,Entries!$C9:$K9,1,FALSE))),"x",IF(NOT(ISERROR(HLOOKUP(Standings!CH$3,Entries!$L9:$L9,1,FALSE))),"S",""))</f>
        <v/>
      </c>
      <c r="CI48" t="str">
        <f>IF(NOT(ISERROR(HLOOKUP(Standings!CI$3,Entries!$C9:$K9,1,FALSE))),"x",IF(NOT(ISERROR(HLOOKUP(Standings!CI$3,Entries!$L9:$L9,1,FALSE))),"S",""))</f>
        <v/>
      </c>
      <c r="CJ48" t="str">
        <f>IF(NOT(ISERROR(HLOOKUP(Standings!CJ$3,Entries!$C9:$K9,1,FALSE))),"x",IF(NOT(ISERROR(HLOOKUP(Standings!CJ$3,Entries!$L9:$L9,1,FALSE))),"S",""))</f>
        <v/>
      </c>
      <c r="CK48" t="str">
        <f>IF(NOT(ISERROR(HLOOKUP(Standings!CK$3,Entries!$C9:$K9,1,FALSE))),"x",IF(NOT(ISERROR(HLOOKUP(Standings!CK$3,Entries!$L9:$L9,1,FALSE))),"S",""))</f>
        <v/>
      </c>
      <c r="CL48" t="str">
        <f>IF(NOT(ISERROR(HLOOKUP(Standings!CL$3,Entries!$C9:$K9,1,FALSE))),"x",IF(NOT(ISERROR(HLOOKUP(Standings!CL$3,Entries!$L9:$L9,1,FALSE))),"S",""))</f>
        <v/>
      </c>
      <c r="CM48" t="str">
        <f>IF(NOT(ISERROR(HLOOKUP(Standings!CM$3,Entries!$C9:$K9,1,FALSE))),"x",IF(NOT(ISERROR(HLOOKUP(Standings!CM$3,Entries!$L9:$L9,1,FALSE))),"S",""))</f>
        <v/>
      </c>
      <c r="CN48" t="str">
        <f>IF(NOT(ISERROR(HLOOKUP(Standings!CN$3,Entries!$C9:$K9,1,FALSE))),"x",IF(NOT(ISERROR(HLOOKUP(Standings!CN$3,Entries!$L9:$L9,1,FALSE))),"S",""))</f>
        <v/>
      </c>
      <c r="CO48" t="str">
        <f>IF(NOT(ISERROR(HLOOKUP(Standings!CO$3,Entries!$C9:$K9,1,FALSE))),"x",IF(NOT(ISERROR(HLOOKUP(Standings!CO$3,Entries!$L9:$L9,1,FALSE))),"S",""))</f>
        <v/>
      </c>
      <c r="CP48" t="str">
        <f>IF(NOT(ISERROR(HLOOKUP(Standings!CP$3,Entries!$C9:$K9,1,FALSE))),"x",IF(NOT(ISERROR(HLOOKUP(Standings!CP$3,Entries!$L9:$L9,1,FALSE))),"S",""))</f>
        <v/>
      </c>
      <c r="CQ48" t="str">
        <f>IF(NOT(ISERROR(HLOOKUP(Standings!CQ$3,Entries!$C9:$K9,1,FALSE))),"x",IF(NOT(ISERROR(HLOOKUP(Standings!CQ$3,Entries!$L9:$L9,1,FALSE))),"S",""))</f>
        <v>x</v>
      </c>
      <c r="CR48" t="str">
        <f>IF(NOT(ISERROR(HLOOKUP(Standings!CR$3,Entries!$C9:$K9,1,FALSE))),"x",IF(NOT(ISERROR(HLOOKUP(Standings!CR$3,Entries!$L9:$L9,1,FALSE))),"S",""))</f>
        <v/>
      </c>
      <c r="CS48" t="str">
        <f>IF(NOT(ISERROR(HLOOKUP(Standings!CS$3,Entries!$C9:$K9,1,FALSE))),"x",IF(NOT(ISERROR(HLOOKUP(Standings!CS$3,Entries!$L9:$L9,1,FALSE))),"S",""))</f>
        <v/>
      </c>
      <c r="CT48" t="str">
        <f>IF(NOT(ISERROR(HLOOKUP(Standings!CT$3,Entries!$C9:$K9,1,FALSE))),"x",IF(NOT(ISERROR(HLOOKUP(Standings!CT$3,Entries!$L9:$L9,1,FALSE))),"S",""))</f>
        <v/>
      </c>
      <c r="CU48" t="str">
        <f>IF(NOT(ISERROR(HLOOKUP(Standings!CU$3,Entries!$C9:$K9,1,FALSE))),"x",IF(NOT(ISERROR(HLOOKUP(Standings!CU$3,Entries!$L9:$L9,1,FALSE))),"S",""))</f>
        <v>x</v>
      </c>
      <c r="CV48" t="str">
        <f>IF(NOT(ISERROR(HLOOKUP(Standings!CV$3,Entries!$C9:$K9,1,FALSE))),"x",IF(NOT(ISERROR(HLOOKUP(Standings!CV$3,Entries!$L9:$L9,1,FALSE))),"S",""))</f>
        <v/>
      </c>
      <c r="CW48" t="str">
        <f>IF(NOT(ISERROR(HLOOKUP(Standings!CW$3,Entries!$C9:$K9,1,FALSE))),"x",IF(NOT(ISERROR(HLOOKUP(Standings!CW$3,Entries!$L9:$L9,1,FALSE))),"S",""))</f>
        <v/>
      </c>
      <c r="CX48" t="str">
        <f>IF(NOT(ISERROR(HLOOKUP(Standings!CX$3,Entries!$C9:$K9,1,FALSE))),"x",IF(NOT(ISERROR(HLOOKUP(Standings!CX$3,Entries!$L9:$L9,1,FALSE))),"S",""))</f>
        <v/>
      </c>
      <c r="CY48" t="str">
        <f>IF(NOT(ISERROR(HLOOKUP(Standings!CY$3,Entries!$C9:$K9,1,FALSE))),"x",IF(NOT(ISERROR(HLOOKUP(Standings!CY$3,Entries!$L9:$L9,1,FALSE))),"S",""))</f>
        <v/>
      </c>
      <c r="CZ48" t="str">
        <f>IF(NOT(ISERROR(HLOOKUP(Standings!CZ$3,Entries!$C9:$K9,1,FALSE))),"x",IF(NOT(ISERROR(HLOOKUP(Standings!CZ$3,Entries!$L9:$L9,1,FALSE))),"S",""))</f>
        <v/>
      </c>
      <c r="DA48" t="str">
        <f>IF(NOT(ISERROR(HLOOKUP(Standings!DA$3,Entries!$C9:$K9,1,FALSE))),"x",IF(NOT(ISERROR(HLOOKUP(Standings!DA$3,Entries!$L9:$L9,1,FALSE))),"S",""))</f>
        <v/>
      </c>
      <c r="DB48" t="str">
        <f>IF(NOT(ISERROR(HLOOKUP(Standings!DB$3,Entries!$C9:$K9,1,FALSE))),"x",IF(NOT(ISERROR(HLOOKUP(Standings!DB$3,Entries!$L9:$L9,1,FALSE))),"S",""))</f>
        <v>x</v>
      </c>
    </row>
    <row r="49" spans="1:106" x14ac:dyDescent="0.25">
      <c r="A49" s="18"/>
      <c r="B49">
        <v>10</v>
      </c>
      <c r="C49" t="str">
        <f>Entries!B10</f>
        <v>Manson3HeartofHearts</v>
      </c>
      <c r="D49" s="4">
        <f>IF(C49="","",RANK(E49,$E$10:$E$111))</f>
        <v>55</v>
      </c>
      <c r="E49" s="31">
        <f t="shared" si="1"/>
        <v>3</v>
      </c>
      <c r="F49" s="40" t="str">
        <f t="shared" si="49"/>
        <v/>
      </c>
      <c r="G49" s="41" t="str">
        <f t="shared" si="2"/>
        <v/>
      </c>
      <c r="H49" s="41" t="str">
        <f t="shared" si="3"/>
        <v/>
      </c>
      <c r="I49" s="42">
        <f t="shared" si="4"/>
        <v>0</v>
      </c>
      <c r="J49" s="40" t="str">
        <f t="shared" si="5"/>
        <v/>
      </c>
      <c r="K49" s="41" t="str">
        <f t="shared" si="6"/>
        <v/>
      </c>
      <c r="L49" s="41" t="str">
        <f t="shared" si="7"/>
        <v/>
      </c>
      <c r="M49" s="42" t="str">
        <f t="shared" si="8"/>
        <v/>
      </c>
      <c r="N49" s="43" t="str">
        <f t="shared" si="9"/>
        <v/>
      </c>
      <c r="O49" s="41" t="str">
        <f t="shared" si="10"/>
        <v/>
      </c>
      <c r="P49" s="41" t="str">
        <f t="shared" si="11"/>
        <v/>
      </c>
      <c r="Q49" s="42" t="str">
        <f t="shared" si="12"/>
        <v/>
      </c>
      <c r="R49" s="40">
        <f t="shared" si="13"/>
        <v>2</v>
      </c>
      <c r="S49" s="41" t="str">
        <f t="shared" si="14"/>
        <v/>
      </c>
      <c r="T49" s="43" t="str">
        <f t="shared" si="15"/>
        <v/>
      </c>
      <c r="U49" s="42" t="str">
        <f t="shared" si="16"/>
        <v/>
      </c>
      <c r="V49" s="40" t="str">
        <f t="shared" si="17"/>
        <v/>
      </c>
      <c r="W49" s="41" t="str">
        <f t="shared" si="18"/>
        <v/>
      </c>
      <c r="X49" s="41" t="str">
        <f t="shared" si="19"/>
        <v/>
      </c>
      <c r="Y49" s="42" t="str">
        <f t="shared" si="20"/>
        <v/>
      </c>
      <c r="Z49" s="40" t="str">
        <f t="shared" si="21"/>
        <v/>
      </c>
      <c r="AA49" s="41">
        <f t="shared" si="22"/>
        <v>1</v>
      </c>
      <c r="AB49" s="41" t="str">
        <f t="shared" si="23"/>
        <v/>
      </c>
      <c r="AC49" s="42" t="str">
        <f t="shared" si="24"/>
        <v/>
      </c>
      <c r="AD49" s="40" t="str">
        <f t="shared" si="25"/>
        <v/>
      </c>
      <c r="AE49" s="41" t="str">
        <f t="shared" si="26"/>
        <v/>
      </c>
      <c r="AF49" s="41" t="str">
        <f t="shared" si="27"/>
        <v/>
      </c>
      <c r="AG49" s="42" t="str">
        <f t="shared" si="28"/>
        <v/>
      </c>
      <c r="AH49" s="40" t="str">
        <f t="shared" si="29"/>
        <v/>
      </c>
      <c r="AI49" s="41" t="str">
        <f t="shared" si="30"/>
        <v/>
      </c>
      <c r="AJ49" s="41" t="str">
        <f t="shared" si="31"/>
        <v/>
      </c>
      <c r="AK49" s="42" t="str">
        <f t="shared" si="32"/>
        <v/>
      </c>
      <c r="AL49" s="40">
        <f t="shared" si="33"/>
        <v>0</v>
      </c>
      <c r="AM49" s="41">
        <f t="shared" si="34"/>
        <v>0</v>
      </c>
      <c r="AN49" s="41" t="str">
        <f t="shared" si="35"/>
        <v/>
      </c>
      <c r="AO49" s="42" t="str">
        <f t="shared" si="36"/>
        <v/>
      </c>
      <c r="AP49" s="40" t="str">
        <f t="shared" si="37"/>
        <v/>
      </c>
      <c r="AQ49" s="41" t="str">
        <f t="shared" si="38"/>
        <v/>
      </c>
      <c r="AR49" s="41" t="str">
        <f t="shared" si="39"/>
        <v/>
      </c>
      <c r="AS49" s="42" t="str">
        <f t="shared" si="40"/>
        <v/>
      </c>
      <c r="AT49" s="40" t="str">
        <f t="shared" si="41"/>
        <v/>
      </c>
      <c r="AU49" s="41" t="str">
        <f t="shared" si="42"/>
        <v/>
      </c>
      <c r="AV49" s="41" t="str">
        <f t="shared" si="43"/>
        <v/>
      </c>
      <c r="AW49" s="42" t="str">
        <f t="shared" si="44"/>
        <v/>
      </c>
      <c r="AX49" s="40">
        <f t="shared" si="45"/>
        <v>-1.0000000000000001E-5</v>
      </c>
      <c r="AY49" s="41">
        <f t="shared" si="46"/>
        <v>0</v>
      </c>
      <c r="AZ49" s="41">
        <f t="shared" si="47"/>
        <v>0</v>
      </c>
      <c r="BA49" s="42" t="str">
        <f t="shared" si="48"/>
        <v/>
      </c>
      <c r="BB49" s="37" t="s">
        <v>106</v>
      </c>
      <c r="BC49" s="21"/>
      <c r="BD49" s="21"/>
      <c r="BE49" s="5"/>
      <c r="BG49" t="str">
        <f>IF(NOT(ISERROR(HLOOKUP(Standings!BG$3,Entries!$C10:$K10,1,FALSE))),"x",IF(NOT(ISERROR(HLOOKUP(Standings!BG$3,Entries!$L10:$L10,1,FALSE))),"S",""))</f>
        <v/>
      </c>
      <c r="BH49" t="str">
        <f>IF(NOT(ISERROR(HLOOKUP(Standings!BH$3,Entries!$C10:$K10,1,FALSE))),"x",IF(NOT(ISERROR(HLOOKUP(Standings!BH$3,Entries!$L10:$L10,1,FALSE))),"S",""))</f>
        <v/>
      </c>
      <c r="BI49" t="str">
        <f>IF(NOT(ISERROR(HLOOKUP(Standings!BI$3,Entries!$C10:$K10,1,FALSE))),"x",IF(NOT(ISERROR(HLOOKUP(Standings!BI$3,Entries!$L10:$L10,1,FALSE))),"S",""))</f>
        <v/>
      </c>
      <c r="BJ49" t="str">
        <f>IF(NOT(ISERROR(HLOOKUP(Standings!BJ$3,Entries!$C10:$K10,1,FALSE))),"x",IF(NOT(ISERROR(HLOOKUP(Standings!BJ$3,Entries!$L10:$L10,1,FALSE))),"S",""))</f>
        <v>x</v>
      </c>
      <c r="BK49" t="str">
        <f>IF(NOT(ISERROR(HLOOKUP(Standings!BK$3,Entries!$C10:$K10,1,FALSE))),"x",IF(NOT(ISERROR(HLOOKUP(Standings!BK$3,Entries!$L10:$L10,1,FALSE))),"S",""))</f>
        <v/>
      </c>
      <c r="BL49" t="str">
        <f>IF(NOT(ISERROR(HLOOKUP(Standings!BL$3,Entries!$C10:$K10,1,FALSE))),"x",IF(NOT(ISERROR(HLOOKUP(Standings!BL$3,Entries!$L10:$L10,1,FALSE))),"S",""))</f>
        <v/>
      </c>
      <c r="BM49" t="str">
        <f>IF(NOT(ISERROR(HLOOKUP(Standings!BM$3,Entries!$C10:$K10,1,FALSE))),"x",IF(NOT(ISERROR(HLOOKUP(Standings!BM$3,Entries!$L10:$L10,1,FALSE))),"S",""))</f>
        <v/>
      </c>
      <c r="BN49" t="str">
        <f>IF(NOT(ISERROR(HLOOKUP(Standings!BN$3,Entries!$C10:$K10,1,FALSE))),"x",IF(NOT(ISERROR(HLOOKUP(Standings!BN$3,Entries!$L10:$L10,1,FALSE))),"S",""))</f>
        <v/>
      </c>
      <c r="BO49" t="str">
        <f>IF(NOT(ISERROR(HLOOKUP(Standings!BO$3,Entries!$C10:$K10,1,FALSE))),"x",IF(NOT(ISERROR(HLOOKUP(Standings!BO$3,Entries!$L10:$L10,1,FALSE))),"S",""))</f>
        <v/>
      </c>
      <c r="BP49" t="str">
        <f>IF(NOT(ISERROR(HLOOKUP(Standings!BP$3,Entries!$C10:$K10,1,FALSE))),"x",IF(NOT(ISERROR(HLOOKUP(Standings!BP$3,Entries!$L10:$L10,1,FALSE))),"S",""))</f>
        <v/>
      </c>
      <c r="BQ49" t="str">
        <f>IF(NOT(ISERROR(HLOOKUP(Standings!BQ$3,Entries!$C10:$K10,1,FALSE))),"x",IF(NOT(ISERROR(HLOOKUP(Standings!BQ$3,Entries!$L10:$L10,1,FALSE))),"S",""))</f>
        <v/>
      </c>
      <c r="BR49" t="str">
        <f>IF(NOT(ISERROR(HLOOKUP(Standings!BR$3,Entries!$C10:$K10,1,FALSE))),"x",IF(NOT(ISERROR(HLOOKUP(Standings!BR$3,Entries!$L10:$L10,1,FALSE))),"S",""))</f>
        <v/>
      </c>
      <c r="BS49" t="str">
        <f>IF(NOT(ISERROR(HLOOKUP(Standings!BS$3,Entries!$C10:$K10,1,FALSE))),"x",IF(NOT(ISERROR(HLOOKUP(Standings!BS$3,Entries!$L10:$L10,1,FALSE))),"S",""))</f>
        <v>x</v>
      </c>
      <c r="BT49" t="str">
        <f>IF(NOT(ISERROR(HLOOKUP(Standings!BT$3,Entries!$C10:$K10,1,FALSE))),"x",IF(NOT(ISERROR(HLOOKUP(Standings!BT$3,Entries!$L10:$L10,1,FALSE))),"S",""))</f>
        <v/>
      </c>
      <c r="BU49" t="str">
        <f>IF(NOT(ISERROR(HLOOKUP(Standings!BU$3,Entries!$C10:$K10,1,FALSE))),"x",IF(NOT(ISERROR(HLOOKUP(Standings!BU$3,Entries!$L10:$L10,1,FALSE))),"S",""))</f>
        <v/>
      </c>
      <c r="BV49" t="str">
        <f>IF(NOT(ISERROR(HLOOKUP(Standings!BV$3,Entries!$C10:$K10,1,FALSE))),"x",IF(NOT(ISERROR(HLOOKUP(Standings!BV$3,Entries!$L10:$L10,1,FALSE))),"S",""))</f>
        <v/>
      </c>
      <c r="BW49" t="str">
        <f>IF(NOT(ISERROR(HLOOKUP(Standings!BW$3,Entries!$C10:$K10,1,FALSE))),"x",IF(NOT(ISERROR(HLOOKUP(Standings!BW$3,Entries!$L10:$L10,1,FALSE))),"S",""))</f>
        <v/>
      </c>
      <c r="BX49" t="str">
        <f>IF(NOT(ISERROR(HLOOKUP(Standings!BX$3,Entries!$C10:$K10,1,FALSE))),"x",IF(NOT(ISERROR(HLOOKUP(Standings!BX$3,Entries!$L10:$L10,1,FALSE))),"S",""))</f>
        <v/>
      </c>
      <c r="BY49" t="str">
        <f>IF(NOT(ISERROR(HLOOKUP(Standings!BY$3,Entries!$C10:$K10,1,FALSE))),"x",IF(NOT(ISERROR(HLOOKUP(Standings!BY$3,Entries!$L10:$L10,1,FALSE))),"S",""))</f>
        <v/>
      </c>
      <c r="BZ49" t="str">
        <f>IF(NOT(ISERROR(HLOOKUP(Standings!BZ$3,Entries!$C10:$K10,1,FALSE))),"x",IF(NOT(ISERROR(HLOOKUP(Standings!BZ$3,Entries!$L10:$L10,1,FALSE))),"S",""))</f>
        <v/>
      </c>
      <c r="CA49" t="str">
        <f>IF(NOT(ISERROR(HLOOKUP(Standings!CA$3,Entries!$C10:$K10,1,FALSE))),"x",IF(NOT(ISERROR(HLOOKUP(Standings!CA$3,Entries!$L10:$L10,1,FALSE))),"S",""))</f>
        <v/>
      </c>
      <c r="CB49" t="str">
        <f>IF(NOT(ISERROR(HLOOKUP(Standings!CB$3,Entries!$C10:$K10,1,FALSE))),"x",IF(NOT(ISERROR(HLOOKUP(Standings!CB$3,Entries!$L10:$L10,1,FALSE))),"S",""))</f>
        <v>x</v>
      </c>
      <c r="CC49" t="str">
        <f>IF(NOT(ISERROR(HLOOKUP(Standings!CC$3,Entries!$C10:$K10,1,FALSE))),"x",IF(NOT(ISERROR(HLOOKUP(Standings!CC$3,Entries!$L10:$L10,1,FALSE))),"S",""))</f>
        <v/>
      </c>
      <c r="CD49" t="str">
        <f>IF(NOT(ISERROR(HLOOKUP(Standings!CD$3,Entries!$C10:$K10,1,FALSE))),"x",IF(NOT(ISERROR(HLOOKUP(Standings!CD$3,Entries!$L10:$L10,1,FALSE))),"S",""))</f>
        <v/>
      </c>
      <c r="CE49" t="str">
        <f>IF(NOT(ISERROR(HLOOKUP(Standings!CE$3,Entries!$C10:$K10,1,FALSE))),"x",IF(NOT(ISERROR(HLOOKUP(Standings!CE$3,Entries!$L10:$L10,1,FALSE))),"S",""))</f>
        <v/>
      </c>
      <c r="CF49" t="str">
        <f>IF(NOT(ISERROR(HLOOKUP(Standings!CF$3,Entries!$C10:$K10,1,FALSE))),"x",IF(NOT(ISERROR(HLOOKUP(Standings!CF$3,Entries!$L10:$L10,1,FALSE))),"S",""))</f>
        <v/>
      </c>
      <c r="CG49" t="str">
        <f>IF(NOT(ISERROR(HLOOKUP(Standings!CG$3,Entries!$C10:$K10,1,FALSE))),"x",IF(NOT(ISERROR(HLOOKUP(Standings!CG$3,Entries!$L10:$L10,1,FALSE))),"S",""))</f>
        <v/>
      </c>
      <c r="CH49" t="str">
        <f>IF(NOT(ISERROR(HLOOKUP(Standings!CH$3,Entries!$C10:$K10,1,FALSE))),"x",IF(NOT(ISERROR(HLOOKUP(Standings!CH$3,Entries!$L10:$L10,1,FALSE))),"S",""))</f>
        <v/>
      </c>
      <c r="CI49" t="str">
        <f>IF(NOT(ISERROR(HLOOKUP(Standings!CI$3,Entries!$C10:$K10,1,FALSE))),"x",IF(NOT(ISERROR(HLOOKUP(Standings!CI$3,Entries!$L10:$L10,1,FALSE))),"S",""))</f>
        <v/>
      </c>
      <c r="CJ49" t="str">
        <f>IF(NOT(ISERROR(HLOOKUP(Standings!CJ$3,Entries!$C10:$K10,1,FALSE))),"x",IF(NOT(ISERROR(HLOOKUP(Standings!CJ$3,Entries!$L10:$L10,1,FALSE))),"S",""))</f>
        <v/>
      </c>
      <c r="CK49" t="str">
        <f>IF(NOT(ISERROR(HLOOKUP(Standings!CK$3,Entries!$C10:$K10,1,FALSE))),"x",IF(NOT(ISERROR(HLOOKUP(Standings!CK$3,Entries!$L10:$L10,1,FALSE))),"S",""))</f>
        <v/>
      </c>
      <c r="CL49" t="str">
        <f>IF(NOT(ISERROR(HLOOKUP(Standings!CL$3,Entries!$C10:$K10,1,FALSE))),"x",IF(NOT(ISERROR(HLOOKUP(Standings!CL$3,Entries!$L10:$L10,1,FALSE))),"S",""))</f>
        <v/>
      </c>
      <c r="CM49" t="str">
        <f>IF(NOT(ISERROR(HLOOKUP(Standings!CM$3,Entries!$C10:$K10,1,FALSE))),"x",IF(NOT(ISERROR(HLOOKUP(Standings!CM$3,Entries!$L10:$L10,1,FALSE))),"S",""))</f>
        <v>x</v>
      </c>
      <c r="CN49" t="str">
        <f>IF(NOT(ISERROR(HLOOKUP(Standings!CN$3,Entries!$C10:$K10,1,FALSE))),"x",IF(NOT(ISERROR(HLOOKUP(Standings!CN$3,Entries!$L10:$L10,1,FALSE))),"S",""))</f>
        <v>x</v>
      </c>
      <c r="CO49" t="str">
        <f>IF(NOT(ISERROR(HLOOKUP(Standings!CO$3,Entries!$C10:$K10,1,FALSE))),"x",IF(NOT(ISERROR(HLOOKUP(Standings!CO$3,Entries!$L10:$L10,1,FALSE))),"S",""))</f>
        <v/>
      </c>
      <c r="CP49" t="str">
        <f>IF(NOT(ISERROR(HLOOKUP(Standings!CP$3,Entries!$C10:$K10,1,FALSE))),"x",IF(NOT(ISERROR(HLOOKUP(Standings!CP$3,Entries!$L10:$L10,1,FALSE))),"S",""))</f>
        <v/>
      </c>
      <c r="CQ49" t="str">
        <f>IF(NOT(ISERROR(HLOOKUP(Standings!CQ$3,Entries!$C10:$K10,1,FALSE))),"x",IF(NOT(ISERROR(HLOOKUP(Standings!CQ$3,Entries!$L10:$L10,1,FALSE))),"S",""))</f>
        <v/>
      </c>
      <c r="CR49" t="str">
        <f>IF(NOT(ISERROR(HLOOKUP(Standings!CR$3,Entries!$C10:$K10,1,FALSE))),"x",IF(NOT(ISERROR(HLOOKUP(Standings!CR$3,Entries!$L10:$L10,1,FALSE))),"S",""))</f>
        <v/>
      </c>
      <c r="CS49" t="str">
        <f>IF(NOT(ISERROR(HLOOKUP(Standings!CS$3,Entries!$C10:$K10,1,FALSE))),"x",IF(NOT(ISERROR(HLOOKUP(Standings!CS$3,Entries!$L10:$L10,1,FALSE))),"S",""))</f>
        <v/>
      </c>
      <c r="CT49" t="str">
        <f>IF(NOT(ISERROR(HLOOKUP(Standings!CT$3,Entries!$C10:$K10,1,FALSE))),"x",IF(NOT(ISERROR(HLOOKUP(Standings!CT$3,Entries!$L10:$L10,1,FALSE))),"S",""))</f>
        <v/>
      </c>
      <c r="CU49" t="str">
        <f>IF(NOT(ISERROR(HLOOKUP(Standings!CU$3,Entries!$C10:$K10,1,FALSE))),"x",IF(NOT(ISERROR(HLOOKUP(Standings!CU$3,Entries!$L10:$L10,1,FALSE))),"S",""))</f>
        <v/>
      </c>
      <c r="CV49" t="str">
        <f>IF(NOT(ISERROR(HLOOKUP(Standings!CV$3,Entries!$C10:$K10,1,FALSE))),"x",IF(NOT(ISERROR(HLOOKUP(Standings!CV$3,Entries!$L10:$L10,1,FALSE))),"S",""))</f>
        <v/>
      </c>
      <c r="CW49" t="str">
        <f>IF(NOT(ISERROR(HLOOKUP(Standings!CW$3,Entries!$C10:$K10,1,FALSE))),"x",IF(NOT(ISERROR(HLOOKUP(Standings!CW$3,Entries!$L10:$L10,1,FALSE))),"S",""))</f>
        <v/>
      </c>
      <c r="CX49" t="str">
        <f>IF(NOT(ISERROR(HLOOKUP(Standings!CX$3,Entries!$C10:$K10,1,FALSE))),"x",IF(NOT(ISERROR(HLOOKUP(Standings!CX$3,Entries!$L10:$L10,1,FALSE))),"S",""))</f>
        <v/>
      </c>
      <c r="CY49" t="str">
        <f>IF(NOT(ISERROR(HLOOKUP(Standings!CY$3,Entries!$C10:$K10,1,FALSE))),"x",IF(NOT(ISERROR(HLOOKUP(Standings!CY$3,Entries!$L10:$L10,1,FALSE))),"S",""))</f>
        <v>S</v>
      </c>
      <c r="CZ49" t="str">
        <f>IF(NOT(ISERROR(HLOOKUP(Standings!CZ$3,Entries!$C10:$K10,1,FALSE))),"x",IF(NOT(ISERROR(HLOOKUP(Standings!CZ$3,Entries!$L10:$L10,1,FALSE))),"S",""))</f>
        <v>x</v>
      </c>
      <c r="DA49" t="str">
        <f>IF(NOT(ISERROR(HLOOKUP(Standings!DA$3,Entries!$C10:$K10,1,FALSE))),"x",IF(NOT(ISERROR(HLOOKUP(Standings!DA$3,Entries!$L10:$L10,1,FALSE))),"S",""))</f>
        <v>x</v>
      </c>
      <c r="DB49" t="str">
        <f>IF(NOT(ISERROR(HLOOKUP(Standings!DB$3,Entries!$C10:$K10,1,FALSE))),"x",IF(NOT(ISERROR(HLOOKUP(Standings!DB$3,Entries!$L10:$L10,1,FALSE))),"S",""))</f>
        <v/>
      </c>
    </row>
    <row r="50" spans="1:106" x14ac:dyDescent="0.25">
      <c r="A50" s="18"/>
      <c r="B50">
        <v>29</v>
      </c>
      <c r="C50" t="str">
        <f>Entries!B15</f>
        <v>AbbieSchaeferWorldCupPicks</v>
      </c>
      <c r="D50" s="4">
        <f>IF(C50="","",RANK(E50,$E$10:$E$111))</f>
        <v>55</v>
      </c>
      <c r="E50" s="31">
        <f t="shared" si="1"/>
        <v>3</v>
      </c>
      <c r="F50" s="40" t="str">
        <f t="shared" si="49"/>
        <v/>
      </c>
      <c r="G50" s="41" t="str">
        <f t="shared" si="2"/>
        <v/>
      </c>
      <c r="H50" s="41" t="str">
        <f t="shared" si="3"/>
        <v/>
      </c>
      <c r="I50" s="42" t="str">
        <f t="shared" si="4"/>
        <v/>
      </c>
      <c r="J50" s="40" t="str">
        <f t="shared" si="5"/>
        <v/>
      </c>
      <c r="K50" s="41" t="str">
        <f t="shared" si="6"/>
        <v/>
      </c>
      <c r="L50" s="41" t="str">
        <f t="shared" si="7"/>
        <v/>
      </c>
      <c r="M50" s="42" t="str">
        <f t="shared" si="8"/>
        <v/>
      </c>
      <c r="N50" s="43" t="str">
        <f t="shared" si="9"/>
        <v/>
      </c>
      <c r="O50" s="41" t="str">
        <f t="shared" si="10"/>
        <v/>
      </c>
      <c r="P50" s="41" t="str">
        <f t="shared" si="11"/>
        <v/>
      </c>
      <c r="Q50" s="42" t="str">
        <f t="shared" si="12"/>
        <v/>
      </c>
      <c r="R50" s="40" t="str">
        <f t="shared" si="13"/>
        <v/>
      </c>
      <c r="S50" s="41" t="str">
        <f t="shared" si="14"/>
        <v/>
      </c>
      <c r="T50" s="43" t="str">
        <f t="shared" si="15"/>
        <v/>
      </c>
      <c r="U50" s="42" t="str">
        <f t="shared" si="16"/>
        <v/>
      </c>
      <c r="V50" s="40">
        <f t="shared" si="17"/>
        <v>2</v>
      </c>
      <c r="W50" s="41" t="str">
        <f t="shared" si="18"/>
        <v/>
      </c>
      <c r="X50" s="41" t="str">
        <f t="shared" si="19"/>
        <v/>
      </c>
      <c r="Y50" s="42" t="str">
        <f t="shared" si="20"/>
        <v/>
      </c>
      <c r="Z50" s="40" t="str">
        <f t="shared" si="21"/>
        <v/>
      </c>
      <c r="AA50" s="41" t="str">
        <f t="shared" si="22"/>
        <v/>
      </c>
      <c r="AB50" s="41" t="str">
        <f t="shared" si="23"/>
        <v/>
      </c>
      <c r="AC50" s="42" t="str">
        <f t="shared" si="24"/>
        <v/>
      </c>
      <c r="AD50" s="40">
        <f t="shared" si="25"/>
        <v>1</v>
      </c>
      <c r="AE50" s="41" t="str">
        <f t="shared" si="26"/>
        <v/>
      </c>
      <c r="AF50" s="41" t="str">
        <f t="shared" si="27"/>
        <v/>
      </c>
      <c r="AG50" s="42" t="str">
        <f t="shared" si="28"/>
        <v/>
      </c>
      <c r="AH50" s="40" t="str">
        <f t="shared" si="29"/>
        <v/>
      </c>
      <c r="AI50" s="41" t="str">
        <f t="shared" si="30"/>
        <v/>
      </c>
      <c r="AJ50" s="41" t="str">
        <f t="shared" si="31"/>
        <v/>
      </c>
      <c r="AK50" s="42" t="str">
        <f t="shared" si="32"/>
        <v/>
      </c>
      <c r="AL50" s="40">
        <f t="shared" si="33"/>
        <v>0</v>
      </c>
      <c r="AM50" s="41" t="str">
        <f t="shared" si="34"/>
        <v/>
      </c>
      <c r="AN50" s="41" t="str">
        <f t="shared" si="35"/>
        <v/>
      </c>
      <c r="AO50" s="42" t="str">
        <f t="shared" si="36"/>
        <v/>
      </c>
      <c r="AP50" s="40">
        <f t="shared" si="37"/>
        <v>-1.0000000000000001E-5</v>
      </c>
      <c r="AQ50" s="41" t="str">
        <f t="shared" si="38"/>
        <v/>
      </c>
      <c r="AR50" s="41" t="str">
        <f t="shared" si="39"/>
        <v/>
      </c>
      <c r="AS50" s="42" t="str">
        <f t="shared" si="40"/>
        <v/>
      </c>
      <c r="AT50" s="40" t="str">
        <f t="shared" si="41"/>
        <v/>
      </c>
      <c r="AU50" s="41" t="str">
        <f t="shared" si="42"/>
        <v/>
      </c>
      <c r="AV50" s="41" t="str">
        <f t="shared" si="43"/>
        <v/>
      </c>
      <c r="AW50" s="42" t="str">
        <f t="shared" si="44"/>
        <v/>
      </c>
      <c r="AX50" s="40" t="str">
        <f t="shared" si="45"/>
        <v/>
      </c>
      <c r="AY50" s="41" t="str">
        <f t="shared" si="46"/>
        <v/>
      </c>
      <c r="AZ50" s="41" t="str">
        <f t="shared" si="47"/>
        <v/>
      </c>
      <c r="BA50" s="42" t="str">
        <f t="shared" si="48"/>
        <v/>
      </c>
      <c r="BB50" s="37" t="s">
        <v>106</v>
      </c>
      <c r="BD50" s="21"/>
      <c r="BG50" t="str">
        <f>IF(NOT(ISERROR(HLOOKUP(Standings!BG$3,Entries!$C15:$K15,1,FALSE))),"x",IF(NOT(ISERROR(HLOOKUP(Standings!BG$3,Entries!$L15:$L15,1,FALSE))),"S",""))</f>
        <v/>
      </c>
      <c r="BH50" t="str">
        <f>IF(NOT(ISERROR(HLOOKUP(Standings!BH$3,Entries!$C15:$K15,1,FALSE))),"x",IF(NOT(ISERROR(HLOOKUP(Standings!BH$3,Entries!$L15:$L15,1,FALSE))),"S",""))</f>
        <v/>
      </c>
      <c r="BI50" t="str">
        <f>IF(NOT(ISERROR(HLOOKUP(Standings!BI$3,Entries!$C15:$K15,1,FALSE))),"x",IF(NOT(ISERROR(HLOOKUP(Standings!BI$3,Entries!$L15:$L15,1,FALSE))),"S",""))</f>
        <v/>
      </c>
      <c r="BJ50" t="str">
        <f>IF(NOT(ISERROR(HLOOKUP(Standings!BJ$3,Entries!$C15:$K15,1,FALSE))),"x",IF(NOT(ISERROR(HLOOKUP(Standings!BJ$3,Entries!$L15:$L15,1,FALSE))),"S",""))</f>
        <v/>
      </c>
      <c r="BK50" t="str">
        <f>IF(NOT(ISERROR(HLOOKUP(Standings!BK$3,Entries!$C15:$K15,1,FALSE))),"x",IF(NOT(ISERROR(HLOOKUP(Standings!BK$3,Entries!$L15:$L15,1,FALSE))),"S",""))</f>
        <v/>
      </c>
      <c r="BL50" t="str">
        <f>IF(NOT(ISERROR(HLOOKUP(Standings!BL$3,Entries!$C15:$K15,1,FALSE))),"x",IF(NOT(ISERROR(HLOOKUP(Standings!BL$3,Entries!$L15:$L15,1,FALSE))),"S",""))</f>
        <v/>
      </c>
      <c r="BM50" t="str">
        <f>IF(NOT(ISERROR(HLOOKUP(Standings!BM$3,Entries!$C15:$K15,1,FALSE))),"x",IF(NOT(ISERROR(HLOOKUP(Standings!BM$3,Entries!$L15:$L15,1,FALSE))),"S",""))</f>
        <v/>
      </c>
      <c r="BN50" t="str">
        <f>IF(NOT(ISERROR(HLOOKUP(Standings!BN$3,Entries!$C15:$K15,1,FALSE))),"x",IF(NOT(ISERROR(HLOOKUP(Standings!BN$3,Entries!$L15:$L15,1,FALSE))),"S",""))</f>
        <v/>
      </c>
      <c r="BO50" t="str">
        <f>IF(NOT(ISERROR(HLOOKUP(Standings!BO$3,Entries!$C15:$K15,1,FALSE))),"x",IF(NOT(ISERROR(HLOOKUP(Standings!BO$3,Entries!$L15:$L15,1,FALSE))),"S",""))</f>
        <v/>
      </c>
      <c r="BP50" t="str">
        <f>IF(NOT(ISERROR(HLOOKUP(Standings!BP$3,Entries!$C15:$K15,1,FALSE))),"x",IF(NOT(ISERROR(HLOOKUP(Standings!BP$3,Entries!$L15:$L15,1,FALSE))),"S",""))</f>
        <v/>
      </c>
      <c r="BQ50" t="str">
        <f>IF(NOT(ISERROR(HLOOKUP(Standings!BQ$3,Entries!$C15:$K15,1,FALSE))),"x",IF(NOT(ISERROR(HLOOKUP(Standings!BQ$3,Entries!$L15:$L15,1,FALSE))),"S",""))</f>
        <v/>
      </c>
      <c r="BR50" t="str">
        <f>IF(NOT(ISERROR(HLOOKUP(Standings!BR$3,Entries!$C15:$K15,1,FALSE))),"x",IF(NOT(ISERROR(HLOOKUP(Standings!BR$3,Entries!$L15:$L15,1,FALSE))),"S",""))</f>
        <v/>
      </c>
      <c r="BS50" t="str">
        <f>IF(NOT(ISERROR(HLOOKUP(Standings!BS$3,Entries!$C15:$K15,1,FALSE))),"x",IF(NOT(ISERROR(HLOOKUP(Standings!BS$3,Entries!$L15:$L15,1,FALSE))),"S",""))</f>
        <v/>
      </c>
      <c r="BT50" t="str">
        <f>IF(NOT(ISERROR(HLOOKUP(Standings!BT$3,Entries!$C15:$K15,1,FALSE))),"x",IF(NOT(ISERROR(HLOOKUP(Standings!BT$3,Entries!$L15:$L15,1,FALSE))),"S",""))</f>
        <v/>
      </c>
      <c r="BU50" t="str">
        <f>IF(NOT(ISERROR(HLOOKUP(Standings!BU$3,Entries!$C15:$K15,1,FALSE))),"x",IF(NOT(ISERROR(HLOOKUP(Standings!BU$3,Entries!$L15:$L15,1,FALSE))),"S",""))</f>
        <v/>
      </c>
      <c r="BV50" t="str">
        <f>IF(NOT(ISERROR(HLOOKUP(Standings!BV$3,Entries!$C15:$K15,1,FALSE))),"x",IF(NOT(ISERROR(HLOOKUP(Standings!BV$3,Entries!$L15:$L15,1,FALSE))),"S",""))</f>
        <v/>
      </c>
      <c r="BW50" t="str">
        <f>IF(NOT(ISERROR(HLOOKUP(Standings!BW$3,Entries!$C15:$K15,1,FALSE))),"x",IF(NOT(ISERROR(HLOOKUP(Standings!BW$3,Entries!$L15:$L15,1,FALSE))),"S",""))</f>
        <v>x</v>
      </c>
      <c r="BX50" t="str">
        <f>IF(NOT(ISERROR(HLOOKUP(Standings!BX$3,Entries!$C15:$K15,1,FALSE))),"x",IF(NOT(ISERROR(HLOOKUP(Standings!BX$3,Entries!$L15:$L15,1,FALSE))),"S",""))</f>
        <v/>
      </c>
      <c r="BY50" t="str">
        <f>IF(NOT(ISERROR(HLOOKUP(Standings!BY$3,Entries!$C15:$K15,1,FALSE))),"x",IF(NOT(ISERROR(HLOOKUP(Standings!BY$3,Entries!$L15:$L15,1,FALSE))),"S",""))</f>
        <v/>
      </c>
      <c r="BZ50" t="str">
        <f>IF(NOT(ISERROR(HLOOKUP(Standings!BZ$3,Entries!$C15:$K15,1,FALSE))),"x",IF(NOT(ISERROR(HLOOKUP(Standings!BZ$3,Entries!$L15:$L15,1,FALSE))),"S",""))</f>
        <v/>
      </c>
      <c r="CA50" t="str">
        <f>IF(NOT(ISERROR(HLOOKUP(Standings!CA$3,Entries!$C15:$K15,1,FALSE))),"x",IF(NOT(ISERROR(HLOOKUP(Standings!CA$3,Entries!$L15:$L15,1,FALSE))),"S",""))</f>
        <v/>
      </c>
      <c r="CB50" t="str">
        <f>IF(NOT(ISERROR(HLOOKUP(Standings!CB$3,Entries!$C15:$K15,1,FALSE))),"x",IF(NOT(ISERROR(HLOOKUP(Standings!CB$3,Entries!$L15:$L15,1,FALSE))),"S",""))</f>
        <v/>
      </c>
      <c r="CC50" t="str">
        <f>IF(NOT(ISERROR(HLOOKUP(Standings!CC$3,Entries!$C15:$K15,1,FALSE))),"x",IF(NOT(ISERROR(HLOOKUP(Standings!CC$3,Entries!$L15:$L15,1,FALSE))),"S",""))</f>
        <v/>
      </c>
      <c r="CD50" t="str">
        <f>IF(NOT(ISERROR(HLOOKUP(Standings!CD$3,Entries!$C15:$K15,1,FALSE))),"x",IF(NOT(ISERROR(HLOOKUP(Standings!CD$3,Entries!$L15:$L15,1,FALSE))),"S",""))</f>
        <v/>
      </c>
      <c r="CE50" t="str">
        <f>IF(NOT(ISERROR(HLOOKUP(Standings!CE$3,Entries!$C15:$K15,1,FALSE))),"x",IF(NOT(ISERROR(HLOOKUP(Standings!CE$3,Entries!$L15:$L15,1,FALSE))),"S",""))</f>
        <v>x</v>
      </c>
      <c r="CF50" t="str">
        <f>IF(NOT(ISERROR(HLOOKUP(Standings!CF$3,Entries!$C15:$K15,1,FALSE))),"x",IF(NOT(ISERROR(HLOOKUP(Standings!CF$3,Entries!$L15:$L15,1,FALSE))),"S",""))</f>
        <v/>
      </c>
      <c r="CG50" t="str">
        <f>IF(NOT(ISERROR(HLOOKUP(Standings!CG$3,Entries!$C15:$K15,1,FALSE))),"x",IF(NOT(ISERROR(HLOOKUP(Standings!CG$3,Entries!$L15:$L15,1,FALSE))),"S",""))</f>
        <v/>
      </c>
      <c r="CH50" t="str">
        <f>IF(NOT(ISERROR(HLOOKUP(Standings!CH$3,Entries!$C15:$K15,1,FALSE))),"x",IF(NOT(ISERROR(HLOOKUP(Standings!CH$3,Entries!$L15:$L15,1,FALSE))),"S",""))</f>
        <v/>
      </c>
      <c r="CI50" t="str">
        <f>IF(NOT(ISERROR(HLOOKUP(Standings!CI$3,Entries!$C15:$K15,1,FALSE))),"x",IF(NOT(ISERROR(HLOOKUP(Standings!CI$3,Entries!$L15:$L15,1,FALSE))),"S",""))</f>
        <v/>
      </c>
      <c r="CJ50" t="str">
        <f>IF(NOT(ISERROR(HLOOKUP(Standings!CJ$3,Entries!$C15:$K15,1,FALSE))),"x",IF(NOT(ISERROR(HLOOKUP(Standings!CJ$3,Entries!$L15:$L15,1,FALSE))),"S",""))</f>
        <v/>
      </c>
      <c r="CK50" t="str">
        <f>IF(NOT(ISERROR(HLOOKUP(Standings!CK$3,Entries!$C15:$K15,1,FALSE))),"x",IF(NOT(ISERROR(HLOOKUP(Standings!CK$3,Entries!$L15:$L15,1,FALSE))),"S",""))</f>
        <v/>
      </c>
      <c r="CL50" t="str">
        <f>IF(NOT(ISERROR(HLOOKUP(Standings!CL$3,Entries!$C15:$K15,1,FALSE))),"x",IF(NOT(ISERROR(HLOOKUP(Standings!CL$3,Entries!$L15:$L15,1,FALSE))),"S",""))</f>
        <v/>
      </c>
      <c r="CM50" t="str">
        <f>IF(NOT(ISERROR(HLOOKUP(Standings!CM$3,Entries!$C15:$K15,1,FALSE))),"x",IF(NOT(ISERROR(HLOOKUP(Standings!CM$3,Entries!$L15:$L15,1,FALSE))),"S",""))</f>
        <v>x</v>
      </c>
      <c r="CN50" t="str">
        <f>IF(NOT(ISERROR(HLOOKUP(Standings!CN$3,Entries!$C15:$K15,1,FALSE))),"x",IF(NOT(ISERROR(HLOOKUP(Standings!CN$3,Entries!$L15:$L15,1,FALSE))),"S",""))</f>
        <v/>
      </c>
      <c r="CO50" t="str">
        <f>IF(NOT(ISERROR(HLOOKUP(Standings!CO$3,Entries!$C15:$K15,1,FALSE))),"x",IF(NOT(ISERROR(HLOOKUP(Standings!CO$3,Entries!$L15:$L15,1,FALSE))),"S",""))</f>
        <v/>
      </c>
      <c r="CP50" t="str">
        <f>IF(NOT(ISERROR(HLOOKUP(Standings!CP$3,Entries!$C15:$K15,1,FALSE))),"x",IF(NOT(ISERROR(HLOOKUP(Standings!CP$3,Entries!$L15:$L15,1,FALSE))),"S",""))</f>
        <v/>
      </c>
      <c r="CQ50" t="str">
        <f>IF(NOT(ISERROR(HLOOKUP(Standings!CQ$3,Entries!$C15:$K15,1,FALSE))),"x",IF(NOT(ISERROR(HLOOKUP(Standings!CQ$3,Entries!$L15:$L15,1,FALSE))),"S",""))</f>
        <v>S</v>
      </c>
      <c r="CR50" t="str">
        <f>IF(NOT(ISERROR(HLOOKUP(Standings!CR$3,Entries!$C15:$K15,1,FALSE))),"x",IF(NOT(ISERROR(HLOOKUP(Standings!CR$3,Entries!$L15:$L15,1,FALSE))),"S",""))</f>
        <v/>
      </c>
      <c r="CS50" t="str">
        <f>IF(NOT(ISERROR(HLOOKUP(Standings!CS$3,Entries!$C15:$K15,1,FALSE))),"x",IF(NOT(ISERROR(HLOOKUP(Standings!CS$3,Entries!$L15:$L15,1,FALSE))),"S",""))</f>
        <v/>
      </c>
      <c r="CT50" t="str">
        <f>IF(NOT(ISERROR(HLOOKUP(Standings!CT$3,Entries!$C15:$K15,1,FALSE))),"x",IF(NOT(ISERROR(HLOOKUP(Standings!CT$3,Entries!$L15:$L15,1,FALSE))),"S",""))</f>
        <v/>
      </c>
      <c r="CU50" t="str">
        <f>IF(NOT(ISERROR(HLOOKUP(Standings!CU$3,Entries!$C15:$K15,1,FALSE))),"x",IF(NOT(ISERROR(HLOOKUP(Standings!CU$3,Entries!$L15:$L15,1,FALSE))),"S",""))</f>
        <v/>
      </c>
      <c r="CV50" t="str">
        <f>IF(NOT(ISERROR(HLOOKUP(Standings!CV$3,Entries!$C15:$K15,1,FALSE))),"x",IF(NOT(ISERROR(HLOOKUP(Standings!CV$3,Entries!$L15:$L15,1,FALSE))),"S",""))</f>
        <v/>
      </c>
      <c r="CW50" t="str">
        <f>IF(NOT(ISERROR(HLOOKUP(Standings!CW$3,Entries!$C15:$K15,1,FALSE))),"x",IF(NOT(ISERROR(HLOOKUP(Standings!CW$3,Entries!$L15:$L15,1,FALSE))),"S",""))</f>
        <v/>
      </c>
      <c r="CX50" t="str">
        <f>IF(NOT(ISERROR(HLOOKUP(Standings!CX$3,Entries!$C15:$K15,1,FALSE))),"x",IF(NOT(ISERROR(HLOOKUP(Standings!CX$3,Entries!$L15:$L15,1,FALSE))),"S",""))</f>
        <v/>
      </c>
      <c r="CY50" t="str">
        <f>IF(NOT(ISERROR(HLOOKUP(Standings!CY$3,Entries!$C15:$K15,1,FALSE))),"x",IF(NOT(ISERROR(HLOOKUP(Standings!CY$3,Entries!$L15:$L15,1,FALSE))),"S",""))</f>
        <v/>
      </c>
      <c r="CZ50" t="str">
        <f>IF(NOT(ISERROR(HLOOKUP(Standings!CZ$3,Entries!$C15:$K15,1,FALSE))),"x",IF(NOT(ISERROR(HLOOKUP(Standings!CZ$3,Entries!$L15:$L15,1,FALSE))),"S",""))</f>
        <v/>
      </c>
      <c r="DA50" t="str">
        <f>IF(NOT(ISERROR(HLOOKUP(Standings!DA$3,Entries!$C15:$K15,1,FALSE))),"x",IF(NOT(ISERROR(HLOOKUP(Standings!DA$3,Entries!$L15:$L15,1,FALSE))),"S",""))</f>
        <v/>
      </c>
      <c r="DB50" t="str">
        <f>IF(NOT(ISERROR(HLOOKUP(Standings!DB$3,Entries!$C15:$K15,1,FALSE))),"x",IF(NOT(ISERROR(HLOOKUP(Standings!DB$3,Entries!$L15:$L15,1,FALSE))),"S",""))</f>
        <v/>
      </c>
    </row>
    <row r="51" spans="1:106" x14ac:dyDescent="0.25">
      <c r="A51" s="18"/>
      <c r="B51">
        <v>9</v>
      </c>
      <c r="C51" t="str">
        <f>Entries!B16</f>
        <v>JoelsBalance</v>
      </c>
      <c r="D51" s="4">
        <f>IF(C51="","",RANK(E51,$E$10:$E$111))</f>
        <v>32</v>
      </c>
      <c r="E51" s="31">
        <f t="shared" si="1"/>
        <v>4</v>
      </c>
      <c r="F51" s="40">
        <f t="shared" si="49"/>
        <v>2</v>
      </c>
      <c r="G51" s="41" t="str">
        <f t="shared" si="2"/>
        <v/>
      </c>
      <c r="H51" s="41" t="str">
        <f t="shared" si="3"/>
        <v/>
      </c>
      <c r="I51" s="42" t="str">
        <f t="shared" si="4"/>
        <v/>
      </c>
      <c r="J51" s="40" t="str">
        <f t="shared" si="5"/>
        <v/>
      </c>
      <c r="K51" s="41">
        <f t="shared" si="6"/>
        <v>1</v>
      </c>
      <c r="L51" s="41" t="str">
        <f t="shared" si="7"/>
        <v/>
      </c>
      <c r="M51" s="42" t="str">
        <f t="shared" si="8"/>
        <v/>
      </c>
      <c r="N51" s="43" t="str">
        <f t="shared" si="9"/>
        <v/>
      </c>
      <c r="O51" s="41" t="str">
        <f t="shared" si="10"/>
        <v/>
      </c>
      <c r="P51" s="41" t="str">
        <f t="shared" si="11"/>
        <v/>
      </c>
      <c r="Q51" s="42" t="str">
        <f t="shared" si="12"/>
        <v/>
      </c>
      <c r="R51" s="40" t="str">
        <f t="shared" si="13"/>
        <v/>
      </c>
      <c r="S51" s="41" t="str">
        <f t="shared" si="14"/>
        <v/>
      </c>
      <c r="T51" s="43">
        <f t="shared" si="15"/>
        <v>2</v>
      </c>
      <c r="U51" s="42" t="str">
        <f t="shared" si="16"/>
        <v/>
      </c>
      <c r="V51" s="40">
        <f t="shared" si="17"/>
        <v>-2.0000100000000001</v>
      </c>
      <c r="W51" s="41" t="str">
        <f t="shared" si="18"/>
        <v/>
      </c>
      <c r="X51" s="41" t="str">
        <f t="shared" si="19"/>
        <v/>
      </c>
      <c r="Y51" s="42" t="str">
        <f t="shared" si="20"/>
        <v/>
      </c>
      <c r="Z51" s="40" t="str">
        <f t="shared" si="21"/>
        <v/>
      </c>
      <c r="AA51" s="41" t="str">
        <f t="shared" si="22"/>
        <v/>
      </c>
      <c r="AB51" s="41">
        <f t="shared" si="23"/>
        <v>0</v>
      </c>
      <c r="AC51" s="42" t="str">
        <f t="shared" si="24"/>
        <v/>
      </c>
      <c r="AD51" s="40" t="str">
        <f t="shared" si="25"/>
        <v/>
      </c>
      <c r="AE51" s="41">
        <f t="shared" si="26"/>
        <v>1</v>
      </c>
      <c r="AF51" s="41" t="str">
        <f t="shared" si="27"/>
        <v/>
      </c>
      <c r="AG51" s="42" t="str">
        <f t="shared" si="28"/>
        <v/>
      </c>
      <c r="AH51" s="40" t="str">
        <f t="shared" si="29"/>
        <v/>
      </c>
      <c r="AI51" s="41" t="str">
        <f t="shared" si="30"/>
        <v/>
      </c>
      <c r="AJ51" s="41" t="str">
        <f t="shared" si="31"/>
        <v/>
      </c>
      <c r="AK51" s="42" t="str">
        <f t="shared" si="32"/>
        <v/>
      </c>
      <c r="AL51" s="40" t="str">
        <f t="shared" si="33"/>
        <v/>
      </c>
      <c r="AM51" s="41">
        <f t="shared" si="34"/>
        <v>0</v>
      </c>
      <c r="AN51" s="41" t="str">
        <f t="shared" si="35"/>
        <v/>
      </c>
      <c r="AO51" s="42" t="str">
        <f t="shared" si="36"/>
        <v/>
      </c>
      <c r="AP51" s="40" t="str">
        <f t="shared" si="37"/>
        <v/>
      </c>
      <c r="AQ51" s="41" t="str">
        <f t="shared" si="38"/>
        <v/>
      </c>
      <c r="AR51" s="41" t="str">
        <f t="shared" si="39"/>
        <v/>
      </c>
      <c r="AS51" s="42" t="str">
        <f t="shared" si="40"/>
        <v/>
      </c>
      <c r="AT51" s="40">
        <f t="shared" si="41"/>
        <v>0</v>
      </c>
      <c r="AU51" s="41" t="str">
        <f t="shared" si="42"/>
        <v/>
      </c>
      <c r="AV51" s="41" t="str">
        <f t="shared" si="43"/>
        <v/>
      </c>
      <c r="AW51" s="42" t="str">
        <f t="shared" si="44"/>
        <v/>
      </c>
      <c r="AX51" s="40" t="str">
        <f t="shared" si="45"/>
        <v/>
      </c>
      <c r="AY51" s="41" t="str">
        <f t="shared" si="46"/>
        <v/>
      </c>
      <c r="AZ51" s="41" t="str">
        <f t="shared" si="47"/>
        <v/>
      </c>
      <c r="BA51" s="42">
        <f t="shared" si="48"/>
        <v>0</v>
      </c>
      <c r="BB51" s="37" t="s">
        <v>106</v>
      </c>
      <c r="BC51" s="21"/>
      <c r="BD51" s="21"/>
      <c r="BG51" t="str">
        <f>IF(NOT(ISERROR(HLOOKUP(Standings!BG$3,Entries!$C16:$K16,1,FALSE))),"x",IF(NOT(ISERROR(HLOOKUP(Standings!BG$3,Entries!$L16:$L16,1,FALSE))),"S",""))</f>
        <v>x</v>
      </c>
      <c r="BH51" t="str">
        <f>IF(NOT(ISERROR(HLOOKUP(Standings!BH$3,Entries!$C16:$K16,1,FALSE))),"x",IF(NOT(ISERROR(HLOOKUP(Standings!BH$3,Entries!$L16:$L16,1,FALSE))),"S",""))</f>
        <v/>
      </c>
      <c r="BI51" t="str">
        <f>IF(NOT(ISERROR(HLOOKUP(Standings!BI$3,Entries!$C16:$K16,1,FALSE))),"x",IF(NOT(ISERROR(HLOOKUP(Standings!BI$3,Entries!$L16:$L16,1,FALSE))),"S",""))</f>
        <v/>
      </c>
      <c r="BJ51" t="str">
        <f>IF(NOT(ISERROR(HLOOKUP(Standings!BJ$3,Entries!$C16:$K16,1,FALSE))),"x",IF(NOT(ISERROR(HLOOKUP(Standings!BJ$3,Entries!$L16:$L16,1,FALSE))),"S",""))</f>
        <v/>
      </c>
      <c r="BK51" t="str">
        <f>IF(NOT(ISERROR(HLOOKUP(Standings!BK$3,Entries!$C16:$K16,1,FALSE))),"x",IF(NOT(ISERROR(HLOOKUP(Standings!BK$3,Entries!$L16:$L16,1,FALSE))),"S",""))</f>
        <v/>
      </c>
      <c r="BL51" t="str">
        <f>IF(NOT(ISERROR(HLOOKUP(Standings!BL$3,Entries!$C16:$K16,1,FALSE))),"x",IF(NOT(ISERROR(HLOOKUP(Standings!BL$3,Entries!$L16:$L16,1,FALSE))),"S",""))</f>
        <v>x</v>
      </c>
      <c r="BM51" t="str">
        <f>IF(NOT(ISERROR(HLOOKUP(Standings!BM$3,Entries!$C16:$K16,1,FALSE))),"x",IF(NOT(ISERROR(HLOOKUP(Standings!BM$3,Entries!$L16:$L16,1,FALSE))),"S",""))</f>
        <v/>
      </c>
      <c r="BN51" t="str">
        <f>IF(NOT(ISERROR(HLOOKUP(Standings!BN$3,Entries!$C16:$K16,1,FALSE))),"x",IF(NOT(ISERROR(HLOOKUP(Standings!BN$3,Entries!$L16:$L16,1,FALSE))),"S",""))</f>
        <v/>
      </c>
      <c r="BO51" t="str">
        <f>IF(NOT(ISERROR(HLOOKUP(Standings!BO$3,Entries!$C16:$K16,1,FALSE))),"x",IF(NOT(ISERROR(HLOOKUP(Standings!BO$3,Entries!$L16:$L16,1,FALSE))),"S",""))</f>
        <v/>
      </c>
      <c r="BP51" t="str">
        <f>IF(NOT(ISERROR(HLOOKUP(Standings!BP$3,Entries!$C16:$K16,1,FALSE))),"x",IF(NOT(ISERROR(HLOOKUP(Standings!BP$3,Entries!$L16:$L16,1,FALSE))),"S",""))</f>
        <v/>
      </c>
      <c r="BQ51" t="str">
        <f>IF(NOT(ISERROR(HLOOKUP(Standings!BQ$3,Entries!$C16:$K16,1,FALSE))),"x",IF(NOT(ISERROR(HLOOKUP(Standings!BQ$3,Entries!$L16:$L16,1,FALSE))),"S",""))</f>
        <v/>
      </c>
      <c r="BR51" t="str">
        <f>IF(NOT(ISERROR(HLOOKUP(Standings!BR$3,Entries!$C16:$K16,1,FALSE))),"x",IF(NOT(ISERROR(HLOOKUP(Standings!BR$3,Entries!$L16:$L16,1,FALSE))),"S",""))</f>
        <v/>
      </c>
      <c r="BS51" t="str">
        <f>IF(NOT(ISERROR(HLOOKUP(Standings!BS$3,Entries!$C16:$K16,1,FALSE))),"x",IF(NOT(ISERROR(HLOOKUP(Standings!BS$3,Entries!$L16:$L16,1,FALSE))),"S",""))</f>
        <v/>
      </c>
      <c r="BT51" t="str">
        <f>IF(NOT(ISERROR(HLOOKUP(Standings!BT$3,Entries!$C16:$K16,1,FALSE))),"x",IF(NOT(ISERROR(HLOOKUP(Standings!BT$3,Entries!$L16:$L16,1,FALSE))),"S",""))</f>
        <v/>
      </c>
      <c r="BU51" t="str">
        <f>IF(NOT(ISERROR(HLOOKUP(Standings!BU$3,Entries!$C16:$K16,1,FALSE))),"x",IF(NOT(ISERROR(HLOOKUP(Standings!BU$3,Entries!$L16:$L16,1,FALSE))),"S",""))</f>
        <v>x</v>
      </c>
      <c r="BV51" t="str">
        <f>IF(NOT(ISERROR(HLOOKUP(Standings!BV$3,Entries!$C16:$K16,1,FALSE))),"x",IF(NOT(ISERROR(HLOOKUP(Standings!BV$3,Entries!$L16:$L16,1,FALSE))),"S",""))</f>
        <v/>
      </c>
      <c r="BW51" t="str">
        <f>IF(NOT(ISERROR(HLOOKUP(Standings!BW$3,Entries!$C16:$K16,1,FALSE))),"x",IF(NOT(ISERROR(HLOOKUP(Standings!BW$3,Entries!$L16:$L16,1,FALSE))),"S",""))</f>
        <v>S</v>
      </c>
      <c r="BX51" t="str">
        <f>IF(NOT(ISERROR(HLOOKUP(Standings!BX$3,Entries!$C16:$K16,1,FALSE))),"x",IF(NOT(ISERROR(HLOOKUP(Standings!BX$3,Entries!$L16:$L16,1,FALSE))),"S",""))</f>
        <v/>
      </c>
      <c r="BY51" t="str">
        <f>IF(NOT(ISERROR(HLOOKUP(Standings!BY$3,Entries!$C16:$K16,1,FALSE))),"x",IF(NOT(ISERROR(HLOOKUP(Standings!BY$3,Entries!$L16:$L16,1,FALSE))),"S",""))</f>
        <v/>
      </c>
      <c r="BZ51" t="str">
        <f>IF(NOT(ISERROR(HLOOKUP(Standings!BZ$3,Entries!$C16:$K16,1,FALSE))),"x",IF(NOT(ISERROR(HLOOKUP(Standings!BZ$3,Entries!$L16:$L16,1,FALSE))),"S",""))</f>
        <v/>
      </c>
      <c r="CA51" t="str">
        <f>IF(NOT(ISERROR(HLOOKUP(Standings!CA$3,Entries!$C16:$K16,1,FALSE))),"x",IF(NOT(ISERROR(HLOOKUP(Standings!CA$3,Entries!$L16:$L16,1,FALSE))),"S",""))</f>
        <v/>
      </c>
      <c r="CB51" t="str">
        <f>IF(NOT(ISERROR(HLOOKUP(Standings!CB$3,Entries!$C16:$K16,1,FALSE))),"x",IF(NOT(ISERROR(HLOOKUP(Standings!CB$3,Entries!$L16:$L16,1,FALSE))),"S",""))</f>
        <v/>
      </c>
      <c r="CC51" t="str">
        <f>IF(NOT(ISERROR(HLOOKUP(Standings!CC$3,Entries!$C16:$K16,1,FALSE))),"x",IF(NOT(ISERROR(HLOOKUP(Standings!CC$3,Entries!$L16:$L16,1,FALSE))),"S",""))</f>
        <v>x</v>
      </c>
      <c r="CD51" t="str">
        <f>IF(NOT(ISERROR(HLOOKUP(Standings!CD$3,Entries!$C16:$K16,1,FALSE))),"x",IF(NOT(ISERROR(HLOOKUP(Standings!CD$3,Entries!$L16:$L16,1,FALSE))),"S",""))</f>
        <v/>
      </c>
      <c r="CE51" t="str">
        <f>IF(NOT(ISERROR(HLOOKUP(Standings!CE$3,Entries!$C16:$K16,1,FALSE))),"x",IF(NOT(ISERROR(HLOOKUP(Standings!CE$3,Entries!$L16:$L16,1,FALSE))),"S",""))</f>
        <v/>
      </c>
      <c r="CF51" t="str">
        <f>IF(NOT(ISERROR(HLOOKUP(Standings!CF$3,Entries!$C16:$K16,1,FALSE))),"x",IF(NOT(ISERROR(HLOOKUP(Standings!CF$3,Entries!$L16:$L16,1,FALSE))),"S",""))</f>
        <v>x</v>
      </c>
      <c r="CG51" t="str">
        <f>IF(NOT(ISERROR(HLOOKUP(Standings!CG$3,Entries!$C16:$K16,1,FALSE))),"x",IF(NOT(ISERROR(HLOOKUP(Standings!CG$3,Entries!$L16:$L16,1,FALSE))),"S",""))</f>
        <v/>
      </c>
      <c r="CH51" t="str">
        <f>IF(NOT(ISERROR(HLOOKUP(Standings!CH$3,Entries!$C16:$K16,1,FALSE))),"x",IF(NOT(ISERROR(HLOOKUP(Standings!CH$3,Entries!$L16:$L16,1,FALSE))),"S",""))</f>
        <v/>
      </c>
      <c r="CI51" t="str">
        <f>IF(NOT(ISERROR(HLOOKUP(Standings!CI$3,Entries!$C16:$K16,1,FALSE))),"x",IF(NOT(ISERROR(HLOOKUP(Standings!CI$3,Entries!$L16:$L16,1,FALSE))),"S",""))</f>
        <v/>
      </c>
      <c r="CJ51" t="str">
        <f>IF(NOT(ISERROR(HLOOKUP(Standings!CJ$3,Entries!$C16:$K16,1,FALSE))),"x",IF(NOT(ISERROR(HLOOKUP(Standings!CJ$3,Entries!$L16:$L16,1,FALSE))),"S",""))</f>
        <v/>
      </c>
      <c r="CK51" t="str">
        <f>IF(NOT(ISERROR(HLOOKUP(Standings!CK$3,Entries!$C16:$K16,1,FALSE))),"x",IF(NOT(ISERROR(HLOOKUP(Standings!CK$3,Entries!$L16:$L16,1,FALSE))),"S",""))</f>
        <v/>
      </c>
      <c r="CL51" t="str">
        <f>IF(NOT(ISERROR(HLOOKUP(Standings!CL$3,Entries!$C16:$K16,1,FALSE))),"x",IF(NOT(ISERROR(HLOOKUP(Standings!CL$3,Entries!$L16:$L16,1,FALSE))),"S",""))</f>
        <v/>
      </c>
      <c r="CM51" t="str">
        <f>IF(NOT(ISERROR(HLOOKUP(Standings!CM$3,Entries!$C16:$K16,1,FALSE))),"x",IF(NOT(ISERROR(HLOOKUP(Standings!CM$3,Entries!$L16:$L16,1,FALSE))),"S",""))</f>
        <v/>
      </c>
      <c r="CN51" t="str">
        <f>IF(NOT(ISERROR(HLOOKUP(Standings!CN$3,Entries!$C16:$K16,1,FALSE))),"x",IF(NOT(ISERROR(HLOOKUP(Standings!CN$3,Entries!$L16:$L16,1,FALSE))),"S",""))</f>
        <v>x</v>
      </c>
      <c r="CO51" t="str">
        <f>IF(NOT(ISERROR(HLOOKUP(Standings!CO$3,Entries!$C16:$K16,1,FALSE))),"x",IF(NOT(ISERROR(HLOOKUP(Standings!CO$3,Entries!$L16:$L16,1,FALSE))),"S",""))</f>
        <v/>
      </c>
      <c r="CP51" t="str">
        <f>IF(NOT(ISERROR(HLOOKUP(Standings!CP$3,Entries!$C16:$K16,1,FALSE))),"x",IF(NOT(ISERROR(HLOOKUP(Standings!CP$3,Entries!$L16:$L16,1,FALSE))),"S",""))</f>
        <v/>
      </c>
      <c r="CQ51" t="str">
        <f>IF(NOT(ISERROR(HLOOKUP(Standings!CQ$3,Entries!$C16:$K16,1,FALSE))),"x",IF(NOT(ISERROR(HLOOKUP(Standings!CQ$3,Entries!$L16:$L16,1,FALSE))),"S",""))</f>
        <v/>
      </c>
      <c r="CR51" t="str">
        <f>IF(NOT(ISERROR(HLOOKUP(Standings!CR$3,Entries!$C16:$K16,1,FALSE))),"x",IF(NOT(ISERROR(HLOOKUP(Standings!CR$3,Entries!$L16:$L16,1,FALSE))),"S",""))</f>
        <v/>
      </c>
      <c r="CS51" t="str">
        <f>IF(NOT(ISERROR(HLOOKUP(Standings!CS$3,Entries!$C16:$K16,1,FALSE))),"x",IF(NOT(ISERROR(HLOOKUP(Standings!CS$3,Entries!$L16:$L16,1,FALSE))),"S",""))</f>
        <v/>
      </c>
      <c r="CT51" t="str">
        <f>IF(NOT(ISERROR(HLOOKUP(Standings!CT$3,Entries!$C16:$K16,1,FALSE))),"x",IF(NOT(ISERROR(HLOOKUP(Standings!CT$3,Entries!$L16:$L16,1,FALSE))),"S",""))</f>
        <v/>
      </c>
      <c r="CU51" t="str">
        <f>IF(NOT(ISERROR(HLOOKUP(Standings!CU$3,Entries!$C16:$K16,1,FALSE))),"x",IF(NOT(ISERROR(HLOOKUP(Standings!CU$3,Entries!$L16:$L16,1,FALSE))),"S",""))</f>
        <v>x</v>
      </c>
      <c r="CV51" t="str">
        <f>IF(NOT(ISERROR(HLOOKUP(Standings!CV$3,Entries!$C16:$K16,1,FALSE))),"x",IF(NOT(ISERROR(HLOOKUP(Standings!CV$3,Entries!$L16:$L16,1,FALSE))),"S",""))</f>
        <v/>
      </c>
      <c r="CW51" t="str">
        <f>IF(NOT(ISERROR(HLOOKUP(Standings!CW$3,Entries!$C16:$K16,1,FALSE))),"x",IF(NOT(ISERROR(HLOOKUP(Standings!CW$3,Entries!$L16:$L16,1,FALSE))),"S",""))</f>
        <v/>
      </c>
      <c r="CX51" t="str">
        <f>IF(NOT(ISERROR(HLOOKUP(Standings!CX$3,Entries!$C16:$K16,1,FALSE))),"x",IF(NOT(ISERROR(HLOOKUP(Standings!CX$3,Entries!$L16:$L16,1,FALSE))),"S",""))</f>
        <v/>
      </c>
      <c r="CY51" t="str">
        <f>IF(NOT(ISERROR(HLOOKUP(Standings!CY$3,Entries!$C16:$K16,1,FALSE))),"x",IF(NOT(ISERROR(HLOOKUP(Standings!CY$3,Entries!$L16:$L16,1,FALSE))),"S",""))</f>
        <v/>
      </c>
      <c r="CZ51" t="str">
        <f>IF(NOT(ISERROR(HLOOKUP(Standings!CZ$3,Entries!$C16:$K16,1,FALSE))),"x",IF(NOT(ISERROR(HLOOKUP(Standings!CZ$3,Entries!$L16:$L16,1,FALSE))),"S",""))</f>
        <v/>
      </c>
      <c r="DA51" t="str">
        <f>IF(NOT(ISERROR(HLOOKUP(Standings!DA$3,Entries!$C16:$K16,1,FALSE))),"x",IF(NOT(ISERROR(HLOOKUP(Standings!DA$3,Entries!$L16:$L16,1,FALSE))),"S",""))</f>
        <v/>
      </c>
      <c r="DB51" t="str">
        <f>IF(NOT(ISERROR(HLOOKUP(Standings!DB$3,Entries!$C16:$K16,1,FALSE))),"x",IF(NOT(ISERROR(HLOOKUP(Standings!DB$3,Entries!$L16:$L16,1,FALSE))),"S",""))</f>
        <v>x</v>
      </c>
    </row>
    <row r="52" spans="1:106" x14ac:dyDescent="0.25">
      <c r="B52">
        <v>71</v>
      </c>
      <c r="C52" t="str">
        <f>Entries!B20</f>
        <v>WillBullock</v>
      </c>
      <c r="D52" s="4">
        <f>IF(C52="","",RANK(E52,$E$10:$E$111))</f>
        <v>32</v>
      </c>
      <c r="E52" s="31">
        <f t="shared" si="1"/>
        <v>4</v>
      </c>
      <c r="F52" s="40" t="str">
        <f t="shared" si="49"/>
        <v/>
      </c>
      <c r="G52" s="41" t="str">
        <f t="shared" si="2"/>
        <v/>
      </c>
      <c r="H52" s="41" t="str">
        <f t="shared" si="3"/>
        <v/>
      </c>
      <c r="I52" s="42">
        <f t="shared" si="4"/>
        <v>0</v>
      </c>
      <c r="J52" s="40">
        <f t="shared" si="5"/>
        <v>1</v>
      </c>
      <c r="K52" s="41" t="str">
        <f t="shared" si="6"/>
        <v/>
      </c>
      <c r="L52" s="41" t="str">
        <f t="shared" si="7"/>
        <v/>
      </c>
      <c r="M52" s="42" t="str">
        <f t="shared" si="8"/>
        <v/>
      </c>
      <c r="N52" s="43" t="str">
        <f t="shared" si="9"/>
        <v/>
      </c>
      <c r="O52" s="41" t="str">
        <f t="shared" si="10"/>
        <v/>
      </c>
      <c r="P52" s="41" t="str">
        <f t="shared" si="11"/>
        <v/>
      </c>
      <c r="Q52" s="42" t="str">
        <f t="shared" si="12"/>
        <v/>
      </c>
      <c r="R52" s="40">
        <f t="shared" si="13"/>
        <v>-2.0000100000000001</v>
      </c>
      <c r="S52" s="41" t="str">
        <f t="shared" si="14"/>
        <v/>
      </c>
      <c r="T52" s="43">
        <f t="shared" si="15"/>
        <v>2</v>
      </c>
      <c r="U52" s="42" t="str">
        <f t="shared" si="16"/>
        <v/>
      </c>
      <c r="V52" s="40" t="str">
        <f t="shared" si="17"/>
        <v/>
      </c>
      <c r="W52" s="41" t="str">
        <f t="shared" si="18"/>
        <v/>
      </c>
      <c r="X52" s="41" t="str">
        <f t="shared" si="19"/>
        <v/>
      </c>
      <c r="Y52" s="42">
        <f t="shared" si="20"/>
        <v>0</v>
      </c>
      <c r="Z52" s="40" t="str">
        <f t="shared" si="21"/>
        <v/>
      </c>
      <c r="AA52" s="41">
        <f t="shared" si="22"/>
        <v>1</v>
      </c>
      <c r="AB52" s="41" t="str">
        <f t="shared" si="23"/>
        <v/>
      </c>
      <c r="AC52" s="42" t="str">
        <f t="shared" si="24"/>
        <v/>
      </c>
      <c r="AD52" s="40" t="str">
        <f t="shared" si="25"/>
        <v/>
      </c>
      <c r="AE52" s="41">
        <f t="shared" si="26"/>
        <v>1</v>
      </c>
      <c r="AF52" s="41">
        <f t="shared" si="27"/>
        <v>1</v>
      </c>
      <c r="AG52" s="42" t="str">
        <f t="shared" si="28"/>
        <v/>
      </c>
      <c r="AH52" s="40" t="str">
        <f t="shared" si="29"/>
        <v/>
      </c>
      <c r="AI52" s="41" t="str">
        <f t="shared" si="30"/>
        <v/>
      </c>
      <c r="AJ52" s="41" t="str">
        <f t="shared" si="31"/>
        <v/>
      </c>
      <c r="AK52" s="42" t="str">
        <f t="shared" si="32"/>
        <v/>
      </c>
      <c r="AL52" s="40" t="str">
        <f t="shared" si="33"/>
        <v/>
      </c>
      <c r="AM52" s="41">
        <f t="shared" si="34"/>
        <v>0</v>
      </c>
      <c r="AN52" s="41" t="str">
        <f t="shared" si="35"/>
        <v/>
      </c>
      <c r="AO52" s="42" t="str">
        <f t="shared" si="36"/>
        <v/>
      </c>
      <c r="AP52" s="40" t="str">
        <f t="shared" si="37"/>
        <v/>
      </c>
      <c r="AQ52" s="41" t="str">
        <f t="shared" si="38"/>
        <v/>
      </c>
      <c r="AR52" s="41" t="str">
        <f t="shared" si="39"/>
        <v/>
      </c>
      <c r="AS52" s="42" t="str">
        <f t="shared" si="40"/>
        <v/>
      </c>
      <c r="AT52" s="40" t="str">
        <f t="shared" si="41"/>
        <v/>
      </c>
      <c r="AU52" s="41" t="str">
        <f t="shared" si="42"/>
        <v/>
      </c>
      <c r="AV52" s="41" t="str">
        <f t="shared" si="43"/>
        <v/>
      </c>
      <c r="AW52" s="42" t="str">
        <f t="shared" si="44"/>
        <v/>
      </c>
      <c r="AX52" s="40" t="str">
        <f t="shared" si="45"/>
        <v/>
      </c>
      <c r="AY52" s="41">
        <f t="shared" si="46"/>
        <v>0</v>
      </c>
      <c r="AZ52" s="41" t="str">
        <f t="shared" si="47"/>
        <v/>
      </c>
      <c r="BA52" s="42" t="str">
        <f t="shared" si="48"/>
        <v/>
      </c>
      <c r="BB52" s="37" t="s">
        <v>106</v>
      </c>
      <c r="BC52" s="21"/>
      <c r="BD52" s="21"/>
      <c r="BG52" t="str">
        <f>IF(NOT(ISERROR(HLOOKUP(Standings!BG$3,Entries!$C20:$K20,1,FALSE))),"x",IF(NOT(ISERROR(HLOOKUP(Standings!BG$3,Entries!$L20:$L20,1,FALSE))),"S",""))</f>
        <v/>
      </c>
      <c r="BH52" t="str">
        <f>IF(NOT(ISERROR(HLOOKUP(Standings!BH$3,Entries!$C20:$K20,1,FALSE))),"x",IF(NOT(ISERROR(HLOOKUP(Standings!BH$3,Entries!$L20:$L20,1,FALSE))),"S",""))</f>
        <v/>
      </c>
      <c r="BI52" t="str">
        <f>IF(NOT(ISERROR(HLOOKUP(Standings!BI$3,Entries!$C20:$K20,1,FALSE))),"x",IF(NOT(ISERROR(HLOOKUP(Standings!BI$3,Entries!$L20:$L20,1,FALSE))),"S",""))</f>
        <v/>
      </c>
      <c r="BJ52" t="str">
        <f>IF(NOT(ISERROR(HLOOKUP(Standings!BJ$3,Entries!$C20:$K20,1,FALSE))),"x",IF(NOT(ISERROR(HLOOKUP(Standings!BJ$3,Entries!$L20:$L20,1,FALSE))),"S",""))</f>
        <v>x</v>
      </c>
      <c r="BK52" t="str">
        <f>IF(NOT(ISERROR(HLOOKUP(Standings!BK$3,Entries!$C20:$K20,1,FALSE))),"x",IF(NOT(ISERROR(HLOOKUP(Standings!BK$3,Entries!$L20:$L20,1,FALSE))),"S",""))</f>
        <v>x</v>
      </c>
      <c r="BL52" t="str">
        <f>IF(NOT(ISERROR(HLOOKUP(Standings!BL$3,Entries!$C20:$K20,1,FALSE))),"x",IF(NOT(ISERROR(HLOOKUP(Standings!BL$3,Entries!$L20:$L20,1,FALSE))),"S",""))</f>
        <v/>
      </c>
      <c r="BM52" t="str">
        <f>IF(NOT(ISERROR(HLOOKUP(Standings!BM$3,Entries!$C20:$K20,1,FALSE))),"x",IF(NOT(ISERROR(HLOOKUP(Standings!BM$3,Entries!$L20:$L20,1,FALSE))),"S",""))</f>
        <v/>
      </c>
      <c r="BN52" t="str">
        <f>IF(NOT(ISERROR(HLOOKUP(Standings!BN$3,Entries!$C20:$K20,1,FALSE))),"x",IF(NOT(ISERROR(HLOOKUP(Standings!BN$3,Entries!$L20:$L20,1,FALSE))),"S",""))</f>
        <v/>
      </c>
      <c r="BO52" t="str">
        <f>IF(NOT(ISERROR(HLOOKUP(Standings!BO$3,Entries!$C20:$K20,1,FALSE))),"x",IF(NOT(ISERROR(HLOOKUP(Standings!BO$3,Entries!$L20:$L20,1,FALSE))),"S",""))</f>
        <v/>
      </c>
      <c r="BP52" t="str">
        <f>IF(NOT(ISERROR(HLOOKUP(Standings!BP$3,Entries!$C20:$K20,1,FALSE))),"x",IF(NOT(ISERROR(HLOOKUP(Standings!BP$3,Entries!$L20:$L20,1,FALSE))),"S",""))</f>
        <v/>
      </c>
      <c r="BQ52" t="str">
        <f>IF(NOT(ISERROR(HLOOKUP(Standings!BQ$3,Entries!$C20:$K20,1,FALSE))),"x",IF(NOT(ISERROR(HLOOKUP(Standings!BQ$3,Entries!$L20:$L20,1,FALSE))),"S",""))</f>
        <v/>
      </c>
      <c r="BR52" t="str">
        <f>IF(NOT(ISERROR(HLOOKUP(Standings!BR$3,Entries!$C20:$K20,1,FALSE))),"x",IF(NOT(ISERROR(HLOOKUP(Standings!BR$3,Entries!$L20:$L20,1,FALSE))),"S",""))</f>
        <v/>
      </c>
      <c r="BS52" t="str">
        <f>IF(NOT(ISERROR(HLOOKUP(Standings!BS$3,Entries!$C20:$K20,1,FALSE))),"x",IF(NOT(ISERROR(HLOOKUP(Standings!BS$3,Entries!$L20:$L20,1,FALSE))),"S",""))</f>
        <v>S</v>
      </c>
      <c r="BT52" t="str">
        <f>IF(NOT(ISERROR(HLOOKUP(Standings!BT$3,Entries!$C20:$K20,1,FALSE))),"x",IF(NOT(ISERROR(HLOOKUP(Standings!BT$3,Entries!$L20:$L20,1,FALSE))),"S",""))</f>
        <v/>
      </c>
      <c r="BU52" t="str">
        <f>IF(NOT(ISERROR(HLOOKUP(Standings!BU$3,Entries!$C20:$K20,1,FALSE))),"x",IF(NOT(ISERROR(HLOOKUP(Standings!BU$3,Entries!$L20:$L20,1,FALSE))),"S",""))</f>
        <v>x</v>
      </c>
      <c r="BV52" t="str">
        <f>IF(NOT(ISERROR(HLOOKUP(Standings!BV$3,Entries!$C20:$K20,1,FALSE))),"x",IF(NOT(ISERROR(HLOOKUP(Standings!BV$3,Entries!$L20:$L20,1,FALSE))),"S",""))</f>
        <v/>
      </c>
      <c r="BW52" t="str">
        <f>IF(NOT(ISERROR(HLOOKUP(Standings!BW$3,Entries!$C20:$K20,1,FALSE))),"x",IF(NOT(ISERROR(HLOOKUP(Standings!BW$3,Entries!$L20:$L20,1,FALSE))),"S",""))</f>
        <v/>
      </c>
      <c r="BX52" t="str">
        <f>IF(NOT(ISERROR(HLOOKUP(Standings!BX$3,Entries!$C20:$K20,1,FALSE))),"x",IF(NOT(ISERROR(HLOOKUP(Standings!BX$3,Entries!$L20:$L20,1,FALSE))),"S",""))</f>
        <v/>
      </c>
      <c r="BY52" t="str">
        <f>IF(NOT(ISERROR(HLOOKUP(Standings!BY$3,Entries!$C20:$K20,1,FALSE))),"x",IF(NOT(ISERROR(HLOOKUP(Standings!BY$3,Entries!$L20:$L20,1,FALSE))),"S",""))</f>
        <v/>
      </c>
      <c r="BZ52" t="str">
        <f>IF(NOT(ISERROR(HLOOKUP(Standings!BZ$3,Entries!$C20:$K20,1,FALSE))),"x",IF(NOT(ISERROR(HLOOKUP(Standings!BZ$3,Entries!$L20:$L20,1,FALSE))),"S",""))</f>
        <v>x</v>
      </c>
      <c r="CA52" t="str">
        <f>IF(NOT(ISERROR(HLOOKUP(Standings!CA$3,Entries!$C20:$K20,1,FALSE))),"x",IF(NOT(ISERROR(HLOOKUP(Standings!CA$3,Entries!$L20:$L20,1,FALSE))),"S",""))</f>
        <v/>
      </c>
      <c r="CB52" t="str">
        <f>IF(NOT(ISERROR(HLOOKUP(Standings!CB$3,Entries!$C20:$K20,1,FALSE))),"x",IF(NOT(ISERROR(HLOOKUP(Standings!CB$3,Entries!$L20:$L20,1,FALSE))),"S",""))</f>
        <v>x</v>
      </c>
      <c r="CC52" t="str">
        <f>IF(NOT(ISERROR(HLOOKUP(Standings!CC$3,Entries!$C20:$K20,1,FALSE))),"x",IF(NOT(ISERROR(HLOOKUP(Standings!CC$3,Entries!$L20:$L20,1,FALSE))),"S",""))</f>
        <v/>
      </c>
      <c r="CD52" t="str">
        <f>IF(NOT(ISERROR(HLOOKUP(Standings!CD$3,Entries!$C20:$K20,1,FALSE))),"x",IF(NOT(ISERROR(HLOOKUP(Standings!CD$3,Entries!$L20:$L20,1,FALSE))),"S",""))</f>
        <v/>
      </c>
      <c r="CE52" t="str">
        <f>IF(NOT(ISERROR(HLOOKUP(Standings!CE$3,Entries!$C20:$K20,1,FALSE))),"x",IF(NOT(ISERROR(HLOOKUP(Standings!CE$3,Entries!$L20:$L20,1,FALSE))),"S",""))</f>
        <v/>
      </c>
      <c r="CF52" t="str">
        <f>IF(NOT(ISERROR(HLOOKUP(Standings!CF$3,Entries!$C20:$K20,1,FALSE))),"x",IF(NOT(ISERROR(HLOOKUP(Standings!CF$3,Entries!$L20:$L20,1,FALSE))),"S",""))</f>
        <v>x</v>
      </c>
      <c r="CG52" t="str">
        <f>IF(NOT(ISERROR(HLOOKUP(Standings!CG$3,Entries!$C20:$K20,1,FALSE))),"x",IF(NOT(ISERROR(HLOOKUP(Standings!CG$3,Entries!$L20:$L20,1,FALSE))),"S",""))</f>
        <v>x</v>
      </c>
      <c r="CH52" t="str">
        <f>IF(NOT(ISERROR(HLOOKUP(Standings!CH$3,Entries!$C20:$K20,1,FALSE))),"x",IF(NOT(ISERROR(HLOOKUP(Standings!CH$3,Entries!$L20:$L20,1,FALSE))),"S",""))</f>
        <v/>
      </c>
      <c r="CI52" t="str">
        <f>IF(NOT(ISERROR(HLOOKUP(Standings!CI$3,Entries!$C20:$K20,1,FALSE))),"x",IF(NOT(ISERROR(HLOOKUP(Standings!CI$3,Entries!$L20:$L20,1,FALSE))),"S",""))</f>
        <v/>
      </c>
      <c r="CJ52" t="str">
        <f>IF(NOT(ISERROR(HLOOKUP(Standings!CJ$3,Entries!$C20:$K20,1,FALSE))),"x",IF(NOT(ISERROR(HLOOKUP(Standings!CJ$3,Entries!$L20:$L20,1,FALSE))),"S",""))</f>
        <v/>
      </c>
      <c r="CK52" t="str">
        <f>IF(NOT(ISERROR(HLOOKUP(Standings!CK$3,Entries!$C20:$K20,1,FALSE))),"x",IF(NOT(ISERROR(HLOOKUP(Standings!CK$3,Entries!$L20:$L20,1,FALSE))),"S",""))</f>
        <v/>
      </c>
      <c r="CL52" t="str">
        <f>IF(NOT(ISERROR(HLOOKUP(Standings!CL$3,Entries!$C20:$K20,1,FALSE))),"x",IF(NOT(ISERROR(HLOOKUP(Standings!CL$3,Entries!$L20:$L20,1,FALSE))),"S",""))</f>
        <v/>
      </c>
      <c r="CM52" t="str">
        <f>IF(NOT(ISERROR(HLOOKUP(Standings!CM$3,Entries!$C20:$K20,1,FALSE))),"x",IF(NOT(ISERROR(HLOOKUP(Standings!CM$3,Entries!$L20:$L20,1,FALSE))),"S",""))</f>
        <v/>
      </c>
      <c r="CN52" t="str">
        <f>IF(NOT(ISERROR(HLOOKUP(Standings!CN$3,Entries!$C20:$K20,1,FALSE))),"x",IF(NOT(ISERROR(HLOOKUP(Standings!CN$3,Entries!$L20:$L20,1,FALSE))),"S",""))</f>
        <v>x</v>
      </c>
      <c r="CO52" t="str">
        <f>IF(NOT(ISERROR(HLOOKUP(Standings!CO$3,Entries!$C20:$K20,1,FALSE))),"x",IF(NOT(ISERROR(HLOOKUP(Standings!CO$3,Entries!$L20:$L20,1,FALSE))),"S",""))</f>
        <v/>
      </c>
      <c r="CP52" t="str">
        <f>IF(NOT(ISERROR(HLOOKUP(Standings!CP$3,Entries!$C20:$K20,1,FALSE))),"x",IF(NOT(ISERROR(HLOOKUP(Standings!CP$3,Entries!$L20:$L20,1,FALSE))),"S",""))</f>
        <v/>
      </c>
      <c r="CQ52" t="str">
        <f>IF(NOT(ISERROR(HLOOKUP(Standings!CQ$3,Entries!$C20:$K20,1,FALSE))),"x",IF(NOT(ISERROR(HLOOKUP(Standings!CQ$3,Entries!$L20:$L20,1,FALSE))),"S",""))</f>
        <v/>
      </c>
      <c r="CR52" t="str">
        <f>IF(NOT(ISERROR(HLOOKUP(Standings!CR$3,Entries!$C20:$K20,1,FALSE))),"x",IF(NOT(ISERROR(HLOOKUP(Standings!CR$3,Entries!$L20:$L20,1,FALSE))),"S",""))</f>
        <v/>
      </c>
      <c r="CS52" t="str">
        <f>IF(NOT(ISERROR(HLOOKUP(Standings!CS$3,Entries!$C20:$K20,1,FALSE))),"x",IF(NOT(ISERROR(HLOOKUP(Standings!CS$3,Entries!$L20:$L20,1,FALSE))),"S",""))</f>
        <v/>
      </c>
      <c r="CT52" t="str">
        <f>IF(NOT(ISERROR(HLOOKUP(Standings!CT$3,Entries!$C20:$K20,1,FALSE))),"x",IF(NOT(ISERROR(HLOOKUP(Standings!CT$3,Entries!$L20:$L20,1,FALSE))),"S",""))</f>
        <v/>
      </c>
      <c r="CU52" t="str">
        <f>IF(NOT(ISERROR(HLOOKUP(Standings!CU$3,Entries!$C20:$K20,1,FALSE))),"x",IF(NOT(ISERROR(HLOOKUP(Standings!CU$3,Entries!$L20:$L20,1,FALSE))),"S",""))</f>
        <v/>
      </c>
      <c r="CV52" t="str">
        <f>IF(NOT(ISERROR(HLOOKUP(Standings!CV$3,Entries!$C20:$K20,1,FALSE))),"x",IF(NOT(ISERROR(HLOOKUP(Standings!CV$3,Entries!$L20:$L20,1,FALSE))),"S",""))</f>
        <v/>
      </c>
      <c r="CW52" t="str">
        <f>IF(NOT(ISERROR(HLOOKUP(Standings!CW$3,Entries!$C20:$K20,1,FALSE))),"x",IF(NOT(ISERROR(HLOOKUP(Standings!CW$3,Entries!$L20:$L20,1,FALSE))),"S",""))</f>
        <v/>
      </c>
      <c r="CX52" t="str">
        <f>IF(NOT(ISERROR(HLOOKUP(Standings!CX$3,Entries!$C20:$K20,1,FALSE))),"x",IF(NOT(ISERROR(HLOOKUP(Standings!CX$3,Entries!$L20:$L20,1,FALSE))),"S",""))</f>
        <v/>
      </c>
      <c r="CY52" t="str">
        <f>IF(NOT(ISERROR(HLOOKUP(Standings!CY$3,Entries!$C20:$K20,1,FALSE))),"x",IF(NOT(ISERROR(HLOOKUP(Standings!CY$3,Entries!$L20:$L20,1,FALSE))),"S",""))</f>
        <v/>
      </c>
      <c r="CZ52" t="str">
        <f>IF(NOT(ISERROR(HLOOKUP(Standings!CZ$3,Entries!$C20:$K20,1,FALSE))),"x",IF(NOT(ISERROR(HLOOKUP(Standings!CZ$3,Entries!$L20:$L20,1,FALSE))),"S",""))</f>
        <v>x</v>
      </c>
      <c r="DA52" t="str">
        <f>IF(NOT(ISERROR(HLOOKUP(Standings!DA$3,Entries!$C20:$K20,1,FALSE))),"x",IF(NOT(ISERROR(HLOOKUP(Standings!DA$3,Entries!$L20:$L20,1,FALSE))),"S",""))</f>
        <v/>
      </c>
      <c r="DB52" t="str">
        <f>IF(NOT(ISERROR(HLOOKUP(Standings!DB$3,Entries!$C20:$K20,1,FALSE))),"x",IF(NOT(ISERROR(HLOOKUP(Standings!DB$3,Entries!$L20:$L20,1,FALSE))),"S",""))</f>
        <v/>
      </c>
    </row>
    <row r="53" spans="1:106" x14ac:dyDescent="0.25">
      <c r="B53">
        <v>71</v>
      </c>
      <c r="C53" t="str">
        <f>Entries!B21</f>
        <v>JohnBullock1</v>
      </c>
      <c r="D53" s="4">
        <f>IF(C53="","",RANK(E53,$E$10:$E$111))</f>
        <v>32</v>
      </c>
      <c r="E53" s="31">
        <f t="shared" si="1"/>
        <v>4</v>
      </c>
      <c r="F53" s="40" t="str">
        <f t="shared" si="49"/>
        <v/>
      </c>
      <c r="G53" s="41" t="str">
        <f t="shared" si="2"/>
        <v/>
      </c>
      <c r="H53" s="41" t="str">
        <f t="shared" si="3"/>
        <v/>
      </c>
      <c r="I53" s="42" t="str">
        <f t="shared" si="4"/>
        <v/>
      </c>
      <c r="J53" s="40" t="str">
        <f t="shared" si="5"/>
        <v/>
      </c>
      <c r="K53" s="41" t="str">
        <f t="shared" si="6"/>
        <v/>
      </c>
      <c r="L53" s="41">
        <f t="shared" si="7"/>
        <v>1</v>
      </c>
      <c r="M53" s="42" t="str">
        <f t="shared" si="8"/>
        <v/>
      </c>
      <c r="N53" s="43" t="str">
        <f t="shared" si="9"/>
        <v/>
      </c>
      <c r="O53" s="41">
        <f t="shared" si="10"/>
        <v>1</v>
      </c>
      <c r="P53" s="41" t="str">
        <f t="shared" si="11"/>
        <v/>
      </c>
      <c r="Q53" s="42" t="str">
        <f t="shared" si="12"/>
        <v/>
      </c>
      <c r="R53" s="40">
        <f t="shared" si="13"/>
        <v>2</v>
      </c>
      <c r="S53" s="41" t="str">
        <f t="shared" si="14"/>
        <v/>
      </c>
      <c r="T53" s="43" t="str">
        <f t="shared" si="15"/>
        <v/>
      </c>
      <c r="U53" s="42" t="str">
        <f t="shared" si="16"/>
        <v/>
      </c>
      <c r="V53" s="40" t="str">
        <f t="shared" si="17"/>
        <v/>
      </c>
      <c r="W53" s="41" t="str">
        <f t="shared" si="18"/>
        <v/>
      </c>
      <c r="X53" s="41" t="str">
        <f t="shared" si="19"/>
        <v/>
      </c>
      <c r="Y53" s="42" t="str">
        <f t="shared" si="20"/>
        <v/>
      </c>
      <c r="Z53" s="40">
        <f t="shared" si="21"/>
        <v>-1.0000100000000001</v>
      </c>
      <c r="AA53" s="41">
        <f t="shared" si="22"/>
        <v>1</v>
      </c>
      <c r="AB53" s="41" t="str">
        <f t="shared" si="23"/>
        <v/>
      </c>
      <c r="AC53" s="42" t="str">
        <f t="shared" si="24"/>
        <v/>
      </c>
      <c r="AD53" s="40" t="str">
        <f t="shared" si="25"/>
        <v/>
      </c>
      <c r="AE53" s="41" t="str">
        <f t="shared" si="26"/>
        <v/>
      </c>
      <c r="AF53" s="41" t="str">
        <f t="shared" si="27"/>
        <v/>
      </c>
      <c r="AG53" s="42" t="str">
        <f t="shared" si="28"/>
        <v/>
      </c>
      <c r="AH53" s="40" t="str">
        <f t="shared" si="29"/>
        <v/>
      </c>
      <c r="AI53" s="41" t="str">
        <f t="shared" si="30"/>
        <v/>
      </c>
      <c r="AJ53" s="41" t="str">
        <f t="shared" si="31"/>
        <v/>
      </c>
      <c r="AK53" s="42" t="str">
        <f t="shared" si="32"/>
        <v/>
      </c>
      <c r="AL53" s="40">
        <f t="shared" si="33"/>
        <v>0</v>
      </c>
      <c r="AM53" s="41" t="str">
        <f t="shared" si="34"/>
        <v/>
      </c>
      <c r="AN53" s="41" t="str">
        <f t="shared" si="35"/>
        <v/>
      </c>
      <c r="AO53" s="42" t="str">
        <f t="shared" si="36"/>
        <v/>
      </c>
      <c r="AP53" s="40" t="str">
        <f t="shared" si="37"/>
        <v/>
      </c>
      <c r="AQ53" s="41" t="str">
        <f t="shared" si="38"/>
        <v/>
      </c>
      <c r="AR53" s="41" t="str">
        <f t="shared" si="39"/>
        <v/>
      </c>
      <c r="AS53" s="42" t="str">
        <f t="shared" si="40"/>
        <v/>
      </c>
      <c r="AT53" s="40" t="str">
        <f t="shared" si="41"/>
        <v/>
      </c>
      <c r="AU53" s="41" t="str">
        <f t="shared" si="42"/>
        <v/>
      </c>
      <c r="AV53" s="41" t="str">
        <f t="shared" si="43"/>
        <v/>
      </c>
      <c r="AW53" s="42" t="str">
        <f t="shared" si="44"/>
        <v/>
      </c>
      <c r="AX53" s="40" t="str">
        <f t="shared" si="45"/>
        <v/>
      </c>
      <c r="AY53" s="41" t="str">
        <f t="shared" si="46"/>
        <v/>
      </c>
      <c r="AZ53" s="41" t="str">
        <f t="shared" si="47"/>
        <v/>
      </c>
      <c r="BA53" s="42" t="str">
        <f t="shared" si="48"/>
        <v/>
      </c>
      <c r="BB53" s="37" t="s">
        <v>106</v>
      </c>
      <c r="BC53" s="21"/>
      <c r="BD53" s="21"/>
      <c r="BG53" t="str">
        <f>IF(NOT(ISERROR(HLOOKUP(Standings!BG$3,Entries!$C21:$K21,1,FALSE))),"x",IF(NOT(ISERROR(HLOOKUP(Standings!BG$3,Entries!$L21:$L21,1,FALSE))),"S",""))</f>
        <v/>
      </c>
      <c r="BH53" t="str">
        <f>IF(NOT(ISERROR(HLOOKUP(Standings!BH$3,Entries!$C21:$K21,1,FALSE))),"x",IF(NOT(ISERROR(HLOOKUP(Standings!BH$3,Entries!$L21:$L21,1,FALSE))),"S",""))</f>
        <v/>
      </c>
      <c r="BI53" t="str">
        <f>IF(NOT(ISERROR(HLOOKUP(Standings!BI$3,Entries!$C21:$K21,1,FALSE))),"x",IF(NOT(ISERROR(HLOOKUP(Standings!BI$3,Entries!$L21:$L21,1,FALSE))),"S",""))</f>
        <v/>
      </c>
      <c r="BJ53" t="str">
        <f>IF(NOT(ISERROR(HLOOKUP(Standings!BJ$3,Entries!$C21:$K21,1,FALSE))),"x",IF(NOT(ISERROR(HLOOKUP(Standings!BJ$3,Entries!$L21:$L21,1,FALSE))),"S",""))</f>
        <v/>
      </c>
      <c r="BK53" t="str">
        <f>IF(NOT(ISERROR(HLOOKUP(Standings!BK$3,Entries!$C21:$K21,1,FALSE))),"x",IF(NOT(ISERROR(HLOOKUP(Standings!BK$3,Entries!$L21:$L21,1,FALSE))),"S",""))</f>
        <v/>
      </c>
      <c r="BL53" t="str">
        <f>IF(NOT(ISERROR(HLOOKUP(Standings!BL$3,Entries!$C21:$K21,1,FALSE))),"x",IF(NOT(ISERROR(HLOOKUP(Standings!BL$3,Entries!$L21:$L21,1,FALSE))),"S",""))</f>
        <v/>
      </c>
      <c r="BM53" t="str">
        <f>IF(NOT(ISERROR(HLOOKUP(Standings!BM$3,Entries!$C21:$K21,1,FALSE))),"x",IF(NOT(ISERROR(HLOOKUP(Standings!BM$3,Entries!$L21:$L21,1,FALSE))),"S",""))</f>
        <v>x</v>
      </c>
      <c r="BN53" t="str">
        <f>IF(NOT(ISERROR(HLOOKUP(Standings!BN$3,Entries!$C21:$K21,1,FALSE))),"x",IF(NOT(ISERROR(HLOOKUP(Standings!BN$3,Entries!$L21:$L21,1,FALSE))),"S",""))</f>
        <v/>
      </c>
      <c r="BO53" t="str">
        <f>IF(NOT(ISERROR(HLOOKUP(Standings!BO$3,Entries!$C21:$K21,1,FALSE))),"x",IF(NOT(ISERROR(HLOOKUP(Standings!BO$3,Entries!$L21:$L21,1,FALSE))),"S",""))</f>
        <v/>
      </c>
      <c r="BP53" t="str">
        <f>IF(NOT(ISERROR(HLOOKUP(Standings!BP$3,Entries!$C21:$K21,1,FALSE))),"x",IF(NOT(ISERROR(HLOOKUP(Standings!BP$3,Entries!$L21:$L21,1,FALSE))),"S",""))</f>
        <v>x</v>
      </c>
      <c r="BQ53" t="str">
        <f>IF(NOT(ISERROR(HLOOKUP(Standings!BQ$3,Entries!$C21:$K21,1,FALSE))),"x",IF(NOT(ISERROR(HLOOKUP(Standings!BQ$3,Entries!$L21:$L21,1,FALSE))),"S",""))</f>
        <v/>
      </c>
      <c r="BR53" t="str">
        <f>IF(NOT(ISERROR(HLOOKUP(Standings!BR$3,Entries!$C21:$K21,1,FALSE))),"x",IF(NOT(ISERROR(HLOOKUP(Standings!BR$3,Entries!$L21:$L21,1,FALSE))),"S",""))</f>
        <v/>
      </c>
      <c r="BS53" t="str">
        <f>IF(NOT(ISERROR(HLOOKUP(Standings!BS$3,Entries!$C21:$K21,1,FALSE))),"x",IF(NOT(ISERROR(HLOOKUP(Standings!BS$3,Entries!$L21:$L21,1,FALSE))),"S",""))</f>
        <v>x</v>
      </c>
      <c r="BT53" t="str">
        <f>IF(NOT(ISERROR(HLOOKUP(Standings!BT$3,Entries!$C21:$K21,1,FALSE))),"x",IF(NOT(ISERROR(HLOOKUP(Standings!BT$3,Entries!$L21:$L21,1,FALSE))),"S",""))</f>
        <v/>
      </c>
      <c r="BU53" t="str">
        <f>IF(NOT(ISERROR(HLOOKUP(Standings!BU$3,Entries!$C21:$K21,1,FALSE))),"x",IF(NOT(ISERROR(HLOOKUP(Standings!BU$3,Entries!$L21:$L21,1,FALSE))),"S",""))</f>
        <v/>
      </c>
      <c r="BV53" t="str">
        <f>IF(NOT(ISERROR(HLOOKUP(Standings!BV$3,Entries!$C21:$K21,1,FALSE))),"x",IF(NOT(ISERROR(HLOOKUP(Standings!BV$3,Entries!$L21:$L21,1,FALSE))),"S",""))</f>
        <v/>
      </c>
      <c r="BW53" t="str">
        <f>IF(NOT(ISERROR(HLOOKUP(Standings!BW$3,Entries!$C21:$K21,1,FALSE))),"x",IF(NOT(ISERROR(HLOOKUP(Standings!BW$3,Entries!$L21:$L21,1,FALSE))),"S",""))</f>
        <v/>
      </c>
      <c r="BX53" t="str">
        <f>IF(NOT(ISERROR(HLOOKUP(Standings!BX$3,Entries!$C21:$K21,1,FALSE))),"x",IF(NOT(ISERROR(HLOOKUP(Standings!BX$3,Entries!$L21:$L21,1,FALSE))),"S",""))</f>
        <v/>
      </c>
      <c r="BY53" t="str">
        <f>IF(NOT(ISERROR(HLOOKUP(Standings!BY$3,Entries!$C21:$K21,1,FALSE))),"x",IF(NOT(ISERROR(HLOOKUP(Standings!BY$3,Entries!$L21:$L21,1,FALSE))),"S",""))</f>
        <v/>
      </c>
      <c r="BZ53" t="str">
        <f>IF(NOT(ISERROR(HLOOKUP(Standings!BZ$3,Entries!$C21:$K21,1,FALSE))),"x",IF(NOT(ISERROR(HLOOKUP(Standings!BZ$3,Entries!$L21:$L21,1,FALSE))),"S",""))</f>
        <v/>
      </c>
      <c r="CA53" t="str">
        <f>IF(NOT(ISERROR(HLOOKUP(Standings!CA$3,Entries!$C21:$K21,1,FALSE))),"x",IF(NOT(ISERROR(HLOOKUP(Standings!CA$3,Entries!$L21:$L21,1,FALSE))),"S",""))</f>
        <v>S</v>
      </c>
      <c r="CB53" t="str">
        <f>IF(NOT(ISERROR(HLOOKUP(Standings!CB$3,Entries!$C21:$K21,1,FALSE))),"x",IF(NOT(ISERROR(HLOOKUP(Standings!CB$3,Entries!$L21:$L21,1,FALSE))),"S",""))</f>
        <v>x</v>
      </c>
      <c r="CC53" t="str">
        <f>IF(NOT(ISERROR(HLOOKUP(Standings!CC$3,Entries!$C21:$K21,1,FALSE))),"x",IF(NOT(ISERROR(HLOOKUP(Standings!CC$3,Entries!$L21:$L21,1,FALSE))),"S",""))</f>
        <v/>
      </c>
      <c r="CD53" t="str">
        <f>IF(NOT(ISERROR(HLOOKUP(Standings!CD$3,Entries!$C21:$K21,1,FALSE))),"x",IF(NOT(ISERROR(HLOOKUP(Standings!CD$3,Entries!$L21:$L21,1,FALSE))),"S",""))</f>
        <v/>
      </c>
      <c r="CE53" t="str">
        <f>IF(NOT(ISERROR(HLOOKUP(Standings!CE$3,Entries!$C21:$K21,1,FALSE))),"x",IF(NOT(ISERROR(HLOOKUP(Standings!CE$3,Entries!$L21:$L21,1,FALSE))),"S",""))</f>
        <v/>
      </c>
      <c r="CF53" t="str">
        <f>IF(NOT(ISERROR(HLOOKUP(Standings!CF$3,Entries!$C21:$K21,1,FALSE))),"x",IF(NOT(ISERROR(HLOOKUP(Standings!CF$3,Entries!$L21:$L21,1,FALSE))),"S",""))</f>
        <v/>
      </c>
      <c r="CG53" t="str">
        <f>IF(NOT(ISERROR(HLOOKUP(Standings!CG$3,Entries!$C21:$K21,1,FALSE))),"x",IF(NOT(ISERROR(HLOOKUP(Standings!CG$3,Entries!$L21:$L21,1,FALSE))),"S",""))</f>
        <v/>
      </c>
      <c r="CH53" t="str">
        <f>IF(NOT(ISERROR(HLOOKUP(Standings!CH$3,Entries!$C21:$K21,1,FALSE))),"x",IF(NOT(ISERROR(HLOOKUP(Standings!CH$3,Entries!$L21:$L21,1,FALSE))),"S",""))</f>
        <v/>
      </c>
      <c r="CI53" t="str">
        <f>IF(NOT(ISERROR(HLOOKUP(Standings!CI$3,Entries!$C21:$K21,1,FALSE))),"x",IF(NOT(ISERROR(HLOOKUP(Standings!CI$3,Entries!$L21:$L21,1,FALSE))),"S",""))</f>
        <v/>
      </c>
      <c r="CJ53" t="str">
        <f>IF(NOT(ISERROR(HLOOKUP(Standings!CJ$3,Entries!$C21:$K21,1,FALSE))),"x",IF(NOT(ISERROR(HLOOKUP(Standings!CJ$3,Entries!$L21:$L21,1,FALSE))),"S",""))</f>
        <v/>
      </c>
      <c r="CK53" t="str">
        <f>IF(NOT(ISERROR(HLOOKUP(Standings!CK$3,Entries!$C21:$K21,1,FALSE))),"x",IF(NOT(ISERROR(HLOOKUP(Standings!CK$3,Entries!$L21:$L21,1,FALSE))),"S",""))</f>
        <v/>
      </c>
      <c r="CL53" t="str">
        <f>IF(NOT(ISERROR(HLOOKUP(Standings!CL$3,Entries!$C21:$K21,1,FALSE))),"x",IF(NOT(ISERROR(HLOOKUP(Standings!CL$3,Entries!$L21:$L21,1,FALSE))),"S",""))</f>
        <v/>
      </c>
      <c r="CM53" t="str">
        <f>IF(NOT(ISERROR(HLOOKUP(Standings!CM$3,Entries!$C21:$K21,1,FALSE))),"x",IF(NOT(ISERROR(HLOOKUP(Standings!CM$3,Entries!$L21:$L21,1,FALSE))),"S",""))</f>
        <v>x</v>
      </c>
      <c r="CN53" t="str">
        <f>IF(NOT(ISERROR(HLOOKUP(Standings!CN$3,Entries!$C21:$K21,1,FALSE))),"x",IF(NOT(ISERROR(HLOOKUP(Standings!CN$3,Entries!$L21:$L21,1,FALSE))),"S",""))</f>
        <v/>
      </c>
      <c r="CO53" t="str">
        <f>IF(NOT(ISERROR(HLOOKUP(Standings!CO$3,Entries!$C21:$K21,1,FALSE))),"x",IF(NOT(ISERROR(HLOOKUP(Standings!CO$3,Entries!$L21:$L21,1,FALSE))),"S",""))</f>
        <v/>
      </c>
      <c r="CP53" t="str">
        <f>IF(NOT(ISERROR(HLOOKUP(Standings!CP$3,Entries!$C21:$K21,1,FALSE))),"x",IF(NOT(ISERROR(HLOOKUP(Standings!CP$3,Entries!$L21:$L21,1,FALSE))),"S",""))</f>
        <v/>
      </c>
      <c r="CQ53" t="str">
        <f>IF(NOT(ISERROR(HLOOKUP(Standings!CQ$3,Entries!$C21:$K21,1,FALSE))),"x",IF(NOT(ISERROR(HLOOKUP(Standings!CQ$3,Entries!$L21:$L21,1,FALSE))),"S",""))</f>
        <v/>
      </c>
      <c r="CR53" t="str">
        <f>IF(NOT(ISERROR(HLOOKUP(Standings!CR$3,Entries!$C21:$K21,1,FALSE))),"x",IF(NOT(ISERROR(HLOOKUP(Standings!CR$3,Entries!$L21:$L21,1,FALSE))),"S",""))</f>
        <v/>
      </c>
      <c r="CS53" t="str">
        <f>IF(NOT(ISERROR(HLOOKUP(Standings!CS$3,Entries!$C21:$K21,1,FALSE))),"x",IF(NOT(ISERROR(HLOOKUP(Standings!CS$3,Entries!$L21:$L21,1,FALSE))),"S",""))</f>
        <v/>
      </c>
      <c r="CT53" t="str">
        <f>IF(NOT(ISERROR(HLOOKUP(Standings!CT$3,Entries!$C21:$K21,1,FALSE))),"x",IF(NOT(ISERROR(HLOOKUP(Standings!CT$3,Entries!$L21:$L21,1,FALSE))),"S",""))</f>
        <v/>
      </c>
      <c r="CU53" t="str">
        <f>IF(NOT(ISERROR(HLOOKUP(Standings!CU$3,Entries!$C21:$K21,1,FALSE))),"x",IF(NOT(ISERROR(HLOOKUP(Standings!CU$3,Entries!$L21:$L21,1,FALSE))),"S",""))</f>
        <v/>
      </c>
      <c r="CV53" t="str">
        <f>IF(NOT(ISERROR(HLOOKUP(Standings!CV$3,Entries!$C21:$K21,1,FALSE))),"x",IF(NOT(ISERROR(HLOOKUP(Standings!CV$3,Entries!$L21:$L21,1,FALSE))),"S",""))</f>
        <v/>
      </c>
      <c r="CW53" t="str">
        <f>IF(NOT(ISERROR(HLOOKUP(Standings!CW$3,Entries!$C21:$K21,1,FALSE))),"x",IF(NOT(ISERROR(HLOOKUP(Standings!CW$3,Entries!$L21:$L21,1,FALSE))),"S",""))</f>
        <v/>
      </c>
      <c r="CX53" t="str">
        <f>IF(NOT(ISERROR(HLOOKUP(Standings!CX$3,Entries!$C21:$K21,1,FALSE))),"x",IF(NOT(ISERROR(HLOOKUP(Standings!CX$3,Entries!$L21:$L21,1,FALSE))),"S",""))</f>
        <v/>
      </c>
      <c r="CY53" t="str">
        <f>IF(NOT(ISERROR(HLOOKUP(Standings!CY$3,Entries!$C21:$K21,1,FALSE))),"x",IF(NOT(ISERROR(HLOOKUP(Standings!CY$3,Entries!$L21:$L21,1,FALSE))),"S",""))</f>
        <v/>
      </c>
      <c r="CZ53" t="str">
        <f>IF(NOT(ISERROR(HLOOKUP(Standings!CZ$3,Entries!$C21:$K21,1,FALSE))),"x",IF(NOT(ISERROR(HLOOKUP(Standings!CZ$3,Entries!$L21:$L21,1,FALSE))),"S",""))</f>
        <v/>
      </c>
      <c r="DA53" t="str">
        <f>IF(NOT(ISERROR(HLOOKUP(Standings!DA$3,Entries!$C21:$K21,1,FALSE))),"x",IF(NOT(ISERROR(HLOOKUP(Standings!DA$3,Entries!$L21:$L21,1,FALSE))),"S",""))</f>
        <v/>
      </c>
      <c r="DB53" t="str">
        <f>IF(NOT(ISERROR(HLOOKUP(Standings!DB$3,Entries!$C21:$K21,1,FALSE))),"x",IF(NOT(ISERROR(HLOOKUP(Standings!DB$3,Entries!$L21:$L21,1,FALSE))),"S",""))</f>
        <v/>
      </c>
    </row>
    <row r="54" spans="1:106" x14ac:dyDescent="0.25">
      <c r="A54" s="18"/>
      <c r="B54">
        <v>40</v>
      </c>
      <c r="C54" t="str">
        <f>Entries!B22</f>
        <v>JohnBullock2</v>
      </c>
      <c r="D54" s="4">
        <f>IF(C54="","",RANK(E54,$E$10:$E$111))</f>
        <v>32</v>
      </c>
      <c r="E54" s="31">
        <f t="shared" si="1"/>
        <v>4</v>
      </c>
      <c r="F54" s="40" t="str">
        <f t="shared" si="49"/>
        <v/>
      </c>
      <c r="G54" s="41">
        <f t="shared" si="2"/>
        <v>0</v>
      </c>
      <c r="H54" s="41" t="str">
        <f t="shared" si="3"/>
        <v/>
      </c>
      <c r="I54" s="42" t="str">
        <f t="shared" si="4"/>
        <v/>
      </c>
      <c r="J54" s="40" t="str">
        <f t="shared" si="5"/>
        <v/>
      </c>
      <c r="K54" s="41" t="str">
        <f t="shared" si="6"/>
        <v/>
      </c>
      <c r="L54" s="41" t="str">
        <f t="shared" si="7"/>
        <v/>
      </c>
      <c r="M54" s="42" t="str">
        <f t="shared" si="8"/>
        <v/>
      </c>
      <c r="N54" s="43" t="str">
        <f t="shared" si="9"/>
        <v/>
      </c>
      <c r="O54" s="41" t="str">
        <f t="shared" si="10"/>
        <v/>
      </c>
      <c r="P54" s="41" t="str">
        <f t="shared" si="11"/>
        <v/>
      </c>
      <c r="Q54" s="42">
        <f t="shared" si="12"/>
        <v>2</v>
      </c>
      <c r="R54" s="40" t="str">
        <f t="shared" si="13"/>
        <v/>
      </c>
      <c r="S54" s="41" t="str">
        <f t="shared" si="14"/>
        <v/>
      </c>
      <c r="T54" s="43" t="str">
        <f t="shared" si="15"/>
        <v/>
      </c>
      <c r="U54" s="42" t="str">
        <f t="shared" si="16"/>
        <v/>
      </c>
      <c r="V54" s="40">
        <f t="shared" si="17"/>
        <v>2</v>
      </c>
      <c r="W54" s="41" t="str">
        <f t="shared" si="18"/>
        <v/>
      </c>
      <c r="X54" s="41" t="str">
        <f t="shared" si="19"/>
        <v/>
      </c>
      <c r="Y54" s="42" t="str">
        <f t="shared" si="20"/>
        <v/>
      </c>
      <c r="Z54" s="40" t="str">
        <f t="shared" si="21"/>
        <v/>
      </c>
      <c r="AA54" s="41" t="str">
        <f t="shared" si="22"/>
        <v/>
      </c>
      <c r="AB54" s="41" t="str">
        <f t="shared" si="23"/>
        <v/>
      </c>
      <c r="AC54" s="42" t="str">
        <f t="shared" si="24"/>
        <v/>
      </c>
      <c r="AD54" s="40" t="str">
        <f t="shared" si="25"/>
        <v/>
      </c>
      <c r="AE54" s="41" t="str">
        <f t="shared" si="26"/>
        <v/>
      </c>
      <c r="AF54" s="41" t="str">
        <f t="shared" si="27"/>
        <v/>
      </c>
      <c r="AG54" s="42" t="str">
        <f t="shared" si="28"/>
        <v/>
      </c>
      <c r="AH54" s="40" t="str">
        <f t="shared" si="29"/>
        <v/>
      </c>
      <c r="AI54" s="41" t="str">
        <f t="shared" si="30"/>
        <v/>
      </c>
      <c r="AJ54" s="41" t="str">
        <f t="shared" si="31"/>
        <v/>
      </c>
      <c r="AK54" s="42" t="str">
        <f t="shared" si="32"/>
        <v/>
      </c>
      <c r="AL54" s="40" t="str">
        <f t="shared" si="33"/>
        <v/>
      </c>
      <c r="AM54" s="41" t="str">
        <f t="shared" si="34"/>
        <v/>
      </c>
      <c r="AN54" s="41" t="str">
        <f t="shared" si="35"/>
        <v/>
      </c>
      <c r="AO54" s="42" t="str">
        <f t="shared" si="36"/>
        <v/>
      </c>
      <c r="AP54" s="40" t="str">
        <f t="shared" si="37"/>
        <v/>
      </c>
      <c r="AQ54" s="41" t="str">
        <f t="shared" si="38"/>
        <v/>
      </c>
      <c r="AR54" s="41" t="str">
        <f t="shared" si="39"/>
        <v/>
      </c>
      <c r="AS54" s="42" t="str">
        <f t="shared" si="40"/>
        <v/>
      </c>
      <c r="AT54" s="40">
        <f t="shared" si="41"/>
        <v>-1.0000000000000001E-5</v>
      </c>
      <c r="AU54" s="41">
        <f t="shared" si="42"/>
        <v>0</v>
      </c>
      <c r="AV54" s="41">
        <f t="shared" si="43"/>
        <v>0</v>
      </c>
      <c r="AW54" s="42" t="str">
        <f t="shared" si="44"/>
        <v/>
      </c>
      <c r="AX54" s="40">
        <f t="shared" si="45"/>
        <v>0</v>
      </c>
      <c r="AY54" s="41" t="str">
        <f t="shared" si="46"/>
        <v/>
      </c>
      <c r="AZ54" s="41" t="str">
        <f t="shared" si="47"/>
        <v/>
      </c>
      <c r="BA54" s="42" t="str">
        <f t="shared" si="48"/>
        <v/>
      </c>
      <c r="BB54" s="37" t="s">
        <v>106</v>
      </c>
      <c r="BD54" s="21"/>
      <c r="BG54" t="str">
        <f>IF(NOT(ISERROR(HLOOKUP(Standings!BG$3,Entries!$C22:$K22,1,FALSE))),"x",IF(NOT(ISERROR(HLOOKUP(Standings!BG$3,Entries!$L22:$L22,1,FALSE))),"S",""))</f>
        <v/>
      </c>
      <c r="BH54" t="str">
        <f>IF(NOT(ISERROR(HLOOKUP(Standings!BH$3,Entries!$C22:$K22,1,FALSE))),"x",IF(NOT(ISERROR(HLOOKUP(Standings!BH$3,Entries!$L22:$L22,1,FALSE))),"S",""))</f>
        <v>x</v>
      </c>
      <c r="BI54" t="str">
        <f>IF(NOT(ISERROR(HLOOKUP(Standings!BI$3,Entries!$C22:$K22,1,FALSE))),"x",IF(NOT(ISERROR(HLOOKUP(Standings!BI$3,Entries!$L22:$L22,1,FALSE))),"S",""))</f>
        <v/>
      </c>
      <c r="BJ54" t="str">
        <f>IF(NOT(ISERROR(HLOOKUP(Standings!BJ$3,Entries!$C22:$K22,1,FALSE))),"x",IF(NOT(ISERROR(HLOOKUP(Standings!BJ$3,Entries!$L22:$L22,1,FALSE))),"S",""))</f>
        <v/>
      </c>
      <c r="BK54" t="str">
        <f>IF(NOT(ISERROR(HLOOKUP(Standings!BK$3,Entries!$C22:$K22,1,FALSE))),"x",IF(NOT(ISERROR(HLOOKUP(Standings!BK$3,Entries!$L22:$L22,1,FALSE))),"S",""))</f>
        <v/>
      </c>
      <c r="BL54" t="str">
        <f>IF(NOT(ISERROR(HLOOKUP(Standings!BL$3,Entries!$C22:$K22,1,FALSE))),"x",IF(NOT(ISERROR(HLOOKUP(Standings!BL$3,Entries!$L22:$L22,1,FALSE))),"S",""))</f>
        <v/>
      </c>
      <c r="BM54" t="str">
        <f>IF(NOT(ISERROR(HLOOKUP(Standings!BM$3,Entries!$C22:$K22,1,FALSE))),"x",IF(NOT(ISERROR(HLOOKUP(Standings!BM$3,Entries!$L22:$L22,1,FALSE))),"S",""))</f>
        <v/>
      </c>
      <c r="BN54" t="str">
        <f>IF(NOT(ISERROR(HLOOKUP(Standings!BN$3,Entries!$C22:$K22,1,FALSE))),"x",IF(NOT(ISERROR(HLOOKUP(Standings!BN$3,Entries!$L22:$L22,1,FALSE))),"S",""))</f>
        <v/>
      </c>
      <c r="BO54" t="str">
        <f>IF(NOT(ISERROR(HLOOKUP(Standings!BO$3,Entries!$C22:$K22,1,FALSE))),"x",IF(NOT(ISERROR(HLOOKUP(Standings!BO$3,Entries!$L22:$L22,1,FALSE))),"S",""))</f>
        <v/>
      </c>
      <c r="BP54" t="str">
        <f>IF(NOT(ISERROR(HLOOKUP(Standings!BP$3,Entries!$C22:$K22,1,FALSE))),"x",IF(NOT(ISERROR(HLOOKUP(Standings!BP$3,Entries!$L22:$L22,1,FALSE))),"S",""))</f>
        <v/>
      </c>
      <c r="BQ54" t="str">
        <f>IF(NOT(ISERROR(HLOOKUP(Standings!BQ$3,Entries!$C22:$K22,1,FALSE))),"x",IF(NOT(ISERROR(HLOOKUP(Standings!BQ$3,Entries!$L22:$L22,1,FALSE))),"S",""))</f>
        <v/>
      </c>
      <c r="BR54" t="str">
        <f>IF(NOT(ISERROR(HLOOKUP(Standings!BR$3,Entries!$C22:$K22,1,FALSE))),"x",IF(NOT(ISERROR(HLOOKUP(Standings!BR$3,Entries!$L22:$L22,1,FALSE))),"S",""))</f>
        <v>x</v>
      </c>
      <c r="BS54" t="str">
        <f>IF(NOT(ISERROR(HLOOKUP(Standings!BS$3,Entries!$C22:$K22,1,FALSE))),"x",IF(NOT(ISERROR(HLOOKUP(Standings!BS$3,Entries!$L22:$L22,1,FALSE))),"S",""))</f>
        <v/>
      </c>
      <c r="BT54" t="str">
        <f>IF(NOT(ISERROR(HLOOKUP(Standings!BT$3,Entries!$C22:$K22,1,FALSE))),"x",IF(NOT(ISERROR(HLOOKUP(Standings!BT$3,Entries!$L22:$L22,1,FALSE))),"S",""))</f>
        <v/>
      </c>
      <c r="BU54" t="str">
        <f>IF(NOT(ISERROR(HLOOKUP(Standings!BU$3,Entries!$C22:$K22,1,FALSE))),"x",IF(NOT(ISERROR(HLOOKUP(Standings!BU$3,Entries!$L22:$L22,1,FALSE))),"S",""))</f>
        <v/>
      </c>
      <c r="BV54" t="str">
        <f>IF(NOT(ISERROR(HLOOKUP(Standings!BV$3,Entries!$C22:$K22,1,FALSE))),"x",IF(NOT(ISERROR(HLOOKUP(Standings!BV$3,Entries!$L22:$L22,1,FALSE))),"S",""))</f>
        <v/>
      </c>
      <c r="BW54" t="str">
        <f>IF(NOT(ISERROR(HLOOKUP(Standings!BW$3,Entries!$C22:$K22,1,FALSE))),"x",IF(NOT(ISERROR(HLOOKUP(Standings!BW$3,Entries!$L22:$L22,1,FALSE))),"S",""))</f>
        <v>x</v>
      </c>
      <c r="BX54" t="str">
        <f>IF(NOT(ISERROR(HLOOKUP(Standings!BX$3,Entries!$C22:$K22,1,FALSE))),"x",IF(NOT(ISERROR(HLOOKUP(Standings!BX$3,Entries!$L22:$L22,1,FALSE))),"S",""))</f>
        <v/>
      </c>
      <c r="BY54" t="str">
        <f>IF(NOT(ISERROR(HLOOKUP(Standings!BY$3,Entries!$C22:$K22,1,FALSE))),"x",IF(NOT(ISERROR(HLOOKUP(Standings!BY$3,Entries!$L22:$L22,1,FALSE))),"S",""))</f>
        <v/>
      </c>
      <c r="BZ54" t="str">
        <f>IF(NOT(ISERROR(HLOOKUP(Standings!BZ$3,Entries!$C22:$K22,1,FALSE))),"x",IF(NOT(ISERROR(HLOOKUP(Standings!BZ$3,Entries!$L22:$L22,1,FALSE))),"S",""))</f>
        <v/>
      </c>
      <c r="CA54" t="str">
        <f>IF(NOT(ISERROR(HLOOKUP(Standings!CA$3,Entries!$C22:$K22,1,FALSE))),"x",IF(NOT(ISERROR(HLOOKUP(Standings!CA$3,Entries!$L22:$L22,1,FALSE))),"S",""))</f>
        <v/>
      </c>
      <c r="CB54" t="str">
        <f>IF(NOT(ISERROR(HLOOKUP(Standings!CB$3,Entries!$C22:$K22,1,FALSE))),"x",IF(NOT(ISERROR(HLOOKUP(Standings!CB$3,Entries!$L22:$L22,1,FALSE))),"S",""))</f>
        <v/>
      </c>
      <c r="CC54" t="str">
        <f>IF(NOT(ISERROR(HLOOKUP(Standings!CC$3,Entries!$C22:$K22,1,FALSE))),"x",IF(NOT(ISERROR(HLOOKUP(Standings!CC$3,Entries!$L22:$L22,1,FALSE))),"S",""))</f>
        <v/>
      </c>
      <c r="CD54" t="str">
        <f>IF(NOT(ISERROR(HLOOKUP(Standings!CD$3,Entries!$C22:$K22,1,FALSE))),"x",IF(NOT(ISERROR(HLOOKUP(Standings!CD$3,Entries!$L22:$L22,1,FALSE))),"S",""))</f>
        <v/>
      </c>
      <c r="CE54" t="str">
        <f>IF(NOT(ISERROR(HLOOKUP(Standings!CE$3,Entries!$C22:$K22,1,FALSE))),"x",IF(NOT(ISERROR(HLOOKUP(Standings!CE$3,Entries!$L22:$L22,1,FALSE))),"S",""))</f>
        <v/>
      </c>
      <c r="CF54" t="str">
        <f>IF(NOT(ISERROR(HLOOKUP(Standings!CF$3,Entries!$C22:$K22,1,FALSE))),"x",IF(NOT(ISERROR(HLOOKUP(Standings!CF$3,Entries!$L22:$L22,1,FALSE))),"S",""))</f>
        <v/>
      </c>
      <c r="CG54" t="str">
        <f>IF(NOT(ISERROR(HLOOKUP(Standings!CG$3,Entries!$C22:$K22,1,FALSE))),"x",IF(NOT(ISERROR(HLOOKUP(Standings!CG$3,Entries!$L22:$L22,1,FALSE))),"S",""))</f>
        <v/>
      </c>
      <c r="CH54" t="str">
        <f>IF(NOT(ISERROR(HLOOKUP(Standings!CH$3,Entries!$C22:$K22,1,FALSE))),"x",IF(NOT(ISERROR(HLOOKUP(Standings!CH$3,Entries!$L22:$L22,1,FALSE))),"S",""))</f>
        <v/>
      </c>
      <c r="CI54" t="str">
        <f>IF(NOT(ISERROR(HLOOKUP(Standings!CI$3,Entries!$C22:$K22,1,FALSE))),"x",IF(NOT(ISERROR(HLOOKUP(Standings!CI$3,Entries!$L22:$L22,1,FALSE))),"S",""))</f>
        <v/>
      </c>
      <c r="CJ54" t="str">
        <f>IF(NOT(ISERROR(HLOOKUP(Standings!CJ$3,Entries!$C22:$K22,1,FALSE))),"x",IF(NOT(ISERROR(HLOOKUP(Standings!CJ$3,Entries!$L22:$L22,1,FALSE))),"S",""))</f>
        <v/>
      </c>
      <c r="CK54" t="str">
        <f>IF(NOT(ISERROR(HLOOKUP(Standings!CK$3,Entries!$C22:$K22,1,FALSE))),"x",IF(NOT(ISERROR(HLOOKUP(Standings!CK$3,Entries!$L22:$L22,1,FALSE))),"S",""))</f>
        <v/>
      </c>
      <c r="CL54" t="str">
        <f>IF(NOT(ISERROR(HLOOKUP(Standings!CL$3,Entries!$C22:$K22,1,FALSE))),"x",IF(NOT(ISERROR(HLOOKUP(Standings!CL$3,Entries!$L22:$L22,1,FALSE))),"S",""))</f>
        <v/>
      </c>
      <c r="CM54" t="str">
        <f>IF(NOT(ISERROR(HLOOKUP(Standings!CM$3,Entries!$C22:$K22,1,FALSE))),"x",IF(NOT(ISERROR(HLOOKUP(Standings!CM$3,Entries!$L22:$L22,1,FALSE))),"S",""))</f>
        <v/>
      </c>
      <c r="CN54" t="str">
        <f>IF(NOT(ISERROR(HLOOKUP(Standings!CN$3,Entries!$C22:$K22,1,FALSE))),"x",IF(NOT(ISERROR(HLOOKUP(Standings!CN$3,Entries!$L22:$L22,1,FALSE))),"S",""))</f>
        <v/>
      </c>
      <c r="CO54" t="str">
        <f>IF(NOT(ISERROR(HLOOKUP(Standings!CO$3,Entries!$C22:$K22,1,FALSE))),"x",IF(NOT(ISERROR(HLOOKUP(Standings!CO$3,Entries!$L22:$L22,1,FALSE))),"S",""))</f>
        <v/>
      </c>
      <c r="CP54" t="str">
        <f>IF(NOT(ISERROR(HLOOKUP(Standings!CP$3,Entries!$C22:$K22,1,FALSE))),"x",IF(NOT(ISERROR(HLOOKUP(Standings!CP$3,Entries!$L22:$L22,1,FALSE))),"S",""))</f>
        <v/>
      </c>
      <c r="CQ54" t="str">
        <f>IF(NOT(ISERROR(HLOOKUP(Standings!CQ$3,Entries!$C22:$K22,1,FALSE))),"x",IF(NOT(ISERROR(HLOOKUP(Standings!CQ$3,Entries!$L22:$L22,1,FALSE))),"S",""))</f>
        <v/>
      </c>
      <c r="CR54" t="str">
        <f>IF(NOT(ISERROR(HLOOKUP(Standings!CR$3,Entries!$C22:$K22,1,FALSE))),"x",IF(NOT(ISERROR(HLOOKUP(Standings!CR$3,Entries!$L22:$L22,1,FALSE))),"S",""))</f>
        <v/>
      </c>
      <c r="CS54" t="str">
        <f>IF(NOT(ISERROR(HLOOKUP(Standings!CS$3,Entries!$C22:$K22,1,FALSE))),"x",IF(NOT(ISERROR(HLOOKUP(Standings!CS$3,Entries!$L22:$L22,1,FALSE))),"S",""))</f>
        <v/>
      </c>
      <c r="CT54" t="str">
        <f>IF(NOT(ISERROR(HLOOKUP(Standings!CT$3,Entries!$C22:$K22,1,FALSE))),"x",IF(NOT(ISERROR(HLOOKUP(Standings!CT$3,Entries!$L22:$L22,1,FALSE))),"S",""))</f>
        <v/>
      </c>
      <c r="CU54" t="str">
        <f>IF(NOT(ISERROR(HLOOKUP(Standings!CU$3,Entries!$C22:$K22,1,FALSE))),"x",IF(NOT(ISERROR(HLOOKUP(Standings!CU$3,Entries!$L22:$L22,1,FALSE))),"S",""))</f>
        <v>S</v>
      </c>
      <c r="CV54" t="str">
        <f>IF(NOT(ISERROR(HLOOKUP(Standings!CV$3,Entries!$C22:$K22,1,FALSE))),"x",IF(NOT(ISERROR(HLOOKUP(Standings!CV$3,Entries!$L22:$L22,1,FALSE))),"S",""))</f>
        <v>x</v>
      </c>
      <c r="CW54" t="str">
        <f>IF(NOT(ISERROR(HLOOKUP(Standings!CW$3,Entries!$C22:$K22,1,FALSE))),"x",IF(NOT(ISERROR(HLOOKUP(Standings!CW$3,Entries!$L22:$L22,1,FALSE))),"S",""))</f>
        <v>x</v>
      </c>
      <c r="CX54" t="str">
        <f>IF(NOT(ISERROR(HLOOKUP(Standings!CX$3,Entries!$C22:$K22,1,FALSE))),"x",IF(NOT(ISERROR(HLOOKUP(Standings!CX$3,Entries!$L22:$L22,1,FALSE))),"S",""))</f>
        <v/>
      </c>
      <c r="CY54" t="str">
        <f>IF(NOT(ISERROR(HLOOKUP(Standings!CY$3,Entries!$C22:$K22,1,FALSE))),"x",IF(NOT(ISERROR(HLOOKUP(Standings!CY$3,Entries!$L22:$L22,1,FALSE))),"S",""))</f>
        <v>x</v>
      </c>
      <c r="CZ54" t="str">
        <f>IF(NOT(ISERROR(HLOOKUP(Standings!CZ$3,Entries!$C22:$K22,1,FALSE))),"x",IF(NOT(ISERROR(HLOOKUP(Standings!CZ$3,Entries!$L22:$L22,1,FALSE))),"S",""))</f>
        <v/>
      </c>
      <c r="DA54" t="str">
        <f>IF(NOT(ISERROR(HLOOKUP(Standings!DA$3,Entries!$C22:$K22,1,FALSE))),"x",IF(NOT(ISERROR(HLOOKUP(Standings!DA$3,Entries!$L22:$L22,1,FALSE))),"S",""))</f>
        <v/>
      </c>
      <c r="DB54" t="str">
        <f>IF(NOT(ISERROR(HLOOKUP(Standings!DB$3,Entries!$C22:$K22,1,FALSE))),"x",IF(NOT(ISERROR(HLOOKUP(Standings!DB$3,Entries!$L22:$L22,1,FALSE))),"S",""))</f>
        <v/>
      </c>
    </row>
    <row r="55" spans="1:106" x14ac:dyDescent="0.25">
      <c r="A55" s="18"/>
      <c r="B55">
        <v>3</v>
      </c>
      <c r="C55" t="str">
        <f>Entries!B24</f>
        <v>John Falck #2</v>
      </c>
      <c r="D55" s="4">
        <f>IF(C55="","",RANK(E55,$E$10:$E$111))</f>
        <v>32</v>
      </c>
      <c r="E55" s="31">
        <f t="shared" si="1"/>
        <v>4</v>
      </c>
      <c r="F55" s="40">
        <f t="shared" si="49"/>
        <v>2</v>
      </c>
      <c r="G55" s="41" t="str">
        <f t="shared" si="2"/>
        <v/>
      </c>
      <c r="H55" s="41" t="str">
        <f t="shared" si="3"/>
        <v/>
      </c>
      <c r="I55" s="42" t="str">
        <f t="shared" si="4"/>
        <v/>
      </c>
      <c r="J55" s="40">
        <f t="shared" si="5"/>
        <v>1</v>
      </c>
      <c r="K55" s="41" t="str">
        <f t="shared" si="6"/>
        <v/>
      </c>
      <c r="L55" s="41" t="str">
        <f t="shared" si="7"/>
        <v/>
      </c>
      <c r="M55" s="42" t="str">
        <f t="shared" si="8"/>
        <v/>
      </c>
      <c r="N55" s="43" t="str">
        <f t="shared" si="9"/>
        <v/>
      </c>
      <c r="O55" s="41" t="str">
        <f t="shared" si="10"/>
        <v/>
      </c>
      <c r="P55" s="41" t="str">
        <f t="shared" si="11"/>
        <v/>
      </c>
      <c r="Q55" s="42" t="str">
        <f t="shared" si="12"/>
        <v/>
      </c>
      <c r="R55" s="40" t="str">
        <f t="shared" si="13"/>
        <v/>
      </c>
      <c r="S55" s="41" t="str">
        <f t="shared" si="14"/>
        <v/>
      </c>
      <c r="T55" s="43" t="str">
        <f t="shared" si="15"/>
        <v/>
      </c>
      <c r="U55" s="42" t="str">
        <f t="shared" si="16"/>
        <v/>
      </c>
      <c r="V55" s="40" t="str">
        <f t="shared" si="17"/>
        <v/>
      </c>
      <c r="W55" s="41" t="str">
        <f t="shared" si="18"/>
        <v/>
      </c>
      <c r="X55" s="41" t="str">
        <f t="shared" si="19"/>
        <v/>
      </c>
      <c r="Y55" s="42" t="str">
        <f t="shared" si="20"/>
        <v/>
      </c>
      <c r="Z55" s="40" t="str">
        <f t="shared" si="21"/>
        <v/>
      </c>
      <c r="AA55" s="41">
        <f t="shared" si="22"/>
        <v>1</v>
      </c>
      <c r="AB55" s="41" t="str">
        <f t="shared" si="23"/>
        <v/>
      </c>
      <c r="AC55" s="42" t="str">
        <f t="shared" si="24"/>
        <v/>
      </c>
      <c r="AD55" s="40" t="str">
        <f t="shared" si="25"/>
        <v/>
      </c>
      <c r="AE55" s="41" t="str">
        <f t="shared" si="26"/>
        <v/>
      </c>
      <c r="AF55" s="41" t="str">
        <f t="shared" si="27"/>
        <v/>
      </c>
      <c r="AG55" s="42" t="str">
        <f t="shared" si="28"/>
        <v/>
      </c>
      <c r="AH55" s="40" t="str">
        <f t="shared" si="29"/>
        <v/>
      </c>
      <c r="AI55" s="41" t="str">
        <f t="shared" si="30"/>
        <v/>
      </c>
      <c r="AJ55" s="41" t="str">
        <f t="shared" si="31"/>
        <v/>
      </c>
      <c r="AK55" s="42" t="str">
        <f t="shared" si="32"/>
        <v/>
      </c>
      <c r="AL55" s="40">
        <f t="shared" si="33"/>
        <v>-1.0000000000000001E-5</v>
      </c>
      <c r="AM55" s="41" t="str">
        <f t="shared" si="34"/>
        <v/>
      </c>
      <c r="AN55" s="41">
        <f t="shared" si="35"/>
        <v>0</v>
      </c>
      <c r="AO55" s="42" t="str">
        <f t="shared" si="36"/>
        <v/>
      </c>
      <c r="AP55" s="40" t="str">
        <f t="shared" si="37"/>
        <v/>
      </c>
      <c r="AQ55" s="41" t="str">
        <f t="shared" si="38"/>
        <v/>
      </c>
      <c r="AR55" s="41">
        <f t="shared" si="39"/>
        <v>0</v>
      </c>
      <c r="AS55" s="42" t="str">
        <f t="shared" si="40"/>
        <v/>
      </c>
      <c r="AT55" s="40" t="str">
        <f t="shared" si="41"/>
        <v/>
      </c>
      <c r="AU55" s="41" t="str">
        <f t="shared" si="42"/>
        <v/>
      </c>
      <c r="AV55" s="41" t="str">
        <f t="shared" si="43"/>
        <v/>
      </c>
      <c r="AW55" s="42" t="str">
        <f t="shared" si="44"/>
        <v/>
      </c>
      <c r="AX55" s="40">
        <f t="shared" si="45"/>
        <v>0</v>
      </c>
      <c r="AY55" s="41" t="str">
        <f t="shared" si="46"/>
        <v/>
      </c>
      <c r="AZ55" s="41" t="str">
        <f t="shared" si="47"/>
        <v/>
      </c>
      <c r="BA55" s="42" t="str">
        <f t="shared" si="48"/>
        <v/>
      </c>
      <c r="BB55" s="37" t="s">
        <v>106</v>
      </c>
      <c r="BC55" s="21"/>
      <c r="BD55" s="21"/>
      <c r="BG55" t="str">
        <f>IF(NOT(ISERROR(HLOOKUP(Standings!BG$3,Entries!$C24:$K24,1,FALSE))),"x",IF(NOT(ISERROR(HLOOKUP(Standings!BG$3,Entries!$L24:$L24,1,FALSE))),"S",""))</f>
        <v>x</v>
      </c>
      <c r="BH55" t="str">
        <f>IF(NOT(ISERROR(HLOOKUP(Standings!BH$3,Entries!$C24:$K24,1,FALSE))),"x",IF(NOT(ISERROR(HLOOKUP(Standings!BH$3,Entries!$L24:$L24,1,FALSE))),"S",""))</f>
        <v/>
      </c>
      <c r="BI55" t="str">
        <f>IF(NOT(ISERROR(HLOOKUP(Standings!BI$3,Entries!$C24:$K24,1,FALSE))),"x",IF(NOT(ISERROR(HLOOKUP(Standings!BI$3,Entries!$L24:$L24,1,FALSE))),"S",""))</f>
        <v/>
      </c>
      <c r="BJ55" t="str">
        <f>IF(NOT(ISERROR(HLOOKUP(Standings!BJ$3,Entries!$C24:$K24,1,FALSE))),"x",IF(NOT(ISERROR(HLOOKUP(Standings!BJ$3,Entries!$L24:$L24,1,FALSE))),"S",""))</f>
        <v/>
      </c>
      <c r="BK55" t="str">
        <f>IF(NOT(ISERROR(HLOOKUP(Standings!BK$3,Entries!$C24:$K24,1,FALSE))),"x",IF(NOT(ISERROR(HLOOKUP(Standings!BK$3,Entries!$L24:$L24,1,FALSE))),"S",""))</f>
        <v>x</v>
      </c>
      <c r="BL55" t="str">
        <f>IF(NOT(ISERROR(HLOOKUP(Standings!BL$3,Entries!$C24:$K24,1,FALSE))),"x",IF(NOT(ISERROR(HLOOKUP(Standings!BL$3,Entries!$L24:$L24,1,FALSE))),"S",""))</f>
        <v/>
      </c>
      <c r="BM55" t="str">
        <f>IF(NOT(ISERROR(HLOOKUP(Standings!BM$3,Entries!$C24:$K24,1,FALSE))),"x",IF(NOT(ISERROR(HLOOKUP(Standings!BM$3,Entries!$L24:$L24,1,FALSE))),"S",""))</f>
        <v/>
      </c>
      <c r="BN55" t="str">
        <f>IF(NOT(ISERROR(HLOOKUP(Standings!BN$3,Entries!$C24:$K24,1,FALSE))),"x",IF(NOT(ISERROR(HLOOKUP(Standings!BN$3,Entries!$L24:$L24,1,FALSE))),"S",""))</f>
        <v/>
      </c>
      <c r="BO55" t="str">
        <f>IF(NOT(ISERROR(HLOOKUP(Standings!BO$3,Entries!$C24:$K24,1,FALSE))),"x",IF(NOT(ISERROR(HLOOKUP(Standings!BO$3,Entries!$L24:$L24,1,FALSE))),"S",""))</f>
        <v/>
      </c>
      <c r="BP55" t="str">
        <f>IF(NOT(ISERROR(HLOOKUP(Standings!BP$3,Entries!$C24:$K24,1,FALSE))),"x",IF(NOT(ISERROR(HLOOKUP(Standings!BP$3,Entries!$L24:$L24,1,FALSE))),"S",""))</f>
        <v/>
      </c>
      <c r="BQ55" t="str">
        <f>IF(NOT(ISERROR(HLOOKUP(Standings!BQ$3,Entries!$C24:$K24,1,FALSE))),"x",IF(NOT(ISERROR(HLOOKUP(Standings!BQ$3,Entries!$L24:$L24,1,FALSE))),"S",""))</f>
        <v/>
      </c>
      <c r="BR55" t="str">
        <f>IF(NOT(ISERROR(HLOOKUP(Standings!BR$3,Entries!$C24:$K24,1,FALSE))),"x",IF(NOT(ISERROR(HLOOKUP(Standings!BR$3,Entries!$L24:$L24,1,FALSE))),"S",""))</f>
        <v/>
      </c>
      <c r="BS55" t="str">
        <f>IF(NOT(ISERROR(HLOOKUP(Standings!BS$3,Entries!$C24:$K24,1,FALSE))),"x",IF(NOT(ISERROR(HLOOKUP(Standings!BS$3,Entries!$L24:$L24,1,FALSE))),"S",""))</f>
        <v/>
      </c>
      <c r="BT55" t="str">
        <f>IF(NOT(ISERROR(HLOOKUP(Standings!BT$3,Entries!$C24:$K24,1,FALSE))),"x",IF(NOT(ISERROR(HLOOKUP(Standings!BT$3,Entries!$L24:$L24,1,FALSE))),"S",""))</f>
        <v/>
      </c>
      <c r="BU55" t="str">
        <f>IF(NOT(ISERROR(HLOOKUP(Standings!BU$3,Entries!$C24:$K24,1,FALSE))),"x",IF(NOT(ISERROR(HLOOKUP(Standings!BU$3,Entries!$L24:$L24,1,FALSE))),"S",""))</f>
        <v/>
      </c>
      <c r="BV55" t="str">
        <f>IF(NOT(ISERROR(HLOOKUP(Standings!BV$3,Entries!$C24:$K24,1,FALSE))),"x",IF(NOT(ISERROR(HLOOKUP(Standings!BV$3,Entries!$L24:$L24,1,FALSE))),"S",""))</f>
        <v/>
      </c>
      <c r="BW55" t="str">
        <f>IF(NOT(ISERROR(HLOOKUP(Standings!BW$3,Entries!$C24:$K24,1,FALSE))),"x",IF(NOT(ISERROR(HLOOKUP(Standings!BW$3,Entries!$L24:$L24,1,FALSE))),"S",""))</f>
        <v/>
      </c>
      <c r="BX55" t="str">
        <f>IF(NOT(ISERROR(HLOOKUP(Standings!BX$3,Entries!$C24:$K24,1,FALSE))),"x",IF(NOT(ISERROR(HLOOKUP(Standings!BX$3,Entries!$L24:$L24,1,FALSE))),"S",""))</f>
        <v/>
      </c>
      <c r="BY55" t="str">
        <f>IF(NOT(ISERROR(HLOOKUP(Standings!BY$3,Entries!$C24:$K24,1,FALSE))),"x",IF(NOT(ISERROR(HLOOKUP(Standings!BY$3,Entries!$L24:$L24,1,FALSE))),"S",""))</f>
        <v/>
      </c>
      <c r="BZ55" t="str">
        <f>IF(NOT(ISERROR(HLOOKUP(Standings!BZ$3,Entries!$C24:$K24,1,FALSE))),"x",IF(NOT(ISERROR(HLOOKUP(Standings!BZ$3,Entries!$L24:$L24,1,FALSE))),"S",""))</f>
        <v/>
      </c>
      <c r="CA55" t="str">
        <f>IF(NOT(ISERROR(HLOOKUP(Standings!CA$3,Entries!$C24:$K24,1,FALSE))),"x",IF(NOT(ISERROR(HLOOKUP(Standings!CA$3,Entries!$L24:$L24,1,FALSE))),"S",""))</f>
        <v/>
      </c>
      <c r="CB55" t="str">
        <f>IF(NOT(ISERROR(HLOOKUP(Standings!CB$3,Entries!$C24:$K24,1,FALSE))),"x",IF(NOT(ISERROR(HLOOKUP(Standings!CB$3,Entries!$L24:$L24,1,FALSE))),"S",""))</f>
        <v>x</v>
      </c>
      <c r="CC55" t="str">
        <f>IF(NOT(ISERROR(HLOOKUP(Standings!CC$3,Entries!$C24:$K24,1,FALSE))),"x",IF(NOT(ISERROR(HLOOKUP(Standings!CC$3,Entries!$L24:$L24,1,FALSE))),"S",""))</f>
        <v/>
      </c>
      <c r="CD55" t="str">
        <f>IF(NOT(ISERROR(HLOOKUP(Standings!CD$3,Entries!$C24:$K24,1,FALSE))),"x",IF(NOT(ISERROR(HLOOKUP(Standings!CD$3,Entries!$L24:$L24,1,FALSE))),"S",""))</f>
        <v/>
      </c>
      <c r="CE55" t="str">
        <f>IF(NOT(ISERROR(HLOOKUP(Standings!CE$3,Entries!$C24:$K24,1,FALSE))),"x",IF(NOT(ISERROR(HLOOKUP(Standings!CE$3,Entries!$L24:$L24,1,FALSE))),"S",""))</f>
        <v/>
      </c>
      <c r="CF55" t="str">
        <f>IF(NOT(ISERROR(HLOOKUP(Standings!CF$3,Entries!$C24:$K24,1,FALSE))),"x",IF(NOT(ISERROR(HLOOKUP(Standings!CF$3,Entries!$L24:$L24,1,FALSE))),"S",""))</f>
        <v/>
      </c>
      <c r="CG55" t="str">
        <f>IF(NOT(ISERROR(HLOOKUP(Standings!CG$3,Entries!$C24:$K24,1,FALSE))),"x",IF(NOT(ISERROR(HLOOKUP(Standings!CG$3,Entries!$L24:$L24,1,FALSE))),"S",""))</f>
        <v/>
      </c>
      <c r="CH55" t="str">
        <f>IF(NOT(ISERROR(HLOOKUP(Standings!CH$3,Entries!$C24:$K24,1,FALSE))),"x",IF(NOT(ISERROR(HLOOKUP(Standings!CH$3,Entries!$L24:$L24,1,FALSE))),"S",""))</f>
        <v/>
      </c>
      <c r="CI55" t="str">
        <f>IF(NOT(ISERROR(HLOOKUP(Standings!CI$3,Entries!$C24:$K24,1,FALSE))),"x",IF(NOT(ISERROR(HLOOKUP(Standings!CI$3,Entries!$L24:$L24,1,FALSE))),"S",""))</f>
        <v/>
      </c>
      <c r="CJ55" t="str">
        <f>IF(NOT(ISERROR(HLOOKUP(Standings!CJ$3,Entries!$C24:$K24,1,FALSE))),"x",IF(NOT(ISERROR(HLOOKUP(Standings!CJ$3,Entries!$L24:$L24,1,FALSE))),"S",""))</f>
        <v/>
      </c>
      <c r="CK55" t="str">
        <f>IF(NOT(ISERROR(HLOOKUP(Standings!CK$3,Entries!$C24:$K24,1,FALSE))),"x",IF(NOT(ISERROR(HLOOKUP(Standings!CK$3,Entries!$L24:$L24,1,FALSE))),"S",""))</f>
        <v/>
      </c>
      <c r="CL55" t="str">
        <f>IF(NOT(ISERROR(HLOOKUP(Standings!CL$3,Entries!$C24:$K24,1,FALSE))),"x",IF(NOT(ISERROR(HLOOKUP(Standings!CL$3,Entries!$L24:$L24,1,FALSE))),"S",""))</f>
        <v/>
      </c>
      <c r="CM55" t="str">
        <f>IF(NOT(ISERROR(HLOOKUP(Standings!CM$3,Entries!$C24:$K24,1,FALSE))),"x",IF(NOT(ISERROR(HLOOKUP(Standings!CM$3,Entries!$L24:$L24,1,FALSE))),"S",""))</f>
        <v>S</v>
      </c>
      <c r="CN55" t="str">
        <f>IF(NOT(ISERROR(HLOOKUP(Standings!CN$3,Entries!$C24:$K24,1,FALSE))),"x",IF(NOT(ISERROR(HLOOKUP(Standings!CN$3,Entries!$L24:$L24,1,FALSE))),"S",""))</f>
        <v/>
      </c>
      <c r="CO55" t="str">
        <f>IF(NOT(ISERROR(HLOOKUP(Standings!CO$3,Entries!$C24:$K24,1,FALSE))),"x",IF(NOT(ISERROR(HLOOKUP(Standings!CO$3,Entries!$L24:$L24,1,FALSE))),"S",""))</f>
        <v>x</v>
      </c>
      <c r="CP55" t="str">
        <f>IF(NOT(ISERROR(HLOOKUP(Standings!CP$3,Entries!$C24:$K24,1,FALSE))),"x",IF(NOT(ISERROR(HLOOKUP(Standings!CP$3,Entries!$L24:$L24,1,FALSE))),"S",""))</f>
        <v/>
      </c>
      <c r="CQ55" t="str">
        <f>IF(NOT(ISERROR(HLOOKUP(Standings!CQ$3,Entries!$C24:$K24,1,FALSE))),"x",IF(NOT(ISERROR(HLOOKUP(Standings!CQ$3,Entries!$L24:$L24,1,FALSE))),"S",""))</f>
        <v/>
      </c>
      <c r="CR55" t="str">
        <f>IF(NOT(ISERROR(HLOOKUP(Standings!CR$3,Entries!$C24:$K24,1,FALSE))),"x",IF(NOT(ISERROR(HLOOKUP(Standings!CR$3,Entries!$L24:$L24,1,FALSE))),"S",""))</f>
        <v/>
      </c>
      <c r="CS55" t="str">
        <f>IF(NOT(ISERROR(HLOOKUP(Standings!CS$3,Entries!$C24:$K24,1,FALSE))),"x",IF(NOT(ISERROR(HLOOKUP(Standings!CS$3,Entries!$L24:$L24,1,FALSE))),"S",""))</f>
        <v>x</v>
      </c>
      <c r="CT55" t="str">
        <f>IF(NOT(ISERROR(HLOOKUP(Standings!CT$3,Entries!$C24:$K24,1,FALSE))),"x",IF(NOT(ISERROR(HLOOKUP(Standings!CT$3,Entries!$L24:$L24,1,FALSE))),"S",""))</f>
        <v/>
      </c>
      <c r="CU55" t="str">
        <f>IF(NOT(ISERROR(HLOOKUP(Standings!CU$3,Entries!$C24:$K24,1,FALSE))),"x",IF(NOT(ISERROR(HLOOKUP(Standings!CU$3,Entries!$L24:$L24,1,FALSE))),"S",""))</f>
        <v/>
      </c>
      <c r="CV55" t="str">
        <f>IF(NOT(ISERROR(HLOOKUP(Standings!CV$3,Entries!$C24:$K24,1,FALSE))),"x",IF(NOT(ISERROR(HLOOKUP(Standings!CV$3,Entries!$L24:$L24,1,FALSE))),"S",""))</f>
        <v/>
      </c>
      <c r="CW55" t="str">
        <f>IF(NOT(ISERROR(HLOOKUP(Standings!CW$3,Entries!$C24:$K24,1,FALSE))),"x",IF(NOT(ISERROR(HLOOKUP(Standings!CW$3,Entries!$L24:$L24,1,FALSE))),"S",""))</f>
        <v/>
      </c>
      <c r="CX55" t="str">
        <f>IF(NOT(ISERROR(HLOOKUP(Standings!CX$3,Entries!$C24:$K24,1,FALSE))),"x",IF(NOT(ISERROR(HLOOKUP(Standings!CX$3,Entries!$L24:$L24,1,FALSE))),"S",""))</f>
        <v/>
      </c>
      <c r="CY55" t="str">
        <f>IF(NOT(ISERROR(HLOOKUP(Standings!CY$3,Entries!$C24:$K24,1,FALSE))),"x",IF(NOT(ISERROR(HLOOKUP(Standings!CY$3,Entries!$L24:$L24,1,FALSE))),"S",""))</f>
        <v>x</v>
      </c>
      <c r="CZ55" t="str">
        <f>IF(NOT(ISERROR(HLOOKUP(Standings!CZ$3,Entries!$C24:$K24,1,FALSE))),"x",IF(NOT(ISERROR(HLOOKUP(Standings!CZ$3,Entries!$L24:$L24,1,FALSE))),"S",""))</f>
        <v/>
      </c>
      <c r="DA55" t="str">
        <f>IF(NOT(ISERROR(HLOOKUP(Standings!DA$3,Entries!$C24:$K24,1,FALSE))),"x",IF(NOT(ISERROR(HLOOKUP(Standings!DA$3,Entries!$L24:$L24,1,FALSE))),"S",""))</f>
        <v/>
      </c>
      <c r="DB55" t="str">
        <f>IF(NOT(ISERROR(HLOOKUP(Standings!DB$3,Entries!$C24:$K24,1,FALSE))),"x",IF(NOT(ISERROR(HLOOKUP(Standings!DB$3,Entries!$L24:$L24,1,FALSE))),"S",""))</f>
        <v/>
      </c>
    </row>
    <row r="56" spans="1:106" x14ac:dyDescent="0.25">
      <c r="A56" s="18"/>
      <c r="B56">
        <v>41</v>
      </c>
      <c r="C56" t="str">
        <f>Entries!B25</f>
        <v>Tim Armbrustmacher1</v>
      </c>
      <c r="D56" s="4">
        <f>IF(C56="","",RANK(E56,$E$10:$E$111))</f>
        <v>32</v>
      </c>
      <c r="E56" s="31">
        <f t="shared" si="1"/>
        <v>4</v>
      </c>
      <c r="F56" s="40" t="str">
        <f t="shared" si="49"/>
        <v/>
      </c>
      <c r="G56" s="41" t="str">
        <f t="shared" si="2"/>
        <v/>
      </c>
      <c r="H56" s="41" t="str">
        <f t="shared" si="3"/>
        <v/>
      </c>
      <c r="I56" s="42" t="str">
        <f t="shared" si="4"/>
        <v/>
      </c>
      <c r="J56" s="40" t="str">
        <f t="shared" si="5"/>
        <v/>
      </c>
      <c r="K56" s="41">
        <f t="shared" si="6"/>
        <v>1</v>
      </c>
      <c r="L56" s="41" t="str">
        <f t="shared" si="7"/>
        <v/>
      </c>
      <c r="M56" s="42" t="str">
        <f t="shared" si="8"/>
        <v/>
      </c>
      <c r="N56" s="43" t="str">
        <f t="shared" si="9"/>
        <v/>
      </c>
      <c r="O56" s="41">
        <f t="shared" si="10"/>
        <v>1</v>
      </c>
      <c r="P56" s="41" t="str">
        <f t="shared" si="11"/>
        <v/>
      </c>
      <c r="Q56" s="42" t="str">
        <f t="shared" si="12"/>
        <v/>
      </c>
      <c r="R56" s="40" t="str">
        <f t="shared" si="13"/>
        <v/>
      </c>
      <c r="S56" s="41" t="str">
        <f t="shared" si="14"/>
        <v/>
      </c>
      <c r="T56" s="43" t="str">
        <f t="shared" si="15"/>
        <v/>
      </c>
      <c r="U56" s="42" t="str">
        <f t="shared" si="16"/>
        <v/>
      </c>
      <c r="V56" s="40" t="str">
        <f t="shared" si="17"/>
        <v/>
      </c>
      <c r="W56" s="41" t="str">
        <f t="shared" si="18"/>
        <v/>
      </c>
      <c r="X56" s="41" t="str">
        <f t="shared" si="19"/>
        <v/>
      </c>
      <c r="Y56" s="42">
        <f t="shared" si="20"/>
        <v>0</v>
      </c>
      <c r="Z56" s="40" t="str">
        <f t="shared" si="21"/>
        <v/>
      </c>
      <c r="AA56" s="41" t="str">
        <f t="shared" si="22"/>
        <v/>
      </c>
      <c r="AB56" s="41" t="str">
        <f t="shared" si="23"/>
        <v/>
      </c>
      <c r="AC56" s="42" t="str">
        <f t="shared" si="24"/>
        <v/>
      </c>
      <c r="AD56" s="40" t="str">
        <f t="shared" si="25"/>
        <v/>
      </c>
      <c r="AE56" s="41">
        <f t="shared" si="26"/>
        <v>1</v>
      </c>
      <c r="AF56" s="41" t="str">
        <f t="shared" si="27"/>
        <v/>
      </c>
      <c r="AG56" s="42" t="str">
        <f t="shared" si="28"/>
        <v/>
      </c>
      <c r="AH56" s="40" t="str">
        <f t="shared" si="29"/>
        <v/>
      </c>
      <c r="AI56" s="41" t="str">
        <f t="shared" si="30"/>
        <v/>
      </c>
      <c r="AJ56" s="41" t="str">
        <f t="shared" si="31"/>
        <v/>
      </c>
      <c r="AK56" s="42">
        <f t="shared" si="32"/>
        <v>1</v>
      </c>
      <c r="AL56" s="40">
        <f t="shared" si="33"/>
        <v>0</v>
      </c>
      <c r="AM56" s="41" t="str">
        <f t="shared" si="34"/>
        <v/>
      </c>
      <c r="AN56" s="41" t="str">
        <f t="shared" si="35"/>
        <v/>
      </c>
      <c r="AO56" s="42" t="str">
        <f t="shared" si="36"/>
        <v/>
      </c>
      <c r="AP56" s="40" t="str">
        <f t="shared" si="37"/>
        <v/>
      </c>
      <c r="AQ56" s="41" t="str">
        <f t="shared" si="38"/>
        <v/>
      </c>
      <c r="AR56" s="41" t="str">
        <f t="shared" si="39"/>
        <v/>
      </c>
      <c r="AS56" s="42" t="str">
        <f t="shared" si="40"/>
        <v/>
      </c>
      <c r="AT56" s="40" t="str">
        <f t="shared" si="41"/>
        <v/>
      </c>
      <c r="AU56" s="41" t="str">
        <f t="shared" si="42"/>
        <v/>
      </c>
      <c r="AV56" s="41" t="str">
        <f t="shared" si="43"/>
        <v/>
      </c>
      <c r="AW56" s="42" t="str">
        <f t="shared" si="44"/>
        <v/>
      </c>
      <c r="AX56" s="40">
        <f t="shared" si="45"/>
        <v>-1.0000000000000001E-5</v>
      </c>
      <c r="AY56" s="41" t="str">
        <f t="shared" si="46"/>
        <v/>
      </c>
      <c r="AZ56" s="41" t="str">
        <f t="shared" si="47"/>
        <v/>
      </c>
      <c r="BA56" s="42" t="str">
        <f t="shared" si="48"/>
        <v/>
      </c>
      <c r="BB56" s="37" t="s">
        <v>106</v>
      </c>
      <c r="BC56" s="21"/>
      <c r="BD56" s="21"/>
      <c r="BG56" t="str">
        <f>IF(NOT(ISERROR(HLOOKUP(Standings!BG$3,Entries!$C25:$K25,1,FALSE))),"x",IF(NOT(ISERROR(HLOOKUP(Standings!BG$3,Entries!$L25:$L25,1,FALSE))),"S",""))</f>
        <v/>
      </c>
      <c r="BH56" t="str">
        <f>IF(NOT(ISERROR(HLOOKUP(Standings!BH$3,Entries!$C25:$K25,1,FALSE))),"x",IF(NOT(ISERROR(HLOOKUP(Standings!BH$3,Entries!$L25:$L25,1,FALSE))),"S",""))</f>
        <v/>
      </c>
      <c r="BI56" t="str">
        <f>IF(NOT(ISERROR(HLOOKUP(Standings!BI$3,Entries!$C25:$K25,1,FALSE))),"x",IF(NOT(ISERROR(HLOOKUP(Standings!BI$3,Entries!$L25:$L25,1,FALSE))),"S",""))</f>
        <v/>
      </c>
      <c r="BJ56" t="str">
        <f>IF(NOT(ISERROR(HLOOKUP(Standings!BJ$3,Entries!$C25:$K25,1,FALSE))),"x",IF(NOT(ISERROR(HLOOKUP(Standings!BJ$3,Entries!$L25:$L25,1,FALSE))),"S",""))</f>
        <v/>
      </c>
      <c r="BK56" t="str">
        <f>IF(NOT(ISERROR(HLOOKUP(Standings!BK$3,Entries!$C25:$K25,1,FALSE))),"x",IF(NOT(ISERROR(HLOOKUP(Standings!BK$3,Entries!$L25:$L25,1,FALSE))),"S",""))</f>
        <v/>
      </c>
      <c r="BL56" t="str">
        <f>IF(NOT(ISERROR(HLOOKUP(Standings!BL$3,Entries!$C25:$K25,1,FALSE))),"x",IF(NOT(ISERROR(HLOOKUP(Standings!BL$3,Entries!$L25:$L25,1,FALSE))),"S",""))</f>
        <v>x</v>
      </c>
      <c r="BM56" t="str">
        <f>IF(NOT(ISERROR(HLOOKUP(Standings!BM$3,Entries!$C25:$K25,1,FALSE))),"x",IF(NOT(ISERROR(HLOOKUP(Standings!BM$3,Entries!$L25:$L25,1,FALSE))),"S",""))</f>
        <v/>
      </c>
      <c r="BN56" t="str">
        <f>IF(NOT(ISERROR(HLOOKUP(Standings!BN$3,Entries!$C25:$K25,1,FALSE))),"x",IF(NOT(ISERROR(HLOOKUP(Standings!BN$3,Entries!$L25:$L25,1,FALSE))),"S",""))</f>
        <v/>
      </c>
      <c r="BO56" t="str">
        <f>IF(NOT(ISERROR(HLOOKUP(Standings!BO$3,Entries!$C25:$K25,1,FALSE))),"x",IF(NOT(ISERROR(HLOOKUP(Standings!BO$3,Entries!$L25:$L25,1,FALSE))),"S",""))</f>
        <v/>
      </c>
      <c r="BP56" t="str">
        <f>IF(NOT(ISERROR(HLOOKUP(Standings!BP$3,Entries!$C25:$K25,1,FALSE))),"x",IF(NOT(ISERROR(HLOOKUP(Standings!BP$3,Entries!$L25:$L25,1,FALSE))),"S",""))</f>
        <v>x</v>
      </c>
      <c r="BQ56" t="str">
        <f>IF(NOT(ISERROR(HLOOKUP(Standings!BQ$3,Entries!$C25:$K25,1,FALSE))),"x",IF(NOT(ISERROR(HLOOKUP(Standings!BQ$3,Entries!$L25:$L25,1,FALSE))),"S",""))</f>
        <v/>
      </c>
      <c r="BR56" t="str">
        <f>IF(NOT(ISERROR(HLOOKUP(Standings!BR$3,Entries!$C25:$K25,1,FALSE))),"x",IF(NOT(ISERROR(HLOOKUP(Standings!BR$3,Entries!$L25:$L25,1,FALSE))),"S",""))</f>
        <v/>
      </c>
      <c r="BS56" t="str">
        <f>IF(NOT(ISERROR(HLOOKUP(Standings!BS$3,Entries!$C25:$K25,1,FALSE))),"x",IF(NOT(ISERROR(HLOOKUP(Standings!BS$3,Entries!$L25:$L25,1,FALSE))),"S",""))</f>
        <v/>
      </c>
      <c r="BT56" t="str">
        <f>IF(NOT(ISERROR(HLOOKUP(Standings!BT$3,Entries!$C25:$K25,1,FALSE))),"x",IF(NOT(ISERROR(HLOOKUP(Standings!BT$3,Entries!$L25:$L25,1,FALSE))),"S",""))</f>
        <v/>
      </c>
      <c r="BU56" t="str">
        <f>IF(NOT(ISERROR(HLOOKUP(Standings!BU$3,Entries!$C25:$K25,1,FALSE))),"x",IF(NOT(ISERROR(HLOOKUP(Standings!BU$3,Entries!$L25:$L25,1,FALSE))),"S",""))</f>
        <v/>
      </c>
      <c r="BV56" t="str">
        <f>IF(NOT(ISERROR(HLOOKUP(Standings!BV$3,Entries!$C25:$K25,1,FALSE))),"x",IF(NOT(ISERROR(HLOOKUP(Standings!BV$3,Entries!$L25:$L25,1,FALSE))),"S",""))</f>
        <v/>
      </c>
      <c r="BW56" t="str">
        <f>IF(NOT(ISERROR(HLOOKUP(Standings!BW$3,Entries!$C25:$K25,1,FALSE))),"x",IF(NOT(ISERROR(HLOOKUP(Standings!BW$3,Entries!$L25:$L25,1,FALSE))),"S",""))</f>
        <v/>
      </c>
      <c r="BX56" t="str">
        <f>IF(NOT(ISERROR(HLOOKUP(Standings!BX$3,Entries!$C25:$K25,1,FALSE))),"x",IF(NOT(ISERROR(HLOOKUP(Standings!BX$3,Entries!$L25:$L25,1,FALSE))),"S",""))</f>
        <v/>
      </c>
      <c r="BY56" t="str">
        <f>IF(NOT(ISERROR(HLOOKUP(Standings!BY$3,Entries!$C25:$K25,1,FALSE))),"x",IF(NOT(ISERROR(HLOOKUP(Standings!BY$3,Entries!$L25:$L25,1,FALSE))),"S",""))</f>
        <v/>
      </c>
      <c r="BZ56" t="str">
        <f>IF(NOT(ISERROR(HLOOKUP(Standings!BZ$3,Entries!$C25:$K25,1,FALSE))),"x",IF(NOT(ISERROR(HLOOKUP(Standings!BZ$3,Entries!$L25:$L25,1,FALSE))),"S",""))</f>
        <v>x</v>
      </c>
      <c r="CA56" t="str">
        <f>IF(NOT(ISERROR(HLOOKUP(Standings!CA$3,Entries!$C25:$K25,1,FALSE))),"x",IF(NOT(ISERROR(HLOOKUP(Standings!CA$3,Entries!$L25:$L25,1,FALSE))),"S",""))</f>
        <v/>
      </c>
      <c r="CB56" t="str">
        <f>IF(NOT(ISERROR(HLOOKUP(Standings!CB$3,Entries!$C25:$K25,1,FALSE))),"x",IF(NOT(ISERROR(HLOOKUP(Standings!CB$3,Entries!$L25:$L25,1,FALSE))),"S",""))</f>
        <v/>
      </c>
      <c r="CC56" t="str">
        <f>IF(NOT(ISERROR(HLOOKUP(Standings!CC$3,Entries!$C25:$K25,1,FALSE))),"x",IF(NOT(ISERROR(HLOOKUP(Standings!CC$3,Entries!$L25:$L25,1,FALSE))),"S",""))</f>
        <v/>
      </c>
      <c r="CD56" t="str">
        <f>IF(NOT(ISERROR(HLOOKUP(Standings!CD$3,Entries!$C25:$K25,1,FALSE))),"x",IF(NOT(ISERROR(HLOOKUP(Standings!CD$3,Entries!$L25:$L25,1,FALSE))),"S",""))</f>
        <v/>
      </c>
      <c r="CE56" t="str">
        <f>IF(NOT(ISERROR(HLOOKUP(Standings!CE$3,Entries!$C25:$K25,1,FALSE))),"x",IF(NOT(ISERROR(HLOOKUP(Standings!CE$3,Entries!$L25:$L25,1,FALSE))),"S",""))</f>
        <v/>
      </c>
      <c r="CF56" t="str">
        <f>IF(NOT(ISERROR(HLOOKUP(Standings!CF$3,Entries!$C25:$K25,1,FALSE))),"x",IF(NOT(ISERROR(HLOOKUP(Standings!CF$3,Entries!$L25:$L25,1,FALSE))),"S",""))</f>
        <v>x</v>
      </c>
      <c r="CG56" t="str">
        <f>IF(NOT(ISERROR(HLOOKUP(Standings!CG$3,Entries!$C25:$K25,1,FALSE))),"x",IF(NOT(ISERROR(HLOOKUP(Standings!CG$3,Entries!$L25:$L25,1,FALSE))),"S",""))</f>
        <v/>
      </c>
      <c r="CH56" t="str">
        <f>IF(NOT(ISERROR(HLOOKUP(Standings!CH$3,Entries!$C25:$K25,1,FALSE))),"x",IF(NOT(ISERROR(HLOOKUP(Standings!CH$3,Entries!$L25:$L25,1,FALSE))),"S",""))</f>
        <v/>
      </c>
      <c r="CI56" t="str">
        <f>IF(NOT(ISERROR(HLOOKUP(Standings!CI$3,Entries!$C25:$K25,1,FALSE))),"x",IF(NOT(ISERROR(HLOOKUP(Standings!CI$3,Entries!$L25:$L25,1,FALSE))),"S",""))</f>
        <v/>
      </c>
      <c r="CJ56" t="str">
        <f>IF(NOT(ISERROR(HLOOKUP(Standings!CJ$3,Entries!$C25:$K25,1,FALSE))),"x",IF(NOT(ISERROR(HLOOKUP(Standings!CJ$3,Entries!$L25:$L25,1,FALSE))),"S",""))</f>
        <v/>
      </c>
      <c r="CK56" t="str">
        <f>IF(NOT(ISERROR(HLOOKUP(Standings!CK$3,Entries!$C25:$K25,1,FALSE))),"x",IF(NOT(ISERROR(HLOOKUP(Standings!CK$3,Entries!$L25:$L25,1,FALSE))),"S",""))</f>
        <v/>
      </c>
      <c r="CL56" t="str">
        <f>IF(NOT(ISERROR(HLOOKUP(Standings!CL$3,Entries!$C25:$K25,1,FALSE))),"x",IF(NOT(ISERROR(HLOOKUP(Standings!CL$3,Entries!$L25:$L25,1,FALSE))),"S",""))</f>
        <v>x</v>
      </c>
      <c r="CM56" t="str">
        <f>IF(NOT(ISERROR(HLOOKUP(Standings!CM$3,Entries!$C25:$K25,1,FALSE))),"x",IF(NOT(ISERROR(HLOOKUP(Standings!CM$3,Entries!$L25:$L25,1,FALSE))),"S",""))</f>
        <v>x</v>
      </c>
      <c r="CN56" t="str">
        <f>IF(NOT(ISERROR(HLOOKUP(Standings!CN$3,Entries!$C25:$K25,1,FALSE))),"x",IF(NOT(ISERROR(HLOOKUP(Standings!CN$3,Entries!$L25:$L25,1,FALSE))),"S",""))</f>
        <v/>
      </c>
      <c r="CO56" t="str">
        <f>IF(NOT(ISERROR(HLOOKUP(Standings!CO$3,Entries!$C25:$K25,1,FALSE))),"x",IF(NOT(ISERROR(HLOOKUP(Standings!CO$3,Entries!$L25:$L25,1,FALSE))),"S",""))</f>
        <v/>
      </c>
      <c r="CP56" t="str">
        <f>IF(NOT(ISERROR(HLOOKUP(Standings!CP$3,Entries!$C25:$K25,1,FALSE))),"x",IF(NOT(ISERROR(HLOOKUP(Standings!CP$3,Entries!$L25:$L25,1,FALSE))),"S",""))</f>
        <v/>
      </c>
      <c r="CQ56" t="str">
        <f>IF(NOT(ISERROR(HLOOKUP(Standings!CQ$3,Entries!$C25:$K25,1,FALSE))),"x",IF(NOT(ISERROR(HLOOKUP(Standings!CQ$3,Entries!$L25:$L25,1,FALSE))),"S",""))</f>
        <v/>
      </c>
      <c r="CR56" t="str">
        <f>IF(NOT(ISERROR(HLOOKUP(Standings!CR$3,Entries!$C25:$K25,1,FALSE))),"x",IF(NOT(ISERROR(HLOOKUP(Standings!CR$3,Entries!$L25:$L25,1,FALSE))),"S",""))</f>
        <v/>
      </c>
      <c r="CS56" t="str">
        <f>IF(NOT(ISERROR(HLOOKUP(Standings!CS$3,Entries!$C25:$K25,1,FALSE))),"x",IF(NOT(ISERROR(HLOOKUP(Standings!CS$3,Entries!$L25:$L25,1,FALSE))),"S",""))</f>
        <v/>
      </c>
      <c r="CT56" t="str">
        <f>IF(NOT(ISERROR(HLOOKUP(Standings!CT$3,Entries!$C25:$K25,1,FALSE))),"x",IF(NOT(ISERROR(HLOOKUP(Standings!CT$3,Entries!$L25:$L25,1,FALSE))),"S",""))</f>
        <v/>
      </c>
      <c r="CU56" t="str">
        <f>IF(NOT(ISERROR(HLOOKUP(Standings!CU$3,Entries!$C25:$K25,1,FALSE))),"x",IF(NOT(ISERROR(HLOOKUP(Standings!CU$3,Entries!$L25:$L25,1,FALSE))),"S",""))</f>
        <v/>
      </c>
      <c r="CV56" t="str">
        <f>IF(NOT(ISERROR(HLOOKUP(Standings!CV$3,Entries!$C25:$K25,1,FALSE))),"x",IF(NOT(ISERROR(HLOOKUP(Standings!CV$3,Entries!$L25:$L25,1,FALSE))),"S",""))</f>
        <v/>
      </c>
      <c r="CW56" t="str">
        <f>IF(NOT(ISERROR(HLOOKUP(Standings!CW$3,Entries!$C25:$K25,1,FALSE))),"x",IF(NOT(ISERROR(HLOOKUP(Standings!CW$3,Entries!$L25:$L25,1,FALSE))),"S",""))</f>
        <v/>
      </c>
      <c r="CX56" t="str">
        <f>IF(NOT(ISERROR(HLOOKUP(Standings!CX$3,Entries!$C25:$K25,1,FALSE))),"x",IF(NOT(ISERROR(HLOOKUP(Standings!CX$3,Entries!$L25:$L25,1,FALSE))),"S",""))</f>
        <v/>
      </c>
      <c r="CY56" t="str">
        <f>IF(NOT(ISERROR(HLOOKUP(Standings!CY$3,Entries!$C25:$K25,1,FALSE))),"x",IF(NOT(ISERROR(HLOOKUP(Standings!CY$3,Entries!$L25:$L25,1,FALSE))),"S",""))</f>
        <v>S</v>
      </c>
      <c r="CZ56" t="str">
        <f>IF(NOT(ISERROR(HLOOKUP(Standings!CZ$3,Entries!$C25:$K25,1,FALSE))),"x",IF(NOT(ISERROR(HLOOKUP(Standings!CZ$3,Entries!$L25:$L25,1,FALSE))),"S",""))</f>
        <v/>
      </c>
      <c r="DA56" t="str">
        <f>IF(NOT(ISERROR(HLOOKUP(Standings!DA$3,Entries!$C25:$K25,1,FALSE))),"x",IF(NOT(ISERROR(HLOOKUP(Standings!DA$3,Entries!$L25:$L25,1,FALSE))),"S",""))</f>
        <v/>
      </c>
      <c r="DB56" t="str">
        <f>IF(NOT(ISERROR(HLOOKUP(Standings!DB$3,Entries!$C25:$K25,1,FALSE))),"x",IF(NOT(ISERROR(HLOOKUP(Standings!DB$3,Entries!$L25:$L25,1,FALSE))),"S",""))</f>
        <v/>
      </c>
    </row>
    <row r="57" spans="1:106" x14ac:dyDescent="0.25">
      <c r="A57" s="18"/>
      <c r="B57">
        <v>4</v>
      </c>
      <c r="C57" t="str">
        <f>Entries!B26</f>
        <v>Tim Armbrustmacher2</v>
      </c>
      <c r="D57" s="4">
        <f>IF(C57="","",RANK(E57,$E$10:$E$111))</f>
        <v>71</v>
      </c>
      <c r="E57" s="31">
        <f t="shared" si="1"/>
        <v>2</v>
      </c>
      <c r="F57" s="40">
        <f t="shared" si="49"/>
        <v>2</v>
      </c>
      <c r="G57" s="41" t="str">
        <f t="shared" si="2"/>
        <v/>
      </c>
      <c r="H57" s="41" t="str">
        <f t="shared" si="3"/>
        <v/>
      </c>
      <c r="I57" s="42" t="str">
        <f t="shared" si="4"/>
        <v/>
      </c>
      <c r="J57" s="40" t="str">
        <f t="shared" si="5"/>
        <v/>
      </c>
      <c r="K57" s="41" t="str">
        <f t="shared" si="6"/>
        <v/>
      </c>
      <c r="L57" s="41">
        <f t="shared" si="7"/>
        <v>1</v>
      </c>
      <c r="M57" s="42" t="str">
        <f t="shared" si="8"/>
        <v/>
      </c>
      <c r="N57" s="43" t="str">
        <f t="shared" si="9"/>
        <v/>
      </c>
      <c r="O57" s="41" t="str">
        <f t="shared" si="10"/>
        <v/>
      </c>
      <c r="P57" s="41" t="str">
        <f t="shared" si="11"/>
        <v/>
      </c>
      <c r="Q57" s="42" t="str">
        <f t="shared" si="12"/>
        <v/>
      </c>
      <c r="R57" s="40">
        <f t="shared" si="13"/>
        <v>-2.0000100000000001</v>
      </c>
      <c r="S57" s="41" t="str">
        <f t="shared" si="14"/>
        <v/>
      </c>
      <c r="T57" s="43" t="str">
        <f t="shared" si="15"/>
        <v/>
      </c>
      <c r="U57" s="42" t="str">
        <f t="shared" si="16"/>
        <v/>
      </c>
      <c r="V57" s="40" t="str">
        <f t="shared" si="17"/>
        <v/>
      </c>
      <c r="W57" s="41" t="str">
        <f t="shared" si="18"/>
        <v/>
      </c>
      <c r="X57" s="41" t="str">
        <f t="shared" si="19"/>
        <v/>
      </c>
      <c r="Y57" s="42" t="str">
        <f t="shared" si="20"/>
        <v/>
      </c>
      <c r="Z57" s="40" t="str">
        <f t="shared" si="21"/>
        <v/>
      </c>
      <c r="AA57" s="41">
        <f t="shared" si="22"/>
        <v>1</v>
      </c>
      <c r="AB57" s="41" t="str">
        <f t="shared" si="23"/>
        <v/>
      </c>
      <c r="AC57" s="42" t="str">
        <f t="shared" si="24"/>
        <v/>
      </c>
      <c r="AD57" s="40" t="str">
        <f t="shared" si="25"/>
        <v/>
      </c>
      <c r="AE57" s="41" t="str">
        <f t="shared" si="26"/>
        <v/>
      </c>
      <c r="AF57" s="41" t="str">
        <f t="shared" si="27"/>
        <v/>
      </c>
      <c r="AG57" s="42" t="str">
        <f t="shared" si="28"/>
        <v/>
      </c>
      <c r="AH57" s="40" t="str">
        <f t="shared" si="29"/>
        <v/>
      </c>
      <c r="AI57" s="41" t="str">
        <f t="shared" si="30"/>
        <v/>
      </c>
      <c r="AJ57" s="41" t="str">
        <f t="shared" si="31"/>
        <v/>
      </c>
      <c r="AK57" s="42" t="str">
        <f t="shared" si="32"/>
        <v/>
      </c>
      <c r="AL57" s="40" t="str">
        <f t="shared" si="33"/>
        <v/>
      </c>
      <c r="AM57" s="41">
        <f t="shared" si="34"/>
        <v>0</v>
      </c>
      <c r="AN57" s="41" t="str">
        <f t="shared" si="35"/>
        <v/>
      </c>
      <c r="AO57" s="42" t="str">
        <f t="shared" si="36"/>
        <v/>
      </c>
      <c r="AP57" s="40" t="str">
        <f t="shared" si="37"/>
        <v/>
      </c>
      <c r="AQ57" s="41" t="str">
        <f t="shared" si="38"/>
        <v/>
      </c>
      <c r="AR57" s="41" t="str">
        <f t="shared" si="39"/>
        <v/>
      </c>
      <c r="AS57" s="42" t="str">
        <f t="shared" si="40"/>
        <v/>
      </c>
      <c r="AT57" s="40" t="str">
        <f t="shared" si="41"/>
        <v/>
      </c>
      <c r="AU57" s="41" t="str">
        <f t="shared" si="42"/>
        <v/>
      </c>
      <c r="AV57" s="41" t="str">
        <f t="shared" si="43"/>
        <v/>
      </c>
      <c r="AW57" s="42" t="str">
        <f t="shared" si="44"/>
        <v/>
      </c>
      <c r="AX57" s="40">
        <f t="shared" si="45"/>
        <v>0</v>
      </c>
      <c r="AY57" s="41" t="str">
        <f t="shared" si="46"/>
        <v/>
      </c>
      <c r="AZ57" s="41" t="str">
        <f t="shared" si="47"/>
        <v/>
      </c>
      <c r="BA57" s="42" t="str">
        <f t="shared" si="48"/>
        <v/>
      </c>
      <c r="BB57" s="37" t="s">
        <v>106</v>
      </c>
      <c r="BD57" s="21"/>
      <c r="BG57" t="str">
        <f>IF(NOT(ISERROR(HLOOKUP(Standings!BG$3,Entries!$C26:$K26,1,FALSE))),"x",IF(NOT(ISERROR(HLOOKUP(Standings!BG$3,Entries!$L26:$L26,1,FALSE))),"S",""))</f>
        <v>x</v>
      </c>
      <c r="BH57" t="str">
        <f>IF(NOT(ISERROR(HLOOKUP(Standings!BH$3,Entries!$C26:$K26,1,FALSE))),"x",IF(NOT(ISERROR(HLOOKUP(Standings!BH$3,Entries!$L26:$L26,1,FALSE))),"S",""))</f>
        <v/>
      </c>
      <c r="BI57" t="str">
        <f>IF(NOT(ISERROR(HLOOKUP(Standings!BI$3,Entries!$C26:$K26,1,FALSE))),"x",IF(NOT(ISERROR(HLOOKUP(Standings!BI$3,Entries!$L26:$L26,1,FALSE))),"S",""))</f>
        <v/>
      </c>
      <c r="BJ57" t="str">
        <f>IF(NOT(ISERROR(HLOOKUP(Standings!BJ$3,Entries!$C26:$K26,1,FALSE))),"x",IF(NOT(ISERROR(HLOOKUP(Standings!BJ$3,Entries!$L26:$L26,1,FALSE))),"S",""))</f>
        <v/>
      </c>
      <c r="BK57" t="str">
        <f>IF(NOT(ISERROR(HLOOKUP(Standings!BK$3,Entries!$C26:$K26,1,FALSE))),"x",IF(NOT(ISERROR(HLOOKUP(Standings!BK$3,Entries!$L26:$L26,1,FALSE))),"S",""))</f>
        <v/>
      </c>
      <c r="BL57" t="str">
        <f>IF(NOT(ISERROR(HLOOKUP(Standings!BL$3,Entries!$C26:$K26,1,FALSE))),"x",IF(NOT(ISERROR(HLOOKUP(Standings!BL$3,Entries!$L26:$L26,1,FALSE))),"S",""))</f>
        <v/>
      </c>
      <c r="BM57" t="str">
        <f>IF(NOT(ISERROR(HLOOKUP(Standings!BM$3,Entries!$C26:$K26,1,FALSE))),"x",IF(NOT(ISERROR(HLOOKUP(Standings!BM$3,Entries!$L26:$L26,1,FALSE))),"S",""))</f>
        <v>x</v>
      </c>
      <c r="BN57" t="str">
        <f>IF(NOT(ISERROR(HLOOKUP(Standings!BN$3,Entries!$C26:$K26,1,FALSE))),"x",IF(NOT(ISERROR(HLOOKUP(Standings!BN$3,Entries!$L26:$L26,1,FALSE))),"S",""))</f>
        <v/>
      </c>
      <c r="BO57" t="str">
        <f>IF(NOT(ISERROR(HLOOKUP(Standings!BO$3,Entries!$C26:$K26,1,FALSE))),"x",IF(NOT(ISERROR(HLOOKUP(Standings!BO$3,Entries!$L26:$L26,1,FALSE))),"S",""))</f>
        <v/>
      </c>
      <c r="BP57" t="str">
        <f>IF(NOT(ISERROR(HLOOKUP(Standings!BP$3,Entries!$C26:$K26,1,FALSE))),"x",IF(NOT(ISERROR(HLOOKUP(Standings!BP$3,Entries!$L26:$L26,1,FALSE))),"S",""))</f>
        <v/>
      </c>
      <c r="BQ57" t="str">
        <f>IF(NOT(ISERROR(HLOOKUP(Standings!BQ$3,Entries!$C26:$K26,1,FALSE))),"x",IF(NOT(ISERROR(HLOOKUP(Standings!BQ$3,Entries!$L26:$L26,1,FALSE))),"S",""))</f>
        <v/>
      </c>
      <c r="BR57" t="str">
        <f>IF(NOT(ISERROR(HLOOKUP(Standings!BR$3,Entries!$C26:$K26,1,FALSE))),"x",IF(NOT(ISERROR(HLOOKUP(Standings!BR$3,Entries!$L26:$L26,1,FALSE))),"S",""))</f>
        <v/>
      </c>
      <c r="BS57" t="str">
        <f>IF(NOT(ISERROR(HLOOKUP(Standings!BS$3,Entries!$C26:$K26,1,FALSE))),"x",IF(NOT(ISERROR(HLOOKUP(Standings!BS$3,Entries!$L26:$L26,1,FALSE))),"S",""))</f>
        <v>S</v>
      </c>
      <c r="BT57" t="str">
        <f>IF(NOT(ISERROR(HLOOKUP(Standings!BT$3,Entries!$C26:$K26,1,FALSE))),"x",IF(NOT(ISERROR(HLOOKUP(Standings!BT$3,Entries!$L26:$L26,1,FALSE))),"S",""))</f>
        <v/>
      </c>
      <c r="BU57" t="str">
        <f>IF(NOT(ISERROR(HLOOKUP(Standings!BU$3,Entries!$C26:$K26,1,FALSE))),"x",IF(NOT(ISERROR(HLOOKUP(Standings!BU$3,Entries!$L26:$L26,1,FALSE))),"S",""))</f>
        <v/>
      </c>
      <c r="BV57" t="str">
        <f>IF(NOT(ISERROR(HLOOKUP(Standings!BV$3,Entries!$C26:$K26,1,FALSE))),"x",IF(NOT(ISERROR(HLOOKUP(Standings!BV$3,Entries!$L26:$L26,1,FALSE))),"S",""))</f>
        <v/>
      </c>
      <c r="BW57" t="str">
        <f>IF(NOT(ISERROR(HLOOKUP(Standings!BW$3,Entries!$C26:$K26,1,FALSE))),"x",IF(NOT(ISERROR(HLOOKUP(Standings!BW$3,Entries!$L26:$L26,1,FALSE))),"S",""))</f>
        <v/>
      </c>
      <c r="BX57" t="str">
        <f>IF(NOT(ISERROR(HLOOKUP(Standings!BX$3,Entries!$C26:$K26,1,FALSE))),"x",IF(NOT(ISERROR(HLOOKUP(Standings!BX$3,Entries!$L26:$L26,1,FALSE))),"S",""))</f>
        <v/>
      </c>
      <c r="BY57" t="str">
        <f>IF(NOT(ISERROR(HLOOKUP(Standings!BY$3,Entries!$C26:$K26,1,FALSE))),"x",IF(NOT(ISERROR(HLOOKUP(Standings!BY$3,Entries!$L26:$L26,1,FALSE))),"S",""))</f>
        <v/>
      </c>
      <c r="BZ57" t="str">
        <f>IF(NOT(ISERROR(HLOOKUP(Standings!BZ$3,Entries!$C26:$K26,1,FALSE))),"x",IF(NOT(ISERROR(HLOOKUP(Standings!BZ$3,Entries!$L26:$L26,1,FALSE))),"S",""))</f>
        <v/>
      </c>
      <c r="CA57" t="str">
        <f>IF(NOT(ISERROR(HLOOKUP(Standings!CA$3,Entries!$C26:$K26,1,FALSE))),"x",IF(NOT(ISERROR(HLOOKUP(Standings!CA$3,Entries!$L26:$L26,1,FALSE))),"S",""))</f>
        <v/>
      </c>
      <c r="CB57" t="str">
        <f>IF(NOT(ISERROR(HLOOKUP(Standings!CB$3,Entries!$C26:$K26,1,FALSE))),"x",IF(NOT(ISERROR(HLOOKUP(Standings!CB$3,Entries!$L26:$L26,1,FALSE))),"S",""))</f>
        <v>x</v>
      </c>
      <c r="CC57" t="str">
        <f>IF(NOT(ISERROR(HLOOKUP(Standings!CC$3,Entries!$C26:$K26,1,FALSE))),"x",IF(NOT(ISERROR(HLOOKUP(Standings!CC$3,Entries!$L26:$L26,1,FALSE))),"S",""))</f>
        <v/>
      </c>
      <c r="CD57" t="str">
        <f>IF(NOT(ISERROR(HLOOKUP(Standings!CD$3,Entries!$C26:$K26,1,FALSE))),"x",IF(NOT(ISERROR(HLOOKUP(Standings!CD$3,Entries!$L26:$L26,1,FALSE))),"S",""))</f>
        <v/>
      </c>
      <c r="CE57" t="str">
        <f>IF(NOT(ISERROR(HLOOKUP(Standings!CE$3,Entries!$C26:$K26,1,FALSE))),"x",IF(NOT(ISERROR(HLOOKUP(Standings!CE$3,Entries!$L26:$L26,1,FALSE))),"S",""))</f>
        <v/>
      </c>
      <c r="CF57" t="str">
        <f>IF(NOT(ISERROR(HLOOKUP(Standings!CF$3,Entries!$C26:$K26,1,FALSE))),"x",IF(NOT(ISERROR(HLOOKUP(Standings!CF$3,Entries!$L26:$L26,1,FALSE))),"S",""))</f>
        <v/>
      </c>
      <c r="CG57" t="str">
        <f>IF(NOT(ISERROR(HLOOKUP(Standings!CG$3,Entries!$C26:$K26,1,FALSE))),"x",IF(NOT(ISERROR(HLOOKUP(Standings!CG$3,Entries!$L26:$L26,1,FALSE))),"S",""))</f>
        <v/>
      </c>
      <c r="CH57" t="str">
        <f>IF(NOT(ISERROR(HLOOKUP(Standings!CH$3,Entries!$C26:$K26,1,FALSE))),"x",IF(NOT(ISERROR(HLOOKUP(Standings!CH$3,Entries!$L26:$L26,1,FALSE))),"S",""))</f>
        <v/>
      </c>
      <c r="CI57" t="str">
        <f>IF(NOT(ISERROR(HLOOKUP(Standings!CI$3,Entries!$C26:$K26,1,FALSE))),"x",IF(NOT(ISERROR(HLOOKUP(Standings!CI$3,Entries!$L26:$L26,1,FALSE))),"S",""))</f>
        <v/>
      </c>
      <c r="CJ57" t="str">
        <f>IF(NOT(ISERROR(HLOOKUP(Standings!CJ$3,Entries!$C26:$K26,1,FALSE))),"x",IF(NOT(ISERROR(HLOOKUP(Standings!CJ$3,Entries!$L26:$L26,1,FALSE))),"S",""))</f>
        <v/>
      </c>
      <c r="CK57" t="str">
        <f>IF(NOT(ISERROR(HLOOKUP(Standings!CK$3,Entries!$C26:$K26,1,FALSE))),"x",IF(NOT(ISERROR(HLOOKUP(Standings!CK$3,Entries!$L26:$L26,1,FALSE))),"S",""))</f>
        <v/>
      </c>
      <c r="CL57" t="str">
        <f>IF(NOT(ISERROR(HLOOKUP(Standings!CL$3,Entries!$C26:$K26,1,FALSE))),"x",IF(NOT(ISERROR(HLOOKUP(Standings!CL$3,Entries!$L26:$L26,1,FALSE))),"S",""))</f>
        <v/>
      </c>
      <c r="CM57" t="str">
        <f>IF(NOT(ISERROR(HLOOKUP(Standings!CM$3,Entries!$C26:$K26,1,FALSE))),"x",IF(NOT(ISERROR(HLOOKUP(Standings!CM$3,Entries!$L26:$L26,1,FALSE))),"S",""))</f>
        <v/>
      </c>
      <c r="CN57" t="str">
        <f>IF(NOT(ISERROR(HLOOKUP(Standings!CN$3,Entries!$C26:$K26,1,FALSE))),"x",IF(NOT(ISERROR(HLOOKUP(Standings!CN$3,Entries!$L26:$L26,1,FALSE))),"S",""))</f>
        <v>x</v>
      </c>
      <c r="CO57" t="str">
        <f>IF(NOT(ISERROR(HLOOKUP(Standings!CO$3,Entries!$C26:$K26,1,FALSE))),"x",IF(NOT(ISERROR(HLOOKUP(Standings!CO$3,Entries!$L26:$L26,1,FALSE))),"S",""))</f>
        <v/>
      </c>
      <c r="CP57" t="str">
        <f>IF(NOT(ISERROR(HLOOKUP(Standings!CP$3,Entries!$C26:$K26,1,FALSE))),"x",IF(NOT(ISERROR(HLOOKUP(Standings!CP$3,Entries!$L26:$L26,1,FALSE))),"S",""))</f>
        <v/>
      </c>
      <c r="CQ57" t="str">
        <f>IF(NOT(ISERROR(HLOOKUP(Standings!CQ$3,Entries!$C26:$K26,1,FALSE))),"x",IF(NOT(ISERROR(HLOOKUP(Standings!CQ$3,Entries!$L26:$L26,1,FALSE))),"S",""))</f>
        <v/>
      </c>
      <c r="CR57" t="str">
        <f>IF(NOT(ISERROR(HLOOKUP(Standings!CR$3,Entries!$C26:$K26,1,FALSE))),"x",IF(NOT(ISERROR(HLOOKUP(Standings!CR$3,Entries!$L26:$L26,1,FALSE))),"S",""))</f>
        <v/>
      </c>
      <c r="CS57" t="str">
        <f>IF(NOT(ISERROR(HLOOKUP(Standings!CS$3,Entries!$C26:$K26,1,FALSE))),"x",IF(NOT(ISERROR(HLOOKUP(Standings!CS$3,Entries!$L26:$L26,1,FALSE))),"S",""))</f>
        <v/>
      </c>
      <c r="CT57" t="str">
        <f>IF(NOT(ISERROR(HLOOKUP(Standings!CT$3,Entries!$C26:$K26,1,FALSE))),"x",IF(NOT(ISERROR(HLOOKUP(Standings!CT$3,Entries!$L26:$L26,1,FALSE))),"S",""))</f>
        <v/>
      </c>
      <c r="CU57" t="str">
        <f>IF(NOT(ISERROR(HLOOKUP(Standings!CU$3,Entries!$C26:$K26,1,FALSE))),"x",IF(NOT(ISERROR(HLOOKUP(Standings!CU$3,Entries!$L26:$L26,1,FALSE))),"S",""))</f>
        <v/>
      </c>
      <c r="CV57" t="str">
        <f>IF(NOT(ISERROR(HLOOKUP(Standings!CV$3,Entries!$C26:$K26,1,FALSE))),"x",IF(NOT(ISERROR(HLOOKUP(Standings!CV$3,Entries!$L26:$L26,1,FALSE))),"S",""))</f>
        <v/>
      </c>
      <c r="CW57" t="str">
        <f>IF(NOT(ISERROR(HLOOKUP(Standings!CW$3,Entries!$C26:$K26,1,FALSE))),"x",IF(NOT(ISERROR(HLOOKUP(Standings!CW$3,Entries!$L26:$L26,1,FALSE))),"S",""))</f>
        <v/>
      </c>
      <c r="CX57" t="str">
        <f>IF(NOT(ISERROR(HLOOKUP(Standings!CX$3,Entries!$C26:$K26,1,FALSE))),"x",IF(NOT(ISERROR(HLOOKUP(Standings!CX$3,Entries!$L26:$L26,1,FALSE))),"S",""))</f>
        <v/>
      </c>
      <c r="CY57" t="str">
        <f>IF(NOT(ISERROR(HLOOKUP(Standings!CY$3,Entries!$C26:$K26,1,FALSE))),"x",IF(NOT(ISERROR(HLOOKUP(Standings!CY$3,Entries!$L26:$L26,1,FALSE))),"S",""))</f>
        <v>x</v>
      </c>
      <c r="CZ57" t="str">
        <f>IF(NOT(ISERROR(HLOOKUP(Standings!CZ$3,Entries!$C26:$K26,1,FALSE))),"x",IF(NOT(ISERROR(HLOOKUP(Standings!CZ$3,Entries!$L26:$L26,1,FALSE))),"S",""))</f>
        <v/>
      </c>
      <c r="DA57" t="str">
        <f>IF(NOT(ISERROR(HLOOKUP(Standings!DA$3,Entries!$C26:$K26,1,FALSE))),"x",IF(NOT(ISERROR(HLOOKUP(Standings!DA$3,Entries!$L26:$L26,1,FALSE))),"S",""))</f>
        <v/>
      </c>
      <c r="DB57" t="str">
        <f>IF(NOT(ISERROR(HLOOKUP(Standings!DB$3,Entries!$C26:$K26,1,FALSE))),"x",IF(NOT(ISERROR(HLOOKUP(Standings!DB$3,Entries!$L26:$L26,1,FALSE))),"S",""))</f>
        <v/>
      </c>
    </row>
    <row r="58" spans="1:106" x14ac:dyDescent="0.25">
      <c r="A58" s="18"/>
      <c r="B58">
        <v>17</v>
      </c>
      <c r="C58" t="str">
        <f>Entries!B27</f>
        <v>MikePollei1</v>
      </c>
      <c r="D58" s="4">
        <f>IF(C58="","",RANK(E58,$E$10:$E$111))</f>
        <v>81</v>
      </c>
      <c r="E58" s="31">
        <f t="shared" si="1"/>
        <v>1</v>
      </c>
      <c r="F58" s="40" t="str">
        <f t="shared" si="49"/>
        <v/>
      </c>
      <c r="G58" s="41" t="str">
        <f t="shared" si="2"/>
        <v/>
      </c>
      <c r="H58" s="41" t="str">
        <f t="shared" si="3"/>
        <v/>
      </c>
      <c r="I58" s="42" t="str">
        <f t="shared" si="4"/>
        <v/>
      </c>
      <c r="J58" s="40" t="str">
        <f t="shared" si="5"/>
        <v/>
      </c>
      <c r="K58" s="41" t="str">
        <f t="shared" si="6"/>
        <v/>
      </c>
      <c r="L58" s="41" t="str">
        <f t="shared" si="7"/>
        <v/>
      </c>
      <c r="M58" s="42" t="str">
        <f t="shared" si="8"/>
        <v/>
      </c>
      <c r="N58" s="43" t="str">
        <f t="shared" si="9"/>
        <v/>
      </c>
      <c r="O58" s="41" t="str">
        <f t="shared" si="10"/>
        <v/>
      </c>
      <c r="P58" s="41" t="str">
        <f t="shared" si="11"/>
        <v/>
      </c>
      <c r="Q58" s="42" t="str">
        <f t="shared" si="12"/>
        <v/>
      </c>
      <c r="R58" s="40" t="str">
        <f t="shared" si="13"/>
        <v/>
      </c>
      <c r="S58" s="41" t="str">
        <f t="shared" si="14"/>
        <v/>
      </c>
      <c r="T58" s="43" t="str">
        <f t="shared" si="15"/>
        <v/>
      </c>
      <c r="U58" s="42" t="str">
        <f t="shared" si="16"/>
        <v/>
      </c>
      <c r="V58" s="40" t="str">
        <f t="shared" si="17"/>
        <v/>
      </c>
      <c r="W58" s="41" t="str">
        <f t="shared" si="18"/>
        <v/>
      </c>
      <c r="X58" s="41" t="str">
        <f t="shared" si="19"/>
        <v/>
      </c>
      <c r="Y58" s="42" t="str">
        <f t="shared" si="20"/>
        <v/>
      </c>
      <c r="Z58" s="40" t="str">
        <f t="shared" si="21"/>
        <v/>
      </c>
      <c r="AA58" s="41" t="str">
        <f t="shared" si="22"/>
        <v/>
      </c>
      <c r="AB58" s="41" t="str">
        <f t="shared" si="23"/>
        <v/>
      </c>
      <c r="AC58" s="42" t="str">
        <f t="shared" si="24"/>
        <v/>
      </c>
      <c r="AD58" s="40">
        <f t="shared" si="25"/>
        <v>-1.0000100000000001</v>
      </c>
      <c r="AE58" s="41" t="str">
        <f t="shared" si="26"/>
        <v/>
      </c>
      <c r="AF58" s="41">
        <f t="shared" si="27"/>
        <v>1</v>
      </c>
      <c r="AG58" s="42" t="str">
        <f t="shared" si="28"/>
        <v/>
      </c>
      <c r="AH58" s="40" t="str">
        <f t="shared" si="29"/>
        <v/>
      </c>
      <c r="AI58" s="41" t="str">
        <f t="shared" si="30"/>
        <v/>
      </c>
      <c r="AJ58" s="41" t="str">
        <f t="shared" si="31"/>
        <v/>
      </c>
      <c r="AK58" s="42">
        <f t="shared" si="32"/>
        <v>1</v>
      </c>
      <c r="AL58" s="40">
        <f t="shared" si="33"/>
        <v>0</v>
      </c>
      <c r="AM58" s="41">
        <f t="shared" si="34"/>
        <v>0</v>
      </c>
      <c r="AN58" s="41" t="str">
        <f t="shared" si="35"/>
        <v/>
      </c>
      <c r="AO58" s="42" t="str">
        <f t="shared" si="36"/>
        <v/>
      </c>
      <c r="AP58" s="40" t="str">
        <f t="shared" si="37"/>
        <v/>
      </c>
      <c r="AQ58" s="41" t="str">
        <f t="shared" si="38"/>
        <v/>
      </c>
      <c r="AR58" s="41">
        <f t="shared" si="39"/>
        <v>0</v>
      </c>
      <c r="AS58" s="42">
        <f t="shared" si="40"/>
        <v>0</v>
      </c>
      <c r="AT58" s="40" t="str">
        <f t="shared" si="41"/>
        <v/>
      </c>
      <c r="AU58" s="41" t="str">
        <f t="shared" si="42"/>
        <v/>
      </c>
      <c r="AV58" s="41" t="str">
        <f t="shared" si="43"/>
        <v/>
      </c>
      <c r="AW58" s="42" t="str">
        <f t="shared" si="44"/>
        <v/>
      </c>
      <c r="AX58" s="40" t="str">
        <f t="shared" si="45"/>
        <v/>
      </c>
      <c r="AY58" s="41">
        <f t="shared" si="46"/>
        <v>0</v>
      </c>
      <c r="AZ58" s="41" t="str">
        <f t="shared" si="47"/>
        <v/>
      </c>
      <c r="BA58" s="42" t="str">
        <f t="shared" si="48"/>
        <v/>
      </c>
      <c r="BB58" s="37" t="s">
        <v>106</v>
      </c>
      <c r="BC58" s="21"/>
      <c r="BD58" s="21"/>
      <c r="BG58" t="str">
        <f>IF(NOT(ISERROR(HLOOKUP(Standings!BG$3,Entries!$C27:$K27,1,FALSE))),"x",IF(NOT(ISERROR(HLOOKUP(Standings!BG$3,Entries!$L27:$L27,1,FALSE))),"S",""))</f>
        <v/>
      </c>
      <c r="BH58" t="str">
        <f>IF(NOT(ISERROR(HLOOKUP(Standings!BH$3,Entries!$C27:$K27,1,FALSE))),"x",IF(NOT(ISERROR(HLOOKUP(Standings!BH$3,Entries!$L27:$L27,1,FALSE))),"S",""))</f>
        <v/>
      </c>
      <c r="BI58" t="str">
        <f>IF(NOT(ISERROR(HLOOKUP(Standings!BI$3,Entries!$C27:$K27,1,FALSE))),"x",IF(NOT(ISERROR(HLOOKUP(Standings!BI$3,Entries!$L27:$L27,1,FALSE))),"S",""))</f>
        <v/>
      </c>
      <c r="BJ58" t="str">
        <f>IF(NOT(ISERROR(HLOOKUP(Standings!BJ$3,Entries!$C27:$K27,1,FALSE))),"x",IF(NOT(ISERROR(HLOOKUP(Standings!BJ$3,Entries!$L27:$L27,1,FALSE))),"S",""))</f>
        <v/>
      </c>
      <c r="BK58" t="str">
        <f>IF(NOT(ISERROR(HLOOKUP(Standings!BK$3,Entries!$C27:$K27,1,FALSE))),"x",IF(NOT(ISERROR(HLOOKUP(Standings!BK$3,Entries!$L27:$L27,1,FALSE))),"S",""))</f>
        <v/>
      </c>
      <c r="BL58" t="str">
        <f>IF(NOT(ISERROR(HLOOKUP(Standings!BL$3,Entries!$C27:$K27,1,FALSE))),"x",IF(NOT(ISERROR(HLOOKUP(Standings!BL$3,Entries!$L27:$L27,1,FALSE))),"S",""))</f>
        <v/>
      </c>
      <c r="BM58" t="str">
        <f>IF(NOT(ISERROR(HLOOKUP(Standings!BM$3,Entries!$C27:$K27,1,FALSE))),"x",IF(NOT(ISERROR(HLOOKUP(Standings!BM$3,Entries!$L27:$L27,1,FALSE))),"S",""))</f>
        <v/>
      </c>
      <c r="BN58" t="str">
        <f>IF(NOT(ISERROR(HLOOKUP(Standings!BN$3,Entries!$C27:$K27,1,FALSE))),"x",IF(NOT(ISERROR(HLOOKUP(Standings!BN$3,Entries!$L27:$L27,1,FALSE))),"S",""))</f>
        <v/>
      </c>
      <c r="BO58" t="str">
        <f>IF(NOT(ISERROR(HLOOKUP(Standings!BO$3,Entries!$C27:$K27,1,FALSE))),"x",IF(NOT(ISERROR(HLOOKUP(Standings!BO$3,Entries!$L27:$L27,1,FALSE))),"S",""))</f>
        <v/>
      </c>
      <c r="BP58" t="str">
        <f>IF(NOT(ISERROR(HLOOKUP(Standings!BP$3,Entries!$C27:$K27,1,FALSE))),"x",IF(NOT(ISERROR(HLOOKUP(Standings!BP$3,Entries!$L27:$L27,1,FALSE))),"S",""))</f>
        <v/>
      </c>
      <c r="BQ58" t="str">
        <f>IF(NOT(ISERROR(HLOOKUP(Standings!BQ$3,Entries!$C27:$K27,1,FALSE))),"x",IF(NOT(ISERROR(HLOOKUP(Standings!BQ$3,Entries!$L27:$L27,1,FALSE))),"S",""))</f>
        <v/>
      </c>
      <c r="BR58" t="str">
        <f>IF(NOT(ISERROR(HLOOKUP(Standings!BR$3,Entries!$C27:$K27,1,FALSE))),"x",IF(NOT(ISERROR(HLOOKUP(Standings!BR$3,Entries!$L27:$L27,1,FALSE))),"S",""))</f>
        <v/>
      </c>
      <c r="BS58" t="str">
        <f>IF(NOT(ISERROR(HLOOKUP(Standings!BS$3,Entries!$C27:$K27,1,FALSE))),"x",IF(NOT(ISERROR(HLOOKUP(Standings!BS$3,Entries!$L27:$L27,1,FALSE))),"S",""))</f>
        <v/>
      </c>
      <c r="BT58" t="str">
        <f>IF(NOT(ISERROR(HLOOKUP(Standings!BT$3,Entries!$C27:$K27,1,FALSE))),"x",IF(NOT(ISERROR(HLOOKUP(Standings!BT$3,Entries!$L27:$L27,1,FALSE))),"S",""))</f>
        <v/>
      </c>
      <c r="BU58" t="str">
        <f>IF(NOT(ISERROR(HLOOKUP(Standings!BU$3,Entries!$C27:$K27,1,FALSE))),"x",IF(NOT(ISERROR(HLOOKUP(Standings!BU$3,Entries!$L27:$L27,1,FALSE))),"S",""))</f>
        <v/>
      </c>
      <c r="BV58" t="str">
        <f>IF(NOT(ISERROR(HLOOKUP(Standings!BV$3,Entries!$C27:$K27,1,FALSE))),"x",IF(NOT(ISERROR(HLOOKUP(Standings!BV$3,Entries!$L27:$L27,1,FALSE))),"S",""))</f>
        <v/>
      </c>
      <c r="BW58" t="str">
        <f>IF(NOT(ISERROR(HLOOKUP(Standings!BW$3,Entries!$C27:$K27,1,FALSE))),"x",IF(NOT(ISERROR(HLOOKUP(Standings!BW$3,Entries!$L27:$L27,1,FALSE))),"S",""))</f>
        <v/>
      </c>
      <c r="BX58" t="str">
        <f>IF(NOT(ISERROR(HLOOKUP(Standings!BX$3,Entries!$C27:$K27,1,FALSE))),"x",IF(NOT(ISERROR(HLOOKUP(Standings!BX$3,Entries!$L27:$L27,1,FALSE))),"S",""))</f>
        <v/>
      </c>
      <c r="BY58" t="str">
        <f>IF(NOT(ISERROR(HLOOKUP(Standings!BY$3,Entries!$C27:$K27,1,FALSE))),"x",IF(NOT(ISERROR(HLOOKUP(Standings!BY$3,Entries!$L27:$L27,1,FALSE))),"S",""))</f>
        <v/>
      </c>
      <c r="BZ58" t="str">
        <f>IF(NOT(ISERROR(HLOOKUP(Standings!BZ$3,Entries!$C27:$K27,1,FALSE))),"x",IF(NOT(ISERROR(HLOOKUP(Standings!BZ$3,Entries!$L27:$L27,1,FALSE))),"S",""))</f>
        <v/>
      </c>
      <c r="CA58" t="str">
        <f>IF(NOT(ISERROR(HLOOKUP(Standings!CA$3,Entries!$C27:$K27,1,FALSE))),"x",IF(NOT(ISERROR(HLOOKUP(Standings!CA$3,Entries!$L27:$L27,1,FALSE))),"S",""))</f>
        <v/>
      </c>
      <c r="CB58" t="str">
        <f>IF(NOT(ISERROR(HLOOKUP(Standings!CB$3,Entries!$C27:$K27,1,FALSE))),"x",IF(NOT(ISERROR(HLOOKUP(Standings!CB$3,Entries!$L27:$L27,1,FALSE))),"S",""))</f>
        <v/>
      </c>
      <c r="CC58" t="str">
        <f>IF(NOT(ISERROR(HLOOKUP(Standings!CC$3,Entries!$C27:$K27,1,FALSE))),"x",IF(NOT(ISERROR(HLOOKUP(Standings!CC$3,Entries!$L27:$L27,1,FALSE))),"S",""))</f>
        <v/>
      </c>
      <c r="CD58" t="str">
        <f>IF(NOT(ISERROR(HLOOKUP(Standings!CD$3,Entries!$C27:$K27,1,FALSE))),"x",IF(NOT(ISERROR(HLOOKUP(Standings!CD$3,Entries!$L27:$L27,1,FALSE))),"S",""))</f>
        <v/>
      </c>
      <c r="CE58" t="str">
        <f>IF(NOT(ISERROR(HLOOKUP(Standings!CE$3,Entries!$C27:$K27,1,FALSE))),"x",IF(NOT(ISERROR(HLOOKUP(Standings!CE$3,Entries!$L27:$L27,1,FALSE))),"S",""))</f>
        <v>S</v>
      </c>
      <c r="CF58" t="str">
        <f>IF(NOT(ISERROR(HLOOKUP(Standings!CF$3,Entries!$C27:$K27,1,FALSE))),"x",IF(NOT(ISERROR(HLOOKUP(Standings!CF$3,Entries!$L27:$L27,1,FALSE))),"S",""))</f>
        <v/>
      </c>
      <c r="CG58" t="str">
        <f>IF(NOT(ISERROR(HLOOKUP(Standings!CG$3,Entries!$C27:$K27,1,FALSE))),"x",IF(NOT(ISERROR(HLOOKUP(Standings!CG$3,Entries!$L27:$L27,1,FALSE))),"S",""))</f>
        <v>x</v>
      </c>
      <c r="CH58" t="str">
        <f>IF(NOT(ISERROR(HLOOKUP(Standings!CH$3,Entries!$C27:$K27,1,FALSE))),"x",IF(NOT(ISERROR(HLOOKUP(Standings!CH$3,Entries!$L27:$L27,1,FALSE))),"S",""))</f>
        <v/>
      </c>
      <c r="CI58" t="str">
        <f>IF(NOT(ISERROR(HLOOKUP(Standings!CI$3,Entries!$C27:$K27,1,FALSE))),"x",IF(NOT(ISERROR(HLOOKUP(Standings!CI$3,Entries!$L27:$L27,1,FALSE))),"S",""))</f>
        <v/>
      </c>
      <c r="CJ58" t="str">
        <f>IF(NOT(ISERROR(HLOOKUP(Standings!CJ$3,Entries!$C27:$K27,1,FALSE))),"x",IF(NOT(ISERROR(HLOOKUP(Standings!CJ$3,Entries!$L27:$L27,1,FALSE))),"S",""))</f>
        <v/>
      </c>
      <c r="CK58" t="str">
        <f>IF(NOT(ISERROR(HLOOKUP(Standings!CK$3,Entries!$C27:$K27,1,FALSE))),"x",IF(NOT(ISERROR(HLOOKUP(Standings!CK$3,Entries!$L27:$L27,1,FALSE))),"S",""))</f>
        <v/>
      </c>
      <c r="CL58" t="str">
        <f>IF(NOT(ISERROR(HLOOKUP(Standings!CL$3,Entries!$C27:$K27,1,FALSE))),"x",IF(NOT(ISERROR(HLOOKUP(Standings!CL$3,Entries!$L27:$L27,1,FALSE))),"S",""))</f>
        <v>x</v>
      </c>
      <c r="CM58" t="str">
        <f>IF(NOT(ISERROR(HLOOKUP(Standings!CM$3,Entries!$C27:$K27,1,FALSE))),"x",IF(NOT(ISERROR(HLOOKUP(Standings!CM$3,Entries!$L27:$L27,1,FALSE))),"S",""))</f>
        <v>x</v>
      </c>
      <c r="CN58" t="str">
        <f>IF(NOT(ISERROR(HLOOKUP(Standings!CN$3,Entries!$C27:$K27,1,FALSE))),"x",IF(NOT(ISERROR(HLOOKUP(Standings!CN$3,Entries!$L27:$L27,1,FALSE))),"S",""))</f>
        <v>x</v>
      </c>
      <c r="CO58" t="str">
        <f>IF(NOT(ISERROR(HLOOKUP(Standings!CO$3,Entries!$C27:$K27,1,FALSE))),"x",IF(NOT(ISERROR(HLOOKUP(Standings!CO$3,Entries!$L27:$L27,1,FALSE))),"S",""))</f>
        <v/>
      </c>
      <c r="CP58" t="str">
        <f>IF(NOT(ISERROR(HLOOKUP(Standings!CP$3,Entries!$C27:$K27,1,FALSE))),"x",IF(NOT(ISERROR(HLOOKUP(Standings!CP$3,Entries!$L27:$L27,1,FALSE))),"S",""))</f>
        <v/>
      </c>
      <c r="CQ58" t="str">
        <f>IF(NOT(ISERROR(HLOOKUP(Standings!CQ$3,Entries!$C27:$K27,1,FALSE))),"x",IF(NOT(ISERROR(HLOOKUP(Standings!CQ$3,Entries!$L27:$L27,1,FALSE))),"S",""))</f>
        <v/>
      </c>
      <c r="CR58" t="str">
        <f>IF(NOT(ISERROR(HLOOKUP(Standings!CR$3,Entries!$C27:$K27,1,FALSE))),"x",IF(NOT(ISERROR(HLOOKUP(Standings!CR$3,Entries!$L27:$L27,1,FALSE))),"S",""))</f>
        <v/>
      </c>
      <c r="CS58" t="str">
        <f>IF(NOT(ISERROR(HLOOKUP(Standings!CS$3,Entries!$C27:$K27,1,FALSE))),"x",IF(NOT(ISERROR(HLOOKUP(Standings!CS$3,Entries!$L27:$L27,1,FALSE))),"S",""))</f>
        <v>x</v>
      </c>
      <c r="CT58" t="str">
        <f>IF(NOT(ISERROR(HLOOKUP(Standings!CT$3,Entries!$C27:$K27,1,FALSE))),"x",IF(NOT(ISERROR(HLOOKUP(Standings!CT$3,Entries!$L27:$L27,1,FALSE))),"S",""))</f>
        <v>x</v>
      </c>
      <c r="CU58" t="str">
        <f>IF(NOT(ISERROR(HLOOKUP(Standings!CU$3,Entries!$C27:$K27,1,FALSE))),"x",IF(NOT(ISERROR(HLOOKUP(Standings!CU$3,Entries!$L27:$L27,1,FALSE))),"S",""))</f>
        <v/>
      </c>
      <c r="CV58" t="str">
        <f>IF(NOT(ISERROR(HLOOKUP(Standings!CV$3,Entries!$C27:$K27,1,FALSE))),"x",IF(NOT(ISERROR(HLOOKUP(Standings!CV$3,Entries!$L27:$L27,1,FALSE))),"S",""))</f>
        <v/>
      </c>
      <c r="CW58" t="str">
        <f>IF(NOT(ISERROR(HLOOKUP(Standings!CW$3,Entries!$C27:$K27,1,FALSE))),"x",IF(NOT(ISERROR(HLOOKUP(Standings!CW$3,Entries!$L27:$L27,1,FALSE))),"S",""))</f>
        <v/>
      </c>
      <c r="CX58" t="str">
        <f>IF(NOT(ISERROR(HLOOKUP(Standings!CX$3,Entries!$C27:$K27,1,FALSE))),"x",IF(NOT(ISERROR(HLOOKUP(Standings!CX$3,Entries!$L27:$L27,1,FALSE))),"S",""))</f>
        <v/>
      </c>
      <c r="CY58" t="str">
        <f>IF(NOT(ISERROR(HLOOKUP(Standings!CY$3,Entries!$C27:$K27,1,FALSE))),"x",IF(NOT(ISERROR(HLOOKUP(Standings!CY$3,Entries!$L27:$L27,1,FALSE))),"S",""))</f>
        <v/>
      </c>
      <c r="CZ58" t="str">
        <f>IF(NOT(ISERROR(HLOOKUP(Standings!CZ$3,Entries!$C27:$K27,1,FALSE))),"x",IF(NOT(ISERROR(HLOOKUP(Standings!CZ$3,Entries!$L27:$L27,1,FALSE))),"S",""))</f>
        <v>x</v>
      </c>
      <c r="DA58" t="str">
        <f>IF(NOT(ISERROR(HLOOKUP(Standings!DA$3,Entries!$C27:$K27,1,FALSE))),"x",IF(NOT(ISERROR(HLOOKUP(Standings!DA$3,Entries!$L27:$L27,1,FALSE))),"S",""))</f>
        <v/>
      </c>
      <c r="DB58" t="str">
        <f>IF(NOT(ISERROR(HLOOKUP(Standings!DB$3,Entries!$C27:$K27,1,FALSE))),"x",IF(NOT(ISERROR(HLOOKUP(Standings!DB$3,Entries!$L27:$L27,1,FALSE))),"S",""))</f>
        <v/>
      </c>
    </row>
    <row r="59" spans="1:106" x14ac:dyDescent="0.25">
      <c r="B59">
        <v>71</v>
      </c>
      <c r="C59" t="str">
        <f>Entries!B28</f>
        <v>MikePollei2</v>
      </c>
      <c r="D59" s="4">
        <f>IF(C59="","",RANK(E59,$E$10:$E$111))</f>
        <v>97</v>
      </c>
      <c r="E59" s="31">
        <f t="shared" si="1"/>
        <v>-1</v>
      </c>
      <c r="F59" s="40" t="str">
        <f t="shared" si="49"/>
        <v/>
      </c>
      <c r="G59" s="41" t="str">
        <f t="shared" si="2"/>
        <v/>
      </c>
      <c r="H59" s="41" t="str">
        <f t="shared" si="3"/>
        <v/>
      </c>
      <c r="I59" s="42" t="str">
        <f t="shared" si="4"/>
        <v/>
      </c>
      <c r="J59" s="40" t="str">
        <f t="shared" si="5"/>
        <v/>
      </c>
      <c r="K59" s="41" t="str">
        <f t="shared" si="6"/>
        <v/>
      </c>
      <c r="L59" s="41" t="str">
        <f t="shared" si="7"/>
        <v/>
      </c>
      <c r="M59" s="42" t="str">
        <f t="shared" si="8"/>
        <v/>
      </c>
      <c r="N59" s="43" t="str">
        <f t="shared" si="9"/>
        <v/>
      </c>
      <c r="O59" s="41" t="str">
        <f t="shared" si="10"/>
        <v/>
      </c>
      <c r="P59" s="41" t="str">
        <f t="shared" si="11"/>
        <v/>
      </c>
      <c r="Q59" s="42" t="str">
        <f t="shared" si="12"/>
        <v/>
      </c>
      <c r="R59" s="40" t="str">
        <f t="shared" si="13"/>
        <v/>
      </c>
      <c r="S59" s="41" t="str">
        <f t="shared" si="14"/>
        <v/>
      </c>
      <c r="T59" s="43" t="str">
        <f t="shared" si="15"/>
        <v/>
      </c>
      <c r="U59" s="42" t="str">
        <f t="shared" si="16"/>
        <v/>
      </c>
      <c r="V59" s="40" t="str">
        <f t="shared" si="17"/>
        <v/>
      </c>
      <c r="W59" s="41">
        <f t="shared" si="18"/>
        <v>0</v>
      </c>
      <c r="X59" s="41" t="str">
        <f t="shared" si="19"/>
        <v/>
      </c>
      <c r="Y59" s="42" t="str">
        <f t="shared" si="20"/>
        <v/>
      </c>
      <c r="Z59" s="40" t="str">
        <f t="shared" si="21"/>
        <v/>
      </c>
      <c r="AA59" s="41" t="str">
        <f t="shared" si="22"/>
        <v/>
      </c>
      <c r="AB59" s="41" t="str">
        <f t="shared" si="23"/>
        <v/>
      </c>
      <c r="AC59" s="42" t="str">
        <f t="shared" si="24"/>
        <v/>
      </c>
      <c r="AD59" s="40">
        <f t="shared" si="25"/>
        <v>-1.0000100000000001</v>
      </c>
      <c r="AE59" s="41" t="str">
        <f t="shared" si="26"/>
        <v/>
      </c>
      <c r="AF59" s="41" t="str">
        <f t="shared" si="27"/>
        <v/>
      </c>
      <c r="AG59" s="42" t="str">
        <f t="shared" si="28"/>
        <v/>
      </c>
      <c r="AH59" s="40" t="str">
        <f t="shared" si="29"/>
        <v/>
      </c>
      <c r="AI59" s="41" t="str">
        <f t="shared" si="30"/>
        <v/>
      </c>
      <c r="AJ59" s="41" t="str">
        <f t="shared" si="31"/>
        <v/>
      </c>
      <c r="AK59" s="42" t="str">
        <f t="shared" si="32"/>
        <v/>
      </c>
      <c r="AL59" s="40">
        <f t="shared" si="33"/>
        <v>0</v>
      </c>
      <c r="AM59" s="41" t="str">
        <f t="shared" si="34"/>
        <v/>
      </c>
      <c r="AN59" s="41" t="str">
        <f t="shared" si="35"/>
        <v/>
      </c>
      <c r="AO59" s="42" t="str">
        <f t="shared" si="36"/>
        <v/>
      </c>
      <c r="AP59" s="40">
        <f t="shared" si="37"/>
        <v>0</v>
      </c>
      <c r="AQ59" s="41" t="str">
        <f t="shared" si="38"/>
        <v/>
      </c>
      <c r="AR59" s="41">
        <f t="shared" si="39"/>
        <v>0</v>
      </c>
      <c r="AS59" s="42">
        <f t="shared" si="40"/>
        <v>0</v>
      </c>
      <c r="AT59" s="40" t="str">
        <f t="shared" si="41"/>
        <v/>
      </c>
      <c r="AU59" s="41" t="str">
        <f t="shared" si="42"/>
        <v/>
      </c>
      <c r="AV59" s="41" t="str">
        <f t="shared" si="43"/>
        <v/>
      </c>
      <c r="AW59" s="42" t="str">
        <f t="shared" si="44"/>
        <v/>
      </c>
      <c r="AX59" s="40" t="str">
        <f t="shared" si="45"/>
        <v/>
      </c>
      <c r="AY59" s="41" t="str">
        <f t="shared" si="46"/>
        <v/>
      </c>
      <c r="AZ59" s="41" t="str">
        <f t="shared" si="47"/>
        <v/>
      </c>
      <c r="BA59" s="42" t="str">
        <f t="shared" si="48"/>
        <v/>
      </c>
      <c r="BB59" s="37" t="s">
        <v>106</v>
      </c>
      <c r="BC59" s="21"/>
      <c r="BD59" s="21"/>
      <c r="BG59" t="str">
        <f>IF(NOT(ISERROR(HLOOKUP(Standings!BG$3,Entries!$C28:$K28,1,FALSE))),"x",IF(NOT(ISERROR(HLOOKUP(Standings!BG$3,Entries!$L28:$L28,1,FALSE))),"S",""))</f>
        <v/>
      </c>
      <c r="BH59" t="str">
        <f>IF(NOT(ISERROR(HLOOKUP(Standings!BH$3,Entries!$C28:$K28,1,FALSE))),"x",IF(NOT(ISERROR(HLOOKUP(Standings!BH$3,Entries!$L28:$L28,1,FALSE))),"S",""))</f>
        <v/>
      </c>
      <c r="BI59" t="str">
        <f>IF(NOT(ISERROR(HLOOKUP(Standings!BI$3,Entries!$C28:$K28,1,FALSE))),"x",IF(NOT(ISERROR(HLOOKUP(Standings!BI$3,Entries!$L28:$L28,1,FALSE))),"S",""))</f>
        <v/>
      </c>
      <c r="BJ59" t="str">
        <f>IF(NOT(ISERROR(HLOOKUP(Standings!BJ$3,Entries!$C28:$K28,1,FALSE))),"x",IF(NOT(ISERROR(HLOOKUP(Standings!BJ$3,Entries!$L28:$L28,1,FALSE))),"S",""))</f>
        <v/>
      </c>
      <c r="BK59" t="str">
        <f>IF(NOT(ISERROR(HLOOKUP(Standings!BK$3,Entries!$C28:$K28,1,FALSE))),"x",IF(NOT(ISERROR(HLOOKUP(Standings!BK$3,Entries!$L28:$L28,1,FALSE))),"S",""))</f>
        <v/>
      </c>
      <c r="BL59" t="str">
        <f>IF(NOT(ISERROR(HLOOKUP(Standings!BL$3,Entries!$C28:$K28,1,FALSE))),"x",IF(NOT(ISERROR(HLOOKUP(Standings!BL$3,Entries!$L28:$L28,1,FALSE))),"S",""))</f>
        <v/>
      </c>
      <c r="BM59" t="str">
        <f>IF(NOT(ISERROR(HLOOKUP(Standings!BM$3,Entries!$C28:$K28,1,FALSE))),"x",IF(NOT(ISERROR(HLOOKUP(Standings!BM$3,Entries!$L28:$L28,1,FALSE))),"S",""))</f>
        <v/>
      </c>
      <c r="BN59" t="str">
        <f>IF(NOT(ISERROR(HLOOKUP(Standings!BN$3,Entries!$C28:$K28,1,FALSE))),"x",IF(NOT(ISERROR(HLOOKUP(Standings!BN$3,Entries!$L28:$L28,1,FALSE))),"S",""))</f>
        <v/>
      </c>
      <c r="BO59" t="str">
        <f>IF(NOT(ISERROR(HLOOKUP(Standings!BO$3,Entries!$C28:$K28,1,FALSE))),"x",IF(NOT(ISERROR(HLOOKUP(Standings!BO$3,Entries!$L28:$L28,1,FALSE))),"S",""))</f>
        <v/>
      </c>
      <c r="BP59" t="str">
        <f>IF(NOT(ISERROR(HLOOKUP(Standings!BP$3,Entries!$C28:$K28,1,FALSE))),"x",IF(NOT(ISERROR(HLOOKUP(Standings!BP$3,Entries!$L28:$L28,1,FALSE))),"S",""))</f>
        <v/>
      </c>
      <c r="BQ59" t="str">
        <f>IF(NOT(ISERROR(HLOOKUP(Standings!BQ$3,Entries!$C28:$K28,1,FALSE))),"x",IF(NOT(ISERROR(HLOOKUP(Standings!BQ$3,Entries!$L28:$L28,1,FALSE))),"S",""))</f>
        <v/>
      </c>
      <c r="BR59" t="str">
        <f>IF(NOT(ISERROR(HLOOKUP(Standings!BR$3,Entries!$C28:$K28,1,FALSE))),"x",IF(NOT(ISERROR(HLOOKUP(Standings!BR$3,Entries!$L28:$L28,1,FALSE))),"S",""))</f>
        <v/>
      </c>
      <c r="BS59" t="str">
        <f>IF(NOT(ISERROR(HLOOKUP(Standings!BS$3,Entries!$C28:$K28,1,FALSE))),"x",IF(NOT(ISERROR(HLOOKUP(Standings!BS$3,Entries!$L28:$L28,1,FALSE))),"S",""))</f>
        <v/>
      </c>
      <c r="BT59" t="str">
        <f>IF(NOT(ISERROR(HLOOKUP(Standings!BT$3,Entries!$C28:$K28,1,FALSE))),"x",IF(NOT(ISERROR(HLOOKUP(Standings!BT$3,Entries!$L28:$L28,1,FALSE))),"S",""))</f>
        <v/>
      </c>
      <c r="BU59" t="str">
        <f>IF(NOT(ISERROR(HLOOKUP(Standings!BU$3,Entries!$C28:$K28,1,FALSE))),"x",IF(NOT(ISERROR(HLOOKUP(Standings!BU$3,Entries!$L28:$L28,1,FALSE))),"S",""))</f>
        <v/>
      </c>
      <c r="BV59" t="str">
        <f>IF(NOT(ISERROR(HLOOKUP(Standings!BV$3,Entries!$C28:$K28,1,FALSE))),"x",IF(NOT(ISERROR(HLOOKUP(Standings!BV$3,Entries!$L28:$L28,1,FALSE))),"S",""))</f>
        <v/>
      </c>
      <c r="BW59" t="str">
        <f>IF(NOT(ISERROR(HLOOKUP(Standings!BW$3,Entries!$C28:$K28,1,FALSE))),"x",IF(NOT(ISERROR(HLOOKUP(Standings!BW$3,Entries!$L28:$L28,1,FALSE))),"S",""))</f>
        <v/>
      </c>
      <c r="BX59" t="str">
        <f>IF(NOT(ISERROR(HLOOKUP(Standings!BX$3,Entries!$C28:$K28,1,FALSE))),"x",IF(NOT(ISERROR(HLOOKUP(Standings!BX$3,Entries!$L28:$L28,1,FALSE))),"S",""))</f>
        <v>x</v>
      </c>
      <c r="BY59" t="str">
        <f>IF(NOT(ISERROR(HLOOKUP(Standings!BY$3,Entries!$C28:$K28,1,FALSE))),"x",IF(NOT(ISERROR(HLOOKUP(Standings!BY$3,Entries!$L28:$L28,1,FALSE))),"S",""))</f>
        <v/>
      </c>
      <c r="BZ59" t="str">
        <f>IF(NOT(ISERROR(HLOOKUP(Standings!BZ$3,Entries!$C28:$K28,1,FALSE))),"x",IF(NOT(ISERROR(HLOOKUP(Standings!BZ$3,Entries!$L28:$L28,1,FALSE))),"S",""))</f>
        <v/>
      </c>
      <c r="CA59" t="str">
        <f>IF(NOT(ISERROR(HLOOKUP(Standings!CA$3,Entries!$C28:$K28,1,FALSE))),"x",IF(NOT(ISERROR(HLOOKUP(Standings!CA$3,Entries!$L28:$L28,1,FALSE))),"S",""))</f>
        <v/>
      </c>
      <c r="CB59" t="str">
        <f>IF(NOT(ISERROR(HLOOKUP(Standings!CB$3,Entries!$C28:$K28,1,FALSE))),"x",IF(NOT(ISERROR(HLOOKUP(Standings!CB$3,Entries!$L28:$L28,1,FALSE))),"S",""))</f>
        <v/>
      </c>
      <c r="CC59" t="str">
        <f>IF(NOT(ISERROR(HLOOKUP(Standings!CC$3,Entries!$C28:$K28,1,FALSE))),"x",IF(NOT(ISERROR(HLOOKUP(Standings!CC$3,Entries!$L28:$L28,1,FALSE))),"S",""))</f>
        <v/>
      </c>
      <c r="CD59" t="str">
        <f>IF(NOT(ISERROR(HLOOKUP(Standings!CD$3,Entries!$C28:$K28,1,FALSE))),"x",IF(NOT(ISERROR(HLOOKUP(Standings!CD$3,Entries!$L28:$L28,1,FALSE))),"S",""))</f>
        <v/>
      </c>
      <c r="CE59" t="str">
        <f>IF(NOT(ISERROR(HLOOKUP(Standings!CE$3,Entries!$C28:$K28,1,FALSE))),"x",IF(NOT(ISERROR(HLOOKUP(Standings!CE$3,Entries!$L28:$L28,1,FALSE))),"S",""))</f>
        <v>S</v>
      </c>
      <c r="CF59" t="str">
        <f>IF(NOT(ISERROR(HLOOKUP(Standings!CF$3,Entries!$C28:$K28,1,FALSE))),"x",IF(NOT(ISERROR(HLOOKUP(Standings!CF$3,Entries!$L28:$L28,1,FALSE))),"S",""))</f>
        <v/>
      </c>
      <c r="CG59" t="str">
        <f>IF(NOT(ISERROR(HLOOKUP(Standings!CG$3,Entries!$C28:$K28,1,FALSE))),"x",IF(NOT(ISERROR(HLOOKUP(Standings!CG$3,Entries!$L28:$L28,1,FALSE))),"S",""))</f>
        <v/>
      </c>
      <c r="CH59" t="str">
        <f>IF(NOT(ISERROR(HLOOKUP(Standings!CH$3,Entries!$C28:$K28,1,FALSE))),"x",IF(NOT(ISERROR(HLOOKUP(Standings!CH$3,Entries!$L28:$L28,1,FALSE))),"S",""))</f>
        <v/>
      </c>
      <c r="CI59" t="str">
        <f>IF(NOT(ISERROR(HLOOKUP(Standings!CI$3,Entries!$C28:$K28,1,FALSE))),"x",IF(NOT(ISERROR(HLOOKUP(Standings!CI$3,Entries!$L28:$L28,1,FALSE))),"S",""))</f>
        <v/>
      </c>
      <c r="CJ59" t="str">
        <f>IF(NOT(ISERROR(HLOOKUP(Standings!CJ$3,Entries!$C28:$K28,1,FALSE))),"x",IF(NOT(ISERROR(HLOOKUP(Standings!CJ$3,Entries!$L28:$L28,1,FALSE))),"S",""))</f>
        <v/>
      </c>
      <c r="CK59" t="str">
        <f>IF(NOT(ISERROR(HLOOKUP(Standings!CK$3,Entries!$C28:$K28,1,FALSE))),"x",IF(NOT(ISERROR(HLOOKUP(Standings!CK$3,Entries!$L28:$L28,1,FALSE))),"S",""))</f>
        <v/>
      </c>
      <c r="CL59" t="str">
        <f>IF(NOT(ISERROR(HLOOKUP(Standings!CL$3,Entries!$C28:$K28,1,FALSE))),"x",IF(NOT(ISERROR(HLOOKUP(Standings!CL$3,Entries!$L28:$L28,1,FALSE))),"S",""))</f>
        <v/>
      </c>
      <c r="CM59" t="str">
        <f>IF(NOT(ISERROR(HLOOKUP(Standings!CM$3,Entries!$C28:$K28,1,FALSE))),"x",IF(NOT(ISERROR(HLOOKUP(Standings!CM$3,Entries!$L28:$L28,1,FALSE))),"S",""))</f>
        <v>x</v>
      </c>
      <c r="CN59" t="str">
        <f>IF(NOT(ISERROR(HLOOKUP(Standings!CN$3,Entries!$C28:$K28,1,FALSE))),"x",IF(NOT(ISERROR(HLOOKUP(Standings!CN$3,Entries!$L28:$L28,1,FALSE))),"S",""))</f>
        <v/>
      </c>
      <c r="CO59" t="str">
        <f>IF(NOT(ISERROR(HLOOKUP(Standings!CO$3,Entries!$C28:$K28,1,FALSE))),"x",IF(NOT(ISERROR(HLOOKUP(Standings!CO$3,Entries!$L28:$L28,1,FALSE))),"S",""))</f>
        <v/>
      </c>
      <c r="CP59" t="str">
        <f>IF(NOT(ISERROR(HLOOKUP(Standings!CP$3,Entries!$C28:$K28,1,FALSE))),"x",IF(NOT(ISERROR(HLOOKUP(Standings!CP$3,Entries!$L28:$L28,1,FALSE))),"S",""))</f>
        <v/>
      </c>
      <c r="CQ59" t="str">
        <f>IF(NOT(ISERROR(HLOOKUP(Standings!CQ$3,Entries!$C28:$K28,1,FALSE))),"x",IF(NOT(ISERROR(HLOOKUP(Standings!CQ$3,Entries!$L28:$L28,1,FALSE))),"S",""))</f>
        <v>x</v>
      </c>
      <c r="CR59" t="str">
        <f>IF(NOT(ISERROR(HLOOKUP(Standings!CR$3,Entries!$C28:$K28,1,FALSE))),"x",IF(NOT(ISERROR(HLOOKUP(Standings!CR$3,Entries!$L28:$L28,1,FALSE))),"S",""))</f>
        <v/>
      </c>
      <c r="CS59" t="str">
        <f>IF(NOT(ISERROR(HLOOKUP(Standings!CS$3,Entries!$C28:$K28,1,FALSE))),"x",IF(NOT(ISERROR(HLOOKUP(Standings!CS$3,Entries!$L28:$L28,1,FALSE))),"S",""))</f>
        <v>x</v>
      </c>
      <c r="CT59" t="str">
        <f>IF(NOT(ISERROR(HLOOKUP(Standings!CT$3,Entries!$C28:$K28,1,FALSE))),"x",IF(NOT(ISERROR(HLOOKUP(Standings!CT$3,Entries!$L28:$L28,1,FALSE))),"S",""))</f>
        <v>x</v>
      </c>
      <c r="CU59" t="str">
        <f>IF(NOT(ISERROR(HLOOKUP(Standings!CU$3,Entries!$C28:$K28,1,FALSE))),"x",IF(NOT(ISERROR(HLOOKUP(Standings!CU$3,Entries!$L28:$L28,1,FALSE))),"S",""))</f>
        <v/>
      </c>
      <c r="CV59" t="str">
        <f>IF(NOT(ISERROR(HLOOKUP(Standings!CV$3,Entries!$C28:$K28,1,FALSE))),"x",IF(NOT(ISERROR(HLOOKUP(Standings!CV$3,Entries!$L28:$L28,1,FALSE))),"S",""))</f>
        <v/>
      </c>
      <c r="CW59" t="str">
        <f>IF(NOT(ISERROR(HLOOKUP(Standings!CW$3,Entries!$C28:$K28,1,FALSE))),"x",IF(NOT(ISERROR(HLOOKUP(Standings!CW$3,Entries!$L28:$L28,1,FALSE))),"S",""))</f>
        <v/>
      </c>
      <c r="CX59" t="str">
        <f>IF(NOT(ISERROR(HLOOKUP(Standings!CX$3,Entries!$C28:$K28,1,FALSE))),"x",IF(NOT(ISERROR(HLOOKUP(Standings!CX$3,Entries!$L28:$L28,1,FALSE))),"S",""))</f>
        <v/>
      </c>
      <c r="CY59" t="str">
        <f>IF(NOT(ISERROR(HLOOKUP(Standings!CY$3,Entries!$C28:$K28,1,FALSE))),"x",IF(NOT(ISERROR(HLOOKUP(Standings!CY$3,Entries!$L28:$L28,1,FALSE))),"S",""))</f>
        <v/>
      </c>
      <c r="CZ59" t="str">
        <f>IF(NOT(ISERROR(HLOOKUP(Standings!CZ$3,Entries!$C28:$K28,1,FALSE))),"x",IF(NOT(ISERROR(HLOOKUP(Standings!CZ$3,Entries!$L28:$L28,1,FALSE))),"S",""))</f>
        <v/>
      </c>
      <c r="DA59" t="str">
        <f>IF(NOT(ISERROR(HLOOKUP(Standings!DA$3,Entries!$C28:$K28,1,FALSE))),"x",IF(NOT(ISERROR(HLOOKUP(Standings!DA$3,Entries!$L28:$L28,1,FALSE))),"S",""))</f>
        <v/>
      </c>
      <c r="DB59" t="str">
        <f>IF(NOT(ISERROR(HLOOKUP(Standings!DB$3,Entries!$C28:$K28,1,FALSE))),"x",IF(NOT(ISERROR(HLOOKUP(Standings!DB$3,Entries!$L28:$L28,1,FALSE))),"S",""))</f>
        <v/>
      </c>
    </row>
    <row r="60" spans="1:106" x14ac:dyDescent="0.25">
      <c r="A60" s="18"/>
      <c r="B60">
        <v>51</v>
      </c>
      <c r="C60" t="str">
        <f>Entries!B29</f>
        <v>MichellePollei</v>
      </c>
      <c r="D60" s="4">
        <f>IF(C60="","",RANK(E60,$E$10:$E$111))</f>
        <v>71</v>
      </c>
      <c r="E60" s="31">
        <f t="shared" si="1"/>
        <v>2</v>
      </c>
      <c r="F60" s="40" t="str">
        <f t="shared" si="49"/>
        <v/>
      </c>
      <c r="G60" s="41" t="str">
        <f t="shared" si="2"/>
        <v/>
      </c>
      <c r="H60" s="41" t="str">
        <f t="shared" si="3"/>
        <v/>
      </c>
      <c r="I60" s="42" t="str">
        <f t="shared" si="4"/>
        <v/>
      </c>
      <c r="J60" s="40" t="str">
        <f t="shared" si="5"/>
        <v/>
      </c>
      <c r="K60" s="41" t="str">
        <f t="shared" si="6"/>
        <v/>
      </c>
      <c r="L60" s="41">
        <f t="shared" si="7"/>
        <v>1</v>
      </c>
      <c r="M60" s="42" t="str">
        <f t="shared" si="8"/>
        <v/>
      </c>
      <c r="N60" s="43" t="str">
        <f t="shared" si="9"/>
        <v/>
      </c>
      <c r="O60" s="41" t="str">
        <f t="shared" si="10"/>
        <v/>
      </c>
      <c r="P60" s="41" t="str">
        <f t="shared" si="11"/>
        <v/>
      </c>
      <c r="Q60" s="42" t="str">
        <f t="shared" si="12"/>
        <v/>
      </c>
      <c r="R60" s="40" t="str">
        <f t="shared" si="13"/>
        <v/>
      </c>
      <c r="S60" s="41" t="str">
        <f t="shared" si="14"/>
        <v/>
      </c>
      <c r="T60" s="43" t="str">
        <f t="shared" si="15"/>
        <v/>
      </c>
      <c r="U60" s="42">
        <f t="shared" si="16"/>
        <v>-1.0000000000000001E-5</v>
      </c>
      <c r="V60" s="40" t="str">
        <f t="shared" si="17"/>
        <v/>
      </c>
      <c r="W60" s="41">
        <f t="shared" si="18"/>
        <v>0</v>
      </c>
      <c r="X60" s="41" t="str">
        <f t="shared" si="19"/>
        <v/>
      </c>
      <c r="Y60" s="42" t="str">
        <f t="shared" si="20"/>
        <v/>
      </c>
      <c r="Z60" s="40" t="str">
        <f t="shared" si="21"/>
        <v/>
      </c>
      <c r="AA60" s="41" t="str">
        <f t="shared" si="22"/>
        <v/>
      </c>
      <c r="AB60" s="41" t="str">
        <f t="shared" si="23"/>
        <v/>
      </c>
      <c r="AC60" s="42" t="str">
        <f t="shared" si="24"/>
        <v/>
      </c>
      <c r="AD60" s="40" t="str">
        <f t="shared" si="25"/>
        <v/>
      </c>
      <c r="AE60" s="41" t="str">
        <f t="shared" si="26"/>
        <v/>
      </c>
      <c r="AF60" s="41" t="str">
        <f t="shared" si="27"/>
        <v/>
      </c>
      <c r="AG60" s="42" t="str">
        <f t="shared" si="28"/>
        <v/>
      </c>
      <c r="AH60" s="40" t="str">
        <f t="shared" si="29"/>
        <v/>
      </c>
      <c r="AI60" s="41" t="str">
        <f t="shared" si="30"/>
        <v/>
      </c>
      <c r="AJ60" s="41" t="str">
        <f t="shared" si="31"/>
        <v/>
      </c>
      <c r="AK60" s="42">
        <f t="shared" si="32"/>
        <v>1</v>
      </c>
      <c r="AL60" s="40" t="str">
        <f t="shared" si="33"/>
        <v/>
      </c>
      <c r="AM60" s="41">
        <f t="shared" si="34"/>
        <v>0</v>
      </c>
      <c r="AN60" s="41" t="str">
        <f t="shared" si="35"/>
        <v/>
      </c>
      <c r="AO60" s="42" t="str">
        <f t="shared" si="36"/>
        <v/>
      </c>
      <c r="AP60" s="40">
        <f t="shared" si="37"/>
        <v>0</v>
      </c>
      <c r="AQ60" s="41" t="str">
        <f t="shared" si="38"/>
        <v/>
      </c>
      <c r="AR60" s="41">
        <f t="shared" si="39"/>
        <v>0</v>
      </c>
      <c r="AS60" s="42">
        <f t="shared" si="40"/>
        <v>0</v>
      </c>
      <c r="AT60" s="40" t="str">
        <f t="shared" si="41"/>
        <v/>
      </c>
      <c r="AU60" s="41" t="str">
        <f t="shared" si="42"/>
        <v/>
      </c>
      <c r="AV60" s="41" t="str">
        <f t="shared" si="43"/>
        <v/>
      </c>
      <c r="AW60" s="42" t="str">
        <f t="shared" si="44"/>
        <v/>
      </c>
      <c r="AX60" s="40" t="str">
        <f t="shared" si="45"/>
        <v/>
      </c>
      <c r="AY60" s="41">
        <f t="shared" si="46"/>
        <v>0</v>
      </c>
      <c r="AZ60" s="41" t="str">
        <f t="shared" si="47"/>
        <v/>
      </c>
      <c r="BA60" s="42" t="str">
        <f t="shared" si="48"/>
        <v/>
      </c>
      <c r="BB60" s="37" t="s">
        <v>106</v>
      </c>
      <c r="BC60" s="21"/>
      <c r="BD60" s="21"/>
      <c r="BG60" t="str">
        <f>IF(NOT(ISERROR(HLOOKUP(Standings!BG$3,Entries!$C29:$K29,1,FALSE))),"x",IF(NOT(ISERROR(HLOOKUP(Standings!BG$3,Entries!$L29:$L29,1,FALSE))),"S",""))</f>
        <v/>
      </c>
      <c r="BH60" t="str">
        <f>IF(NOT(ISERROR(HLOOKUP(Standings!BH$3,Entries!$C29:$K29,1,FALSE))),"x",IF(NOT(ISERROR(HLOOKUP(Standings!BH$3,Entries!$L29:$L29,1,FALSE))),"S",""))</f>
        <v/>
      </c>
      <c r="BI60" t="str">
        <f>IF(NOT(ISERROR(HLOOKUP(Standings!BI$3,Entries!$C29:$K29,1,FALSE))),"x",IF(NOT(ISERROR(HLOOKUP(Standings!BI$3,Entries!$L29:$L29,1,FALSE))),"S",""))</f>
        <v/>
      </c>
      <c r="BJ60" t="str">
        <f>IF(NOT(ISERROR(HLOOKUP(Standings!BJ$3,Entries!$C29:$K29,1,FALSE))),"x",IF(NOT(ISERROR(HLOOKUP(Standings!BJ$3,Entries!$L29:$L29,1,FALSE))),"S",""))</f>
        <v/>
      </c>
      <c r="BK60" t="str">
        <f>IF(NOT(ISERROR(HLOOKUP(Standings!BK$3,Entries!$C29:$K29,1,FALSE))),"x",IF(NOT(ISERROR(HLOOKUP(Standings!BK$3,Entries!$L29:$L29,1,FALSE))),"S",""))</f>
        <v/>
      </c>
      <c r="BL60" t="str">
        <f>IF(NOT(ISERROR(HLOOKUP(Standings!BL$3,Entries!$C29:$K29,1,FALSE))),"x",IF(NOT(ISERROR(HLOOKUP(Standings!BL$3,Entries!$L29:$L29,1,FALSE))),"S",""))</f>
        <v/>
      </c>
      <c r="BM60" t="str">
        <f>IF(NOT(ISERROR(HLOOKUP(Standings!BM$3,Entries!$C29:$K29,1,FALSE))),"x",IF(NOT(ISERROR(HLOOKUP(Standings!BM$3,Entries!$L29:$L29,1,FALSE))),"S",""))</f>
        <v>x</v>
      </c>
      <c r="BN60" t="str">
        <f>IF(NOT(ISERROR(HLOOKUP(Standings!BN$3,Entries!$C29:$K29,1,FALSE))),"x",IF(NOT(ISERROR(HLOOKUP(Standings!BN$3,Entries!$L29:$L29,1,FALSE))),"S",""))</f>
        <v/>
      </c>
      <c r="BO60" t="str">
        <f>IF(NOT(ISERROR(HLOOKUP(Standings!BO$3,Entries!$C29:$K29,1,FALSE))),"x",IF(NOT(ISERROR(HLOOKUP(Standings!BO$3,Entries!$L29:$L29,1,FALSE))),"S",""))</f>
        <v/>
      </c>
      <c r="BP60" t="str">
        <f>IF(NOT(ISERROR(HLOOKUP(Standings!BP$3,Entries!$C29:$K29,1,FALSE))),"x",IF(NOT(ISERROR(HLOOKUP(Standings!BP$3,Entries!$L29:$L29,1,FALSE))),"S",""))</f>
        <v/>
      </c>
      <c r="BQ60" t="str">
        <f>IF(NOT(ISERROR(HLOOKUP(Standings!BQ$3,Entries!$C29:$K29,1,FALSE))),"x",IF(NOT(ISERROR(HLOOKUP(Standings!BQ$3,Entries!$L29:$L29,1,FALSE))),"S",""))</f>
        <v/>
      </c>
      <c r="BR60" t="str">
        <f>IF(NOT(ISERROR(HLOOKUP(Standings!BR$3,Entries!$C29:$K29,1,FALSE))),"x",IF(NOT(ISERROR(HLOOKUP(Standings!BR$3,Entries!$L29:$L29,1,FALSE))),"S",""))</f>
        <v/>
      </c>
      <c r="BS60" t="str">
        <f>IF(NOT(ISERROR(HLOOKUP(Standings!BS$3,Entries!$C29:$K29,1,FALSE))),"x",IF(NOT(ISERROR(HLOOKUP(Standings!BS$3,Entries!$L29:$L29,1,FALSE))),"S",""))</f>
        <v/>
      </c>
      <c r="BT60" t="str">
        <f>IF(NOT(ISERROR(HLOOKUP(Standings!BT$3,Entries!$C29:$K29,1,FALSE))),"x",IF(NOT(ISERROR(HLOOKUP(Standings!BT$3,Entries!$L29:$L29,1,FALSE))),"S",""))</f>
        <v/>
      </c>
      <c r="BU60" t="str">
        <f>IF(NOT(ISERROR(HLOOKUP(Standings!BU$3,Entries!$C29:$K29,1,FALSE))),"x",IF(NOT(ISERROR(HLOOKUP(Standings!BU$3,Entries!$L29:$L29,1,FALSE))),"S",""))</f>
        <v/>
      </c>
      <c r="BV60" t="str">
        <f>IF(NOT(ISERROR(HLOOKUP(Standings!BV$3,Entries!$C29:$K29,1,FALSE))),"x",IF(NOT(ISERROR(HLOOKUP(Standings!BV$3,Entries!$L29:$L29,1,FALSE))),"S",""))</f>
        <v>S</v>
      </c>
      <c r="BW60" t="str">
        <f>IF(NOT(ISERROR(HLOOKUP(Standings!BW$3,Entries!$C29:$K29,1,FALSE))),"x",IF(NOT(ISERROR(HLOOKUP(Standings!BW$3,Entries!$L29:$L29,1,FALSE))),"S",""))</f>
        <v/>
      </c>
      <c r="BX60" t="str">
        <f>IF(NOT(ISERROR(HLOOKUP(Standings!BX$3,Entries!$C29:$K29,1,FALSE))),"x",IF(NOT(ISERROR(HLOOKUP(Standings!BX$3,Entries!$L29:$L29,1,FALSE))),"S",""))</f>
        <v>x</v>
      </c>
      <c r="BY60" t="str">
        <f>IF(NOT(ISERROR(HLOOKUP(Standings!BY$3,Entries!$C29:$K29,1,FALSE))),"x",IF(NOT(ISERROR(HLOOKUP(Standings!BY$3,Entries!$L29:$L29,1,FALSE))),"S",""))</f>
        <v/>
      </c>
      <c r="BZ60" t="str">
        <f>IF(NOT(ISERROR(HLOOKUP(Standings!BZ$3,Entries!$C29:$K29,1,FALSE))),"x",IF(NOT(ISERROR(HLOOKUP(Standings!BZ$3,Entries!$L29:$L29,1,FALSE))),"S",""))</f>
        <v/>
      </c>
      <c r="CA60" t="str">
        <f>IF(NOT(ISERROR(HLOOKUP(Standings!CA$3,Entries!$C29:$K29,1,FALSE))),"x",IF(NOT(ISERROR(HLOOKUP(Standings!CA$3,Entries!$L29:$L29,1,FALSE))),"S",""))</f>
        <v/>
      </c>
      <c r="CB60" t="str">
        <f>IF(NOT(ISERROR(HLOOKUP(Standings!CB$3,Entries!$C29:$K29,1,FALSE))),"x",IF(NOT(ISERROR(HLOOKUP(Standings!CB$3,Entries!$L29:$L29,1,FALSE))),"S",""))</f>
        <v/>
      </c>
      <c r="CC60" t="str">
        <f>IF(NOT(ISERROR(HLOOKUP(Standings!CC$3,Entries!$C29:$K29,1,FALSE))),"x",IF(NOT(ISERROR(HLOOKUP(Standings!CC$3,Entries!$L29:$L29,1,FALSE))),"S",""))</f>
        <v/>
      </c>
      <c r="CD60" t="str">
        <f>IF(NOT(ISERROR(HLOOKUP(Standings!CD$3,Entries!$C29:$K29,1,FALSE))),"x",IF(NOT(ISERROR(HLOOKUP(Standings!CD$3,Entries!$L29:$L29,1,FALSE))),"S",""))</f>
        <v/>
      </c>
      <c r="CE60" t="str">
        <f>IF(NOT(ISERROR(HLOOKUP(Standings!CE$3,Entries!$C29:$K29,1,FALSE))),"x",IF(NOT(ISERROR(HLOOKUP(Standings!CE$3,Entries!$L29:$L29,1,FALSE))),"S",""))</f>
        <v/>
      </c>
      <c r="CF60" t="str">
        <f>IF(NOT(ISERROR(HLOOKUP(Standings!CF$3,Entries!$C29:$K29,1,FALSE))),"x",IF(NOT(ISERROR(HLOOKUP(Standings!CF$3,Entries!$L29:$L29,1,FALSE))),"S",""))</f>
        <v/>
      </c>
      <c r="CG60" t="str">
        <f>IF(NOT(ISERROR(HLOOKUP(Standings!CG$3,Entries!$C29:$K29,1,FALSE))),"x",IF(NOT(ISERROR(HLOOKUP(Standings!CG$3,Entries!$L29:$L29,1,FALSE))),"S",""))</f>
        <v/>
      </c>
      <c r="CH60" t="str">
        <f>IF(NOT(ISERROR(HLOOKUP(Standings!CH$3,Entries!$C29:$K29,1,FALSE))),"x",IF(NOT(ISERROR(HLOOKUP(Standings!CH$3,Entries!$L29:$L29,1,FALSE))),"S",""))</f>
        <v/>
      </c>
      <c r="CI60" t="str">
        <f>IF(NOT(ISERROR(HLOOKUP(Standings!CI$3,Entries!$C29:$K29,1,FALSE))),"x",IF(NOT(ISERROR(HLOOKUP(Standings!CI$3,Entries!$L29:$L29,1,FALSE))),"S",""))</f>
        <v/>
      </c>
      <c r="CJ60" t="str">
        <f>IF(NOT(ISERROR(HLOOKUP(Standings!CJ$3,Entries!$C29:$K29,1,FALSE))),"x",IF(NOT(ISERROR(HLOOKUP(Standings!CJ$3,Entries!$L29:$L29,1,FALSE))),"S",""))</f>
        <v/>
      </c>
      <c r="CK60" t="str">
        <f>IF(NOT(ISERROR(HLOOKUP(Standings!CK$3,Entries!$C29:$K29,1,FALSE))),"x",IF(NOT(ISERROR(HLOOKUP(Standings!CK$3,Entries!$L29:$L29,1,FALSE))),"S",""))</f>
        <v/>
      </c>
      <c r="CL60" t="str">
        <f>IF(NOT(ISERROR(HLOOKUP(Standings!CL$3,Entries!$C29:$K29,1,FALSE))),"x",IF(NOT(ISERROR(HLOOKUP(Standings!CL$3,Entries!$L29:$L29,1,FALSE))),"S",""))</f>
        <v>x</v>
      </c>
      <c r="CM60" t="str">
        <f>IF(NOT(ISERROR(HLOOKUP(Standings!CM$3,Entries!$C29:$K29,1,FALSE))),"x",IF(NOT(ISERROR(HLOOKUP(Standings!CM$3,Entries!$L29:$L29,1,FALSE))),"S",""))</f>
        <v/>
      </c>
      <c r="CN60" t="str">
        <f>IF(NOT(ISERROR(HLOOKUP(Standings!CN$3,Entries!$C29:$K29,1,FALSE))),"x",IF(NOT(ISERROR(HLOOKUP(Standings!CN$3,Entries!$L29:$L29,1,FALSE))),"S",""))</f>
        <v>x</v>
      </c>
      <c r="CO60" t="str">
        <f>IF(NOT(ISERROR(HLOOKUP(Standings!CO$3,Entries!$C29:$K29,1,FALSE))),"x",IF(NOT(ISERROR(HLOOKUP(Standings!CO$3,Entries!$L29:$L29,1,FALSE))),"S",""))</f>
        <v/>
      </c>
      <c r="CP60" t="str">
        <f>IF(NOT(ISERROR(HLOOKUP(Standings!CP$3,Entries!$C29:$K29,1,FALSE))),"x",IF(NOT(ISERROR(HLOOKUP(Standings!CP$3,Entries!$L29:$L29,1,FALSE))),"S",""))</f>
        <v/>
      </c>
      <c r="CQ60" t="str">
        <f>IF(NOT(ISERROR(HLOOKUP(Standings!CQ$3,Entries!$C29:$K29,1,FALSE))),"x",IF(NOT(ISERROR(HLOOKUP(Standings!CQ$3,Entries!$L29:$L29,1,FALSE))),"S",""))</f>
        <v>x</v>
      </c>
      <c r="CR60" t="str">
        <f>IF(NOT(ISERROR(HLOOKUP(Standings!CR$3,Entries!$C29:$K29,1,FALSE))),"x",IF(NOT(ISERROR(HLOOKUP(Standings!CR$3,Entries!$L29:$L29,1,FALSE))),"S",""))</f>
        <v/>
      </c>
      <c r="CS60" t="str">
        <f>IF(NOT(ISERROR(HLOOKUP(Standings!CS$3,Entries!$C29:$K29,1,FALSE))),"x",IF(NOT(ISERROR(HLOOKUP(Standings!CS$3,Entries!$L29:$L29,1,FALSE))),"S",""))</f>
        <v>x</v>
      </c>
      <c r="CT60" t="str">
        <f>IF(NOT(ISERROR(HLOOKUP(Standings!CT$3,Entries!$C29:$K29,1,FALSE))),"x",IF(NOT(ISERROR(HLOOKUP(Standings!CT$3,Entries!$L29:$L29,1,FALSE))),"S",""))</f>
        <v>x</v>
      </c>
      <c r="CU60" t="str">
        <f>IF(NOT(ISERROR(HLOOKUP(Standings!CU$3,Entries!$C29:$K29,1,FALSE))),"x",IF(NOT(ISERROR(HLOOKUP(Standings!CU$3,Entries!$L29:$L29,1,FALSE))),"S",""))</f>
        <v/>
      </c>
      <c r="CV60" t="str">
        <f>IF(NOT(ISERROR(HLOOKUP(Standings!CV$3,Entries!$C29:$K29,1,FALSE))),"x",IF(NOT(ISERROR(HLOOKUP(Standings!CV$3,Entries!$L29:$L29,1,FALSE))),"S",""))</f>
        <v/>
      </c>
      <c r="CW60" t="str">
        <f>IF(NOT(ISERROR(HLOOKUP(Standings!CW$3,Entries!$C29:$K29,1,FALSE))),"x",IF(NOT(ISERROR(HLOOKUP(Standings!CW$3,Entries!$L29:$L29,1,FALSE))),"S",""))</f>
        <v/>
      </c>
      <c r="CX60" t="str">
        <f>IF(NOT(ISERROR(HLOOKUP(Standings!CX$3,Entries!$C29:$K29,1,FALSE))),"x",IF(NOT(ISERROR(HLOOKUP(Standings!CX$3,Entries!$L29:$L29,1,FALSE))),"S",""))</f>
        <v/>
      </c>
      <c r="CY60" t="str">
        <f>IF(NOT(ISERROR(HLOOKUP(Standings!CY$3,Entries!$C29:$K29,1,FALSE))),"x",IF(NOT(ISERROR(HLOOKUP(Standings!CY$3,Entries!$L29:$L29,1,FALSE))),"S",""))</f>
        <v/>
      </c>
      <c r="CZ60" t="str">
        <f>IF(NOT(ISERROR(HLOOKUP(Standings!CZ$3,Entries!$C29:$K29,1,FALSE))),"x",IF(NOT(ISERROR(HLOOKUP(Standings!CZ$3,Entries!$L29:$L29,1,FALSE))),"S",""))</f>
        <v>x</v>
      </c>
      <c r="DA60" t="str">
        <f>IF(NOT(ISERROR(HLOOKUP(Standings!DA$3,Entries!$C29:$K29,1,FALSE))),"x",IF(NOT(ISERROR(HLOOKUP(Standings!DA$3,Entries!$L29:$L29,1,FALSE))),"S",""))</f>
        <v/>
      </c>
      <c r="DB60" t="str">
        <f>IF(NOT(ISERROR(HLOOKUP(Standings!DB$3,Entries!$C29:$K29,1,FALSE))),"x",IF(NOT(ISERROR(HLOOKUP(Standings!DB$3,Entries!$L29:$L29,1,FALSE))),"S",""))</f>
        <v/>
      </c>
    </row>
    <row r="61" spans="1:106" x14ac:dyDescent="0.25">
      <c r="A61" s="18"/>
      <c r="B61">
        <v>57</v>
      </c>
      <c r="C61" t="str">
        <f>Entries!B30</f>
        <v>SarahPollei</v>
      </c>
      <c r="D61" s="4">
        <f>IF(C61="","",RANK(E61,$E$10:$E$111))</f>
        <v>71</v>
      </c>
      <c r="E61" s="31">
        <f t="shared" si="1"/>
        <v>2</v>
      </c>
      <c r="F61" s="40" t="str">
        <f t="shared" si="49"/>
        <v/>
      </c>
      <c r="G61" s="41" t="str">
        <f t="shared" si="2"/>
        <v/>
      </c>
      <c r="H61" s="41" t="str">
        <f t="shared" si="3"/>
        <v/>
      </c>
      <c r="I61" s="42" t="str">
        <f t="shared" si="4"/>
        <v/>
      </c>
      <c r="J61" s="40" t="str">
        <f t="shared" si="5"/>
        <v/>
      </c>
      <c r="K61" s="41" t="str">
        <f t="shared" si="6"/>
        <v/>
      </c>
      <c r="L61" s="41" t="str">
        <f t="shared" si="7"/>
        <v/>
      </c>
      <c r="M61" s="42" t="str">
        <f t="shared" si="8"/>
        <v/>
      </c>
      <c r="N61" s="43" t="str">
        <f t="shared" si="9"/>
        <v/>
      </c>
      <c r="O61" s="41" t="str">
        <f t="shared" si="10"/>
        <v/>
      </c>
      <c r="P61" s="41" t="str">
        <f t="shared" si="11"/>
        <v/>
      </c>
      <c r="Q61" s="42" t="str">
        <f t="shared" si="12"/>
        <v/>
      </c>
      <c r="R61" s="40" t="str">
        <f t="shared" si="13"/>
        <v/>
      </c>
      <c r="S61" s="41" t="str">
        <f t="shared" si="14"/>
        <v/>
      </c>
      <c r="T61" s="43" t="str">
        <f t="shared" si="15"/>
        <v/>
      </c>
      <c r="U61" s="42">
        <f t="shared" si="16"/>
        <v>-1.0000000000000001E-5</v>
      </c>
      <c r="V61" s="40" t="str">
        <f t="shared" si="17"/>
        <v/>
      </c>
      <c r="W61" s="41" t="str">
        <f t="shared" si="18"/>
        <v/>
      </c>
      <c r="X61" s="41" t="str">
        <f t="shared" si="19"/>
        <v/>
      </c>
      <c r="Y61" s="42" t="str">
        <f t="shared" si="20"/>
        <v/>
      </c>
      <c r="Z61" s="40" t="str">
        <f t="shared" si="21"/>
        <v/>
      </c>
      <c r="AA61" s="41" t="str">
        <f t="shared" si="22"/>
        <v/>
      </c>
      <c r="AB61" s="41" t="str">
        <f t="shared" si="23"/>
        <v/>
      </c>
      <c r="AC61" s="42" t="str">
        <f t="shared" si="24"/>
        <v/>
      </c>
      <c r="AD61" s="40" t="str">
        <f t="shared" si="25"/>
        <v/>
      </c>
      <c r="AE61" s="41" t="str">
        <f t="shared" si="26"/>
        <v/>
      </c>
      <c r="AF61" s="41">
        <f t="shared" si="27"/>
        <v>1</v>
      </c>
      <c r="AG61" s="42" t="str">
        <f t="shared" si="28"/>
        <v/>
      </c>
      <c r="AH61" s="40" t="str">
        <f t="shared" si="29"/>
        <v/>
      </c>
      <c r="AI61" s="41" t="str">
        <f t="shared" si="30"/>
        <v/>
      </c>
      <c r="AJ61" s="41" t="str">
        <f t="shared" si="31"/>
        <v/>
      </c>
      <c r="AK61" s="42">
        <f t="shared" si="32"/>
        <v>1</v>
      </c>
      <c r="AL61" s="40" t="str">
        <f t="shared" si="33"/>
        <v/>
      </c>
      <c r="AM61" s="41">
        <f t="shared" si="34"/>
        <v>0</v>
      </c>
      <c r="AN61" s="41" t="str">
        <f t="shared" si="35"/>
        <v/>
      </c>
      <c r="AO61" s="42" t="str">
        <f t="shared" si="36"/>
        <v/>
      </c>
      <c r="AP61" s="40" t="str">
        <f t="shared" si="37"/>
        <v/>
      </c>
      <c r="AQ61" s="41" t="str">
        <f t="shared" si="38"/>
        <v/>
      </c>
      <c r="AR61" s="41">
        <f t="shared" si="39"/>
        <v>0</v>
      </c>
      <c r="AS61" s="42">
        <f t="shared" si="40"/>
        <v>0</v>
      </c>
      <c r="AT61" s="40">
        <f t="shared" si="41"/>
        <v>0</v>
      </c>
      <c r="AU61" s="41" t="str">
        <f t="shared" si="42"/>
        <v/>
      </c>
      <c r="AV61" s="41" t="str">
        <f t="shared" si="43"/>
        <v/>
      </c>
      <c r="AW61" s="42" t="str">
        <f t="shared" si="44"/>
        <v/>
      </c>
      <c r="AX61" s="40" t="str">
        <f t="shared" si="45"/>
        <v/>
      </c>
      <c r="AY61" s="41">
        <f t="shared" si="46"/>
        <v>0</v>
      </c>
      <c r="AZ61" s="41" t="str">
        <f t="shared" si="47"/>
        <v/>
      </c>
      <c r="BA61" s="42" t="str">
        <f t="shared" si="48"/>
        <v/>
      </c>
      <c r="BB61" s="37" t="s">
        <v>106</v>
      </c>
      <c r="BC61" s="21"/>
      <c r="BD61" s="21"/>
      <c r="BG61" t="str">
        <f>IF(NOT(ISERROR(HLOOKUP(Standings!BG$3,Entries!$C30:$K30,1,FALSE))),"x",IF(NOT(ISERROR(HLOOKUP(Standings!BG$3,Entries!$L30:$L30,1,FALSE))),"S",""))</f>
        <v/>
      </c>
      <c r="BH61" t="str">
        <f>IF(NOT(ISERROR(HLOOKUP(Standings!BH$3,Entries!$C30:$K30,1,FALSE))),"x",IF(NOT(ISERROR(HLOOKUP(Standings!BH$3,Entries!$L30:$L30,1,FALSE))),"S",""))</f>
        <v/>
      </c>
      <c r="BI61" t="str">
        <f>IF(NOT(ISERROR(HLOOKUP(Standings!BI$3,Entries!$C30:$K30,1,FALSE))),"x",IF(NOT(ISERROR(HLOOKUP(Standings!BI$3,Entries!$L30:$L30,1,FALSE))),"S",""))</f>
        <v/>
      </c>
      <c r="BJ61" t="str">
        <f>IF(NOT(ISERROR(HLOOKUP(Standings!BJ$3,Entries!$C30:$K30,1,FALSE))),"x",IF(NOT(ISERROR(HLOOKUP(Standings!BJ$3,Entries!$L30:$L30,1,FALSE))),"S",""))</f>
        <v/>
      </c>
      <c r="BK61" t="str">
        <f>IF(NOT(ISERROR(HLOOKUP(Standings!BK$3,Entries!$C30:$K30,1,FALSE))),"x",IF(NOT(ISERROR(HLOOKUP(Standings!BK$3,Entries!$L30:$L30,1,FALSE))),"S",""))</f>
        <v/>
      </c>
      <c r="BL61" t="str">
        <f>IF(NOT(ISERROR(HLOOKUP(Standings!BL$3,Entries!$C30:$K30,1,FALSE))),"x",IF(NOT(ISERROR(HLOOKUP(Standings!BL$3,Entries!$L30:$L30,1,FALSE))),"S",""))</f>
        <v/>
      </c>
      <c r="BM61" t="str">
        <f>IF(NOT(ISERROR(HLOOKUP(Standings!BM$3,Entries!$C30:$K30,1,FALSE))),"x",IF(NOT(ISERROR(HLOOKUP(Standings!BM$3,Entries!$L30:$L30,1,FALSE))),"S",""))</f>
        <v/>
      </c>
      <c r="BN61" t="str">
        <f>IF(NOT(ISERROR(HLOOKUP(Standings!BN$3,Entries!$C30:$K30,1,FALSE))),"x",IF(NOT(ISERROR(HLOOKUP(Standings!BN$3,Entries!$L30:$L30,1,FALSE))),"S",""))</f>
        <v/>
      </c>
      <c r="BO61" t="str">
        <f>IF(NOT(ISERROR(HLOOKUP(Standings!BO$3,Entries!$C30:$K30,1,FALSE))),"x",IF(NOT(ISERROR(HLOOKUP(Standings!BO$3,Entries!$L30:$L30,1,FALSE))),"S",""))</f>
        <v/>
      </c>
      <c r="BP61" t="str">
        <f>IF(NOT(ISERROR(HLOOKUP(Standings!BP$3,Entries!$C30:$K30,1,FALSE))),"x",IF(NOT(ISERROR(HLOOKUP(Standings!BP$3,Entries!$L30:$L30,1,FALSE))),"S",""))</f>
        <v/>
      </c>
      <c r="BQ61" t="str">
        <f>IF(NOT(ISERROR(HLOOKUP(Standings!BQ$3,Entries!$C30:$K30,1,FALSE))),"x",IF(NOT(ISERROR(HLOOKUP(Standings!BQ$3,Entries!$L30:$L30,1,FALSE))),"S",""))</f>
        <v/>
      </c>
      <c r="BR61" t="str">
        <f>IF(NOT(ISERROR(HLOOKUP(Standings!BR$3,Entries!$C30:$K30,1,FALSE))),"x",IF(NOT(ISERROR(HLOOKUP(Standings!BR$3,Entries!$L30:$L30,1,FALSE))),"S",""))</f>
        <v/>
      </c>
      <c r="BS61" t="str">
        <f>IF(NOT(ISERROR(HLOOKUP(Standings!BS$3,Entries!$C30:$K30,1,FALSE))),"x",IF(NOT(ISERROR(HLOOKUP(Standings!BS$3,Entries!$L30:$L30,1,FALSE))),"S",""))</f>
        <v/>
      </c>
      <c r="BT61" t="str">
        <f>IF(NOT(ISERROR(HLOOKUP(Standings!BT$3,Entries!$C30:$K30,1,FALSE))),"x",IF(NOT(ISERROR(HLOOKUP(Standings!BT$3,Entries!$L30:$L30,1,FALSE))),"S",""))</f>
        <v/>
      </c>
      <c r="BU61" t="str">
        <f>IF(NOT(ISERROR(HLOOKUP(Standings!BU$3,Entries!$C30:$K30,1,FALSE))),"x",IF(NOT(ISERROR(HLOOKUP(Standings!BU$3,Entries!$L30:$L30,1,FALSE))),"S",""))</f>
        <v/>
      </c>
      <c r="BV61" t="str">
        <f>IF(NOT(ISERROR(HLOOKUP(Standings!BV$3,Entries!$C30:$K30,1,FALSE))),"x",IF(NOT(ISERROR(HLOOKUP(Standings!BV$3,Entries!$L30:$L30,1,FALSE))),"S",""))</f>
        <v>S</v>
      </c>
      <c r="BW61" t="str">
        <f>IF(NOT(ISERROR(HLOOKUP(Standings!BW$3,Entries!$C30:$K30,1,FALSE))),"x",IF(NOT(ISERROR(HLOOKUP(Standings!BW$3,Entries!$L30:$L30,1,FALSE))),"S",""))</f>
        <v/>
      </c>
      <c r="BX61" t="str">
        <f>IF(NOT(ISERROR(HLOOKUP(Standings!BX$3,Entries!$C30:$K30,1,FALSE))),"x",IF(NOT(ISERROR(HLOOKUP(Standings!BX$3,Entries!$L30:$L30,1,FALSE))),"S",""))</f>
        <v/>
      </c>
      <c r="BY61" t="str">
        <f>IF(NOT(ISERROR(HLOOKUP(Standings!BY$3,Entries!$C30:$K30,1,FALSE))),"x",IF(NOT(ISERROR(HLOOKUP(Standings!BY$3,Entries!$L30:$L30,1,FALSE))),"S",""))</f>
        <v/>
      </c>
      <c r="BZ61" t="str">
        <f>IF(NOT(ISERROR(HLOOKUP(Standings!BZ$3,Entries!$C30:$K30,1,FALSE))),"x",IF(NOT(ISERROR(HLOOKUP(Standings!BZ$3,Entries!$L30:$L30,1,FALSE))),"S",""))</f>
        <v/>
      </c>
      <c r="CA61" t="str">
        <f>IF(NOT(ISERROR(HLOOKUP(Standings!CA$3,Entries!$C30:$K30,1,FALSE))),"x",IF(NOT(ISERROR(HLOOKUP(Standings!CA$3,Entries!$L30:$L30,1,FALSE))),"S",""))</f>
        <v/>
      </c>
      <c r="CB61" t="str">
        <f>IF(NOT(ISERROR(HLOOKUP(Standings!CB$3,Entries!$C30:$K30,1,FALSE))),"x",IF(NOT(ISERROR(HLOOKUP(Standings!CB$3,Entries!$L30:$L30,1,FALSE))),"S",""))</f>
        <v/>
      </c>
      <c r="CC61" t="str">
        <f>IF(NOT(ISERROR(HLOOKUP(Standings!CC$3,Entries!$C30:$K30,1,FALSE))),"x",IF(NOT(ISERROR(HLOOKUP(Standings!CC$3,Entries!$L30:$L30,1,FALSE))),"S",""))</f>
        <v/>
      </c>
      <c r="CD61" t="str">
        <f>IF(NOT(ISERROR(HLOOKUP(Standings!CD$3,Entries!$C30:$K30,1,FALSE))),"x",IF(NOT(ISERROR(HLOOKUP(Standings!CD$3,Entries!$L30:$L30,1,FALSE))),"S",""))</f>
        <v/>
      </c>
      <c r="CE61" t="str">
        <f>IF(NOT(ISERROR(HLOOKUP(Standings!CE$3,Entries!$C30:$K30,1,FALSE))),"x",IF(NOT(ISERROR(HLOOKUP(Standings!CE$3,Entries!$L30:$L30,1,FALSE))),"S",""))</f>
        <v/>
      </c>
      <c r="CF61" t="str">
        <f>IF(NOT(ISERROR(HLOOKUP(Standings!CF$3,Entries!$C30:$K30,1,FALSE))),"x",IF(NOT(ISERROR(HLOOKUP(Standings!CF$3,Entries!$L30:$L30,1,FALSE))),"S",""))</f>
        <v/>
      </c>
      <c r="CG61" t="str">
        <f>IF(NOT(ISERROR(HLOOKUP(Standings!CG$3,Entries!$C30:$K30,1,FALSE))),"x",IF(NOT(ISERROR(HLOOKUP(Standings!CG$3,Entries!$L30:$L30,1,FALSE))),"S",""))</f>
        <v>x</v>
      </c>
      <c r="CH61" t="str">
        <f>IF(NOT(ISERROR(HLOOKUP(Standings!CH$3,Entries!$C30:$K30,1,FALSE))),"x",IF(NOT(ISERROR(HLOOKUP(Standings!CH$3,Entries!$L30:$L30,1,FALSE))),"S",""))</f>
        <v/>
      </c>
      <c r="CI61" t="str">
        <f>IF(NOT(ISERROR(HLOOKUP(Standings!CI$3,Entries!$C30:$K30,1,FALSE))),"x",IF(NOT(ISERROR(HLOOKUP(Standings!CI$3,Entries!$L30:$L30,1,FALSE))),"S",""))</f>
        <v/>
      </c>
      <c r="CJ61" t="str">
        <f>IF(NOT(ISERROR(HLOOKUP(Standings!CJ$3,Entries!$C30:$K30,1,FALSE))),"x",IF(NOT(ISERROR(HLOOKUP(Standings!CJ$3,Entries!$L30:$L30,1,FALSE))),"S",""))</f>
        <v/>
      </c>
      <c r="CK61" t="str">
        <f>IF(NOT(ISERROR(HLOOKUP(Standings!CK$3,Entries!$C30:$K30,1,FALSE))),"x",IF(NOT(ISERROR(HLOOKUP(Standings!CK$3,Entries!$L30:$L30,1,FALSE))),"S",""))</f>
        <v/>
      </c>
      <c r="CL61" t="str">
        <f>IF(NOT(ISERROR(HLOOKUP(Standings!CL$3,Entries!$C30:$K30,1,FALSE))),"x",IF(NOT(ISERROR(HLOOKUP(Standings!CL$3,Entries!$L30:$L30,1,FALSE))),"S",""))</f>
        <v>x</v>
      </c>
      <c r="CM61" t="str">
        <f>IF(NOT(ISERROR(HLOOKUP(Standings!CM$3,Entries!$C30:$K30,1,FALSE))),"x",IF(NOT(ISERROR(HLOOKUP(Standings!CM$3,Entries!$L30:$L30,1,FALSE))),"S",""))</f>
        <v/>
      </c>
      <c r="CN61" t="str">
        <f>IF(NOT(ISERROR(HLOOKUP(Standings!CN$3,Entries!$C30:$K30,1,FALSE))),"x",IF(NOT(ISERROR(HLOOKUP(Standings!CN$3,Entries!$L30:$L30,1,FALSE))),"S",""))</f>
        <v>x</v>
      </c>
      <c r="CO61" t="str">
        <f>IF(NOT(ISERROR(HLOOKUP(Standings!CO$3,Entries!$C30:$K30,1,FALSE))),"x",IF(NOT(ISERROR(HLOOKUP(Standings!CO$3,Entries!$L30:$L30,1,FALSE))),"S",""))</f>
        <v/>
      </c>
      <c r="CP61" t="str">
        <f>IF(NOT(ISERROR(HLOOKUP(Standings!CP$3,Entries!$C30:$K30,1,FALSE))),"x",IF(NOT(ISERROR(HLOOKUP(Standings!CP$3,Entries!$L30:$L30,1,FALSE))),"S",""))</f>
        <v/>
      </c>
      <c r="CQ61" t="str">
        <f>IF(NOT(ISERROR(HLOOKUP(Standings!CQ$3,Entries!$C30:$K30,1,FALSE))),"x",IF(NOT(ISERROR(HLOOKUP(Standings!CQ$3,Entries!$L30:$L30,1,FALSE))),"S",""))</f>
        <v/>
      </c>
      <c r="CR61" t="str">
        <f>IF(NOT(ISERROR(HLOOKUP(Standings!CR$3,Entries!$C30:$K30,1,FALSE))),"x",IF(NOT(ISERROR(HLOOKUP(Standings!CR$3,Entries!$L30:$L30,1,FALSE))),"S",""))</f>
        <v/>
      </c>
      <c r="CS61" t="str">
        <f>IF(NOT(ISERROR(HLOOKUP(Standings!CS$3,Entries!$C30:$K30,1,FALSE))),"x",IF(NOT(ISERROR(HLOOKUP(Standings!CS$3,Entries!$L30:$L30,1,FALSE))),"S",""))</f>
        <v>x</v>
      </c>
      <c r="CT61" t="str">
        <f>IF(NOT(ISERROR(HLOOKUP(Standings!CT$3,Entries!$C30:$K30,1,FALSE))),"x",IF(NOT(ISERROR(HLOOKUP(Standings!CT$3,Entries!$L30:$L30,1,FALSE))),"S",""))</f>
        <v>x</v>
      </c>
      <c r="CU61" t="str">
        <f>IF(NOT(ISERROR(HLOOKUP(Standings!CU$3,Entries!$C30:$K30,1,FALSE))),"x",IF(NOT(ISERROR(HLOOKUP(Standings!CU$3,Entries!$L30:$L30,1,FALSE))),"S",""))</f>
        <v>x</v>
      </c>
      <c r="CV61" t="str">
        <f>IF(NOT(ISERROR(HLOOKUP(Standings!CV$3,Entries!$C30:$K30,1,FALSE))),"x",IF(NOT(ISERROR(HLOOKUP(Standings!CV$3,Entries!$L30:$L30,1,FALSE))),"S",""))</f>
        <v/>
      </c>
      <c r="CW61" t="str">
        <f>IF(NOT(ISERROR(HLOOKUP(Standings!CW$3,Entries!$C30:$K30,1,FALSE))),"x",IF(NOT(ISERROR(HLOOKUP(Standings!CW$3,Entries!$L30:$L30,1,FALSE))),"S",""))</f>
        <v/>
      </c>
      <c r="CX61" t="str">
        <f>IF(NOT(ISERROR(HLOOKUP(Standings!CX$3,Entries!$C30:$K30,1,FALSE))),"x",IF(NOT(ISERROR(HLOOKUP(Standings!CX$3,Entries!$L30:$L30,1,FALSE))),"S",""))</f>
        <v/>
      </c>
      <c r="CY61" t="str">
        <f>IF(NOT(ISERROR(HLOOKUP(Standings!CY$3,Entries!$C30:$K30,1,FALSE))),"x",IF(NOT(ISERROR(HLOOKUP(Standings!CY$3,Entries!$L30:$L30,1,FALSE))),"S",""))</f>
        <v/>
      </c>
      <c r="CZ61" t="str">
        <f>IF(NOT(ISERROR(HLOOKUP(Standings!CZ$3,Entries!$C30:$K30,1,FALSE))),"x",IF(NOT(ISERROR(HLOOKUP(Standings!CZ$3,Entries!$L30:$L30,1,FALSE))),"S",""))</f>
        <v>x</v>
      </c>
      <c r="DA61" t="str">
        <f>IF(NOT(ISERROR(HLOOKUP(Standings!DA$3,Entries!$C30:$K30,1,FALSE))),"x",IF(NOT(ISERROR(HLOOKUP(Standings!DA$3,Entries!$L30:$L30,1,FALSE))),"S",""))</f>
        <v/>
      </c>
      <c r="DB61" t="str">
        <f>IF(NOT(ISERROR(HLOOKUP(Standings!DB$3,Entries!$C30:$K30,1,FALSE))),"x",IF(NOT(ISERROR(HLOOKUP(Standings!DB$3,Entries!$L30:$L30,1,FALSE))),"S",""))</f>
        <v/>
      </c>
    </row>
    <row r="62" spans="1:106" x14ac:dyDescent="0.25">
      <c r="A62" s="18"/>
      <c r="B62">
        <v>15</v>
      </c>
      <c r="C62" t="str">
        <f>Entries!B33</f>
        <v>Cà Phê Đen Kid</v>
      </c>
      <c r="D62" s="4">
        <f>IF(C62="","",RANK(E62,$E$10:$E$111))</f>
        <v>55</v>
      </c>
      <c r="E62" s="31">
        <f t="shared" si="1"/>
        <v>3</v>
      </c>
      <c r="F62" s="40" t="str">
        <f t="shared" si="49"/>
        <v/>
      </c>
      <c r="G62" s="41" t="str">
        <f t="shared" si="2"/>
        <v/>
      </c>
      <c r="H62" s="41" t="str">
        <f t="shared" si="3"/>
        <v/>
      </c>
      <c r="I62" s="42" t="str">
        <f t="shared" si="4"/>
        <v/>
      </c>
      <c r="J62" s="40" t="str">
        <f t="shared" si="5"/>
        <v/>
      </c>
      <c r="K62" s="41" t="str">
        <f t="shared" si="6"/>
        <v/>
      </c>
      <c r="L62" s="41" t="str">
        <f t="shared" si="7"/>
        <v/>
      </c>
      <c r="M62" s="42" t="str">
        <f t="shared" si="8"/>
        <v/>
      </c>
      <c r="N62" s="43" t="str">
        <f t="shared" si="9"/>
        <v/>
      </c>
      <c r="O62" s="41" t="str">
        <f t="shared" si="10"/>
        <v/>
      </c>
      <c r="P62" s="41" t="str">
        <f t="shared" si="11"/>
        <v/>
      </c>
      <c r="Q62" s="42" t="str">
        <f t="shared" si="12"/>
        <v/>
      </c>
      <c r="R62" s="40" t="str">
        <f t="shared" si="13"/>
        <v/>
      </c>
      <c r="S62" s="41" t="str">
        <f t="shared" si="14"/>
        <v/>
      </c>
      <c r="T62" s="43" t="str">
        <f t="shared" si="15"/>
        <v/>
      </c>
      <c r="U62" s="42" t="str">
        <f t="shared" si="16"/>
        <v/>
      </c>
      <c r="V62" s="40" t="str">
        <f t="shared" si="17"/>
        <v/>
      </c>
      <c r="W62" s="41" t="str">
        <f t="shared" si="18"/>
        <v/>
      </c>
      <c r="X62" s="41" t="str">
        <f t="shared" si="19"/>
        <v/>
      </c>
      <c r="Y62" s="42" t="str">
        <f t="shared" si="20"/>
        <v/>
      </c>
      <c r="Z62" s="40">
        <f t="shared" si="21"/>
        <v>1</v>
      </c>
      <c r="AA62" s="41">
        <f t="shared" si="22"/>
        <v>1</v>
      </c>
      <c r="AB62" s="41" t="str">
        <f t="shared" si="23"/>
        <v/>
      </c>
      <c r="AC62" s="42" t="str">
        <f t="shared" si="24"/>
        <v/>
      </c>
      <c r="AD62" s="40" t="str">
        <f t="shared" si="25"/>
        <v/>
      </c>
      <c r="AE62" s="41" t="str">
        <f t="shared" si="26"/>
        <v/>
      </c>
      <c r="AF62" s="41" t="str">
        <f t="shared" si="27"/>
        <v/>
      </c>
      <c r="AG62" s="42">
        <f t="shared" si="28"/>
        <v>1</v>
      </c>
      <c r="AH62" s="40" t="str">
        <f t="shared" si="29"/>
        <v/>
      </c>
      <c r="AI62" s="41" t="str">
        <f t="shared" si="30"/>
        <v/>
      </c>
      <c r="AJ62" s="41" t="str">
        <f t="shared" si="31"/>
        <v/>
      </c>
      <c r="AK62" s="42" t="str">
        <f t="shared" si="32"/>
        <v/>
      </c>
      <c r="AL62" s="40" t="str">
        <f t="shared" si="33"/>
        <v/>
      </c>
      <c r="AM62" s="41" t="str">
        <f t="shared" si="34"/>
        <v/>
      </c>
      <c r="AN62" s="41" t="str">
        <f t="shared" si="35"/>
        <v/>
      </c>
      <c r="AO62" s="42" t="str">
        <f t="shared" si="36"/>
        <v/>
      </c>
      <c r="AP62" s="40" t="str">
        <f t="shared" si="37"/>
        <v/>
      </c>
      <c r="AQ62" s="41" t="str">
        <f t="shared" si="38"/>
        <v/>
      </c>
      <c r="AR62" s="41" t="str">
        <f t="shared" si="39"/>
        <v/>
      </c>
      <c r="AS62" s="42" t="str">
        <f t="shared" si="40"/>
        <v/>
      </c>
      <c r="AT62" s="40" t="str">
        <f t="shared" si="41"/>
        <v/>
      </c>
      <c r="AU62" s="41" t="str">
        <f t="shared" si="42"/>
        <v/>
      </c>
      <c r="AV62" s="41">
        <f t="shared" si="43"/>
        <v>0</v>
      </c>
      <c r="AW62" s="42" t="str">
        <f t="shared" si="44"/>
        <v/>
      </c>
      <c r="AX62" s="40" t="str">
        <f t="shared" si="45"/>
        <v/>
      </c>
      <c r="AY62" s="41">
        <f t="shared" si="46"/>
        <v>0</v>
      </c>
      <c r="AZ62" s="41" t="str">
        <f t="shared" si="47"/>
        <v/>
      </c>
      <c r="BA62" s="42" t="str">
        <f t="shared" si="48"/>
        <v/>
      </c>
      <c r="BB62" s="37" t="s">
        <v>106</v>
      </c>
      <c r="BC62" s="21"/>
      <c r="BD62" s="21"/>
      <c r="BG62" t="str">
        <f>IF(NOT(ISERROR(HLOOKUP(Standings!BG$3,Entries!$C33:$K33,1,FALSE))),"x",IF(NOT(ISERROR(HLOOKUP(Standings!BG$3,Entries!$L33:$L33,1,FALSE))),"S",""))</f>
        <v/>
      </c>
      <c r="BH62" t="str">
        <f>IF(NOT(ISERROR(HLOOKUP(Standings!BH$3,Entries!$C33:$K33,1,FALSE))),"x",IF(NOT(ISERROR(HLOOKUP(Standings!BH$3,Entries!$L33:$L33,1,FALSE))),"S",""))</f>
        <v/>
      </c>
      <c r="BI62" t="str">
        <f>IF(NOT(ISERROR(HLOOKUP(Standings!BI$3,Entries!$C33:$K33,1,FALSE))),"x",IF(NOT(ISERROR(HLOOKUP(Standings!BI$3,Entries!$L33:$L33,1,FALSE))),"S",""))</f>
        <v/>
      </c>
      <c r="BJ62" t="str">
        <f>IF(NOT(ISERROR(HLOOKUP(Standings!BJ$3,Entries!$C33:$K33,1,FALSE))),"x",IF(NOT(ISERROR(HLOOKUP(Standings!BJ$3,Entries!$L33:$L33,1,FALSE))),"S",""))</f>
        <v/>
      </c>
      <c r="BK62" t="str">
        <f>IF(NOT(ISERROR(HLOOKUP(Standings!BK$3,Entries!$C33:$K33,1,FALSE))),"x",IF(NOT(ISERROR(HLOOKUP(Standings!BK$3,Entries!$L33:$L33,1,FALSE))),"S",""))</f>
        <v/>
      </c>
      <c r="BL62" t="str">
        <f>IF(NOT(ISERROR(HLOOKUP(Standings!BL$3,Entries!$C33:$K33,1,FALSE))),"x",IF(NOT(ISERROR(HLOOKUP(Standings!BL$3,Entries!$L33:$L33,1,FALSE))),"S",""))</f>
        <v/>
      </c>
      <c r="BM62" t="str">
        <f>IF(NOT(ISERROR(HLOOKUP(Standings!BM$3,Entries!$C33:$K33,1,FALSE))),"x",IF(NOT(ISERROR(HLOOKUP(Standings!BM$3,Entries!$L33:$L33,1,FALSE))),"S",""))</f>
        <v/>
      </c>
      <c r="BN62" t="str">
        <f>IF(NOT(ISERROR(HLOOKUP(Standings!BN$3,Entries!$C33:$K33,1,FALSE))),"x",IF(NOT(ISERROR(HLOOKUP(Standings!BN$3,Entries!$L33:$L33,1,FALSE))),"S",""))</f>
        <v/>
      </c>
      <c r="BO62" t="str">
        <f>IF(NOT(ISERROR(HLOOKUP(Standings!BO$3,Entries!$C33:$K33,1,FALSE))),"x",IF(NOT(ISERROR(HLOOKUP(Standings!BO$3,Entries!$L33:$L33,1,FALSE))),"S",""))</f>
        <v/>
      </c>
      <c r="BP62" t="str">
        <f>IF(NOT(ISERROR(HLOOKUP(Standings!BP$3,Entries!$C33:$K33,1,FALSE))),"x",IF(NOT(ISERROR(HLOOKUP(Standings!BP$3,Entries!$L33:$L33,1,FALSE))),"S",""))</f>
        <v/>
      </c>
      <c r="BQ62" t="str">
        <f>IF(NOT(ISERROR(HLOOKUP(Standings!BQ$3,Entries!$C33:$K33,1,FALSE))),"x",IF(NOT(ISERROR(HLOOKUP(Standings!BQ$3,Entries!$L33:$L33,1,FALSE))),"S",""))</f>
        <v/>
      </c>
      <c r="BR62" t="str">
        <f>IF(NOT(ISERROR(HLOOKUP(Standings!BR$3,Entries!$C33:$K33,1,FALSE))),"x",IF(NOT(ISERROR(HLOOKUP(Standings!BR$3,Entries!$L33:$L33,1,FALSE))),"S",""))</f>
        <v/>
      </c>
      <c r="BS62" t="str">
        <f>IF(NOT(ISERROR(HLOOKUP(Standings!BS$3,Entries!$C33:$K33,1,FALSE))),"x",IF(NOT(ISERROR(HLOOKUP(Standings!BS$3,Entries!$L33:$L33,1,FALSE))),"S",""))</f>
        <v/>
      </c>
      <c r="BT62" t="str">
        <f>IF(NOT(ISERROR(HLOOKUP(Standings!BT$3,Entries!$C33:$K33,1,FALSE))),"x",IF(NOT(ISERROR(HLOOKUP(Standings!BT$3,Entries!$L33:$L33,1,FALSE))),"S",""))</f>
        <v/>
      </c>
      <c r="BU62" t="str">
        <f>IF(NOT(ISERROR(HLOOKUP(Standings!BU$3,Entries!$C33:$K33,1,FALSE))),"x",IF(NOT(ISERROR(HLOOKUP(Standings!BU$3,Entries!$L33:$L33,1,FALSE))),"S",""))</f>
        <v/>
      </c>
      <c r="BV62" t="str">
        <f>IF(NOT(ISERROR(HLOOKUP(Standings!BV$3,Entries!$C33:$K33,1,FALSE))),"x",IF(NOT(ISERROR(HLOOKUP(Standings!BV$3,Entries!$L33:$L33,1,FALSE))),"S",""))</f>
        <v/>
      </c>
      <c r="BW62" t="str">
        <f>IF(NOT(ISERROR(HLOOKUP(Standings!BW$3,Entries!$C33:$K33,1,FALSE))),"x",IF(NOT(ISERROR(HLOOKUP(Standings!BW$3,Entries!$L33:$L33,1,FALSE))),"S",""))</f>
        <v/>
      </c>
      <c r="BX62" t="str">
        <f>IF(NOT(ISERROR(HLOOKUP(Standings!BX$3,Entries!$C33:$K33,1,FALSE))),"x",IF(NOT(ISERROR(HLOOKUP(Standings!BX$3,Entries!$L33:$L33,1,FALSE))),"S",""))</f>
        <v/>
      </c>
      <c r="BY62" t="str">
        <f>IF(NOT(ISERROR(HLOOKUP(Standings!BY$3,Entries!$C33:$K33,1,FALSE))),"x",IF(NOT(ISERROR(HLOOKUP(Standings!BY$3,Entries!$L33:$L33,1,FALSE))),"S",""))</f>
        <v/>
      </c>
      <c r="BZ62" t="str">
        <f>IF(NOT(ISERROR(HLOOKUP(Standings!BZ$3,Entries!$C33:$K33,1,FALSE))),"x",IF(NOT(ISERROR(HLOOKUP(Standings!BZ$3,Entries!$L33:$L33,1,FALSE))),"S",""))</f>
        <v/>
      </c>
      <c r="CA62" t="str">
        <f>IF(NOT(ISERROR(HLOOKUP(Standings!CA$3,Entries!$C33:$K33,1,FALSE))),"x",IF(NOT(ISERROR(HLOOKUP(Standings!CA$3,Entries!$L33:$L33,1,FALSE))),"S",""))</f>
        <v>x</v>
      </c>
      <c r="CB62" t="str">
        <f>IF(NOT(ISERROR(HLOOKUP(Standings!CB$3,Entries!$C33:$K33,1,FALSE))),"x",IF(NOT(ISERROR(HLOOKUP(Standings!CB$3,Entries!$L33:$L33,1,FALSE))),"S",""))</f>
        <v>x</v>
      </c>
      <c r="CC62" t="str">
        <f>IF(NOT(ISERROR(HLOOKUP(Standings!CC$3,Entries!$C33:$K33,1,FALSE))),"x",IF(NOT(ISERROR(HLOOKUP(Standings!CC$3,Entries!$L33:$L33,1,FALSE))),"S",""))</f>
        <v/>
      </c>
      <c r="CD62" t="str">
        <f>IF(NOT(ISERROR(HLOOKUP(Standings!CD$3,Entries!$C33:$K33,1,FALSE))),"x",IF(NOT(ISERROR(HLOOKUP(Standings!CD$3,Entries!$L33:$L33,1,FALSE))),"S",""))</f>
        <v/>
      </c>
      <c r="CE62" t="str">
        <f>IF(NOT(ISERROR(HLOOKUP(Standings!CE$3,Entries!$C33:$K33,1,FALSE))),"x",IF(NOT(ISERROR(HLOOKUP(Standings!CE$3,Entries!$L33:$L33,1,FALSE))),"S",""))</f>
        <v/>
      </c>
      <c r="CF62" t="str">
        <f>IF(NOT(ISERROR(HLOOKUP(Standings!CF$3,Entries!$C33:$K33,1,FALSE))),"x",IF(NOT(ISERROR(HLOOKUP(Standings!CF$3,Entries!$L33:$L33,1,FALSE))),"S",""))</f>
        <v/>
      </c>
      <c r="CG62" t="str">
        <f>IF(NOT(ISERROR(HLOOKUP(Standings!CG$3,Entries!$C33:$K33,1,FALSE))),"x",IF(NOT(ISERROR(HLOOKUP(Standings!CG$3,Entries!$L33:$L33,1,FALSE))),"S",""))</f>
        <v/>
      </c>
      <c r="CH62" t="str">
        <f>IF(NOT(ISERROR(HLOOKUP(Standings!CH$3,Entries!$C33:$K33,1,FALSE))),"x",IF(NOT(ISERROR(HLOOKUP(Standings!CH$3,Entries!$L33:$L33,1,FALSE))),"S",""))</f>
        <v>x</v>
      </c>
      <c r="CI62" t="str">
        <f>IF(NOT(ISERROR(HLOOKUP(Standings!CI$3,Entries!$C33:$K33,1,FALSE))),"x",IF(NOT(ISERROR(HLOOKUP(Standings!CI$3,Entries!$L33:$L33,1,FALSE))),"S",""))</f>
        <v/>
      </c>
      <c r="CJ62" t="str">
        <f>IF(NOT(ISERROR(HLOOKUP(Standings!CJ$3,Entries!$C33:$K33,1,FALSE))),"x",IF(NOT(ISERROR(HLOOKUP(Standings!CJ$3,Entries!$L33:$L33,1,FALSE))),"S",""))</f>
        <v/>
      </c>
      <c r="CK62" t="str">
        <f>IF(NOT(ISERROR(HLOOKUP(Standings!CK$3,Entries!$C33:$K33,1,FALSE))),"x",IF(NOT(ISERROR(HLOOKUP(Standings!CK$3,Entries!$L33:$L33,1,FALSE))),"S",""))</f>
        <v/>
      </c>
      <c r="CL62" t="str">
        <f>IF(NOT(ISERROR(HLOOKUP(Standings!CL$3,Entries!$C33:$K33,1,FALSE))),"x",IF(NOT(ISERROR(HLOOKUP(Standings!CL$3,Entries!$L33:$L33,1,FALSE))),"S",""))</f>
        <v/>
      </c>
      <c r="CM62" t="str">
        <f>IF(NOT(ISERROR(HLOOKUP(Standings!CM$3,Entries!$C33:$K33,1,FALSE))),"x",IF(NOT(ISERROR(HLOOKUP(Standings!CM$3,Entries!$L33:$L33,1,FALSE))),"S",""))</f>
        <v/>
      </c>
      <c r="CN62" t="str">
        <f>IF(NOT(ISERROR(HLOOKUP(Standings!CN$3,Entries!$C33:$K33,1,FALSE))),"x",IF(NOT(ISERROR(HLOOKUP(Standings!CN$3,Entries!$L33:$L33,1,FALSE))),"S",""))</f>
        <v/>
      </c>
      <c r="CO62" t="str">
        <f>IF(NOT(ISERROR(HLOOKUP(Standings!CO$3,Entries!$C33:$K33,1,FALSE))),"x",IF(NOT(ISERROR(HLOOKUP(Standings!CO$3,Entries!$L33:$L33,1,FALSE))),"S",""))</f>
        <v/>
      </c>
      <c r="CP62" t="str">
        <f>IF(NOT(ISERROR(HLOOKUP(Standings!CP$3,Entries!$C33:$K33,1,FALSE))),"x",IF(NOT(ISERROR(HLOOKUP(Standings!CP$3,Entries!$L33:$L33,1,FALSE))),"S",""))</f>
        <v/>
      </c>
      <c r="CQ62" t="str">
        <f>IF(NOT(ISERROR(HLOOKUP(Standings!CQ$3,Entries!$C33:$K33,1,FALSE))),"x",IF(NOT(ISERROR(HLOOKUP(Standings!CQ$3,Entries!$L33:$L33,1,FALSE))),"S",""))</f>
        <v/>
      </c>
      <c r="CR62" t="str">
        <f>IF(NOT(ISERROR(HLOOKUP(Standings!CR$3,Entries!$C33:$K33,1,FALSE))),"x",IF(NOT(ISERROR(HLOOKUP(Standings!CR$3,Entries!$L33:$L33,1,FALSE))),"S",""))</f>
        <v/>
      </c>
      <c r="CS62" t="str">
        <f>IF(NOT(ISERROR(HLOOKUP(Standings!CS$3,Entries!$C33:$K33,1,FALSE))),"x",IF(NOT(ISERROR(HLOOKUP(Standings!CS$3,Entries!$L33:$L33,1,FALSE))),"S",""))</f>
        <v/>
      </c>
      <c r="CT62" t="str">
        <f>IF(NOT(ISERROR(HLOOKUP(Standings!CT$3,Entries!$C33:$K33,1,FALSE))),"x",IF(NOT(ISERROR(HLOOKUP(Standings!CT$3,Entries!$L33:$L33,1,FALSE))),"S",""))</f>
        <v/>
      </c>
      <c r="CU62" t="str">
        <f>IF(NOT(ISERROR(HLOOKUP(Standings!CU$3,Entries!$C33:$K33,1,FALSE))),"x",IF(NOT(ISERROR(HLOOKUP(Standings!CU$3,Entries!$L33:$L33,1,FALSE))),"S",""))</f>
        <v/>
      </c>
      <c r="CV62" t="str">
        <f>IF(NOT(ISERROR(HLOOKUP(Standings!CV$3,Entries!$C33:$K33,1,FALSE))),"x",IF(NOT(ISERROR(HLOOKUP(Standings!CV$3,Entries!$L33:$L33,1,FALSE))),"S",""))</f>
        <v/>
      </c>
      <c r="CW62" t="str">
        <f>IF(NOT(ISERROR(HLOOKUP(Standings!CW$3,Entries!$C33:$K33,1,FALSE))),"x",IF(NOT(ISERROR(HLOOKUP(Standings!CW$3,Entries!$L33:$L33,1,FALSE))),"S",""))</f>
        <v>x</v>
      </c>
      <c r="CX62" t="str">
        <f>IF(NOT(ISERROR(HLOOKUP(Standings!CX$3,Entries!$C33:$K33,1,FALSE))),"x",IF(NOT(ISERROR(HLOOKUP(Standings!CX$3,Entries!$L33:$L33,1,FALSE))),"S",""))</f>
        <v/>
      </c>
      <c r="CY62" t="str">
        <f>IF(NOT(ISERROR(HLOOKUP(Standings!CY$3,Entries!$C33:$K33,1,FALSE))),"x",IF(NOT(ISERROR(HLOOKUP(Standings!CY$3,Entries!$L33:$L33,1,FALSE))),"S",""))</f>
        <v/>
      </c>
      <c r="CZ62" t="str">
        <f>IF(NOT(ISERROR(HLOOKUP(Standings!CZ$3,Entries!$C33:$K33,1,FALSE))),"x",IF(NOT(ISERROR(HLOOKUP(Standings!CZ$3,Entries!$L33:$L33,1,FALSE))),"S",""))</f>
        <v>x</v>
      </c>
      <c r="DA62" t="str">
        <f>IF(NOT(ISERROR(HLOOKUP(Standings!DA$3,Entries!$C33:$K33,1,FALSE))),"x",IF(NOT(ISERROR(HLOOKUP(Standings!DA$3,Entries!$L33:$L33,1,FALSE))),"S",""))</f>
        <v/>
      </c>
      <c r="DB62" t="str">
        <f>IF(NOT(ISERROR(HLOOKUP(Standings!DB$3,Entries!$C33:$K33,1,FALSE))),"x",IF(NOT(ISERROR(HLOOKUP(Standings!DB$3,Entries!$L33:$L33,1,FALSE))),"S",""))</f>
        <v/>
      </c>
    </row>
    <row r="63" spans="1:106" x14ac:dyDescent="0.25">
      <c r="A63" s="18"/>
      <c r="B63">
        <v>20</v>
      </c>
      <c r="C63" t="str">
        <f>Entries!B34</f>
        <v>AnaTwohy1</v>
      </c>
      <c r="D63" s="4">
        <f>IF(C63="","",RANK(E63,$E$10:$E$111))</f>
        <v>55</v>
      </c>
      <c r="E63" s="31">
        <f t="shared" ref="E63:E83" si="50">IF(C63="","",ROUND(SUM(F63:AK63),0))</f>
        <v>3</v>
      </c>
      <c r="F63" s="40" t="str">
        <f t="shared" si="49"/>
        <v/>
      </c>
      <c r="G63" s="41" t="str">
        <f t="shared" si="2"/>
        <v/>
      </c>
      <c r="H63" s="41" t="str">
        <f t="shared" si="3"/>
        <v/>
      </c>
      <c r="I63" s="42" t="str">
        <f t="shared" si="4"/>
        <v/>
      </c>
      <c r="J63" s="40" t="str">
        <f t="shared" si="5"/>
        <v/>
      </c>
      <c r="K63" s="41" t="str">
        <f t="shared" si="6"/>
        <v/>
      </c>
      <c r="L63" s="41" t="str">
        <f t="shared" si="7"/>
        <v/>
      </c>
      <c r="M63" s="42" t="str">
        <f t="shared" si="8"/>
        <v/>
      </c>
      <c r="N63" s="43" t="str">
        <f t="shared" si="9"/>
        <v/>
      </c>
      <c r="O63" s="41" t="str">
        <f t="shared" si="10"/>
        <v/>
      </c>
      <c r="P63" s="41" t="str">
        <f t="shared" si="11"/>
        <v/>
      </c>
      <c r="Q63" s="42" t="str">
        <f t="shared" si="12"/>
        <v/>
      </c>
      <c r="R63" s="40">
        <f t="shared" si="13"/>
        <v>2</v>
      </c>
      <c r="S63" s="41">
        <f t="shared" si="14"/>
        <v>-1.0000000000000001E-5</v>
      </c>
      <c r="T63" s="43" t="str">
        <f t="shared" si="15"/>
        <v/>
      </c>
      <c r="U63" s="42" t="str">
        <f t="shared" si="16"/>
        <v/>
      </c>
      <c r="V63" s="40" t="str">
        <f t="shared" si="17"/>
        <v/>
      </c>
      <c r="W63" s="41" t="str">
        <f t="shared" si="18"/>
        <v/>
      </c>
      <c r="X63" s="41" t="str">
        <f t="shared" si="19"/>
        <v/>
      </c>
      <c r="Y63" s="42" t="str">
        <f t="shared" si="20"/>
        <v/>
      </c>
      <c r="Z63" s="40" t="str">
        <f t="shared" si="21"/>
        <v/>
      </c>
      <c r="AA63" s="41" t="str">
        <f t="shared" si="22"/>
        <v/>
      </c>
      <c r="AB63" s="41" t="str">
        <f t="shared" si="23"/>
        <v/>
      </c>
      <c r="AC63" s="42" t="str">
        <f t="shared" si="24"/>
        <v/>
      </c>
      <c r="AD63" s="40">
        <f t="shared" si="25"/>
        <v>1</v>
      </c>
      <c r="AE63" s="41" t="str">
        <f t="shared" si="26"/>
        <v/>
      </c>
      <c r="AF63" s="41" t="str">
        <f t="shared" si="27"/>
        <v/>
      </c>
      <c r="AG63" s="42" t="str">
        <f t="shared" si="28"/>
        <v/>
      </c>
      <c r="AH63" s="40" t="str">
        <f t="shared" si="29"/>
        <v/>
      </c>
      <c r="AI63" s="41" t="str">
        <f t="shared" si="30"/>
        <v/>
      </c>
      <c r="AJ63" s="41" t="str">
        <f t="shared" si="31"/>
        <v/>
      </c>
      <c r="AK63" s="42" t="str">
        <f t="shared" si="32"/>
        <v/>
      </c>
      <c r="AL63" s="40" t="str">
        <f t="shared" si="33"/>
        <v/>
      </c>
      <c r="AM63" s="41" t="str">
        <f t="shared" si="34"/>
        <v/>
      </c>
      <c r="AN63" s="41" t="str">
        <f t="shared" si="35"/>
        <v/>
      </c>
      <c r="AO63" s="42" t="str">
        <f t="shared" si="36"/>
        <v/>
      </c>
      <c r="AP63" s="40">
        <f t="shared" si="37"/>
        <v>0</v>
      </c>
      <c r="AQ63" s="41" t="str">
        <f t="shared" si="38"/>
        <v/>
      </c>
      <c r="AR63" s="41" t="str">
        <f t="shared" si="39"/>
        <v/>
      </c>
      <c r="AS63" s="42" t="str">
        <f t="shared" si="40"/>
        <v/>
      </c>
      <c r="AT63" s="40" t="str">
        <f t="shared" si="41"/>
        <v/>
      </c>
      <c r="AU63" s="41" t="str">
        <f t="shared" si="42"/>
        <v/>
      </c>
      <c r="AV63" s="41" t="str">
        <f t="shared" si="43"/>
        <v/>
      </c>
      <c r="AW63" s="42" t="str">
        <f t="shared" si="44"/>
        <v/>
      </c>
      <c r="AX63" s="40" t="str">
        <f t="shared" si="45"/>
        <v/>
      </c>
      <c r="AY63" s="41" t="str">
        <f t="shared" si="46"/>
        <v/>
      </c>
      <c r="AZ63" s="41" t="str">
        <f t="shared" si="47"/>
        <v/>
      </c>
      <c r="BA63" s="42" t="str">
        <f t="shared" si="48"/>
        <v/>
      </c>
      <c r="BB63" s="37" t="s">
        <v>106</v>
      </c>
      <c r="BD63" s="21"/>
      <c r="BG63" t="str">
        <f>IF(NOT(ISERROR(HLOOKUP(Standings!BG$3,Entries!$C34:$K34,1,FALSE))),"x",IF(NOT(ISERROR(HLOOKUP(Standings!BG$3,Entries!$L34:$L34,1,FALSE))),"S",""))</f>
        <v/>
      </c>
      <c r="BH63" t="str">
        <f>IF(NOT(ISERROR(HLOOKUP(Standings!BH$3,Entries!$C34:$K34,1,FALSE))),"x",IF(NOT(ISERROR(HLOOKUP(Standings!BH$3,Entries!$L34:$L34,1,FALSE))),"S",""))</f>
        <v/>
      </c>
      <c r="BI63" t="str">
        <f>IF(NOT(ISERROR(HLOOKUP(Standings!BI$3,Entries!$C34:$K34,1,FALSE))),"x",IF(NOT(ISERROR(HLOOKUP(Standings!BI$3,Entries!$L34:$L34,1,FALSE))),"S",""))</f>
        <v/>
      </c>
      <c r="BJ63" t="str">
        <f>IF(NOT(ISERROR(HLOOKUP(Standings!BJ$3,Entries!$C34:$K34,1,FALSE))),"x",IF(NOT(ISERROR(HLOOKUP(Standings!BJ$3,Entries!$L34:$L34,1,FALSE))),"S",""))</f>
        <v/>
      </c>
      <c r="BK63" t="str">
        <f>IF(NOT(ISERROR(HLOOKUP(Standings!BK$3,Entries!$C34:$K34,1,FALSE))),"x",IF(NOT(ISERROR(HLOOKUP(Standings!BK$3,Entries!$L34:$L34,1,FALSE))),"S",""))</f>
        <v/>
      </c>
      <c r="BL63" t="str">
        <f>IF(NOT(ISERROR(HLOOKUP(Standings!BL$3,Entries!$C34:$K34,1,FALSE))),"x",IF(NOT(ISERROR(HLOOKUP(Standings!BL$3,Entries!$L34:$L34,1,FALSE))),"S",""))</f>
        <v/>
      </c>
      <c r="BM63" t="str">
        <f>IF(NOT(ISERROR(HLOOKUP(Standings!BM$3,Entries!$C34:$K34,1,FALSE))),"x",IF(NOT(ISERROR(HLOOKUP(Standings!BM$3,Entries!$L34:$L34,1,FALSE))),"S",""))</f>
        <v/>
      </c>
      <c r="BN63" t="str">
        <f>IF(NOT(ISERROR(HLOOKUP(Standings!BN$3,Entries!$C34:$K34,1,FALSE))),"x",IF(NOT(ISERROR(HLOOKUP(Standings!BN$3,Entries!$L34:$L34,1,FALSE))),"S",""))</f>
        <v/>
      </c>
      <c r="BO63" t="str">
        <f>IF(NOT(ISERROR(HLOOKUP(Standings!BO$3,Entries!$C34:$K34,1,FALSE))),"x",IF(NOT(ISERROR(HLOOKUP(Standings!BO$3,Entries!$L34:$L34,1,FALSE))),"S",""))</f>
        <v/>
      </c>
      <c r="BP63" t="str">
        <f>IF(NOT(ISERROR(HLOOKUP(Standings!BP$3,Entries!$C34:$K34,1,FALSE))),"x",IF(NOT(ISERROR(HLOOKUP(Standings!BP$3,Entries!$L34:$L34,1,FALSE))),"S",""))</f>
        <v/>
      </c>
      <c r="BQ63" t="str">
        <f>IF(NOT(ISERROR(HLOOKUP(Standings!BQ$3,Entries!$C34:$K34,1,FALSE))),"x",IF(NOT(ISERROR(HLOOKUP(Standings!BQ$3,Entries!$L34:$L34,1,FALSE))),"S",""))</f>
        <v/>
      </c>
      <c r="BR63" t="str">
        <f>IF(NOT(ISERROR(HLOOKUP(Standings!BR$3,Entries!$C34:$K34,1,FALSE))),"x",IF(NOT(ISERROR(HLOOKUP(Standings!BR$3,Entries!$L34:$L34,1,FALSE))),"S",""))</f>
        <v/>
      </c>
      <c r="BS63" t="str">
        <f>IF(NOT(ISERROR(HLOOKUP(Standings!BS$3,Entries!$C34:$K34,1,FALSE))),"x",IF(NOT(ISERROR(HLOOKUP(Standings!BS$3,Entries!$L34:$L34,1,FALSE))),"S",""))</f>
        <v>x</v>
      </c>
      <c r="BT63" t="str">
        <f>IF(NOT(ISERROR(HLOOKUP(Standings!BT$3,Entries!$C34:$K34,1,FALSE))),"x",IF(NOT(ISERROR(HLOOKUP(Standings!BT$3,Entries!$L34:$L34,1,FALSE))),"S",""))</f>
        <v>S</v>
      </c>
      <c r="BU63" t="str">
        <f>IF(NOT(ISERROR(HLOOKUP(Standings!BU$3,Entries!$C34:$K34,1,FALSE))),"x",IF(NOT(ISERROR(HLOOKUP(Standings!BU$3,Entries!$L34:$L34,1,FALSE))),"S",""))</f>
        <v/>
      </c>
      <c r="BV63" t="str">
        <f>IF(NOT(ISERROR(HLOOKUP(Standings!BV$3,Entries!$C34:$K34,1,FALSE))),"x",IF(NOT(ISERROR(HLOOKUP(Standings!BV$3,Entries!$L34:$L34,1,FALSE))),"S",""))</f>
        <v/>
      </c>
      <c r="BW63" t="str">
        <f>IF(NOT(ISERROR(HLOOKUP(Standings!BW$3,Entries!$C34:$K34,1,FALSE))),"x",IF(NOT(ISERROR(HLOOKUP(Standings!BW$3,Entries!$L34:$L34,1,FALSE))),"S",""))</f>
        <v/>
      </c>
      <c r="BX63" t="str">
        <f>IF(NOT(ISERROR(HLOOKUP(Standings!BX$3,Entries!$C34:$K34,1,FALSE))),"x",IF(NOT(ISERROR(HLOOKUP(Standings!BX$3,Entries!$L34:$L34,1,FALSE))),"S",""))</f>
        <v/>
      </c>
      <c r="BY63" t="str">
        <f>IF(NOT(ISERROR(HLOOKUP(Standings!BY$3,Entries!$C34:$K34,1,FALSE))),"x",IF(NOT(ISERROR(HLOOKUP(Standings!BY$3,Entries!$L34:$L34,1,FALSE))),"S",""))</f>
        <v/>
      </c>
      <c r="BZ63" t="str">
        <f>IF(NOT(ISERROR(HLOOKUP(Standings!BZ$3,Entries!$C34:$K34,1,FALSE))),"x",IF(NOT(ISERROR(HLOOKUP(Standings!BZ$3,Entries!$L34:$L34,1,FALSE))),"S",""))</f>
        <v/>
      </c>
      <c r="CA63" t="str">
        <f>IF(NOT(ISERROR(HLOOKUP(Standings!CA$3,Entries!$C34:$K34,1,FALSE))),"x",IF(NOT(ISERROR(HLOOKUP(Standings!CA$3,Entries!$L34:$L34,1,FALSE))),"S",""))</f>
        <v/>
      </c>
      <c r="CB63" t="str">
        <f>IF(NOT(ISERROR(HLOOKUP(Standings!CB$3,Entries!$C34:$K34,1,FALSE))),"x",IF(NOT(ISERROR(HLOOKUP(Standings!CB$3,Entries!$L34:$L34,1,FALSE))),"S",""))</f>
        <v/>
      </c>
      <c r="CC63" t="str">
        <f>IF(NOT(ISERROR(HLOOKUP(Standings!CC$3,Entries!$C34:$K34,1,FALSE))),"x",IF(NOT(ISERROR(HLOOKUP(Standings!CC$3,Entries!$L34:$L34,1,FALSE))),"S",""))</f>
        <v/>
      </c>
      <c r="CD63" t="str">
        <f>IF(NOT(ISERROR(HLOOKUP(Standings!CD$3,Entries!$C34:$K34,1,FALSE))),"x",IF(NOT(ISERROR(HLOOKUP(Standings!CD$3,Entries!$L34:$L34,1,FALSE))),"S",""))</f>
        <v/>
      </c>
      <c r="CE63" t="str">
        <f>IF(NOT(ISERROR(HLOOKUP(Standings!CE$3,Entries!$C34:$K34,1,FALSE))),"x",IF(NOT(ISERROR(HLOOKUP(Standings!CE$3,Entries!$L34:$L34,1,FALSE))),"S",""))</f>
        <v>x</v>
      </c>
      <c r="CF63" t="str">
        <f>IF(NOT(ISERROR(HLOOKUP(Standings!CF$3,Entries!$C34:$K34,1,FALSE))),"x",IF(NOT(ISERROR(HLOOKUP(Standings!CF$3,Entries!$L34:$L34,1,FALSE))),"S",""))</f>
        <v/>
      </c>
      <c r="CG63" t="str">
        <f>IF(NOT(ISERROR(HLOOKUP(Standings!CG$3,Entries!$C34:$K34,1,FALSE))),"x",IF(NOT(ISERROR(HLOOKUP(Standings!CG$3,Entries!$L34:$L34,1,FALSE))),"S",""))</f>
        <v/>
      </c>
      <c r="CH63" t="str">
        <f>IF(NOT(ISERROR(HLOOKUP(Standings!CH$3,Entries!$C34:$K34,1,FALSE))),"x",IF(NOT(ISERROR(HLOOKUP(Standings!CH$3,Entries!$L34:$L34,1,FALSE))),"S",""))</f>
        <v/>
      </c>
      <c r="CI63" t="str">
        <f>IF(NOT(ISERROR(HLOOKUP(Standings!CI$3,Entries!$C34:$K34,1,FALSE))),"x",IF(NOT(ISERROR(HLOOKUP(Standings!CI$3,Entries!$L34:$L34,1,FALSE))),"S",""))</f>
        <v/>
      </c>
      <c r="CJ63" t="str">
        <f>IF(NOT(ISERROR(HLOOKUP(Standings!CJ$3,Entries!$C34:$K34,1,FALSE))),"x",IF(NOT(ISERROR(HLOOKUP(Standings!CJ$3,Entries!$L34:$L34,1,FALSE))),"S",""))</f>
        <v/>
      </c>
      <c r="CK63" t="str">
        <f>IF(NOT(ISERROR(HLOOKUP(Standings!CK$3,Entries!$C34:$K34,1,FALSE))),"x",IF(NOT(ISERROR(HLOOKUP(Standings!CK$3,Entries!$L34:$L34,1,FALSE))),"S",""))</f>
        <v/>
      </c>
      <c r="CL63" t="str">
        <f>IF(NOT(ISERROR(HLOOKUP(Standings!CL$3,Entries!$C34:$K34,1,FALSE))),"x",IF(NOT(ISERROR(HLOOKUP(Standings!CL$3,Entries!$L34:$L34,1,FALSE))),"S",""))</f>
        <v/>
      </c>
      <c r="CM63" t="str">
        <f>IF(NOT(ISERROR(HLOOKUP(Standings!CM$3,Entries!$C34:$K34,1,FALSE))),"x",IF(NOT(ISERROR(HLOOKUP(Standings!CM$3,Entries!$L34:$L34,1,FALSE))),"S",""))</f>
        <v/>
      </c>
      <c r="CN63" t="str">
        <f>IF(NOT(ISERROR(HLOOKUP(Standings!CN$3,Entries!$C34:$K34,1,FALSE))),"x",IF(NOT(ISERROR(HLOOKUP(Standings!CN$3,Entries!$L34:$L34,1,FALSE))),"S",""))</f>
        <v/>
      </c>
      <c r="CO63" t="str">
        <f>IF(NOT(ISERROR(HLOOKUP(Standings!CO$3,Entries!$C34:$K34,1,FALSE))),"x",IF(NOT(ISERROR(HLOOKUP(Standings!CO$3,Entries!$L34:$L34,1,FALSE))),"S",""))</f>
        <v/>
      </c>
      <c r="CP63" t="str">
        <f>IF(NOT(ISERROR(HLOOKUP(Standings!CP$3,Entries!$C34:$K34,1,FALSE))),"x",IF(NOT(ISERROR(HLOOKUP(Standings!CP$3,Entries!$L34:$L34,1,FALSE))),"S",""))</f>
        <v/>
      </c>
      <c r="CQ63" t="str">
        <f>IF(NOT(ISERROR(HLOOKUP(Standings!CQ$3,Entries!$C34:$K34,1,FALSE))),"x",IF(NOT(ISERROR(HLOOKUP(Standings!CQ$3,Entries!$L34:$L34,1,FALSE))),"S",""))</f>
        <v>x</v>
      </c>
      <c r="CR63" t="str">
        <f>IF(NOT(ISERROR(HLOOKUP(Standings!CR$3,Entries!$C34:$K34,1,FALSE))),"x",IF(NOT(ISERROR(HLOOKUP(Standings!CR$3,Entries!$L34:$L34,1,FALSE))),"S",""))</f>
        <v/>
      </c>
      <c r="CS63" t="str">
        <f>IF(NOT(ISERROR(HLOOKUP(Standings!CS$3,Entries!$C34:$K34,1,FALSE))),"x",IF(NOT(ISERROR(HLOOKUP(Standings!CS$3,Entries!$L34:$L34,1,FALSE))),"S",""))</f>
        <v/>
      </c>
      <c r="CT63" t="str">
        <f>IF(NOT(ISERROR(HLOOKUP(Standings!CT$3,Entries!$C34:$K34,1,FALSE))),"x",IF(NOT(ISERROR(HLOOKUP(Standings!CT$3,Entries!$L34:$L34,1,FALSE))),"S",""))</f>
        <v/>
      </c>
      <c r="CU63" t="str">
        <f>IF(NOT(ISERROR(HLOOKUP(Standings!CU$3,Entries!$C34:$K34,1,FALSE))),"x",IF(NOT(ISERROR(HLOOKUP(Standings!CU$3,Entries!$L34:$L34,1,FALSE))),"S",""))</f>
        <v/>
      </c>
      <c r="CV63" t="str">
        <f>IF(NOT(ISERROR(HLOOKUP(Standings!CV$3,Entries!$C34:$K34,1,FALSE))),"x",IF(NOT(ISERROR(HLOOKUP(Standings!CV$3,Entries!$L34:$L34,1,FALSE))),"S",""))</f>
        <v/>
      </c>
      <c r="CW63" t="str">
        <f>IF(NOT(ISERROR(HLOOKUP(Standings!CW$3,Entries!$C34:$K34,1,FALSE))),"x",IF(NOT(ISERROR(HLOOKUP(Standings!CW$3,Entries!$L34:$L34,1,FALSE))),"S",""))</f>
        <v/>
      </c>
      <c r="CX63" t="str">
        <f>IF(NOT(ISERROR(HLOOKUP(Standings!CX$3,Entries!$C34:$K34,1,FALSE))),"x",IF(NOT(ISERROR(HLOOKUP(Standings!CX$3,Entries!$L34:$L34,1,FALSE))),"S",""))</f>
        <v/>
      </c>
      <c r="CY63" t="str">
        <f>IF(NOT(ISERROR(HLOOKUP(Standings!CY$3,Entries!$C34:$K34,1,FALSE))),"x",IF(NOT(ISERROR(HLOOKUP(Standings!CY$3,Entries!$L34:$L34,1,FALSE))),"S",""))</f>
        <v/>
      </c>
      <c r="CZ63" t="str">
        <f>IF(NOT(ISERROR(HLOOKUP(Standings!CZ$3,Entries!$C34:$K34,1,FALSE))),"x",IF(NOT(ISERROR(HLOOKUP(Standings!CZ$3,Entries!$L34:$L34,1,FALSE))),"S",""))</f>
        <v/>
      </c>
      <c r="DA63" t="str">
        <f>IF(NOT(ISERROR(HLOOKUP(Standings!DA$3,Entries!$C34:$K34,1,FALSE))),"x",IF(NOT(ISERROR(HLOOKUP(Standings!DA$3,Entries!$L34:$L34,1,FALSE))),"S",""))</f>
        <v/>
      </c>
      <c r="DB63" t="str">
        <f>IF(NOT(ISERROR(HLOOKUP(Standings!DB$3,Entries!$C34:$K34,1,FALSE))),"x",IF(NOT(ISERROR(HLOOKUP(Standings!DB$3,Entries!$L34:$L34,1,FALSE))),"S",""))</f>
        <v/>
      </c>
    </row>
    <row r="64" spans="1:106" x14ac:dyDescent="0.25">
      <c r="B64">
        <v>72</v>
      </c>
      <c r="C64" t="str">
        <f>Entries!B35</f>
        <v>AnaTwohy2</v>
      </c>
      <c r="D64" s="4">
        <f>IF(C64="","",RANK(E64,$E$10:$E$111))</f>
        <v>97</v>
      </c>
      <c r="E64" s="31">
        <f t="shared" si="50"/>
        <v>-1</v>
      </c>
      <c r="F64" s="40" t="str">
        <f t="shared" si="49"/>
        <v/>
      </c>
      <c r="G64" s="41" t="str">
        <f t="shared" si="2"/>
        <v/>
      </c>
      <c r="H64" s="41" t="str">
        <f t="shared" si="3"/>
        <v/>
      </c>
      <c r="I64" s="42" t="str">
        <f t="shared" si="4"/>
        <v/>
      </c>
      <c r="J64" s="40" t="str">
        <f t="shared" si="5"/>
        <v/>
      </c>
      <c r="K64" s="41" t="str">
        <f t="shared" si="6"/>
        <v/>
      </c>
      <c r="L64" s="41" t="str">
        <f t="shared" si="7"/>
        <v/>
      </c>
      <c r="M64" s="42" t="str">
        <f t="shared" si="8"/>
        <v/>
      </c>
      <c r="N64" s="43">
        <f t="shared" si="9"/>
        <v>1</v>
      </c>
      <c r="O64" s="41" t="str">
        <f t="shared" si="10"/>
        <v/>
      </c>
      <c r="P64" s="41" t="str">
        <f t="shared" si="11"/>
        <v/>
      </c>
      <c r="Q64" s="42" t="str">
        <f t="shared" si="12"/>
        <v/>
      </c>
      <c r="R64" s="40" t="str">
        <f t="shared" si="13"/>
        <v/>
      </c>
      <c r="S64" s="41" t="str">
        <f t="shared" si="14"/>
        <v/>
      </c>
      <c r="T64" s="43" t="str">
        <f t="shared" si="15"/>
        <v/>
      </c>
      <c r="U64" s="42" t="str">
        <f t="shared" si="16"/>
        <v/>
      </c>
      <c r="V64" s="40" t="str">
        <f t="shared" si="17"/>
        <v/>
      </c>
      <c r="W64" s="41" t="str">
        <f t="shared" si="18"/>
        <v/>
      </c>
      <c r="X64" s="41" t="str">
        <f t="shared" si="19"/>
        <v/>
      </c>
      <c r="Y64" s="42" t="str">
        <f t="shared" si="20"/>
        <v/>
      </c>
      <c r="Z64" s="40" t="str">
        <f t="shared" si="21"/>
        <v/>
      </c>
      <c r="AA64" s="41" t="str">
        <f t="shared" si="22"/>
        <v/>
      </c>
      <c r="AB64" s="41" t="str">
        <f t="shared" si="23"/>
        <v/>
      </c>
      <c r="AC64" s="42">
        <f t="shared" si="24"/>
        <v>-2.0000100000000001</v>
      </c>
      <c r="AD64" s="40" t="str">
        <f t="shared" si="25"/>
        <v/>
      </c>
      <c r="AE64" s="41" t="str">
        <f t="shared" si="26"/>
        <v/>
      </c>
      <c r="AF64" s="41" t="str">
        <f t="shared" si="27"/>
        <v/>
      </c>
      <c r="AG64" s="42" t="str">
        <f t="shared" si="28"/>
        <v/>
      </c>
      <c r="AH64" s="40" t="str">
        <f t="shared" si="29"/>
        <v/>
      </c>
      <c r="AI64" s="41" t="str">
        <f t="shared" si="30"/>
        <v/>
      </c>
      <c r="AJ64" s="41" t="str">
        <f t="shared" si="31"/>
        <v/>
      </c>
      <c r="AK64" s="42" t="str">
        <f t="shared" si="32"/>
        <v/>
      </c>
      <c r="AL64" s="40" t="str">
        <f t="shared" si="33"/>
        <v/>
      </c>
      <c r="AM64" s="41" t="str">
        <f t="shared" si="34"/>
        <v/>
      </c>
      <c r="AN64" s="41" t="str">
        <f t="shared" si="35"/>
        <v/>
      </c>
      <c r="AO64" s="42" t="str">
        <f t="shared" si="36"/>
        <v/>
      </c>
      <c r="AP64" s="40" t="str">
        <f t="shared" si="37"/>
        <v/>
      </c>
      <c r="AQ64" s="41" t="str">
        <f t="shared" si="38"/>
        <v/>
      </c>
      <c r="AR64" s="41" t="str">
        <f t="shared" si="39"/>
        <v/>
      </c>
      <c r="AS64" s="42" t="str">
        <f t="shared" si="40"/>
        <v/>
      </c>
      <c r="AT64" s="40" t="str">
        <f t="shared" si="41"/>
        <v/>
      </c>
      <c r="AU64" s="41" t="str">
        <f t="shared" si="42"/>
        <v/>
      </c>
      <c r="AV64" s="41" t="str">
        <f t="shared" si="43"/>
        <v/>
      </c>
      <c r="AW64" s="42" t="str">
        <f t="shared" si="44"/>
        <v/>
      </c>
      <c r="AX64" s="40">
        <f t="shared" si="45"/>
        <v>0</v>
      </c>
      <c r="AY64" s="41" t="str">
        <f t="shared" si="46"/>
        <v/>
      </c>
      <c r="AZ64" s="41" t="str">
        <f t="shared" si="47"/>
        <v/>
      </c>
      <c r="BA64" s="42" t="str">
        <f t="shared" si="48"/>
        <v/>
      </c>
      <c r="BB64" s="37" t="s">
        <v>106</v>
      </c>
      <c r="BG64" t="str">
        <f>IF(NOT(ISERROR(HLOOKUP(Standings!BG$3,Entries!$C35:$K35,1,FALSE))),"x",IF(NOT(ISERROR(HLOOKUP(Standings!BG$3,Entries!$L35:$L35,1,FALSE))),"S",""))</f>
        <v/>
      </c>
      <c r="BH64" t="str">
        <f>IF(NOT(ISERROR(HLOOKUP(Standings!BH$3,Entries!$C35:$K35,1,FALSE))),"x",IF(NOT(ISERROR(HLOOKUP(Standings!BH$3,Entries!$L35:$L35,1,FALSE))),"S",""))</f>
        <v/>
      </c>
      <c r="BI64" t="str">
        <f>IF(NOT(ISERROR(HLOOKUP(Standings!BI$3,Entries!$C35:$K35,1,FALSE))),"x",IF(NOT(ISERROR(HLOOKUP(Standings!BI$3,Entries!$L35:$L35,1,FALSE))),"S",""))</f>
        <v/>
      </c>
      <c r="BJ64" t="str">
        <f>IF(NOT(ISERROR(HLOOKUP(Standings!BJ$3,Entries!$C35:$K35,1,FALSE))),"x",IF(NOT(ISERROR(HLOOKUP(Standings!BJ$3,Entries!$L35:$L35,1,FALSE))),"S",""))</f>
        <v/>
      </c>
      <c r="BK64" t="str">
        <f>IF(NOT(ISERROR(HLOOKUP(Standings!BK$3,Entries!$C35:$K35,1,FALSE))),"x",IF(NOT(ISERROR(HLOOKUP(Standings!BK$3,Entries!$L35:$L35,1,FALSE))),"S",""))</f>
        <v/>
      </c>
      <c r="BL64" t="str">
        <f>IF(NOT(ISERROR(HLOOKUP(Standings!BL$3,Entries!$C35:$K35,1,FALSE))),"x",IF(NOT(ISERROR(HLOOKUP(Standings!BL$3,Entries!$L35:$L35,1,FALSE))),"S",""))</f>
        <v/>
      </c>
      <c r="BM64" t="str">
        <f>IF(NOT(ISERROR(HLOOKUP(Standings!BM$3,Entries!$C35:$K35,1,FALSE))),"x",IF(NOT(ISERROR(HLOOKUP(Standings!BM$3,Entries!$L35:$L35,1,FALSE))),"S",""))</f>
        <v/>
      </c>
      <c r="BN64" t="str">
        <f>IF(NOT(ISERROR(HLOOKUP(Standings!BN$3,Entries!$C35:$K35,1,FALSE))),"x",IF(NOT(ISERROR(HLOOKUP(Standings!BN$3,Entries!$L35:$L35,1,FALSE))),"S",""))</f>
        <v/>
      </c>
      <c r="BO64" t="str">
        <f>IF(NOT(ISERROR(HLOOKUP(Standings!BO$3,Entries!$C35:$K35,1,FALSE))),"x",IF(NOT(ISERROR(HLOOKUP(Standings!BO$3,Entries!$L35:$L35,1,FALSE))),"S",""))</f>
        <v>x</v>
      </c>
      <c r="BP64" t="str">
        <f>IF(NOT(ISERROR(HLOOKUP(Standings!BP$3,Entries!$C35:$K35,1,FALSE))),"x",IF(NOT(ISERROR(HLOOKUP(Standings!BP$3,Entries!$L35:$L35,1,FALSE))),"S",""))</f>
        <v/>
      </c>
      <c r="BQ64" t="str">
        <f>IF(NOT(ISERROR(HLOOKUP(Standings!BQ$3,Entries!$C35:$K35,1,FALSE))),"x",IF(NOT(ISERROR(HLOOKUP(Standings!BQ$3,Entries!$L35:$L35,1,FALSE))),"S",""))</f>
        <v/>
      </c>
      <c r="BR64" t="str">
        <f>IF(NOT(ISERROR(HLOOKUP(Standings!BR$3,Entries!$C35:$K35,1,FALSE))),"x",IF(NOT(ISERROR(HLOOKUP(Standings!BR$3,Entries!$L35:$L35,1,FALSE))),"S",""))</f>
        <v/>
      </c>
      <c r="BS64" t="str">
        <f>IF(NOT(ISERROR(HLOOKUP(Standings!BS$3,Entries!$C35:$K35,1,FALSE))),"x",IF(NOT(ISERROR(HLOOKUP(Standings!BS$3,Entries!$L35:$L35,1,FALSE))),"S",""))</f>
        <v/>
      </c>
      <c r="BT64" t="str">
        <f>IF(NOT(ISERROR(HLOOKUP(Standings!BT$3,Entries!$C35:$K35,1,FALSE))),"x",IF(NOT(ISERROR(HLOOKUP(Standings!BT$3,Entries!$L35:$L35,1,FALSE))),"S",""))</f>
        <v/>
      </c>
      <c r="BU64" t="str">
        <f>IF(NOT(ISERROR(HLOOKUP(Standings!BU$3,Entries!$C35:$K35,1,FALSE))),"x",IF(NOT(ISERROR(HLOOKUP(Standings!BU$3,Entries!$L35:$L35,1,FALSE))),"S",""))</f>
        <v/>
      </c>
      <c r="BV64" t="str">
        <f>IF(NOT(ISERROR(HLOOKUP(Standings!BV$3,Entries!$C35:$K35,1,FALSE))),"x",IF(NOT(ISERROR(HLOOKUP(Standings!BV$3,Entries!$L35:$L35,1,FALSE))),"S",""))</f>
        <v/>
      </c>
      <c r="BW64" t="str">
        <f>IF(NOT(ISERROR(HLOOKUP(Standings!BW$3,Entries!$C35:$K35,1,FALSE))),"x",IF(NOT(ISERROR(HLOOKUP(Standings!BW$3,Entries!$L35:$L35,1,FALSE))),"S",""))</f>
        <v/>
      </c>
      <c r="BX64" t="str">
        <f>IF(NOT(ISERROR(HLOOKUP(Standings!BX$3,Entries!$C35:$K35,1,FALSE))),"x",IF(NOT(ISERROR(HLOOKUP(Standings!BX$3,Entries!$L35:$L35,1,FALSE))),"S",""))</f>
        <v/>
      </c>
      <c r="BY64" t="str">
        <f>IF(NOT(ISERROR(HLOOKUP(Standings!BY$3,Entries!$C35:$K35,1,FALSE))),"x",IF(NOT(ISERROR(HLOOKUP(Standings!BY$3,Entries!$L35:$L35,1,FALSE))),"S",""))</f>
        <v/>
      </c>
      <c r="BZ64" t="str">
        <f>IF(NOT(ISERROR(HLOOKUP(Standings!BZ$3,Entries!$C35:$K35,1,FALSE))),"x",IF(NOT(ISERROR(HLOOKUP(Standings!BZ$3,Entries!$L35:$L35,1,FALSE))),"S",""))</f>
        <v/>
      </c>
      <c r="CA64" t="str">
        <f>IF(NOT(ISERROR(HLOOKUP(Standings!CA$3,Entries!$C35:$K35,1,FALSE))),"x",IF(NOT(ISERROR(HLOOKUP(Standings!CA$3,Entries!$L35:$L35,1,FALSE))),"S",""))</f>
        <v/>
      </c>
      <c r="CB64" t="str">
        <f>IF(NOT(ISERROR(HLOOKUP(Standings!CB$3,Entries!$C35:$K35,1,FALSE))),"x",IF(NOT(ISERROR(HLOOKUP(Standings!CB$3,Entries!$L35:$L35,1,FALSE))),"S",""))</f>
        <v/>
      </c>
      <c r="CC64" t="str">
        <f>IF(NOT(ISERROR(HLOOKUP(Standings!CC$3,Entries!$C35:$K35,1,FALSE))),"x",IF(NOT(ISERROR(HLOOKUP(Standings!CC$3,Entries!$L35:$L35,1,FALSE))),"S",""))</f>
        <v/>
      </c>
      <c r="CD64" t="str">
        <f>IF(NOT(ISERROR(HLOOKUP(Standings!CD$3,Entries!$C35:$K35,1,FALSE))),"x",IF(NOT(ISERROR(HLOOKUP(Standings!CD$3,Entries!$L35:$L35,1,FALSE))),"S",""))</f>
        <v>S</v>
      </c>
      <c r="CE64" t="str">
        <f>IF(NOT(ISERROR(HLOOKUP(Standings!CE$3,Entries!$C35:$K35,1,FALSE))),"x",IF(NOT(ISERROR(HLOOKUP(Standings!CE$3,Entries!$L35:$L35,1,FALSE))),"S",""))</f>
        <v/>
      </c>
      <c r="CF64" t="str">
        <f>IF(NOT(ISERROR(HLOOKUP(Standings!CF$3,Entries!$C35:$K35,1,FALSE))),"x",IF(NOT(ISERROR(HLOOKUP(Standings!CF$3,Entries!$L35:$L35,1,FALSE))),"S",""))</f>
        <v/>
      </c>
      <c r="CG64" t="str">
        <f>IF(NOT(ISERROR(HLOOKUP(Standings!CG$3,Entries!$C35:$K35,1,FALSE))),"x",IF(NOT(ISERROR(HLOOKUP(Standings!CG$3,Entries!$L35:$L35,1,FALSE))),"S",""))</f>
        <v/>
      </c>
      <c r="CH64" t="str">
        <f>IF(NOT(ISERROR(HLOOKUP(Standings!CH$3,Entries!$C35:$K35,1,FALSE))),"x",IF(NOT(ISERROR(HLOOKUP(Standings!CH$3,Entries!$L35:$L35,1,FALSE))),"S",""))</f>
        <v/>
      </c>
      <c r="CI64" t="str">
        <f>IF(NOT(ISERROR(HLOOKUP(Standings!CI$3,Entries!$C35:$K35,1,FALSE))),"x",IF(NOT(ISERROR(HLOOKUP(Standings!CI$3,Entries!$L35:$L35,1,FALSE))),"S",""))</f>
        <v/>
      </c>
      <c r="CJ64" t="str">
        <f>IF(NOT(ISERROR(HLOOKUP(Standings!CJ$3,Entries!$C35:$K35,1,FALSE))),"x",IF(NOT(ISERROR(HLOOKUP(Standings!CJ$3,Entries!$L35:$L35,1,FALSE))),"S",""))</f>
        <v/>
      </c>
      <c r="CK64" t="str">
        <f>IF(NOT(ISERROR(HLOOKUP(Standings!CK$3,Entries!$C35:$K35,1,FALSE))),"x",IF(NOT(ISERROR(HLOOKUP(Standings!CK$3,Entries!$L35:$L35,1,FALSE))),"S",""))</f>
        <v/>
      </c>
      <c r="CL64" t="str">
        <f>IF(NOT(ISERROR(HLOOKUP(Standings!CL$3,Entries!$C35:$K35,1,FALSE))),"x",IF(NOT(ISERROR(HLOOKUP(Standings!CL$3,Entries!$L35:$L35,1,FALSE))),"S",""))</f>
        <v/>
      </c>
      <c r="CM64" t="str">
        <f>IF(NOT(ISERROR(HLOOKUP(Standings!CM$3,Entries!$C35:$K35,1,FALSE))),"x",IF(NOT(ISERROR(HLOOKUP(Standings!CM$3,Entries!$L35:$L35,1,FALSE))),"S",""))</f>
        <v/>
      </c>
      <c r="CN64" t="str">
        <f>IF(NOT(ISERROR(HLOOKUP(Standings!CN$3,Entries!$C35:$K35,1,FALSE))),"x",IF(NOT(ISERROR(HLOOKUP(Standings!CN$3,Entries!$L35:$L35,1,FALSE))),"S",""))</f>
        <v/>
      </c>
      <c r="CO64" t="str">
        <f>IF(NOT(ISERROR(HLOOKUP(Standings!CO$3,Entries!$C35:$K35,1,FALSE))),"x",IF(NOT(ISERROR(HLOOKUP(Standings!CO$3,Entries!$L35:$L35,1,FALSE))),"S",""))</f>
        <v/>
      </c>
      <c r="CP64" t="str">
        <f>IF(NOT(ISERROR(HLOOKUP(Standings!CP$3,Entries!$C35:$K35,1,FALSE))),"x",IF(NOT(ISERROR(HLOOKUP(Standings!CP$3,Entries!$L35:$L35,1,FALSE))),"S",""))</f>
        <v/>
      </c>
      <c r="CQ64" t="str">
        <f>IF(NOT(ISERROR(HLOOKUP(Standings!CQ$3,Entries!$C35:$K35,1,FALSE))),"x",IF(NOT(ISERROR(HLOOKUP(Standings!CQ$3,Entries!$L35:$L35,1,FALSE))),"S",""))</f>
        <v/>
      </c>
      <c r="CR64" t="str">
        <f>IF(NOT(ISERROR(HLOOKUP(Standings!CR$3,Entries!$C35:$K35,1,FALSE))),"x",IF(NOT(ISERROR(HLOOKUP(Standings!CR$3,Entries!$L35:$L35,1,FALSE))),"S",""))</f>
        <v/>
      </c>
      <c r="CS64" t="str">
        <f>IF(NOT(ISERROR(HLOOKUP(Standings!CS$3,Entries!$C35:$K35,1,FALSE))),"x",IF(NOT(ISERROR(HLOOKUP(Standings!CS$3,Entries!$L35:$L35,1,FALSE))),"S",""))</f>
        <v/>
      </c>
      <c r="CT64" t="str">
        <f>IF(NOT(ISERROR(HLOOKUP(Standings!CT$3,Entries!$C35:$K35,1,FALSE))),"x",IF(NOT(ISERROR(HLOOKUP(Standings!CT$3,Entries!$L35:$L35,1,FALSE))),"S",""))</f>
        <v/>
      </c>
      <c r="CU64" t="str">
        <f>IF(NOT(ISERROR(HLOOKUP(Standings!CU$3,Entries!$C35:$K35,1,FALSE))),"x",IF(NOT(ISERROR(HLOOKUP(Standings!CU$3,Entries!$L35:$L35,1,FALSE))),"S",""))</f>
        <v/>
      </c>
      <c r="CV64" t="str">
        <f>IF(NOT(ISERROR(HLOOKUP(Standings!CV$3,Entries!$C35:$K35,1,FALSE))),"x",IF(NOT(ISERROR(HLOOKUP(Standings!CV$3,Entries!$L35:$L35,1,FALSE))),"S",""))</f>
        <v/>
      </c>
      <c r="CW64" t="str">
        <f>IF(NOT(ISERROR(HLOOKUP(Standings!CW$3,Entries!$C35:$K35,1,FALSE))),"x",IF(NOT(ISERROR(HLOOKUP(Standings!CW$3,Entries!$L35:$L35,1,FALSE))),"S",""))</f>
        <v/>
      </c>
      <c r="CX64" t="str">
        <f>IF(NOT(ISERROR(HLOOKUP(Standings!CX$3,Entries!$C35:$K35,1,FALSE))),"x",IF(NOT(ISERROR(HLOOKUP(Standings!CX$3,Entries!$L35:$L35,1,FALSE))),"S",""))</f>
        <v/>
      </c>
      <c r="CY64" t="str">
        <f>IF(NOT(ISERROR(HLOOKUP(Standings!CY$3,Entries!$C35:$K35,1,FALSE))),"x",IF(NOT(ISERROR(HLOOKUP(Standings!CY$3,Entries!$L35:$L35,1,FALSE))),"S",""))</f>
        <v>x</v>
      </c>
      <c r="CZ64" t="str">
        <f>IF(NOT(ISERROR(HLOOKUP(Standings!CZ$3,Entries!$C35:$K35,1,FALSE))),"x",IF(NOT(ISERROR(HLOOKUP(Standings!CZ$3,Entries!$L35:$L35,1,FALSE))),"S",""))</f>
        <v/>
      </c>
      <c r="DA64" t="str">
        <f>IF(NOT(ISERROR(HLOOKUP(Standings!DA$3,Entries!$C35:$K35,1,FALSE))),"x",IF(NOT(ISERROR(HLOOKUP(Standings!DA$3,Entries!$L35:$L35,1,FALSE))),"S",""))</f>
        <v/>
      </c>
      <c r="DB64" t="str">
        <f>IF(NOT(ISERROR(HLOOKUP(Standings!DB$3,Entries!$C35:$K35,1,FALSE))),"x",IF(NOT(ISERROR(HLOOKUP(Standings!DB$3,Entries!$L35:$L35,1,FALSE))),"S",""))</f>
        <v/>
      </c>
    </row>
    <row r="65" spans="1:106" x14ac:dyDescent="0.25">
      <c r="A65" s="18"/>
      <c r="B65">
        <v>12</v>
      </c>
      <c r="C65" t="str">
        <f>Entries!B37</f>
        <v>JoshTwohy2</v>
      </c>
      <c r="D65" s="4">
        <f>IF(C65="","",RANK(E65,$E$10:$E$111))</f>
        <v>89</v>
      </c>
      <c r="E65" s="31">
        <f t="shared" si="50"/>
        <v>0</v>
      </c>
      <c r="F65" s="40" t="str">
        <f t="shared" si="49"/>
        <v/>
      </c>
      <c r="G65" s="41" t="str">
        <f t="shared" si="2"/>
        <v/>
      </c>
      <c r="H65" s="41" t="str">
        <f t="shared" si="3"/>
        <v/>
      </c>
      <c r="I65" s="42" t="str">
        <f t="shared" si="4"/>
        <v/>
      </c>
      <c r="J65" s="40" t="str">
        <f t="shared" si="5"/>
        <v/>
      </c>
      <c r="K65" s="41" t="str">
        <f t="shared" si="6"/>
        <v/>
      </c>
      <c r="L65" s="41" t="str">
        <f t="shared" si="7"/>
        <v/>
      </c>
      <c r="M65" s="42" t="str">
        <f t="shared" si="8"/>
        <v/>
      </c>
      <c r="N65" s="43" t="str">
        <f t="shared" si="9"/>
        <v/>
      </c>
      <c r="O65" s="41" t="str">
        <f t="shared" si="10"/>
        <v/>
      </c>
      <c r="P65" s="41" t="str">
        <f t="shared" si="11"/>
        <v/>
      </c>
      <c r="Q65" s="42" t="str">
        <f t="shared" si="12"/>
        <v/>
      </c>
      <c r="R65" s="40" t="str">
        <f t="shared" si="13"/>
        <v/>
      </c>
      <c r="S65" s="41" t="str">
        <f t="shared" si="14"/>
        <v/>
      </c>
      <c r="T65" s="43" t="str">
        <f t="shared" si="15"/>
        <v/>
      </c>
      <c r="U65" s="42" t="str">
        <f t="shared" si="16"/>
        <v/>
      </c>
      <c r="V65" s="40" t="str">
        <f t="shared" si="17"/>
        <v/>
      </c>
      <c r="W65" s="41" t="str">
        <f t="shared" si="18"/>
        <v/>
      </c>
      <c r="X65" s="41" t="str">
        <f t="shared" si="19"/>
        <v/>
      </c>
      <c r="Y65" s="42" t="str">
        <f t="shared" si="20"/>
        <v/>
      </c>
      <c r="Z65" s="40" t="str">
        <f t="shared" si="21"/>
        <v/>
      </c>
      <c r="AA65" s="41" t="str">
        <f t="shared" si="22"/>
        <v/>
      </c>
      <c r="AB65" s="41" t="str">
        <f t="shared" si="23"/>
        <v/>
      </c>
      <c r="AC65" s="42" t="str">
        <f t="shared" si="24"/>
        <v/>
      </c>
      <c r="AD65" s="40">
        <f t="shared" si="25"/>
        <v>-1.0000100000000001</v>
      </c>
      <c r="AE65" s="41" t="str">
        <f t="shared" si="26"/>
        <v/>
      </c>
      <c r="AF65" s="41" t="str">
        <f t="shared" si="27"/>
        <v/>
      </c>
      <c r="AG65" s="42" t="str">
        <f t="shared" si="28"/>
        <v/>
      </c>
      <c r="AH65" s="40">
        <f t="shared" si="29"/>
        <v>1</v>
      </c>
      <c r="AI65" s="41" t="str">
        <f t="shared" si="30"/>
        <v/>
      </c>
      <c r="AJ65" s="41" t="str">
        <f t="shared" si="31"/>
        <v/>
      </c>
      <c r="AK65" s="42" t="str">
        <f t="shared" si="32"/>
        <v/>
      </c>
      <c r="AL65" s="40">
        <f t="shared" si="33"/>
        <v>0</v>
      </c>
      <c r="AM65" s="41" t="str">
        <f t="shared" si="34"/>
        <v/>
      </c>
      <c r="AN65" s="41" t="str">
        <f t="shared" si="35"/>
        <v/>
      </c>
      <c r="AO65" s="42" t="str">
        <f t="shared" si="36"/>
        <v/>
      </c>
      <c r="AP65" s="40" t="str">
        <f t="shared" si="37"/>
        <v/>
      </c>
      <c r="AQ65" s="41" t="str">
        <f t="shared" si="38"/>
        <v/>
      </c>
      <c r="AR65" s="41" t="str">
        <f t="shared" si="39"/>
        <v/>
      </c>
      <c r="AS65" s="42" t="str">
        <f t="shared" si="40"/>
        <v/>
      </c>
      <c r="AT65" s="40" t="str">
        <f t="shared" si="41"/>
        <v/>
      </c>
      <c r="AU65" s="41" t="str">
        <f t="shared" si="42"/>
        <v/>
      </c>
      <c r="AV65" s="41" t="str">
        <f t="shared" si="43"/>
        <v/>
      </c>
      <c r="AW65" s="42" t="str">
        <f t="shared" si="44"/>
        <v/>
      </c>
      <c r="AX65" s="40" t="str">
        <f t="shared" si="45"/>
        <v/>
      </c>
      <c r="AY65" s="41" t="str">
        <f t="shared" si="46"/>
        <v/>
      </c>
      <c r="AZ65" s="41" t="str">
        <f t="shared" si="47"/>
        <v/>
      </c>
      <c r="BA65" s="42" t="str">
        <f t="shared" si="48"/>
        <v/>
      </c>
      <c r="BB65" s="37" t="s">
        <v>106</v>
      </c>
      <c r="BD65" s="21"/>
      <c r="BG65" t="str">
        <f>IF(NOT(ISERROR(HLOOKUP(Standings!BG$3,Entries!$C37:$K37,1,FALSE))),"x",IF(NOT(ISERROR(HLOOKUP(Standings!BG$3,Entries!$L37:$L37,1,FALSE))),"S",""))</f>
        <v/>
      </c>
      <c r="BH65" t="str">
        <f>IF(NOT(ISERROR(HLOOKUP(Standings!BH$3,Entries!$C37:$K37,1,FALSE))),"x",IF(NOT(ISERROR(HLOOKUP(Standings!BH$3,Entries!$L37:$L37,1,FALSE))),"S",""))</f>
        <v/>
      </c>
      <c r="BI65" t="str">
        <f>IF(NOT(ISERROR(HLOOKUP(Standings!BI$3,Entries!$C37:$K37,1,FALSE))),"x",IF(NOT(ISERROR(HLOOKUP(Standings!BI$3,Entries!$L37:$L37,1,FALSE))),"S",""))</f>
        <v/>
      </c>
      <c r="BJ65" t="str">
        <f>IF(NOT(ISERROR(HLOOKUP(Standings!BJ$3,Entries!$C37:$K37,1,FALSE))),"x",IF(NOT(ISERROR(HLOOKUP(Standings!BJ$3,Entries!$L37:$L37,1,FALSE))),"S",""))</f>
        <v/>
      </c>
      <c r="BK65" t="str">
        <f>IF(NOT(ISERROR(HLOOKUP(Standings!BK$3,Entries!$C37:$K37,1,FALSE))),"x",IF(NOT(ISERROR(HLOOKUP(Standings!BK$3,Entries!$L37:$L37,1,FALSE))),"S",""))</f>
        <v/>
      </c>
      <c r="BL65" t="str">
        <f>IF(NOT(ISERROR(HLOOKUP(Standings!BL$3,Entries!$C37:$K37,1,FALSE))),"x",IF(NOT(ISERROR(HLOOKUP(Standings!BL$3,Entries!$L37:$L37,1,FALSE))),"S",""))</f>
        <v/>
      </c>
      <c r="BM65" t="str">
        <f>IF(NOT(ISERROR(HLOOKUP(Standings!BM$3,Entries!$C37:$K37,1,FALSE))),"x",IF(NOT(ISERROR(HLOOKUP(Standings!BM$3,Entries!$L37:$L37,1,FALSE))),"S",""))</f>
        <v/>
      </c>
      <c r="BN65" t="str">
        <f>IF(NOT(ISERROR(HLOOKUP(Standings!BN$3,Entries!$C37:$K37,1,FALSE))),"x",IF(NOT(ISERROR(HLOOKUP(Standings!BN$3,Entries!$L37:$L37,1,FALSE))),"S",""))</f>
        <v/>
      </c>
      <c r="BO65" t="str">
        <f>IF(NOT(ISERROR(HLOOKUP(Standings!BO$3,Entries!$C37:$K37,1,FALSE))),"x",IF(NOT(ISERROR(HLOOKUP(Standings!BO$3,Entries!$L37:$L37,1,FALSE))),"S",""))</f>
        <v/>
      </c>
      <c r="BP65" t="str">
        <f>IF(NOT(ISERROR(HLOOKUP(Standings!BP$3,Entries!$C37:$K37,1,FALSE))),"x",IF(NOT(ISERROR(HLOOKUP(Standings!BP$3,Entries!$L37:$L37,1,FALSE))),"S",""))</f>
        <v/>
      </c>
      <c r="BQ65" t="str">
        <f>IF(NOT(ISERROR(HLOOKUP(Standings!BQ$3,Entries!$C37:$K37,1,FALSE))),"x",IF(NOT(ISERROR(HLOOKUP(Standings!BQ$3,Entries!$L37:$L37,1,FALSE))),"S",""))</f>
        <v/>
      </c>
      <c r="BR65" t="str">
        <f>IF(NOT(ISERROR(HLOOKUP(Standings!BR$3,Entries!$C37:$K37,1,FALSE))),"x",IF(NOT(ISERROR(HLOOKUP(Standings!BR$3,Entries!$L37:$L37,1,FALSE))),"S",""))</f>
        <v/>
      </c>
      <c r="BS65" t="str">
        <f>IF(NOT(ISERROR(HLOOKUP(Standings!BS$3,Entries!$C37:$K37,1,FALSE))),"x",IF(NOT(ISERROR(HLOOKUP(Standings!BS$3,Entries!$L37:$L37,1,FALSE))),"S",""))</f>
        <v/>
      </c>
      <c r="BT65" t="str">
        <f>IF(NOT(ISERROR(HLOOKUP(Standings!BT$3,Entries!$C37:$K37,1,FALSE))),"x",IF(NOT(ISERROR(HLOOKUP(Standings!BT$3,Entries!$L37:$L37,1,FALSE))),"S",""))</f>
        <v/>
      </c>
      <c r="BU65" t="str">
        <f>IF(NOT(ISERROR(HLOOKUP(Standings!BU$3,Entries!$C37:$K37,1,FALSE))),"x",IF(NOT(ISERROR(HLOOKUP(Standings!BU$3,Entries!$L37:$L37,1,FALSE))),"S",""))</f>
        <v/>
      </c>
      <c r="BV65" t="str">
        <f>IF(NOT(ISERROR(HLOOKUP(Standings!BV$3,Entries!$C37:$K37,1,FALSE))),"x",IF(NOT(ISERROR(HLOOKUP(Standings!BV$3,Entries!$L37:$L37,1,FALSE))),"S",""))</f>
        <v/>
      </c>
      <c r="BW65" t="str">
        <f>IF(NOT(ISERROR(HLOOKUP(Standings!BW$3,Entries!$C37:$K37,1,FALSE))),"x",IF(NOT(ISERROR(HLOOKUP(Standings!BW$3,Entries!$L37:$L37,1,FALSE))),"S",""))</f>
        <v/>
      </c>
      <c r="BX65" t="str">
        <f>IF(NOT(ISERROR(HLOOKUP(Standings!BX$3,Entries!$C37:$K37,1,FALSE))),"x",IF(NOT(ISERROR(HLOOKUP(Standings!BX$3,Entries!$L37:$L37,1,FALSE))),"S",""))</f>
        <v/>
      </c>
      <c r="BY65" t="str">
        <f>IF(NOT(ISERROR(HLOOKUP(Standings!BY$3,Entries!$C37:$K37,1,FALSE))),"x",IF(NOT(ISERROR(HLOOKUP(Standings!BY$3,Entries!$L37:$L37,1,FALSE))),"S",""))</f>
        <v/>
      </c>
      <c r="BZ65" t="str">
        <f>IF(NOT(ISERROR(HLOOKUP(Standings!BZ$3,Entries!$C37:$K37,1,FALSE))),"x",IF(NOT(ISERROR(HLOOKUP(Standings!BZ$3,Entries!$L37:$L37,1,FALSE))),"S",""))</f>
        <v/>
      </c>
      <c r="CA65" t="str">
        <f>IF(NOT(ISERROR(HLOOKUP(Standings!CA$3,Entries!$C37:$K37,1,FALSE))),"x",IF(NOT(ISERROR(HLOOKUP(Standings!CA$3,Entries!$L37:$L37,1,FALSE))),"S",""))</f>
        <v/>
      </c>
      <c r="CB65" t="str">
        <f>IF(NOT(ISERROR(HLOOKUP(Standings!CB$3,Entries!$C37:$K37,1,FALSE))),"x",IF(NOT(ISERROR(HLOOKUP(Standings!CB$3,Entries!$L37:$L37,1,FALSE))),"S",""))</f>
        <v/>
      </c>
      <c r="CC65" t="str">
        <f>IF(NOT(ISERROR(HLOOKUP(Standings!CC$3,Entries!$C37:$K37,1,FALSE))),"x",IF(NOT(ISERROR(HLOOKUP(Standings!CC$3,Entries!$L37:$L37,1,FALSE))),"S",""))</f>
        <v/>
      </c>
      <c r="CD65" t="str">
        <f>IF(NOT(ISERROR(HLOOKUP(Standings!CD$3,Entries!$C37:$K37,1,FALSE))),"x",IF(NOT(ISERROR(HLOOKUP(Standings!CD$3,Entries!$L37:$L37,1,FALSE))),"S",""))</f>
        <v/>
      </c>
      <c r="CE65" t="str">
        <f>IF(NOT(ISERROR(HLOOKUP(Standings!CE$3,Entries!$C37:$K37,1,FALSE))),"x",IF(NOT(ISERROR(HLOOKUP(Standings!CE$3,Entries!$L37:$L37,1,FALSE))),"S",""))</f>
        <v>S</v>
      </c>
      <c r="CF65" t="str">
        <f>IF(NOT(ISERROR(HLOOKUP(Standings!CF$3,Entries!$C37:$K37,1,FALSE))),"x",IF(NOT(ISERROR(HLOOKUP(Standings!CF$3,Entries!$L37:$L37,1,FALSE))),"S",""))</f>
        <v/>
      </c>
      <c r="CG65" t="str">
        <f>IF(NOT(ISERROR(HLOOKUP(Standings!CG$3,Entries!$C37:$K37,1,FALSE))),"x",IF(NOT(ISERROR(HLOOKUP(Standings!CG$3,Entries!$L37:$L37,1,FALSE))),"S",""))</f>
        <v/>
      </c>
      <c r="CH65" t="str">
        <f>IF(NOT(ISERROR(HLOOKUP(Standings!CH$3,Entries!$C37:$K37,1,FALSE))),"x",IF(NOT(ISERROR(HLOOKUP(Standings!CH$3,Entries!$L37:$L37,1,FALSE))),"S",""))</f>
        <v/>
      </c>
      <c r="CI65" t="str">
        <f>IF(NOT(ISERROR(HLOOKUP(Standings!CI$3,Entries!$C37:$K37,1,FALSE))),"x",IF(NOT(ISERROR(HLOOKUP(Standings!CI$3,Entries!$L37:$L37,1,FALSE))),"S",""))</f>
        <v>x</v>
      </c>
      <c r="CJ65" t="str">
        <f>IF(NOT(ISERROR(HLOOKUP(Standings!CJ$3,Entries!$C37:$K37,1,FALSE))),"x",IF(NOT(ISERROR(HLOOKUP(Standings!CJ$3,Entries!$L37:$L37,1,FALSE))),"S",""))</f>
        <v/>
      </c>
      <c r="CK65" t="str">
        <f>IF(NOT(ISERROR(HLOOKUP(Standings!CK$3,Entries!$C37:$K37,1,FALSE))),"x",IF(NOT(ISERROR(HLOOKUP(Standings!CK$3,Entries!$L37:$L37,1,FALSE))),"S",""))</f>
        <v/>
      </c>
      <c r="CL65" t="str">
        <f>IF(NOT(ISERROR(HLOOKUP(Standings!CL$3,Entries!$C37:$K37,1,FALSE))),"x",IF(NOT(ISERROR(HLOOKUP(Standings!CL$3,Entries!$L37:$L37,1,FALSE))),"S",""))</f>
        <v/>
      </c>
      <c r="CM65" t="str">
        <f>IF(NOT(ISERROR(HLOOKUP(Standings!CM$3,Entries!$C37:$K37,1,FALSE))),"x",IF(NOT(ISERROR(HLOOKUP(Standings!CM$3,Entries!$L37:$L37,1,FALSE))),"S",""))</f>
        <v>x</v>
      </c>
      <c r="CN65" t="str">
        <f>IF(NOT(ISERROR(HLOOKUP(Standings!CN$3,Entries!$C37:$K37,1,FALSE))),"x",IF(NOT(ISERROR(HLOOKUP(Standings!CN$3,Entries!$L37:$L37,1,FALSE))),"S",""))</f>
        <v/>
      </c>
      <c r="CO65" t="str">
        <f>IF(NOT(ISERROR(HLOOKUP(Standings!CO$3,Entries!$C37:$K37,1,FALSE))),"x",IF(NOT(ISERROR(HLOOKUP(Standings!CO$3,Entries!$L37:$L37,1,FALSE))),"S",""))</f>
        <v/>
      </c>
      <c r="CP65" t="str">
        <f>IF(NOT(ISERROR(HLOOKUP(Standings!CP$3,Entries!$C37:$K37,1,FALSE))),"x",IF(NOT(ISERROR(HLOOKUP(Standings!CP$3,Entries!$L37:$L37,1,FALSE))),"S",""))</f>
        <v/>
      </c>
      <c r="CQ65" t="str">
        <f>IF(NOT(ISERROR(HLOOKUP(Standings!CQ$3,Entries!$C37:$K37,1,FALSE))),"x",IF(NOT(ISERROR(HLOOKUP(Standings!CQ$3,Entries!$L37:$L37,1,FALSE))),"S",""))</f>
        <v/>
      </c>
      <c r="CR65" t="str">
        <f>IF(NOT(ISERROR(HLOOKUP(Standings!CR$3,Entries!$C37:$K37,1,FALSE))),"x",IF(NOT(ISERROR(HLOOKUP(Standings!CR$3,Entries!$L37:$L37,1,FALSE))),"S",""))</f>
        <v/>
      </c>
      <c r="CS65" t="str">
        <f>IF(NOT(ISERROR(HLOOKUP(Standings!CS$3,Entries!$C37:$K37,1,FALSE))),"x",IF(NOT(ISERROR(HLOOKUP(Standings!CS$3,Entries!$L37:$L37,1,FALSE))),"S",""))</f>
        <v/>
      </c>
      <c r="CT65" t="str">
        <f>IF(NOT(ISERROR(HLOOKUP(Standings!CT$3,Entries!$C37:$K37,1,FALSE))),"x",IF(NOT(ISERROR(HLOOKUP(Standings!CT$3,Entries!$L37:$L37,1,FALSE))),"S",""))</f>
        <v/>
      </c>
      <c r="CU65" t="str">
        <f>IF(NOT(ISERROR(HLOOKUP(Standings!CU$3,Entries!$C37:$K37,1,FALSE))),"x",IF(NOT(ISERROR(HLOOKUP(Standings!CU$3,Entries!$L37:$L37,1,FALSE))),"S",""))</f>
        <v/>
      </c>
      <c r="CV65" t="str">
        <f>IF(NOT(ISERROR(HLOOKUP(Standings!CV$3,Entries!$C37:$K37,1,FALSE))),"x",IF(NOT(ISERROR(HLOOKUP(Standings!CV$3,Entries!$L37:$L37,1,FALSE))),"S",""))</f>
        <v/>
      </c>
      <c r="CW65" t="str">
        <f>IF(NOT(ISERROR(HLOOKUP(Standings!CW$3,Entries!$C37:$K37,1,FALSE))),"x",IF(NOT(ISERROR(HLOOKUP(Standings!CW$3,Entries!$L37:$L37,1,FALSE))),"S",""))</f>
        <v/>
      </c>
      <c r="CX65" t="str">
        <f>IF(NOT(ISERROR(HLOOKUP(Standings!CX$3,Entries!$C37:$K37,1,FALSE))),"x",IF(NOT(ISERROR(HLOOKUP(Standings!CX$3,Entries!$L37:$L37,1,FALSE))),"S",""))</f>
        <v/>
      </c>
      <c r="CY65" t="str">
        <f>IF(NOT(ISERROR(HLOOKUP(Standings!CY$3,Entries!$C37:$K37,1,FALSE))),"x",IF(NOT(ISERROR(HLOOKUP(Standings!CY$3,Entries!$L37:$L37,1,FALSE))),"S",""))</f>
        <v/>
      </c>
      <c r="CZ65" t="str">
        <f>IF(NOT(ISERROR(HLOOKUP(Standings!CZ$3,Entries!$C37:$K37,1,FALSE))),"x",IF(NOT(ISERROR(HLOOKUP(Standings!CZ$3,Entries!$L37:$L37,1,FALSE))),"S",""))</f>
        <v/>
      </c>
      <c r="DA65" t="str">
        <f>IF(NOT(ISERROR(HLOOKUP(Standings!DA$3,Entries!$C37:$K37,1,FALSE))),"x",IF(NOT(ISERROR(HLOOKUP(Standings!DA$3,Entries!$L37:$L37,1,FALSE))),"S",""))</f>
        <v/>
      </c>
      <c r="DB65" t="str">
        <f>IF(NOT(ISERROR(HLOOKUP(Standings!DB$3,Entries!$C37:$K37,1,FALSE))),"x",IF(NOT(ISERROR(HLOOKUP(Standings!DB$3,Entries!$L37:$L37,1,FALSE))),"S",""))</f>
        <v/>
      </c>
    </row>
    <row r="66" spans="1:106" x14ac:dyDescent="0.25">
      <c r="A66" s="18"/>
      <c r="B66">
        <v>5</v>
      </c>
      <c r="C66" t="str">
        <f>Entries!B38</f>
        <v>WillTwohy1</v>
      </c>
      <c r="D66" s="4">
        <f>IF(C66="","",RANK(E66,$E$10:$E$111))</f>
        <v>81</v>
      </c>
      <c r="E66" s="31">
        <f t="shared" si="50"/>
        <v>1</v>
      </c>
      <c r="F66" s="40" t="str">
        <f t="shared" si="49"/>
        <v/>
      </c>
      <c r="G66" s="41" t="str">
        <f t="shared" si="2"/>
        <v/>
      </c>
      <c r="H66" s="41" t="str">
        <f t="shared" si="3"/>
        <v/>
      </c>
      <c r="I66" s="42" t="str">
        <f t="shared" si="4"/>
        <v/>
      </c>
      <c r="J66" s="40" t="str">
        <f t="shared" si="5"/>
        <v/>
      </c>
      <c r="K66" s="41" t="str">
        <f t="shared" si="6"/>
        <v/>
      </c>
      <c r="L66" s="41" t="str">
        <f t="shared" si="7"/>
        <v/>
      </c>
      <c r="M66" s="42" t="str">
        <f t="shared" si="8"/>
        <v/>
      </c>
      <c r="N66" s="43" t="str">
        <f t="shared" si="9"/>
        <v/>
      </c>
      <c r="O66" s="41" t="str">
        <f t="shared" si="10"/>
        <v/>
      </c>
      <c r="P66" s="41" t="str">
        <f t="shared" si="11"/>
        <v/>
      </c>
      <c r="Q66" s="42" t="str">
        <f t="shared" si="12"/>
        <v/>
      </c>
      <c r="R66" s="40" t="str">
        <f t="shared" si="13"/>
        <v/>
      </c>
      <c r="S66" s="41" t="str">
        <f t="shared" si="14"/>
        <v/>
      </c>
      <c r="T66" s="43" t="str">
        <f t="shared" si="15"/>
        <v/>
      </c>
      <c r="U66" s="42" t="str">
        <f t="shared" si="16"/>
        <v/>
      </c>
      <c r="V66" s="40">
        <f t="shared" si="17"/>
        <v>-2.0000100000000001</v>
      </c>
      <c r="W66" s="41" t="str">
        <f t="shared" si="18"/>
        <v/>
      </c>
      <c r="X66" s="41" t="str">
        <f t="shared" si="19"/>
        <v/>
      </c>
      <c r="Y66" s="42" t="str">
        <f t="shared" si="20"/>
        <v/>
      </c>
      <c r="Z66" s="40">
        <f t="shared" si="21"/>
        <v>1</v>
      </c>
      <c r="AA66" s="41" t="str">
        <f t="shared" si="22"/>
        <v/>
      </c>
      <c r="AB66" s="41" t="str">
        <f t="shared" si="23"/>
        <v/>
      </c>
      <c r="AC66" s="42" t="str">
        <f t="shared" si="24"/>
        <v/>
      </c>
      <c r="AD66" s="40">
        <f t="shared" si="25"/>
        <v>1</v>
      </c>
      <c r="AE66" s="41" t="str">
        <f t="shared" si="26"/>
        <v/>
      </c>
      <c r="AF66" s="41" t="str">
        <f t="shared" si="27"/>
        <v/>
      </c>
      <c r="AG66" s="42">
        <f t="shared" si="28"/>
        <v>1</v>
      </c>
      <c r="AH66" s="40" t="str">
        <f t="shared" si="29"/>
        <v/>
      </c>
      <c r="AI66" s="41" t="str">
        <f t="shared" si="30"/>
        <v/>
      </c>
      <c r="AJ66" s="41" t="str">
        <f t="shared" si="31"/>
        <v/>
      </c>
      <c r="AK66" s="42" t="str">
        <f t="shared" si="32"/>
        <v/>
      </c>
      <c r="AL66" s="40">
        <f t="shared" si="33"/>
        <v>0</v>
      </c>
      <c r="AM66" s="41" t="str">
        <f t="shared" si="34"/>
        <v/>
      </c>
      <c r="AN66" s="41" t="str">
        <f t="shared" si="35"/>
        <v/>
      </c>
      <c r="AO66" s="42" t="str">
        <f t="shared" si="36"/>
        <v/>
      </c>
      <c r="AP66" s="40" t="str">
        <f t="shared" si="37"/>
        <v/>
      </c>
      <c r="AQ66" s="41" t="str">
        <f t="shared" si="38"/>
        <v/>
      </c>
      <c r="AR66" s="41" t="str">
        <f t="shared" si="39"/>
        <v/>
      </c>
      <c r="AS66" s="42" t="str">
        <f t="shared" si="40"/>
        <v/>
      </c>
      <c r="AT66" s="40" t="str">
        <f t="shared" si="41"/>
        <v/>
      </c>
      <c r="AU66" s="41" t="str">
        <f t="shared" si="42"/>
        <v/>
      </c>
      <c r="AV66" s="41" t="str">
        <f t="shared" si="43"/>
        <v/>
      </c>
      <c r="AW66" s="42" t="str">
        <f t="shared" si="44"/>
        <v/>
      </c>
      <c r="AX66" s="40" t="str">
        <f t="shared" si="45"/>
        <v/>
      </c>
      <c r="AY66" s="41" t="str">
        <f t="shared" si="46"/>
        <v/>
      </c>
      <c r="AZ66" s="41" t="str">
        <f t="shared" si="47"/>
        <v/>
      </c>
      <c r="BA66" s="42" t="str">
        <f t="shared" si="48"/>
        <v/>
      </c>
      <c r="BB66" s="37" t="s">
        <v>106</v>
      </c>
      <c r="BC66" s="21"/>
      <c r="BD66" s="21"/>
      <c r="BG66" t="str">
        <f>IF(NOT(ISERROR(HLOOKUP(Standings!BG$3,Entries!$C38:$K38,1,FALSE))),"x",IF(NOT(ISERROR(HLOOKUP(Standings!BG$3,Entries!$L38:$L38,1,FALSE))),"S",""))</f>
        <v/>
      </c>
      <c r="BH66" t="str">
        <f>IF(NOT(ISERROR(HLOOKUP(Standings!BH$3,Entries!$C38:$K38,1,FALSE))),"x",IF(NOT(ISERROR(HLOOKUP(Standings!BH$3,Entries!$L38:$L38,1,FALSE))),"S",""))</f>
        <v/>
      </c>
      <c r="BI66" t="str">
        <f>IF(NOT(ISERROR(HLOOKUP(Standings!BI$3,Entries!$C38:$K38,1,FALSE))),"x",IF(NOT(ISERROR(HLOOKUP(Standings!BI$3,Entries!$L38:$L38,1,FALSE))),"S",""))</f>
        <v/>
      </c>
      <c r="BJ66" t="str">
        <f>IF(NOT(ISERROR(HLOOKUP(Standings!BJ$3,Entries!$C38:$K38,1,FALSE))),"x",IF(NOT(ISERROR(HLOOKUP(Standings!BJ$3,Entries!$L38:$L38,1,FALSE))),"S",""))</f>
        <v/>
      </c>
      <c r="BK66" t="str">
        <f>IF(NOT(ISERROR(HLOOKUP(Standings!BK$3,Entries!$C38:$K38,1,FALSE))),"x",IF(NOT(ISERROR(HLOOKUP(Standings!BK$3,Entries!$L38:$L38,1,FALSE))),"S",""))</f>
        <v/>
      </c>
      <c r="BL66" t="str">
        <f>IF(NOT(ISERROR(HLOOKUP(Standings!BL$3,Entries!$C38:$K38,1,FALSE))),"x",IF(NOT(ISERROR(HLOOKUP(Standings!BL$3,Entries!$L38:$L38,1,FALSE))),"S",""))</f>
        <v/>
      </c>
      <c r="BM66" t="str">
        <f>IF(NOT(ISERROR(HLOOKUP(Standings!BM$3,Entries!$C38:$K38,1,FALSE))),"x",IF(NOT(ISERROR(HLOOKUP(Standings!BM$3,Entries!$L38:$L38,1,FALSE))),"S",""))</f>
        <v/>
      </c>
      <c r="BN66" t="str">
        <f>IF(NOT(ISERROR(HLOOKUP(Standings!BN$3,Entries!$C38:$K38,1,FALSE))),"x",IF(NOT(ISERROR(HLOOKUP(Standings!BN$3,Entries!$L38:$L38,1,FALSE))),"S",""))</f>
        <v/>
      </c>
      <c r="BO66" t="str">
        <f>IF(NOT(ISERROR(HLOOKUP(Standings!BO$3,Entries!$C38:$K38,1,FALSE))),"x",IF(NOT(ISERROR(HLOOKUP(Standings!BO$3,Entries!$L38:$L38,1,FALSE))),"S",""))</f>
        <v/>
      </c>
      <c r="BP66" t="str">
        <f>IF(NOT(ISERROR(HLOOKUP(Standings!BP$3,Entries!$C38:$K38,1,FALSE))),"x",IF(NOT(ISERROR(HLOOKUP(Standings!BP$3,Entries!$L38:$L38,1,FALSE))),"S",""))</f>
        <v/>
      </c>
      <c r="BQ66" t="str">
        <f>IF(NOT(ISERROR(HLOOKUP(Standings!BQ$3,Entries!$C38:$K38,1,FALSE))),"x",IF(NOT(ISERROR(HLOOKUP(Standings!BQ$3,Entries!$L38:$L38,1,FALSE))),"S",""))</f>
        <v/>
      </c>
      <c r="BR66" t="str">
        <f>IF(NOT(ISERROR(HLOOKUP(Standings!BR$3,Entries!$C38:$K38,1,FALSE))),"x",IF(NOT(ISERROR(HLOOKUP(Standings!BR$3,Entries!$L38:$L38,1,FALSE))),"S",""))</f>
        <v/>
      </c>
      <c r="BS66" t="str">
        <f>IF(NOT(ISERROR(HLOOKUP(Standings!BS$3,Entries!$C38:$K38,1,FALSE))),"x",IF(NOT(ISERROR(HLOOKUP(Standings!BS$3,Entries!$L38:$L38,1,FALSE))),"S",""))</f>
        <v/>
      </c>
      <c r="BT66" t="str">
        <f>IF(NOT(ISERROR(HLOOKUP(Standings!BT$3,Entries!$C38:$K38,1,FALSE))),"x",IF(NOT(ISERROR(HLOOKUP(Standings!BT$3,Entries!$L38:$L38,1,FALSE))),"S",""))</f>
        <v/>
      </c>
      <c r="BU66" t="str">
        <f>IF(NOT(ISERROR(HLOOKUP(Standings!BU$3,Entries!$C38:$K38,1,FALSE))),"x",IF(NOT(ISERROR(HLOOKUP(Standings!BU$3,Entries!$L38:$L38,1,FALSE))),"S",""))</f>
        <v/>
      </c>
      <c r="BV66" t="str">
        <f>IF(NOT(ISERROR(HLOOKUP(Standings!BV$3,Entries!$C38:$K38,1,FALSE))),"x",IF(NOT(ISERROR(HLOOKUP(Standings!BV$3,Entries!$L38:$L38,1,FALSE))),"S",""))</f>
        <v/>
      </c>
      <c r="BW66" t="str">
        <f>IF(NOT(ISERROR(HLOOKUP(Standings!BW$3,Entries!$C38:$K38,1,FALSE))),"x",IF(NOT(ISERROR(HLOOKUP(Standings!BW$3,Entries!$L38:$L38,1,FALSE))),"S",""))</f>
        <v>S</v>
      </c>
      <c r="BX66" t="str">
        <f>IF(NOT(ISERROR(HLOOKUP(Standings!BX$3,Entries!$C38:$K38,1,FALSE))),"x",IF(NOT(ISERROR(HLOOKUP(Standings!BX$3,Entries!$L38:$L38,1,FALSE))),"S",""))</f>
        <v/>
      </c>
      <c r="BY66" t="str">
        <f>IF(NOT(ISERROR(HLOOKUP(Standings!BY$3,Entries!$C38:$K38,1,FALSE))),"x",IF(NOT(ISERROR(HLOOKUP(Standings!BY$3,Entries!$L38:$L38,1,FALSE))),"S",""))</f>
        <v/>
      </c>
      <c r="BZ66" t="str">
        <f>IF(NOT(ISERROR(HLOOKUP(Standings!BZ$3,Entries!$C38:$K38,1,FALSE))),"x",IF(NOT(ISERROR(HLOOKUP(Standings!BZ$3,Entries!$L38:$L38,1,FALSE))),"S",""))</f>
        <v/>
      </c>
      <c r="CA66" t="str">
        <f>IF(NOT(ISERROR(HLOOKUP(Standings!CA$3,Entries!$C38:$K38,1,FALSE))),"x",IF(NOT(ISERROR(HLOOKUP(Standings!CA$3,Entries!$L38:$L38,1,FALSE))),"S",""))</f>
        <v>x</v>
      </c>
      <c r="CB66" t="str">
        <f>IF(NOT(ISERROR(HLOOKUP(Standings!CB$3,Entries!$C38:$K38,1,FALSE))),"x",IF(NOT(ISERROR(HLOOKUP(Standings!CB$3,Entries!$L38:$L38,1,FALSE))),"S",""))</f>
        <v/>
      </c>
      <c r="CC66" t="str">
        <f>IF(NOT(ISERROR(HLOOKUP(Standings!CC$3,Entries!$C38:$K38,1,FALSE))),"x",IF(NOT(ISERROR(HLOOKUP(Standings!CC$3,Entries!$L38:$L38,1,FALSE))),"S",""))</f>
        <v/>
      </c>
      <c r="CD66" t="str">
        <f>IF(NOT(ISERROR(HLOOKUP(Standings!CD$3,Entries!$C38:$K38,1,FALSE))),"x",IF(NOT(ISERROR(HLOOKUP(Standings!CD$3,Entries!$L38:$L38,1,FALSE))),"S",""))</f>
        <v/>
      </c>
      <c r="CE66" t="str">
        <f>IF(NOT(ISERROR(HLOOKUP(Standings!CE$3,Entries!$C38:$K38,1,FALSE))),"x",IF(NOT(ISERROR(HLOOKUP(Standings!CE$3,Entries!$L38:$L38,1,FALSE))),"S",""))</f>
        <v>x</v>
      </c>
      <c r="CF66" t="str">
        <f>IF(NOT(ISERROR(HLOOKUP(Standings!CF$3,Entries!$C38:$K38,1,FALSE))),"x",IF(NOT(ISERROR(HLOOKUP(Standings!CF$3,Entries!$L38:$L38,1,FALSE))),"S",""))</f>
        <v/>
      </c>
      <c r="CG66" t="str">
        <f>IF(NOT(ISERROR(HLOOKUP(Standings!CG$3,Entries!$C38:$K38,1,FALSE))),"x",IF(NOT(ISERROR(HLOOKUP(Standings!CG$3,Entries!$L38:$L38,1,FALSE))),"S",""))</f>
        <v/>
      </c>
      <c r="CH66" t="str">
        <f>IF(NOT(ISERROR(HLOOKUP(Standings!CH$3,Entries!$C38:$K38,1,FALSE))),"x",IF(NOT(ISERROR(HLOOKUP(Standings!CH$3,Entries!$L38:$L38,1,FALSE))),"S",""))</f>
        <v>x</v>
      </c>
      <c r="CI66" t="str">
        <f>IF(NOT(ISERROR(HLOOKUP(Standings!CI$3,Entries!$C38:$K38,1,FALSE))),"x",IF(NOT(ISERROR(HLOOKUP(Standings!CI$3,Entries!$L38:$L38,1,FALSE))),"S",""))</f>
        <v/>
      </c>
      <c r="CJ66" t="str">
        <f>IF(NOT(ISERROR(HLOOKUP(Standings!CJ$3,Entries!$C38:$K38,1,FALSE))),"x",IF(NOT(ISERROR(HLOOKUP(Standings!CJ$3,Entries!$L38:$L38,1,FALSE))),"S",""))</f>
        <v/>
      </c>
      <c r="CK66" t="str">
        <f>IF(NOT(ISERROR(HLOOKUP(Standings!CK$3,Entries!$C38:$K38,1,FALSE))),"x",IF(NOT(ISERROR(HLOOKUP(Standings!CK$3,Entries!$L38:$L38,1,FALSE))),"S",""))</f>
        <v/>
      </c>
      <c r="CL66" t="str">
        <f>IF(NOT(ISERROR(HLOOKUP(Standings!CL$3,Entries!$C38:$K38,1,FALSE))),"x",IF(NOT(ISERROR(HLOOKUP(Standings!CL$3,Entries!$L38:$L38,1,FALSE))),"S",""))</f>
        <v/>
      </c>
      <c r="CM66" t="str">
        <f>IF(NOT(ISERROR(HLOOKUP(Standings!CM$3,Entries!$C38:$K38,1,FALSE))),"x",IF(NOT(ISERROR(HLOOKUP(Standings!CM$3,Entries!$L38:$L38,1,FALSE))),"S",""))</f>
        <v>x</v>
      </c>
      <c r="CN66" t="str">
        <f>IF(NOT(ISERROR(HLOOKUP(Standings!CN$3,Entries!$C38:$K38,1,FALSE))),"x",IF(NOT(ISERROR(HLOOKUP(Standings!CN$3,Entries!$L38:$L38,1,FALSE))),"S",""))</f>
        <v/>
      </c>
      <c r="CO66" t="str">
        <f>IF(NOT(ISERROR(HLOOKUP(Standings!CO$3,Entries!$C38:$K38,1,FALSE))),"x",IF(NOT(ISERROR(HLOOKUP(Standings!CO$3,Entries!$L38:$L38,1,FALSE))),"S",""))</f>
        <v/>
      </c>
      <c r="CP66" t="str">
        <f>IF(NOT(ISERROR(HLOOKUP(Standings!CP$3,Entries!$C38:$K38,1,FALSE))),"x",IF(NOT(ISERROR(HLOOKUP(Standings!CP$3,Entries!$L38:$L38,1,FALSE))),"S",""))</f>
        <v/>
      </c>
      <c r="CQ66" t="str">
        <f>IF(NOT(ISERROR(HLOOKUP(Standings!CQ$3,Entries!$C38:$K38,1,FALSE))),"x",IF(NOT(ISERROR(HLOOKUP(Standings!CQ$3,Entries!$L38:$L38,1,FALSE))),"S",""))</f>
        <v/>
      </c>
      <c r="CR66" t="str">
        <f>IF(NOT(ISERROR(HLOOKUP(Standings!CR$3,Entries!$C38:$K38,1,FALSE))),"x",IF(NOT(ISERROR(HLOOKUP(Standings!CR$3,Entries!$L38:$L38,1,FALSE))),"S",""))</f>
        <v/>
      </c>
      <c r="CS66" t="str">
        <f>IF(NOT(ISERROR(HLOOKUP(Standings!CS$3,Entries!$C38:$K38,1,FALSE))),"x",IF(NOT(ISERROR(HLOOKUP(Standings!CS$3,Entries!$L38:$L38,1,FALSE))),"S",""))</f>
        <v/>
      </c>
      <c r="CT66" t="str">
        <f>IF(NOT(ISERROR(HLOOKUP(Standings!CT$3,Entries!$C38:$K38,1,FALSE))),"x",IF(NOT(ISERROR(HLOOKUP(Standings!CT$3,Entries!$L38:$L38,1,FALSE))),"S",""))</f>
        <v/>
      </c>
      <c r="CU66" t="str">
        <f>IF(NOT(ISERROR(HLOOKUP(Standings!CU$3,Entries!$C38:$K38,1,FALSE))),"x",IF(NOT(ISERROR(HLOOKUP(Standings!CU$3,Entries!$L38:$L38,1,FALSE))),"S",""))</f>
        <v/>
      </c>
      <c r="CV66" t="str">
        <f>IF(NOT(ISERROR(HLOOKUP(Standings!CV$3,Entries!$C38:$K38,1,FALSE))),"x",IF(NOT(ISERROR(HLOOKUP(Standings!CV$3,Entries!$L38:$L38,1,FALSE))),"S",""))</f>
        <v/>
      </c>
      <c r="CW66" t="str">
        <f>IF(NOT(ISERROR(HLOOKUP(Standings!CW$3,Entries!$C38:$K38,1,FALSE))),"x",IF(NOT(ISERROR(HLOOKUP(Standings!CW$3,Entries!$L38:$L38,1,FALSE))),"S",""))</f>
        <v/>
      </c>
      <c r="CX66" t="str">
        <f>IF(NOT(ISERROR(HLOOKUP(Standings!CX$3,Entries!$C38:$K38,1,FALSE))),"x",IF(NOT(ISERROR(HLOOKUP(Standings!CX$3,Entries!$L38:$L38,1,FALSE))),"S",""))</f>
        <v/>
      </c>
      <c r="CY66" t="str">
        <f>IF(NOT(ISERROR(HLOOKUP(Standings!CY$3,Entries!$C38:$K38,1,FALSE))),"x",IF(NOT(ISERROR(HLOOKUP(Standings!CY$3,Entries!$L38:$L38,1,FALSE))),"S",""))</f>
        <v/>
      </c>
      <c r="CZ66" t="str">
        <f>IF(NOT(ISERROR(HLOOKUP(Standings!CZ$3,Entries!$C38:$K38,1,FALSE))),"x",IF(NOT(ISERROR(HLOOKUP(Standings!CZ$3,Entries!$L38:$L38,1,FALSE))),"S",""))</f>
        <v/>
      </c>
      <c r="DA66" t="str">
        <f>IF(NOT(ISERROR(HLOOKUP(Standings!DA$3,Entries!$C38:$K38,1,FALSE))),"x",IF(NOT(ISERROR(HLOOKUP(Standings!DA$3,Entries!$L38:$L38,1,FALSE))),"S",""))</f>
        <v/>
      </c>
      <c r="DB66" t="str">
        <f>IF(NOT(ISERROR(HLOOKUP(Standings!DB$3,Entries!$C38:$K38,1,FALSE))),"x",IF(NOT(ISERROR(HLOOKUP(Standings!DB$3,Entries!$L38:$L38,1,FALSE))),"S",""))</f>
        <v/>
      </c>
    </row>
    <row r="67" spans="1:106" x14ac:dyDescent="0.25">
      <c r="B67">
        <v>71</v>
      </c>
      <c r="C67" t="str">
        <f>Entries!B39</f>
        <v>WillTwohy2</v>
      </c>
      <c r="D67" s="4">
        <f>IF(C67="","",RANK(E67,$E$10:$E$111))</f>
        <v>32</v>
      </c>
      <c r="E67" s="31">
        <f t="shared" si="50"/>
        <v>4</v>
      </c>
      <c r="F67" s="40">
        <f t="shared" si="49"/>
        <v>2</v>
      </c>
      <c r="G67" s="41" t="str">
        <f t="shared" si="2"/>
        <v/>
      </c>
      <c r="H67" s="41" t="str">
        <f t="shared" si="3"/>
        <v/>
      </c>
      <c r="I67" s="42" t="str">
        <f t="shared" si="4"/>
        <v/>
      </c>
      <c r="J67" s="40">
        <f t="shared" si="5"/>
        <v>-1.0000100000000001</v>
      </c>
      <c r="K67" s="41" t="str">
        <f t="shared" si="6"/>
        <v/>
      </c>
      <c r="L67" s="41" t="str">
        <f t="shared" si="7"/>
        <v/>
      </c>
      <c r="M67" s="42" t="str">
        <f t="shared" si="8"/>
        <v/>
      </c>
      <c r="N67" s="43" t="str">
        <f t="shared" si="9"/>
        <v/>
      </c>
      <c r="O67" s="41" t="str">
        <f t="shared" si="10"/>
        <v/>
      </c>
      <c r="P67" s="41" t="str">
        <f t="shared" si="11"/>
        <v/>
      </c>
      <c r="Q67" s="42" t="str">
        <f t="shared" si="12"/>
        <v/>
      </c>
      <c r="R67" s="40" t="str">
        <f t="shared" si="13"/>
        <v/>
      </c>
      <c r="S67" s="41" t="str">
        <f t="shared" si="14"/>
        <v/>
      </c>
      <c r="T67" s="43" t="str">
        <f t="shared" si="15"/>
        <v/>
      </c>
      <c r="U67" s="42" t="str">
        <f t="shared" si="16"/>
        <v/>
      </c>
      <c r="V67" s="40" t="str">
        <f t="shared" si="17"/>
        <v/>
      </c>
      <c r="W67" s="41" t="str">
        <f t="shared" si="18"/>
        <v/>
      </c>
      <c r="X67" s="41" t="str">
        <f t="shared" si="19"/>
        <v/>
      </c>
      <c r="Y67" s="42" t="str">
        <f t="shared" si="20"/>
        <v/>
      </c>
      <c r="Z67" s="40" t="str">
        <f t="shared" si="21"/>
        <v/>
      </c>
      <c r="AA67" s="41" t="str">
        <f t="shared" si="22"/>
        <v/>
      </c>
      <c r="AB67" s="41" t="str">
        <f t="shared" si="23"/>
        <v/>
      </c>
      <c r="AC67" s="42" t="str">
        <f t="shared" si="24"/>
        <v/>
      </c>
      <c r="AD67" s="40" t="str">
        <f t="shared" si="25"/>
        <v/>
      </c>
      <c r="AE67" s="41" t="str">
        <f t="shared" si="26"/>
        <v/>
      </c>
      <c r="AF67" s="41" t="str">
        <f t="shared" si="27"/>
        <v/>
      </c>
      <c r="AG67" s="42" t="str">
        <f t="shared" si="28"/>
        <v/>
      </c>
      <c r="AH67" s="40">
        <f t="shared" si="29"/>
        <v>1</v>
      </c>
      <c r="AI67" s="41">
        <f t="shared" si="30"/>
        <v>1</v>
      </c>
      <c r="AJ67" s="41" t="str">
        <f t="shared" si="31"/>
        <v/>
      </c>
      <c r="AK67" s="42">
        <f t="shared" si="32"/>
        <v>1</v>
      </c>
      <c r="AL67" s="40" t="str">
        <f t="shared" si="33"/>
        <v/>
      </c>
      <c r="AM67" s="41" t="str">
        <f t="shared" si="34"/>
        <v/>
      </c>
      <c r="AN67" s="41" t="str">
        <f t="shared" si="35"/>
        <v/>
      </c>
      <c r="AO67" s="42" t="str">
        <f t="shared" si="36"/>
        <v/>
      </c>
      <c r="AP67" s="40" t="str">
        <f t="shared" si="37"/>
        <v/>
      </c>
      <c r="AQ67" s="41" t="str">
        <f t="shared" si="38"/>
        <v/>
      </c>
      <c r="AR67" s="41" t="str">
        <f t="shared" si="39"/>
        <v/>
      </c>
      <c r="AS67" s="42" t="str">
        <f t="shared" si="40"/>
        <v/>
      </c>
      <c r="AT67" s="40" t="str">
        <f t="shared" si="41"/>
        <v/>
      </c>
      <c r="AU67" s="41" t="str">
        <f t="shared" si="42"/>
        <v/>
      </c>
      <c r="AV67" s="41" t="str">
        <f t="shared" si="43"/>
        <v/>
      </c>
      <c r="AW67" s="42" t="str">
        <f t="shared" si="44"/>
        <v/>
      </c>
      <c r="AX67" s="40" t="str">
        <f t="shared" si="45"/>
        <v/>
      </c>
      <c r="AY67" s="41" t="str">
        <f t="shared" si="46"/>
        <v/>
      </c>
      <c r="AZ67" s="41" t="str">
        <f t="shared" si="47"/>
        <v/>
      </c>
      <c r="BA67" s="42" t="str">
        <f t="shared" si="48"/>
        <v/>
      </c>
      <c r="BB67" s="37" t="s">
        <v>106</v>
      </c>
      <c r="BC67" s="21"/>
      <c r="BD67" s="21"/>
      <c r="BG67" t="str">
        <f>IF(NOT(ISERROR(HLOOKUP(Standings!BG$3,Entries!$C39:$K39,1,FALSE))),"x",IF(NOT(ISERROR(HLOOKUP(Standings!BG$3,Entries!$L39:$L39,1,FALSE))),"S",""))</f>
        <v>x</v>
      </c>
      <c r="BH67" t="str">
        <f>IF(NOT(ISERROR(HLOOKUP(Standings!BH$3,Entries!$C39:$K39,1,FALSE))),"x",IF(NOT(ISERROR(HLOOKUP(Standings!BH$3,Entries!$L39:$L39,1,FALSE))),"S",""))</f>
        <v/>
      </c>
      <c r="BI67" t="str">
        <f>IF(NOT(ISERROR(HLOOKUP(Standings!BI$3,Entries!$C39:$K39,1,FALSE))),"x",IF(NOT(ISERROR(HLOOKUP(Standings!BI$3,Entries!$L39:$L39,1,FALSE))),"S",""))</f>
        <v/>
      </c>
      <c r="BJ67" t="str">
        <f>IF(NOT(ISERROR(HLOOKUP(Standings!BJ$3,Entries!$C39:$K39,1,FALSE))),"x",IF(NOT(ISERROR(HLOOKUP(Standings!BJ$3,Entries!$L39:$L39,1,FALSE))),"S",""))</f>
        <v/>
      </c>
      <c r="BK67" t="str">
        <f>IF(NOT(ISERROR(HLOOKUP(Standings!BK$3,Entries!$C39:$K39,1,FALSE))),"x",IF(NOT(ISERROR(HLOOKUP(Standings!BK$3,Entries!$L39:$L39,1,FALSE))),"S",""))</f>
        <v>S</v>
      </c>
      <c r="BL67" t="str">
        <f>IF(NOT(ISERROR(HLOOKUP(Standings!BL$3,Entries!$C39:$K39,1,FALSE))),"x",IF(NOT(ISERROR(HLOOKUP(Standings!BL$3,Entries!$L39:$L39,1,FALSE))),"S",""))</f>
        <v/>
      </c>
      <c r="BM67" t="str">
        <f>IF(NOT(ISERROR(HLOOKUP(Standings!BM$3,Entries!$C39:$K39,1,FALSE))),"x",IF(NOT(ISERROR(HLOOKUP(Standings!BM$3,Entries!$L39:$L39,1,FALSE))),"S",""))</f>
        <v/>
      </c>
      <c r="BN67" t="str">
        <f>IF(NOT(ISERROR(HLOOKUP(Standings!BN$3,Entries!$C39:$K39,1,FALSE))),"x",IF(NOT(ISERROR(HLOOKUP(Standings!BN$3,Entries!$L39:$L39,1,FALSE))),"S",""))</f>
        <v/>
      </c>
      <c r="BO67" t="str">
        <f>IF(NOT(ISERROR(HLOOKUP(Standings!BO$3,Entries!$C39:$K39,1,FALSE))),"x",IF(NOT(ISERROR(HLOOKUP(Standings!BO$3,Entries!$L39:$L39,1,FALSE))),"S",""))</f>
        <v/>
      </c>
      <c r="BP67" t="str">
        <f>IF(NOT(ISERROR(HLOOKUP(Standings!BP$3,Entries!$C39:$K39,1,FALSE))),"x",IF(NOT(ISERROR(HLOOKUP(Standings!BP$3,Entries!$L39:$L39,1,FALSE))),"S",""))</f>
        <v/>
      </c>
      <c r="BQ67" t="str">
        <f>IF(NOT(ISERROR(HLOOKUP(Standings!BQ$3,Entries!$C39:$K39,1,FALSE))),"x",IF(NOT(ISERROR(HLOOKUP(Standings!BQ$3,Entries!$L39:$L39,1,FALSE))),"S",""))</f>
        <v/>
      </c>
      <c r="BR67" t="str">
        <f>IF(NOT(ISERROR(HLOOKUP(Standings!BR$3,Entries!$C39:$K39,1,FALSE))),"x",IF(NOT(ISERROR(HLOOKUP(Standings!BR$3,Entries!$L39:$L39,1,FALSE))),"S",""))</f>
        <v/>
      </c>
      <c r="BS67" t="str">
        <f>IF(NOT(ISERROR(HLOOKUP(Standings!BS$3,Entries!$C39:$K39,1,FALSE))),"x",IF(NOT(ISERROR(HLOOKUP(Standings!BS$3,Entries!$L39:$L39,1,FALSE))),"S",""))</f>
        <v/>
      </c>
      <c r="BT67" t="str">
        <f>IF(NOT(ISERROR(HLOOKUP(Standings!BT$3,Entries!$C39:$K39,1,FALSE))),"x",IF(NOT(ISERROR(HLOOKUP(Standings!BT$3,Entries!$L39:$L39,1,FALSE))),"S",""))</f>
        <v/>
      </c>
      <c r="BU67" t="str">
        <f>IF(NOT(ISERROR(HLOOKUP(Standings!BU$3,Entries!$C39:$K39,1,FALSE))),"x",IF(NOT(ISERROR(HLOOKUP(Standings!BU$3,Entries!$L39:$L39,1,FALSE))),"S",""))</f>
        <v/>
      </c>
      <c r="BV67" t="str">
        <f>IF(NOT(ISERROR(HLOOKUP(Standings!BV$3,Entries!$C39:$K39,1,FALSE))),"x",IF(NOT(ISERROR(HLOOKUP(Standings!BV$3,Entries!$L39:$L39,1,FALSE))),"S",""))</f>
        <v/>
      </c>
      <c r="BW67" t="str">
        <f>IF(NOT(ISERROR(HLOOKUP(Standings!BW$3,Entries!$C39:$K39,1,FALSE))),"x",IF(NOT(ISERROR(HLOOKUP(Standings!BW$3,Entries!$L39:$L39,1,FALSE))),"S",""))</f>
        <v/>
      </c>
      <c r="BX67" t="str">
        <f>IF(NOT(ISERROR(HLOOKUP(Standings!BX$3,Entries!$C39:$K39,1,FALSE))),"x",IF(NOT(ISERROR(HLOOKUP(Standings!BX$3,Entries!$L39:$L39,1,FALSE))),"S",""))</f>
        <v/>
      </c>
      <c r="BY67" t="str">
        <f>IF(NOT(ISERROR(HLOOKUP(Standings!BY$3,Entries!$C39:$K39,1,FALSE))),"x",IF(NOT(ISERROR(HLOOKUP(Standings!BY$3,Entries!$L39:$L39,1,FALSE))),"S",""))</f>
        <v/>
      </c>
      <c r="BZ67" t="str">
        <f>IF(NOT(ISERROR(HLOOKUP(Standings!BZ$3,Entries!$C39:$K39,1,FALSE))),"x",IF(NOT(ISERROR(HLOOKUP(Standings!BZ$3,Entries!$L39:$L39,1,FALSE))),"S",""))</f>
        <v/>
      </c>
      <c r="CA67" t="str">
        <f>IF(NOT(ISERROR(HLOOKUP(Standings!CA$3,Entries!$C39:$K39,1,FALSE))),"x",IF(NOT(ISERROR(HLOOKUP(Standings!CA$3,Entries!$L39:$L39,1,FALSE))),"S",""))</f>
        <v/>
      </c>
      <c r="CB67" t="str">
        <f>IF(NOT(ISERROR(HLOOKUP(Standings!CB$3,Entries!$C39:$K39,1,FALSE))),"x",IF(NOT(ISERROR(HLOOKUP(Standings!CB$3,Entries!$L39:$L39,1,FALSE))),"S",""))</f>
        <v/>
      </c>
      <c r="CC67" t="str">
        <f>IF(NOT(ISERROR(HLOOKUP(Standings!CC$3,Entries!$C39:$K39,1,FALSE))),"x",IF(NOT(ISERROR(HLOOKUP(Standings!CC$3,Entries!$L39:$L39,1,FALSE))),"S",""))</f>
        <v/>
      </c>
      <c r="CD67" t="str">
        <f>IF(NOT(ISERROR(HLOOKUP(Standings!CD$3,Entries!$C39:$K39,1,FALSE))),"x",IF(NOT(ISERROR(HLOOKUP(Standings!CD$3,Entries!$L39:$L39,1,FALSE))),"S",""))</f>
        <v/>
      </c>
      <c r="CE67" t="str">
        <f>IF(NOT(ISERROR(HLOOKUP(Standings!CE$3,Entries!$C39:$K39,1,FALSE))),"x",IF(NOT(ISERROR(HLOOKUP(Standings!CE$3,Entries!$L39:$L39,1,FALSE))),"S",""))</f>
        <v/>
      </c>
      <c r="CF67" t="str">
        <f>IF(NOT(ISERROR(HLOOKUP(Standings!CF$3,Entries!$C39:$K39,1,FALSE))),"x",IF(NOT(ISERROR(HLOOKUP(Standings!CF$3,Entries!$L39:$L39,1,FALSE))),"S",""))</f>
        <v/>
      </c>
      <c r="CG67" t="str">
        <f>IF(NOT(ISERROR(HLOOKUP(Standings!CG$3,Entries!$C39:$K39,1,FALSE))),"x",IF(NOT(ISERROR(HLOOKUP(Standings!CG$3,Entries!$L39:$L39,1,FALSE))),"S",""))</f>
        <v/>
      </c>
      <c r="CH67" t="str">
        <f>IF(NOT(ISERROR(HLOOKUP(Standings!CH$3,Entries!$C39:$K39,1,FALSE))),"x",IF(NOT(ISERROR(HLOOKUP(Standings!CH$3,Entries!$L39:$L39,1,FALSE))),"S",""))</f>
        <v/>
      </c>
      <c r="CI67" t="str">
        <f>IF(NOT(ISERROR(HLOOKUP(Standings!CI$3,Entries!$C39:$K39,1,FALSE))),"x",IF(NOT(ISERROR(HLOOKUP(Standings!CI$3,Entries!$L39:$L39,1,FALSE))),"S",""))</f>
        <v>x</v>
      </c>
      <c r="CJ67" t="str">
        <f>IF(NOT(ISERROR(HLOOKUP(Standings!CJ$3,Entries!$C39:$K39,1,FALSE))),"x",IF(NOT(ISERROR(HLOOKUP(Standings!CJ$3,Entries!$L39:$L39,1,FALSE))),"S",""))</f>
        <v>x</v>
      </c>
      <c r="CK67" t="str">
        <f>IF(NOT(ISERROR(HLOOKUP(Standings!CK$3,Entries!$C39:$K39,1,FALSE))),"x",IF(NOT(ISERROR(HLOOKUP(Standings!CK$3,Entries!$L39:$L39,1,FALSE))),"S",""))</f>
        <v/>
      </c>
      <c r="CL67" t="str">
        <f>IF(NOT(ISERROR(HLOOKUP(Standings!CL$3,Entries!$C39:$K39,1,FALSE))),"x",IF(NOT(ISERROR(HLOOKUP(Standings!CL$3,Entries!$L39:$L39,1,FALSE))),"S",""))</f>
        <v>x</v>
      </c>
      <c r="CM67" t="str">
        <f>IF(NOT(ISERROR(HLOOKUP(Standings!CM$3,Entries!$C39:$K39,1,FALSE))),"x",IF(NOT(ISERROR(HLOOKUP(Standings!CM$3,Entries!$L39:$L39,1,FALSE))),"S",""))</f>
        <v/>
      </c>
      <c r="CN67" t="str">
        <f>IF(NOT(ISERROR(HLOOKUP(Standings!CN$3,Entries!$C39:$K39,1,FALSE))),"x",IF(NOT(ISERROR(HLOOKUP(Standings!CN$3,Entries!$L39:$L39,1,FALSE))),"S",""))</f>
        <v/>
      </c>
      <c r="CO67" t="str">
        <f>IF(NOT(ISERROR(HLOOKUP(Standings!CO$3,Entries!$C39:$K39,1,FALSE))),"x",IF(NOT(ISERROR(HLOOKUP(Standings!CO$3,Entries!$L39:$L39,1,FALSE))),"S",""))</f>
        <v/>
      </c>
      <c r="CP67" t="str">
        <f>IF(NOT(ISERROR(HLOOKUP(Standings!CP$3,Entries!$C39:$K39,1,FALSE))),"x",IF(NOT(ISERROR(HLOOKUP(Standings!CP$3,Entries!$L39:$L39,1,FALSE))),"S",""))</f>
        <v/>
      </c>
      <c r="CQ67" t="str">
        <f>IF(NOT(ISERROR(HLOOKUP(Standings!CQ$3,Entries!$C39:$K39,1,FALSE))),"x",IF(NOT(ISERROR(HLOOKUP(Standings!CQ$3,Entries!$L39:$L39,1,FALSE))),"S",""))</f>
        <v/>
      </c>
      <c r="CR67" t="str">
        <f>IF(NOT(ISERROR(HLOOKUP(Standings!CR$3,Entries!$C39:$K39,1,FALSE))),"x",IF(NOT(ISERROR(HLOOKUP(Standings!CR$3,Entries!$L39:$L39,1,FALSE))),"S",""))</f>
        <v/>
      </c>
      <c r="CS67" t="str">
        <f>IF(NOT(ISERROR(HLOOKUP(Standings!CS$3,Entries!$C39:$K39,1,FALSE))),"x",IF(NOT(ISERROR(HLOOKUP(Standings!CS$3,Entries!$L39:$L39,1,FALSE))),"S",""))</f>
        <v/>
      </c>
      <c r="CT67" t="str">
        <f>IF(NOT(ISERROR(HLOOKUP(Standings!CT$3,Entries!$C39:$K39,1,FALSE))),"x",IF(NOT(ISERROR(HLOOKUP(Standings!CT$3,Entries!$L39:$L39,1,FALSE))),"S",""))</f>
        <v/>
      </c>
      <c r="CU67" t="str">
        <f>IF(NOT(ISERROR(HLOOKUP(Standings!CU$3,Entries!$C39:$K39,1,FALSE))),"x",IF(NOT(ISERROR(HLOOKUP(Standings!CU$3,Entries!$L39:$L39,1,FALSE))),"S",""))</f>
        <v/>
      </c>
      <c r="CV67" t="str">
        <f>IF(NOT(ISERROR(HLOOKUP(Standings!CV$3,Entries!$C39:$K39,1,FALSE))),"x",IF(NOT(ISERROR(HLOOKUP(Standings!CV$3,Entries!$L39:$L39,1,FALSE))),"S",""))</f>
        <v/>
      </c>
      <c r="CW67" t="str">
        <f>IF(NOT(ISERROR(HLOOKUP(Standings!CW$3,Entries!$C39:$K39,1,FALSE))),"x",IF(NOT(ISERROR(HLOOKUP(Standings!CW$3,Entries!$L39:$L39,1,FALSE))),"S",""))</f>
        <v/>
      </c>
      <c r="CX67" t="str">
        <f>IF(NOT(ISERROR(HLOOKUP(Standings!CX$3,Entries!$C39:$K39,1,FALSE))),"x",IF(NOT(ISERROR(HLOOKUP(Standings!CX$3,Entries!$L39:$L39,1,FALSE))),"S",""))</f>
        <v/>
      </c>
      <c r="CY67" t="str">
        <f>IF(NOT(ISERROR(HLOOKUP(Standings!CY$3,Entries!$C39:$K39,1,FALSE))),"x",IF(NOT(ISERROR(HLOOKUP(Standings!CY$3,Entries!$L39:$L39,1,FALSE))),"S",""))</f>
        <v/>
      </c>
      <c r="CZ67" t="str">
        <f>IF(NOT(ISERROR(HLOOKUP(Standings!CZ$3,Entries!$C39:$K39,1,FALSE))),"x",IF(NOT(ISERROR(HLOOKUP(Standings!CZ$3,Entries!$L39:$L39,1,FALSE))),"S",""))</f>
        <v/>
      </c>
      <c r="DA67" t="str">
        <f>IF(NOT(ISERROR(HLOOKUP(Standings!DA$3,Entries!$C39:$K39,1,FALSE))),"x",IF(NOT(ISERROR(HLOOKUP(Standings!DA$3,Entries!$L39:$L39,1,FALSE))),"S",""))</f>
        <v/>
      </c>
      <c r="DB67" t="str">
        <f>IF(NOT(ISERROR(HLOOKUP(Standings!DB$3,Entries!$C39:$K39,1,FALSE))),"x",IF(NOT(ISERROR(HLOOKUP(Standings!DB$3,Entries!$L39:$L39,1,FALSE))),"S",""))</f>
        <v/>
      </c>
    </row>
    <row r="68" spans="1:106" x14ac:dyDescent="0.25">
      <c r="B68">
        <v>71</v>
      </c>
      <c r="C68" t="str">
        <f>Entries!B40</f>
        <v>Niedermaier_1A</v>
      </c>
      <c r="D68" s="4">
        <f>IF(C68="","",RANK(E68,$E$10:$E$111))</f>
        <v>89</v>
      </c>
      <c r="E68" s="31">
        <f t="shared" si="50"/>
        <v>0</v>
      </c>
      <c r="F68" s="40" t="str">
        <f t="shared" si="49"/>
        <v/>
      </c>
      <c r="G68" s="41" t="str">
        <f t="shared" si="2"/>
        <v/>
      </c>
      <c r="H68" s="41" t="str">
        <f t="shared" si="3"/>
        <v/>
      </c>
      <c r="I68" s="42" t="str">
        <f t="shared" si="4"/>
        <v/>
      </c>
      <c r="J68" s="40" t="str">
        <f t="shared" si="5"/>
        <v/>
      </c>
      <c r="K68" s="41" t="str">
        <f t="shared" si="6"/>
        <v/>
      </c>
      <c r="L68" s="41" t="str">
        <f t="shared" si="7"/>
        <v/>
      </c>
      <c r="M68" s="42" t="str">
        <f t="shared" si="8"/>
        <v/>
      </c>
      <c r="N68" s="43">
        <f t="shared" si="9"/>
        <v>-1.0000100000000001</v>
      </c>
      <c r="O68" s="41" t="str">
        <f t="shared" si="10"/>
        <v/>
      </c>
      <c r="P68" s="41" t="str">
        <f t="shared" si="11"/>
        <v/>
      </c>
      <c r="Q68" s="42" t="str">
        <f t="shared" si="12"/>
        <v/>
      </c>
      <c r="R68" s="40" t="str">
        <f t="shared" si="13"/>
        <v/>
      </c>
      <c r="S68" s="41" t="str">
        <f t="shared" si="14"/>
        <v/>
      </c>
      <c r="T68" s="43" t="str">
        <f t="shared" si="15"/>
        <v/>
      </c>
      <c r="U68" s="42" t="str">
        <f t="shared" si="16"/>
        <v/>
      </c>
      <c r="V68" s="40" t="str">
        <f t="shared" si="17"/>
        <v/>
      </c>
      <c r="W68" s="41" t="str">
        <f t="shared" si="18"/>
        <v/>
      </c>
      <c r="X68" s="41" t="str">
        <f t="shared" si="19"/>
        <v/>
      </c>
      <c r="Y68" s="42" t="str">
        <f t="shared" si="20"/>
        <v/>
      </c>
      <c r="Z68" s="40" t="str">
        <f t="shared" si="21"/>
        <v/>
      </c>
      <c r="AA68" s="41" t="str">
        <f t="shared" si="22"/>
        <v/>
      </c>
      <c r="AB68" s="41" t="str">
        <f t="shared" si="23"/>
        <v/>
      </c>
      <c r="AC68" s="42" t="str">
        <f t="shared" si="24"/>
        <v/>
      </c>
      <c r="AD68" s="40" t="str">
        <f t="shared" si="25"/>
        <v/>
      </c>
      <c r="AE68" s="41" t="str">
        <f t="shared" si="26"/>
        <v/>
      </c>
      <c r="AF68" s="41" t="str">
        <f t="shared" si="27"/>
        <v/>
      </c>
      <c r="AG68" s="42" t="str">
        <f t="shared" si="28"/>
        <v/>
      </c>
      <c r="AH68" s="40">
        <f t="shared" si="29"/>
        <v>1</v>
      </c>
      <c r="AI68" s="41" t="str">
        <f t="shared" si="30"/>
        <v/>
      </c>
      <c r="AJ68" s="41" t="str">
        <f t="shared" si="31"/>
        <v/>
      </c>
      <c r="AK68" s="42" t="str">
        <f t="shared" si="32"/>
        <v/>
      </c>
      <c r="AL68" s="40">
        <f t="shared" si="33"/>
        <v>0</v>
      </c>
      <c r="AM68" s="41" t="str">
        <f t="shared" si="34"/>
        <v/>
      </c>
      <c r="AN68" s="41" t="str">
        <f t="shared" si="35"/>
        <v/>
      </c>
      <c r="AO68" s="42" t="str">
        <f t="shared" si="36"/>
        <v/>
      </c>
      <c r="AP68" s="40" t="str">
        <f t="shared" si="37"/>
        <v/>
      </c>
      <c r="AQ68" s="41" t="str">
        <f t="shared" si="38"/>
        <v/>
      </c>
      <c r="AR68" s="41" t="str">
        <f t="shared" si="39"/>
        <v/>
      </c>
      <c r="AS68" s="42" t="str">
        <f t="shared" si="40"/>
        <v/>
      </c>
      <c r="AT68" s="40" t="str">
        <f t="shared" si="41"/>
        <v/>
      </c>
      <c r="AU68" s="41" t="str">
        <f t="shared" si="42"/>
        <v/>
      </c>
      <c r="AV68" s="41" t="str">
        <f t="shared" si="43"/>
        <v/>
      </c>
      <c r="AW68" s="42" t="str">
        <f t="shared" si="44"/>
        <v/>
      </c>
      <c r="AX68" s="40" t="str">
        <f t="shared" si="45"/>
        <v/>
      </c>
      <c r="AY68" s="41">
        <f t="shared" si="46"/>
        <v>0</v>
      </c>
      <c r="AZ68" s="41" t="str">
        <f t="shared" si="47"/>
        <v/>
      </c>
      <c r="BA68" s="42" t="str">
        <f t="shared" si="48"/>
        <v/>
      </c>
      <c r="BB68" s="37" t="s">
        <v>106</v>
      </c>
      <c r="BC68" s="21"/>
      <c r="BD68" s="21"/>
      <c r="BG68" t="str">
        <f>IF(NOT(ISERROR(HLOOKUP(Standings!BG$3,Entries!$C40:$K40,1,FALSE))),"x",IF(NOT(ISERROR(HLOOKUP(Standings!BG$3,Entries!$L40:$L40,1,FALSE))),"S",""))</f>
        <v/>
      </c>
      <c r="BH68" t="str">
        <f>IF(NOT(ISERROR(HLOOKUP(Standings!BH$3,Entries!$C40:$K40,1,FALSE))),"x",IF(NOT(ISERROR(HLOOKUP(Standings!BH$3,Entries!$L40:$L40,1,FALSE))),"S",""))</f>
        <v/>
      </c>
      <c r="BI68" t="str">
        <f>IF(NOT(ISERROR(HLOOKUP(Standings!BI$3,Entries!$C40:$K40,1,FALSE))),"x",IF(NOT(ISERROR(HLOOKUP(Standings!BI$3,Entries!$L40:$L40,1,FALSE))),"S",""))</f>
        <v/>
      </c>
      <c r="BJ68" t="str">
        <f>IF(NOT(ISERROR(HLOOKUP(Standings!BJ$3,Entries!$C40:$K40,1,FALSE))),"x",IF(NOT(ISERROR(HLOOKUP(Standings!BJ$3,Entries!$L40:$L40,1,FALSE))),"S",""))</f>
        <v/>
      </c>
      <c r="BK68" t="str">
        <f>IF(NOT(ISERROR(HLOOKUP(Standings!BK$3,Entries!$C40:$K40,1,FALSE))),"x",IF(NOT(ISERROR(HLOOKUP(Standings!BK$3,Entries!$L40:$L40,1,FALSE))),"S",""))</f>
        <v/>
      </c>
      <c r="BL68" t="str">
        <f>IF(NOT(ISERROR(HLOOKUP(Standings!BL$3,Entries!$C40:$K40,1,FALSE))),"x",IF(NOT(ISERROR(HLOOKUP(Standings!BL$3,Entries!$L40:$L40,1,FALSE))),"S",""))</f>
        <v/>
      </c>
      <c r="BM68" t="str">
        <f>IF(NOT(ISERROR(HLOOKUP(Standings!BM$3,Entries!$C40:$K40,1,FALSE))),"x",IF(NOT(ISERROR(HLOOKUP(Standings!BM$3,Entries!$L40:$L40,1,FALSE))),"S",""))</f>
        <v/>
      </c>
      <c r="BN68" t="str">
        <f>IF(NOT(ISERROR(HLOOKUP(Standings!BN$3,Entries!$C40:$K40,1,FALSE))),"x",IF(NOT(ISERROR(HLOOKUP(Standings!BN$3,Entries!$L40:$L40,1,FALSE))),"S",""))</f>
        <v/>
      </c>
      <c r="BO68" t="str">
        <f>IF(NOT(ISERROR(HLOOKUP(Standings!BO$3,Entries!$C40:$K40,1,FALSE))),"x",IF(NOT(ISERROR(HLOOKUP(Standings!BO$3,Entries!$L40:$L40,1,FALSE))),"S",""))</f>
        <v>S</v>
      </c>
      <c r="BP68" t="str">
        <f>IF(NOT(ISERROR(HLOOKUP(Standings!BP$3,Entries!$C40:$K40,1,FALSE))),"x",IF(NOT(ISERROR(HLOOKUP(Standings!BP$3,Entries!$L40:$L40,1,FALSE))),"S",""))</f>
        <v/>
      </c>
      <c r="BQ68" t="str">
        <f>IF(NOT(ISERROR(HLOOKUP(Standings!BQ$3,Entries!$C40:$K40,1,FALSE))),"x",IF(NOT(ISERROR(HLOOKUP(Standings!BQ$3,Entries!$L40:$L40,1,FALSE))),"S",""))</f>
        <v/>
      </c>
      <c r="BR68" t="str">
        <f>IF(NOT(ISERROR(HLOOKUP(Standings!BR$3,Entries!$C40:$K40,1,FALSE))),"x",IF(NOT(ISERROR(HLOOKUP(Standings!BR$3,Entries!$L40:$L40,1,FALSE))),"S",""))</f>
        <v/>
      </c>
      <c r="BS68" t="str">
        <f>IF(NOT(ISERROR(HLOOKUP(Standings!BS$3,Entries!$C40:$K40,1,FALSE))),"x",IF(NOT(ISERROR(HLOOKUP(Standings!BS$3,Entries!$L40:$L40,1,FALSE))),"S",""))</f>
        <v/>
      </c>
      <c r="BT68" t="str">
        <f>IF(NOT(ISERROR(HLOOKUP(Standings!BT$3,Entries!$C40:$K40,1,FALSE))),"x",IF(NOT(ISERROR(HLOOKUP(Standings!BT$3,Entries!$L40:$L40,1,FALSE))),"S",""))</f>
        <v/>
      </c>
      <c r="BU68" t="str">
        <f>IF(NOT(ISERROR(HLOOKUP(Standings!BU$3,Entries!$C40:$K40,1,FALSE))),"x",IF(NOT(ISERROR(HLOOKUP(Standings!BU$3,Entries!$L40:$L40,1,FALSE))),"S",""))</f>
        <v/>
      </c>
      <c r="BV68" t="str">
        <f>IF(NOT(ISERROR(HLOOKUP(Standings!BV$3,Entries!$C40:$K40,1,FALSE))),"x",IF(NOT(ISERROR(HLOOKUP(Standings!BV$3,Entries!$L40:$L40,1,FALSE))),"S",""))</f>
        <v/>
      </c>
      <c r="BW68" t="str">
        <f>IF(NOT(ISERROR(HLOOKUP(Standings!BW$3,Entries!$C40:$K40,1,FALSE))),"x",IF(NOT(ISERROR(HLOOKUP(Standings!BW$3,Entries!$L40:$L40,1,FALSE))),"S",""))</f>
        <v/>
      </c>
      <c r="BX68" t="str">
        <f>IF(NOT(ISERROR(HLOOKUP(Standings!BX$3,Entries!$C40:$K40,1,FALSE))),"x",IF(NOT(ISERROR(HLOOKUP(Standings!BX$3,Entries!$L40:$L40,1,FALSE))),"S",""))</f>
        <v/>
      </c>
      <c r="BY68" t="str">
        <f>IF(NOT(ISERROR(HLOOKUP(Standings!BY$3,Entries!$C40:$K40,1,FALSE))),"x",IF(NOT(ISERROR(HLOOKUP(Standings!BY$3,Entries!$L40:$L40,1,FALSE))),"S",""))</f>
        <v/>
      </c>
      <c r="BZ68" t="str">
        <f>IF(NOT(ISERROR(HLOOKUP(Standings!BZ$3,Entries!$C40:$K40,1,FALSE))),"x",IF(NOT(ISERROR(HLOOKUP(Standings!BZ$3,Entries!$L40:$L40,1,FALSE))),"S",""))</f>
        <v/>
      </c>
      <c r="CA68" t="str">
        <f>IF(NOT(ISERROR(HLOOKUP(Standings!CA$3,Entries!$C40:$K40,1,FALSE))),"x",IF(NOT(ISERROR(HLOOKUP(Standings!CA$3,Entries!$L40:$L40,1,FALSE))),"S",""))</f>
        <v/>
      </c>
      <c r="CB68" t="str">
        <f>IF(NOT(ISERROR(HLOOKUP(Standings!CB$3,Entries!$C40:$K40,1,FALSE))),"x",IF(NOT(ISERROR(HLOOKUP(Standings!CB$3,Entries!$L40:$L40,1,FALSE))),"S",""))</f>
        <v/>
      </c>
      <c r="CC68" t="str">
        <f>IF(NOT(ISERROR(HLOOKUP(Standings!CC$3,Entries!$C40:$K40,1,FALSE))),"x",IF(NOT(ISERROR(HLOOKUP(Standings!CC$3,Entries!$L40:$L40,1,FALSE))),"S",""))</f>
        <v/>
      </c>
      <c r="CD68" t="str">
        <f>IF(NOT(ISERROR(HLOOKUP(Standings!CD$3,Entries!$C40:$K40,1,FALSE))),"x",IF(NOT(ISERROR(HLOOKUP(Standings!CD$3,Entries!$L40:$L40,1,FALSE))),"S",""))</f>
        <v/>
      </c>
      <c r="CE68" t="str">
        <f>IF(NOT(ISERROR(HLOOKUP(Standings!CE$3,Entries!$C40:$K40,1,FALSE))),"x",IF(NOT(ISERROR(HLOOKUP(Standings!CE$3,Entries!$L40:$L40,1,FALSE))),"S",""))</f>
        <v/>
      </c>
      <c r="CF68" t="str">
        <f>IF(NOT(ISERROR(HLOOKUP(Standings!CF$3,Entries!$C40:$K40,1,FALSE))),"x",IF(NOT(ISERROR(HLOOKUP(Standings!CF$3,Entries!$L40:$L40,1,FALSE))),"S",""))</f>
        <v/>
      </c>
      <c r="CG68" t="str">
        <f>IF(NOT(ISERROR(HLOOKUP(Standings!CG$3,Entries!$C40:$K40,1,FALSE))),"x",IF(NOT(ISERROR(HLOOKUP(Standings!CG$3,Entries!$L40:$L40,1,FALSE))),"S",""))</f>
        <v/>
      </c>
      <c r="CH68" t="str">
        <f>IF(NOT(ISERROR(HLOOKUP(Standings!CH$3,Entries!$C40:$K40,1,FALSE))),"x",IF(NOT(ISERROR(HLOOKUP(Standings!CH$3,Entries!$L40:$L40,1,FALSE))),"S",""))</f>
        <v/>
      </c>
      <c r="CI68" t="str">
        <f>IF(NOT(ISERROR(HLOOKUP(Standings!CI$3,Entries!$C40:$K40,1,FALSE))),"x",IF(NOT(ISERROR(HLOOKUP(Standings!CI$3,Entries!$L40:$L40,1,FALSE))),"S",""))</f>
        <v>x</v>
      </c>
      <c r="CJ68" t="str">
        <f>IF(NOT(ISERROR(HLOOKUP(Standings!CJ$3,Entries!$C40:$K40,1,FALSE))),"x",IF(NOT(ISERROR(HLOOKUP(Standings!CJ$3,Entries!$L40:$L40,1,FALSE))),"S",""))</f>
        <v/>
      </c>
      <c r="CK68" t="str">
        <f>IF(NOT(ISERROR(HLOOKUP(Standings!CK$3,Entries!$C40:$K40,1,FALSE))),"x",IF(NOT(ISERROR(HLOOKUP(Standings!CK$3,Entries!$L40:$L40,1,FALSE))),"S",""))</f>
        <v/>
      </c>
      <c r="CL68" t="str">
        <f>IF(NOT(ISERROR(HLOOKUP(Standings!CL$3,Entries!$C40:$K40,1,FALSE))),"x",IF(NOT(ISERROR(HLOOKUP(Standings!CL$3,Entries!$L40:$L40,1,FALSE))),"S",""))</f>
        <v/>
      </c>
      <c r="CM68" t="str">
        <f>IF(NOT(ISERROR(HLOOKUP(Standings!CM$3,Entries!$C40:$K40,1,FALSE))),"x",IF(NOT(ISERROR(HLOOKUP(Standings!CM$3,Entries!$L40:$L40,1,FALSE))),"S",""))</f>
        <v>x</v>
      </c>
      <c r="CN68" t="str">
        <f>IF(NOT(ISERROR(HLOOKUP(Standings!CN$3,Entries!$C40:$K40,1,FALSE))),"x",IF(NOT(ISERROR(HLOOKUP(Standings!CN$3,Entries!$L40:$L40,1,FALSE))),"S",""))</f>
        <v/>
      </c>
      <c r="CO68" t="str">
        <f>IF(NOT(ISERROR(HLOOKUP(Standings!CO$3,Entries!$C40:$K40,1,FALSE))),"x",IF(NOT(ISERROR(HLOOKUP(Standings!CO$3,Entries!$L40:$L40,1,FALSE))),"S",""))</f>
        <v/>
      </c>
      <c r="CP68" t="str">
        <f>IF(NOT(ISERROR(HLOOKUP(Standings!CP$3,Entries!$C40:$K40,1,FALSE))),"x",IF(NOT(ISERROR(HLOOKUP(Standings!CP$3,Entries!$L40:$L40,1,FALSE))),"S",""))</f>
        <v/>
      </c>
      <c r="CQ68" t="str">
        <f>IF(NOT(ISERROR(HLOOKUP(Standings!CQ$3,Entries!$C40:$K40,1,FALSE))),"x",IF(NOT(ISERROR(HLOOKUP(Standings!CQ$3,Entries!$L40:$L40,1,FALSE))),"S",""))</f>
        <v/>
      </c>
      <c r="CR68" t="str">
        <f>IF(NOT(ISERROR(HLOOKUP(Standings!CR$3,Entries!$C40:$K40,1,FALSE))),"x",IF(NOT(ISERROR(HLOOKUP(Standings!CR$3,Entries!$L40:$L40,1,FALSE))),"S",""))</f>
        <v/>
      </c>
      <c r="CS68" t="str">
        <f>IF(NOT(ISERROR(HLOOKUP(Standings!CS$3,Entries!$C40:$K40,1,FALSE))),"x",IF(NOT(ISERROR(HLOOKUP(Standings!CS$3,Entries!$L40:$L40,1,FALSE))),"S",""))</f>
        <v/>
      </c>
      <c r="CT68" t="str">
        <f>IF(NOT(ISERROR(HLOOKUP(Standings!CT$3,Entries!$C40:$K40,1,FALSE))),"x",IF(NOT(ISERROR(HLOOKUP(Standings!CT$3,Entries!$L40:$L40,1,FALSE))),"S",""))</f>
        <v/>
      </c>
      <c r="CU68" t="str">
        <f>IF(NOT(ISERROR(HLOOKUP(Standings!CU$3,Entries!$C40:$K40,1,FALSE))),"x",IF(NOT(ISERROR(HLOOKUP(Standings!CU$3,Entries!$L40:$L40,1,FALSE))),"S",""))</f>
        <v/>
      </c>
      <c r="CV68" t="str">
        <f>IF(NOT(ISERROR(HLOOKUP(Standings!CV$3,Entries!$C40:$K40,1,FALSE))),"x",IF(NOT(ISERROR(HLOOKUP(Standings!CV$3,Entries!$L40:$L40,1,FALSE))),"S",""))</f>
        <v/>
      </c>
      <c r="CW68" t="str">
        <f>IF(NOT(ISERROR(HLOOKUP(Standings!CW$3,Entries!$C40:$K40,1,FALSE))),"x",IF(NOT(ISERROR(HLOOKUP(Standings!CW$3,Entries!$L40:$L40,1,FALSE))),"S",""))</f>
        <v/>
      </c>
      <c r="CX68" t="str">
        <f>IF(NOT(ISERROR(HLOOKUP(Standings!CX$3,Entries!$C40:$K40,1,FALSE))),"x",IF(NOT(ISERROR(HLOOKUP(Standings!CX$3,Entries!$L40:$L40,1,FALSE))),"S",""))</f>
        <v/>
      </c>
      <c r="CY68" t="str">
        <f>IF(NOT(ISERROR(HLOOKUP(Standings!CY$3,Entries!$C40:$K40,1,FALSE))),"x",IF(NOT(ISERROR(HLOOKUP(Standings!CY$3,Entries!$L40:$L40,1,FALSE))),"S",""))</f>
        <v/>
      </c>
      <c r="CZ68" t="str">
        <f>IF(NOT(ISERROR(HLOOKUP(Standings!CZ$3,Entries!$C40:$K40,1,FALSE))),"x",IF(NOT(ISERROR(HLOOKUP(Standings!CZ$3,Entries!$L40:$L40,1,FALSE))),"S",""))</f>
        <v>x</v>
      </c>
      <c r="DA68" t="str">
        <f>IF(NOT(ISERROR(HLOOKUP(Standings!DA$3,Entries!$C40:$K40,1,FALSE))),"x",IF(NOT(ISERROR(HLOOKUP(Standings!DA$3,Entries!$L40:$L40,1,FALSE))),"S",""))</f>
        <v/>
      </c>
      <c r="DB68" t="str">
        <f>IF(NOT(ISERROR(HLOOKUP(Standings!DB$3,Entries!$C40:$K40,1,FALSE))),"x",IF(NOT(ISERROR(HLOOKUP(Standings!DB$3,Entries!$L40:$L40,1,FALSE))),"S",""))</f>
        <v/>
      </c>
    </row>
    <row r="69" spans="1:106" x14ac:dyDescent="0.25">
      <c r="B69">
        <v>69</v>
      </c>
      <c r="C69" t="str">
        <f>Entries!B44</f>
        <v>lucasgilkay</v>
      </c>
      <c r="D69" s="4">
        <f>IF(C69="","",RANK(E69,$E$10:$E$111))</f>
        <v>32</v>
      </c>
      <c r="E69" s="31">
        <f t="shared" si="50"/>
        <v>4</v>
      </c>
      <c r="F69" s="40" t="str">
        <f t="shared" si="49"/>
        <v/>
      </c>
      <c r="G69" s="41" t="str">
        <f t="shared" si="2"/>
        <v/>
      </c>
      <c r="H69" s="41">
        <f t="shared" si="3"/>
        <v>2</v>
      </c>
      <c r="I69" s="42">
        <f t="shared" si="4"/>
        <v>0</v>
      </c>
      <c r="J69" s="40" t="str">
        <f t="shared" si="5"/>
        <v/>
      </c>
      <c r="K69" s="41" t="str">
        <f t="shared" si="6"/>
        <v/>
      </c>
      <c r="L69" s="41" t="str">
        <f t="shared" si="7"/>
        <v/>
      </c>
      <c r="M69" s="42">
        <f t="shared" si="8"/>
        <v>1</v>
      </c>
      <c r="N69" s="43" t="str">
        <f t="shared" si="9"/>
        <v/>
      </c>
      <c r="O69" s="41">
        <f t="shared" si="10"/>
        <v>-1.0000100000000001</v>
      </c>
      <c r="P69" s="41" t="str">
        <f t="shared" si="11"/>
        <v/>
      </c>
      <c r="Q69" s="42" t="str">
        <f t="shared" si="12"/>
        <v/>
      </c>
      <c r="R69" s="40" t="str">
        <f t="shared" si="13"/>
        <v/>
      </c>
      <c r="S69" s="41" t="str">
        <f t="shared" si="14"/>
        <v/>
      </c>
      <c r="T69" s="43" t="str">
        <f t="shared" si="15"/>
        <v/>
      </c>
      <c r="U69" s="42" t="str">
        <f t="shared" si="16"/>
        <v/>
      </c>
      <c r="V69" s="40" t="str">
        <f t="shared" si="17"/>
        <v/>
      </c>
      <c r="W69" s="41" t="str">
        <f t="shared" si="18"/>
        <v/>
      </c>
      <c r="X69" s="41" t="str">
        <f t="shared" si="19"/>
        <v/>
      </c>
      <c r="Y69" s="42" t="str">
        <f t="shared" si="20"/>
        <v/>
      </c>
      <c r="Z69" s="40">
        <f t="shared" si="21"/>
        <v>1</v>
      </c>
      <c r="AA69" s="41" t="str">
        <f t="shared" si="22"/>
        <v/>
      </c>
      <c r="AB69" s="41" t="str">
        <f t="shared" si="23"/>
        <v/>
      </c>
      <c r="AC69" s="42" t="str">
        <f t="shared" si="24"/>
        <v/>
      </c>
      <c r="AD69" s="40" t="str">
        <f t="shared" si="25"/>
        <v/>
      </c>
      <c r="AE69" s="41" t="str">
        <f t="shared" si="26"/>
        <v/>
      </c>
      <c r="AF69" s="41">
        <f t="shared" si="27"/>
        <v>1</v>
      </c>
      <c r="AG69" s="42" t="str">
        <f t="shared" si="28"/>
        <v/>
      </c>
      <c r="AH69" s="40" t="str">
        <f t="shared" si="29"/>
        <v/>
      </c>
      <c r="AI69" s="41" t="str">
        <f t="shared" si="30"/>
        <v/>
      </c>
      <c r="AJ69" s="41" t="str">
        <f t="shared" si="31"/>
        <v/>
      </c>
      <c r="AK69" s="42" t="str">
        <f t="shared" si="32"/>
        <v/>
      </c>
      <c r="AL69" s="40" t="str">
        <f t="shared" si="33"/>
        <v/>
      </c>
      <c r="AM69" s="41">
        <f t="shared" si="34"/>
        <v>0</v>
      </c>
      <c r="AN69" s="41" t="str">
        <f t="shared" si="35"/>
        <v/>
      </c>
      <c r="AO69" s="42" t="str">
        <f t="shared" si="36"/>
        <v/>
      </c>
      <c r="AP69" s="40" t="str">
        <f t="shared" si="37"/>
        <v/>
      </c>
      <c r="AQ69" s="41" t="str">
        <f t="shared" si="38"/>
        <v/>
      </c>
      <c r="AR69" s="41" t="str">
        <f t="shared" si="39"/>
        <v/>
      </c>
      <c r="AS69" s="42" t="str">
        <f t="shared" si="40"/>
        <v/>
      </c>
      <c r="AT69" s="40" t="str">
        <f t="shared" si="41"/>
        <v/>
      </c>
      <c r="AU69" s="41" t="str">
        <f t="shared" si="42"/>
        <v/>
      </c>
      <c r="AV69" s="41" t="str">
        <f t="shared" si="43"/>
        <v/>
      </c>
      <c r="AW69" s="42">
        <f t="shared" si="44"/>
        <v>0</v>
      </c>
      <c r="AX69" s="40" t="str">
        <f t="shared" si="45"/>
        <v/>
      </c>
      <c r="AY69" s="41">
        <f t="shared" si="46"/>
        <v>0</v>
      </c>
      <c r="AZ69" s="41">
        <f t="shared" si="47"/>
        <v>0</v>
      </c>
      <c r="BA69" s="42" t="str">
        <f t="shared" si="48"/>
        <v/>
      </c>
      <c r="BB69" s="37" t="s">
        <v>106</v>
      </c>
      <c r="BC69" s="21"/>
      <c r="BD69" s="21"/>
      <c r="BG69" t="str">
        <f>IF(NOT(ISERROR(HLOOKUP(Standings!BG$3,Entries!$C44:$K44,1,FALSE))),"x",IF(NOT(ISERROR(HLOOKUP(Standings!BG$3,Entries!$L44:$L44,1,FALSE))),"S",""))</f>
        <v/>
      </c>
      <c r="BH69" t="str">
        <f>IF(NOT(ISERROR(HLOOKUP(Standings!BH$3,Entries!$C44:$K44,1,FALSE))),"x",IF(NOT(ISERROR(HLOOKUP(Standings!BH$3,Entries!$L44:$L44,1,FALSE))),"S",""))</f>
        <v/>
      </c>
      <c r="BI69" t="str">
        <f>IF(NOT(ISERROR(HLOOKUP(Standings!BI$3,Entries!$C44:$K44,1,FALSE))),"x",IF(NOT(ISERROR(HLOOKUP(Standings!BI$3,Entries!$L44:$L44,1,FALSE))),"S",""))</f>
        <v>x</v>
      </c>
      <c r="BJ69" t="str">
        <f>IF(NOT(ISERROR(HLOOKUP(Standings!BJ$3,Entries!$C44:$K44,1,FALSE))),"x",IF(NOT(ISERROR(HLOOKUP(Standings!BJ$3,Entries!$L44:$L44,1,FALSE))),"S",""))</f>
        <v>x</v>
      </c>
      <c r="BK69" t="str">
        <f>IF(NOT(ISERROR(HLOOKUP(Standings!BK$3,Entries!$C44:$K44,1,FALSE))),"x",IF(NOT(ISERROR(HLOOKUP(Standings!BK$3,Entries!$L44:$L44,1,FALSE))),"S",""))</f>
        <v/>
      </c>
      <c r="BL69" t="str">
        <f>IF(NOT(ISERROR(HLOOKUP(Standings!BL$3,Entries!$C44:$K44,1,FALSE))),"x",IF(NOT(ISERROR(HLOOKUP(Standings!BL$3,Entries!$L44:$L44,1,FALSE))),"S",""))</f>
        <v/>
      </c>
      <c r="BM69" t="str">
        <f>IF(NOT(ISERROR(HLOOKUP(Standings!BM$3,Entries!$C44:$K44,1,FALSE))),"x",IF(NOT(ISERROR(HLOOKUP(Standings!BM$3,Entries!$L44:$L44,1,FALSE))),"S",""))</f>
        <v/>
      </c>
      <c r="BN69" t="str">
        <f>IF(NOT(ISERROR(HLOOKUP(Standings!BN$3,Entries!$C44:$K44,1,FALSE))),"x",IF(NOT(ISERROR(HLOOKUP(Standings!BN$3,Entries!$L44:$L44,1,FALSE))),"S",""))</f>
        <v>x</v>
      </c>
      <c r="BO69" t="str">
        <f>IF(NOT(ISERROR(HLOOKUP(Standings!BO$3,Entries!$C44:$K44,1,FALSE))),"x",IF(NOT(ISERROR(HLOOKUP(Standings!BO$3,Entries!$L44:$L44,1,FALSE))),"S",""))</f>
        <v/>
      </c>
      <c r="BP69" t="str">
        <f>IF(NOT(ISERROR(HLOOKUP(Standings!BP$3,Entries!$C44:$K44,1,FALSE))),"x",IF(NOT(ISERROR(HLOOKUP(Standings!BP$3,Entries!$L44:$L44,1,FALSE))),"S",""))</f>
        <v>S</v>
      </c>
      <c r="BQ69" t="str">
        <f>IF(NOT(ISERROR(HLOOKUP(Standings!BQ$3,Entries!$C44:$K44,1,FALSE))),"x",IF(NOT(ISERROR(HLOOKUP(Standings!BQ$3,Entries!$L44:$L44,1,FALSE))),"S",""))</f>
        <v/>
      </c>
      <c r="BR69" t="str">
        <f>IF(NOT(ISERROR(HLOOKUP(Standings!BR$3,Entries!$C44:$K44,1,FALSE))),"x",IF(NOT(ISERROR(HLOOKUP(Standings!BR$3,Entries!$L44:$L44,1,FALSE))),"S",""))</f>
        <v/>
      </c>
      <c r="BS69" t="str">
        <f>IF(NOT(ISERROR(HLOOKUP(Standings!BS$3,Entries!$C44:$K44,1,FALSE))),"x",IF(NOT(ISERROR(HLOOKUP(Standings!BS$3,Entries!$L44:$L44,1,FALSE))),"S",""))</f>
        <v/>
      </c>
      <c r="BT69" t="str">
        <f>IF(NOT(ISERROR(HLOOKUP(Standings!BT$3,Entries!$C44:$K44,1,FALSE))),"x",IF(NOT(ISERROR(HLOOKUP(Standings!BT$3,Entries!$L44:$L44,1,FALSE))),"S",""))</f>
        <v/>
      </c>
      <c r="BU69" t="str">
        <f>IF(NOT(ISERROR(HLOOKUP(Standings!BU$3,Entries!$C44:$K44,1,FALSE))),"x",IF(NOT(ISERROR(HLOOKUP(Standings!BU$3,Entries!$L44:$L44,1,FALSE))),"S",""))</f>
        <v/>
      </c>
      <c r="BV69" t="str">
        <f>IF(NOT(ISERROR(HLOOKUP(Standings!BV$3,Entries!$C44:$K44,1,FALSE))),"x",IF(NOT(ISERROR(HLOOKUP(Standings!BV$3,Entries!$L44:$L44,1,FALSE))),"S",""))</f>
        <v/>
      </c>
      <c r="BW69" t="str">
        <f>IF(NOT(ISERROR(HLOOKUP(Standings!BW$3,Entries!$C44:$K44,1,FALSE))),"x",IF(NOT(ISERROR(HLOOKUP(Standings!BW$3,Entries!$L44:$L44,1,FALSE))),"S",""))</f>
        <v/>
      </c>
      <c r="BX69" t="str">
        <f>IF(NOT(ISERROR(HLOOKUP(Standings!BX$3,Entries!$C44:$K44,1,FALSE))),"x",IF(NOT(ISERROR(HLOOKUP(Standings!BX$3,Entries!$L44:$L44,1,FALSE))),"S",""))</f>
        <v/>
      </c>
      <c r="BY69" t="str">
        <f>IF(NOT(ISERROR(HLOOKUP(Standings!BY$3,Entries!$C44:$K44,1,FALSE))),"x",IF(NOT(ISERROR(HLOOKUP(Standings!BY$3,Entries!$L44:$L44,1,FALSE))),"S",""))</f>
        <v/>
      </c>
      <c r="BZ69" t="str">
        <f>IF(NOT(ISERROR(HLOOKUP(Standings!BZ$3,Entries!$C44:$K44,1,FALSE))),"x",IF(NOT(ISERROR(HLOOKUP(Standings!BZ$3,Entries!$L44:$L44,1,FALSE))),"S",""))</f>
        <v/>
      </c>
      <c r="CA69" t="str">
        <f>IF(NOT(ISERROR(HLOOKUP(Standings!CA$3,Entries!$C44:$K44,1,FALSE))),"x",IF(NOT(ISERROR(HLOOKUP(Standings!CA$3,Entries!$L44:$L44,1,FALSE))),"S",""))</f>
        <v>x</v>
      </c>
      <c r="CB69" t="str">
        <f>IF(NOT(ISERROR(HLOOKUP(Standings!CB$3,Entries!$C44:$K44,1,FALSE))),"x",IF(NOT(ISERROR(HLOOKUP(Standings!CB$3,Entries!$L44:$L44,1,FALSE))),"S",""))</f>
        <v/>
      </c>
      <c r="CC69" t="str">
        <f>IF(NOT(ISERROR(HLOOKUP(Standings!CC$3,Entries!$C44:$K44,1,FALSE))),"x",IF(NOT(ISERROR(HLOOKUP(Standings!CC$3,Entries!$L44:$L44,1,FALSE))),"S",""))</f>
        <v/>
      </c>
      <c r="CD69" t="str">
        <f>IF(NOT(ISERROR(HLOOKUP(Standings!CD$3,Entries!$C44:$K44,1,FALSE))),"x",IF(NOT(ISERROR(HLOOKUP(Standings!CD$3,Entries!$L44:$L44,1,FALSE))),"S",""))</f>
        <v/>
      </c>
      <c r="CE69" t="str">
        <f>IF(NOT(ISERROR(HLOOKUP(Standings!CE$3,Entries!$C44:$K44,1,FALSE))),"x",IF(NOT(ISERROR(HLOOKUP(Standings!CE$3,Entries!$L44:$L44,1,FALSE))),"S",""))</f>
        <v/>
      </c>
      <c r="CF69" t="str">
        <f>IF(NOT(ISERROR(HLOOKUP(Standings!CF$3,Entries!$C44:$K44,1,FALSE))),"x",IF(NOT(ISERROR(HLOOKUP(Standings!CF$3,Entries!$L44:$L44,1,FALSE))),"S",""))</f>
        <v/>
      </c>
      <c r="CG69" t="str">
        <f>IF(NOT(ISERROR(HLOOKUP(Standings!CG$3,Entries!$C44:$K44,1,FALSE))),"x",IF(NOT(ISERROR(HLOOKUP(Standings!CG$3,Entries!$L44:$L44,1,FALSE))),"S",""))</f>
        <v>x</v>
      </c>
      <c r="CH69" t="str">
        <f>IF(NOT(ISERROR(HLOOKUP(Standings!CH$3,Entries!$C44:$K44,1,FALSE))),"x",IF(NOT(ISERROR(HLOOKUP(Standings!CH$3,Entries!$L44:$L44,1,FALSE))),"S",""))</f>
        <v/>
      </c>
      <c r="CI69" t="str">
        <f>IF(NOT(ISERROR(HLOOKUP(Standings!CI$3,Entries!$C44:$K44,1,FALSE))),"x",IF(NOT(ISERROR(HLOOKUP(Standings!CI$3,Entries!$L44:$L44,1,FALSE))),"S",""))</f>
        <v/>
      </c>
      <c r="CJ69" t="str">
        <f>IF(NOT(ISERROR(HLOOKUP(Standings!CJ$3,Entries!$C44:$K44,1,FALSE))),"x",IF(NOT(ISERROR(HLOOKUP(Standings!CJ$3,Entries!$L44:$L44,1,FALSE))),"S",""))</f>
        <v/>
      </c>
      <c r="CK69" t="str">
        <f>IF(NOT(ISERROR(HLOOKUP(Standings!CK$3,Entries!$C44:$K44,1,FALSE))),"x",IF(NOT(ISERROR(HLOOKUP(Standings!CK$3,Entries!$L44:$L44,1,FALSE))),"S",""))</f>
        <v/>
      </c>
      <c r="CL69" t="str">
        <f>IF(NOT(ISERROR(HLOOKUP(Standings!CL$3,Entries!$C44:$K44,1,FALSE))),"x",IF(NOT(ISERROR(HLOOKUP(Standings!CL$3,Entries!$L44:$L44,1,FALSE))),"S",""))</f>
        <v/>
      </c>
      <c r="CM69" t="str">
        <f>IF(NOT(ISERROR(HLOOKUP(Standings!CM$3,Entries!$C44:$K44,1,FALSE))),"x",IF(NOT(ISERROR(HLOOKUP(Standings!CM$3,Entries!$L44:$L44,1,FALSE))),"S",""))</f>
        <v/>
      </c>
      <c r="CN69" t="str">
        <f>IF(NOT(ISERROR(HLOOKUP(Standings!CN$3,Entries!$C44:$K44,1,FALSE))),"x",IF(NOT(ISERROR(HLOOKUP(Standings!CN$3,Entries!$L44:$L44,1,FALSE))),"S",""))</f>
        <v>x</v>
      </c>
      <c r="CO69" t="str">
        <f>IF(NOT(ISERROR(HLOOKUP(Standings!CO$3,Entries!$C44:$K44,1,FALSE))),"x",IF(NOT(ISERROR(HLOOKUP(Standings!CO$3,Entries!$L44:$L44,1,FALSE))),"S",""))</f>
        <v/>
      </c>
      <c r="CP69" t="str">
        <f>IF(NOT(ISERROR(HLOOKUP(Standings!CP$3,Entries!$C44:$K44,1,FALSE))),"x",IF(NOT(ISERROR(HLOOKUP(Standings!CP$3,Entries!$L44:$L44,1,FALSE))),"S",""))</f>
        <v/>
      </c>
      <c r="CQ69" t="str">
        <f>IF(NOT(ISERROR(HLOOKUP(Standings!CQ$3,Entries!$C44:$K44,1,FALSE))),"x",IF(NOT(ISERROR(HLOOKUP(Standings!CQ$3,Entries!$L44:$L44,1,FALSE))),"S",""))</f>
        <v/>
      </c>
      <c r="CR69" t="str">
        <f>IF(NOT(ISERROR(HLOOKUP(Standings!CR$3,Entries!$C44:$K44,1,FALSE))),"x",IF(NOT(ISERROR(HLOOKUP(Standings!CR$3,Entries!$L44:$L44,1,FALSE))),"S",""))</f>
        <v/>
      </c>
      <c r="CS69" t="str">
        <f>IF(NOT(ISERROR(HLOOKUP(Standings!CS$3,Entries!$C44:$K44,1,FALSE))),"x",IF(NOT(ISERROR(HLOOKUP(Standings!CS$3,Entries!$L44:$L44,1,FALSE))),"S",""))</f>
        <v/>
      </c>
      <c r="CT69" t="str">
        <f>IF(NOT(ISERROR(HLOOKUP(Standings!CT$3,Entries!$C44:$K44,1,FALSE))),"x",IF(NOT(ISERROR(HLOOKUP(Standings!CT$3,Entries!$L44:$L44,1,FALSE))),"S",""))</f>
        <v/>
      </c>
      <c r="CU69" t="str">
        <f>IF(NOT(ISERROR(HLOOKUP(Standings!CU$3,Entries!$C44:$K44,1,FALSE))),"x",IF(NOT(ISERROR(HLOOKUP(Standings!CU$3,Entries!$L44:$L44,1,FALSE))),"S",""))</f>
        <v/>
      </c>
      <c r="CV69" t="str">
        <f>IF(NOT(ISERROR(HLOOKUP(Standings!CV$3,Entries!$C44:$K44,1,FALSE))),"x",IF(NOT(ISERROR(HLOOKUP(Standings!CV$3,Entries!$L44:$L44,1,FALSE))),"S",""))</f>
        <v/>
      </c>
      <c r="CW69" t="str">
        <f>IF(NOT(ISERROR(HLOOKUP(Standings!CW$3,Entries!$C44:$K44,1,FALSE))),"x",IF(NOT(ISERROR(HLOOKUP(Standings!CW$3,Entries!$L44:$L44,1,FALSE))),"S",""))</f>
        <v/>
      </c>
      <c r="CX69" t="str">
        <f>IF(NOT(ISERROR(HLOOKUP(Standings!CX$3,Entries!$C44:$K44,1,FALSE))),"x",IF(NOT(ISERROR(HLOOKUP(Standings!CX$3,Entries!$L44:$L44,1,FALSE))),"S",""))</f>
        <v>x</v>
      </c>
      <c r="CY69" t="str">
        <f>IF(NOT(ISERROR(HLOOKUP(Standings!CY$3,Entries!$C44:$K44,1,FALSE))),"x",IF(NOT(ISERROR(HLOOKUP(Standings!CY$3,Entries!$L44:$L44,1,FALSE))),"S",""))</f>
        <v/>
      </c>
      <c r="CZ69" t="str">
        <f>IF(NOT(ISERROR(HLOOKUP(Standings!CZ$3,Entries!$C44:$K44,1,FALSE))),"x",IF(NOT(ISERROR(HLOOKUP(Standings!CZ$3,Entries!$L44:$L44,1,FALSE))),"S",""))</f>
        <v>x</v>
      </c>
      <c r="DA69" t="str">
        <f>IF(NOT(ISERROR(HLOOKUP(Standings!DA$3,Entries!$C44:$K44,1,FALSE))),"x",IF(NOT(ISERROR(HLOOKUP(Standings!DA$3,Entries!$L44:$L44,1,FALSE))),"S",""))</f>
        <v>x</v>
      </c>
      <c r="DB69" t="str">
        <f>IF(NOT(ISERROR(HLOOKUP(Standings!DB$3,Entries!$C44:$K44,1,FALSE))),"x",IF(NOT(ISERROR(HLOOKUP(Standings!DB$3,Entries!$L44:$L44,1,FALSE))),"S",""))</f>
        <v/>
      </c>
    </row>
    <row r="70" spans="1:106" x14ac:dyDescent="0.25">
      <c r="A70" s="18"/>
      <c r="B70">
        <v>19</v>
      </c>
      <c r="C70" t="str">
        <f>Entries!B45</f>
        <v>AshleyAlloway1</v>
      </c>
      <c r="D70" s="4">
        <f>IF(C70="","",RANK(E70,$E$10:$E$111))</f>
        <v>32</v>
      </c>
      <c r="E70" s="31">
        <f t="shared" si="50"/>
        <v>4</v>
      </c>
      <c r="F70" s="40" t="str">
        <f t="shared" si="49"/>
        <v/>
      </c>
      <c r="G70" s="41" t="str">
        <f t="shared" si="2"/>
        <v/>
      </c>
      <c r="H70" s="41" t="str">
        <f t="shared" si="3"/>
        <v/>
      </c>
      <c r="I70" s="42" t="str">
        <f t="shared" si="4"/>
        <v/>
      </c>
      <c r="J70" s="40" t="str">
        <f t="shared" si="5"/>
        <v/>
      </c>
      <c r="K70" s="41" t="str">
        <f t="shared" si="6"/>
        <v/>
      </c>
      <c r="L70" s="41" t="str">
        <f t="shared" si="7"/>
        <v/>
      </c>
      <c r="M70" s="42" t="str">
        <f t="shared" si="8"/>
        <v/>
      </c>
      <c r="N70" s="43" t="str">
        <f t="shared" si="9"/>
        <v/>
      </c>
      <c r="O70" s="41">
        <f t="shared" si="10"/>
        <v>1</v>
      </c>
      <c r="P70" s="41" t="str">
        <f t="shared" si="11"/>
        <v/>
      </c>
      <c r="Q70" s="42" t="str">
        <f t="shared" si="12"/>
        <v/>
      </c>
      <c r="R70" s="40" t="str">
        <f t="shared" si="13"/>
        <v/>
      </c>
      <c r="S70" s="41" t="str">
        <f t="shared" si="14"/>
        <v/>
      </c>
      <c r="T70" s="43" t="str">
        <f t="shared" si="15"/>
        <v/>
      </c>
      <c r="U70" s="42" t="str">
        <f t="shared" si="16"/>
        <v/>
      </c>
      <c r="V70" s="40" t="str">
        <f t="shared" si="17"/>
        <v/>
      </c>
      <c r="W70" s="41" t="str">
        <f t="shared" si="18"/>
        <v/>
      </c>
      <c r="X70" s="41" t="str">
        <f t="shared" si="19"/>
        <v/>
      </c>
      <c r="Y70" s="42" t="str">
        <f t="shared" si="20"/>
        <v/>
      </c>
      <c r="Z70" s="40">
        <f t="shared" si="21"/>
        <v>1</v>
      </c>
      <c r="AA70" s="41" t="str">
        <f t="shared" si="22"/>
        <v/>
      </c>
      <c r="AB70" s="41" t="str">
        <f t="shared" si="23"/>
        <v/>
      </c>
      <c r="AC70" s="42" t="str">
        <f t="shared" si="24"/>
        <v/>
      </c>
      <c r="AD70" s="40" t="str">
        <f t="shared" si="25"/>
        <v/>
      </c>
      <c r="AE70" s="41">
        <f t="shared" si="26"/>
        <v>1</v>
      </c>
      <c r="AF70" s="41" t="str">
        <f t="shared" si="27"/>
        <v/>
      </c>
      <c r="AG70" s="42" t="str">
        <f t="shared" si="28"/>
        <v/>
      </c>
      <c r="AH70" s="40" t="str">
        <f t="shared" si="29"/>
        <v/>
      </c>
      <c r="AI70" s="41" t="str">
        <f t="shared" si="30"/>
        <v/>
      </c>
      <c r="AJ70" s="41" t="str">
        <f t="shared" si="31"/>
        <v/>
      </c>
      <c r="AK70" s="42">
        <f t="shared" si="32"/>
        <v>1</v>
      </c>
      <c r="AL70" s="40" t="str">
        <f t="shared" si="33"/>
        <v/>
      </c>
      <c r="AM70" s="41" t="str">
        <f t="shared" si="34"/>
        <v/>
      </c>
      <c r="AN70" s="41" t="str">
        <f t="shared" si="35"/>
        <v/>
      </c>
      <c r="AO70" s="42" t="str">
        <f t="shared" si="36"/>
        <v/>
      </c>
      <c r="AP70" s="40" t="str">
        <f t="shared" si="37"/>
        <v/>
      </c>
      <c r="AQ70" s="41" t="str">
        <f t="shared" si="38"/>
        <v/>
      </c>
      <c r="AR70" s="41" t="str">
        <f t="shared" si="39"/>
        <v/>
      </c>
      <c r="AS70" s="42" t="str">
        <f t="shared" si="40"/>
        <v/>
      </c>
      <c r="AT70" s="40" t="str">
        <f t="shared" si="41"/>
        <v/>
      </c>
      <c r="AU70" s="41" t="str">
        <f t="shared" si="42"/>
        <v/>
      </c>
      <c r="AV70" s="41" t="str">
        <f t="shared" si="43"/>
        <v/>
      </c>
      <c r="AW70" s="42" t="str">
        <f t="shared" si="44"/>
        <v/>
      </c>
      <c r="AX70" s="40" t="str">
        <f t="shared" si="45"/>
        <v/>
      </c>
      <c r="AY70" s="41">
        <f t="shared" si="46"/>
        <v>0</v>
      </c>
      <c r="AZ70" s="41" t="str">
        <f t="shared" si="47"/>
        <v/>
      </c>
      <c r="BA70" s="42" t="str">
        <f t="shared" si="48"/>
        <v/>
      </c>
      <c r="BB70" s="37" t="s">
        <v>106</v>
      </c>
      <c r="BC70" s="23"/>
      <c r="BD70" s="21"/>
      <c r="BG70" t="str">
        <f>IF(NOT(ISERROR(HLOOKUP(Standings!BG$3,Entries!$C45:$K45,1,FALSE))),"x",IF(NOT(ISERROR(HLOOKUP(Standings!BG$3,Entries!$L45:$L45,1,FALSE))),"S",""))</f>
        <v/>
      </c>
      <c r="BH70" t="str">
        <f>IF(NOT(ISERROR(HLOOKUP(Standings!BH$3,Entries!$C45:$K45,1,FALSE))),"x",IF(NOT(ISERROR(HLOOKUP(Standings!BH$3,Entries!$L45:$L45,1,FALSE))),"S",""))</f>
        <v/>
      </c>
      <c r="BI70" t="str">
        <f>IF(NOT(ISERROR(HLOOKUP(Standings!BI$3,Entries!$C45:$K45,1,FALSE))),"x",IF(NOT(ISERROR(HLOOKUP(Standings!BI$3,Entries!$L45:$L45,1,FALSE))),"S",""))</f>
        <v/>
      </c>
      <c r="BJ70" t="str">
        <f>IF(NOT(ISERROR(HLOOKUP(Standings!BJ$3,Entries!$C45:$K45,1,FALSE))),"x",IF(NOT(ISERROR(HLOOKUP(Standings!BJ$3,Entries!$L45:$L45,1,FALSE))),"S",""))</f>
        <v/>
      </c>
      <c r="BK70" t="str">
        <f>IF(NOT(ISERROR(HLOOKUP(Standings!BK$3,Entries!$C45:$K45,1,FALSE))),"x",IF(NOT(ISERROR(HLOOKUP(Standings!BK$3,Entries!$L45:$L45,1,FALSE))),"S",""))</f>
        <v/>
      </c>
      <c r="BL70" t="str">
        <f>IF(NOT(ISERROR(HLOOKUP(Standings!BL$3,Entries!$C45:$K45,1,FALSE))),"x",IF(NOT(ISERROR(HLOOKUP(Standings!BL$3,Entries!$L45:$L45,1,FALSE))),"S",""))</f>
        <v/>
      </c>
      <c r="BM70" t="str">
        <f>IF(NOT(ISERROR(HLOOKUP(Standings!BM$3,Entries!$C45:$K45,1,FALSE))),"x",IF(NOT(ISERROR(HLOOKUP(Standings!BM$3,Entries!$L45:$L45,1,FALSE))),"S",""))</f>
        <v/>
      </c>
      <c r="BN70" t="str">
        <f>IF(NOT(ISERROR(HLOOKUP(Standings!BN$3,Entries!$C45:$K45,1,FALSE))),"x",IF(NOT(ISERROR(HLOOKUP(Standings!BN$3,Entries!$L45:$L45,1,FALSE))),"S",""))</f>
        <v/>
      </c>
      <c r="BO70" t="str">
        <f>IF(NOT(ISERROR(HLOOKUP(Standings!BO$3,Entries!$C45:$K45,1,FALSE))),"x",IF(NOT(ISERROR(HLOOKUP(Standings!BO$3,Entries!$L45:$L45,1,FALSE))),"S",""))</f>
        <v/>
      </c>
      <c r="BP70" t="str">
        <f>IF(NOT(ISERROR(HLOOKUP(Standings!BP$3,Entries!$C45:$K45,1,FALSE))),"x",IF(NOT(ISERROR(HLOOKUP(Standings!BP$3,Entries!$L45:$L45,1,FALSE))),"S",""))</f>
        <v>x</v>
      </c>
      <c r="BQ70" t="str">
        <f>IF(NOT(ISERROR(HLOOKUP(Standings!BQ$3,Entries!$C45:$K45,1,FALSE))),"x",IF(NOT(ISERROR(HLOOKUP(Standings!BQ$3,Entries!$L45:$L45,1,FALSE))),"S",""))</f>
        <v/>
      </c>
      <c r="BR70" t="str">
        <f>IF(NOT(ISERROR(HLOOKUP(Standings!BR$3,Entries!$C45:$K45,1,FALSE))),"x",IF(NOT(ISERROR(HLOOKUP(Standings!BR$3,Entries!$L45:$L45,1,FALSE))),"S",""))</f>
        <v/>
      </c>
      <c r="BS70" t="str">
        <f>IF(NOT(ISERROR(HLOOKUP(Standings!BS$3,Entries!$C45:$K45,1,FALSE))),"x",IF(NOT(ISERROR(HLOOKUP(Standings!BS$3,Entries!$L45:$L45,1,FALSE))),"S",""))</f>
        <v/>
      </c>
      <c r="BT70" t="str">
        <f>IF(NOT(ISERROR(HLOOKUP(Standings!BT$3,Entries!$C45:$K45,1,FALSE))),"x",IF(NOT(ISERROR(HLOOKUP(Standings!BT$3,Entries!$L45:$L45,1,FALSE))),"S",""))</f>
        <v/>
      </c>
      <c r="BU70" t="str">
        <f>IF(NOT(ISERROR(HLOOKUP(Standings!BU$3,Entries!$C45:$K45,1,FALSE))),"x",IF(NOT(ISERROR(HLOOKUP(Standings!BU$3,Entries!$L45:$L45,1,FALSE))),"S",""))</f>
        <v/>
      </c>
      <c r="BV70" t="str">
        <f>IF(NOT(ISERROR(HLOOKUP(Standings!BV$3,Entries!$C45:$K45,1,FALSE))),"x",IF(NOT(ISERROR(HLOOKUP(Standings!BV$3,Entries!$L45:$L45,1,FALSE))),"S",""))</f>
        <v/>
      </c>
      <c r="BW70" t="str">
        <f>IF(NOT(ISERROR(HLOOKUP(Standings!BW$3,Entries!$C45:$K45,1,FALSE))),"x",IF(NOT(ISERROR(HLOOKUP(Standings!BW$3,Entries!$L45:$L45,1,FALSE))),"S",""))</f>
        <v/>
      </c>
      <c r="BX70" t="str">
        <f>IF(NOT(ISERROR(HLOOKUP(Standings!BX$3,Entries!$C45:$K45,1,FALSE))),"x",IF(NOT(ISERROR(HLOOKUP(Standings!BX$3,Entries!$L45:$L45,1,FALSE))),"S",""))</f>
        <v/>
      </c>
      <c r="BY70" t="str">
        <f>IF(NOT(ISERROR(HLOOKUP(Standings!BY$3,Entries!$C45:$K45,1,FALSE))),"x",IF(NOT(ISERROR(HLOOKUP(Standings!BY$3,Entries!$L45:$L45,1,FALSE))),"S",""))</f>
        <v/>
      </c>
      <c r="BZ70" t="str">
        <f>IF(NOT(ISERROR(HLOOKUP(Standings!BZ$3,Entries!$C45:$K45,1,FALSE))),"x",IF(NOT(ISERROR(HLOOKUP(Standings!BZ$3,Entries!$L45:$L45,1,FALSE))),"S",""))</f>
        <v/>
      </c>
      <c r="CA70" t="str">
        <f>IF(NOT(ISERROR(HLOOKUP(Standings!CA$3,Entries!$C45:$K45,1,FALSE))),"x",IF(NOT(ISERROR(HLOOKUP(Standings!CA$3,Entries!$L45:$L45,1,FALSE))),"S",""))</f>
        <v>x</v>
      </c>
      <c r="CB70" t="str">
        <f>IF(NOT(ISERROR(HLOOKUP(Standings!CB$3,Entries!$C45:$K45,1,FALSE))),"x",IF(NOT(ISERROR(HLOOKUP(Standings!CB$3,Entries!$L45:$L45,1,FALSE))),"S",""))</f>
        <v/>
      </c>
      <c r="CC70" t="str">
        <f>IF(NOT(ISERROR(HLOOKUP(Standings!CC$3,Entries!$C45:$K45,1,FALSE))),"x",IF(NOT(ISERROR(HLOOKUP(Standings!CC$3,Entries!$L45:$L45,1,FALSE))),"S",""))</f>
        <v/>
      </c>
      <c r="CD70" t="str">
        <f>IF(NOT(ISERROR(HLOOKUP(Standings!CD$3,Entries!$C45:$K45,1,FALSE))),"x",IF(NOT(ISERROR(HLOOKUP(Standings!CD$3,Entries!$L45:$L45,1,FALSE))),"S",""))</f>
        <v/>
      </c>
      <c r="CE70" t="str">
        <f>IF(NOT(ISERROR(HLOOKUP(Standings!CE$3,Entries!$C45:$K45,1,FALSE))),"x",IF(NOT(ISERROR(HLOOKUP(Standings!CE$3,Entries!$L45:$L45,1,FALSE))),"S",""))</f>
        <v/>
      </c>
      <c r="CF70" t="str">
        <f>IF(NOT(ISERROR(HLOOKUP(Standings!CF$3,Entries!$C45:$K45,1,FALSE))),"x",IF(NOT(ISERROR(HLOOKUP(Standings!CF$3,Entries!$L45:$L45,1,FALSE))),"S",""))</f>
        <v>x</v>
      </c>
      <c r="CG70" t="str">
        <f>IF(NOT(ISERROR(HLOOKUP(Standings!CG$3,Entries!$C45:$K45,1,FALSE))),"x",IF(NOT(ISERROR(HLOOKUP(Standings!CG$3,Entries!$L45:$L45,1,FALSE))),"S",""))</f>
        <v/>
      </c>
      <c r="CH70" t="str">
        <f>IF(NOT(ISERROR(HLOOKUP(Standings!CH$3,Entries!$C45:$K45,1,FALSE))),"x",IF(NOT(ISERROR(HLOOKUP(Standings!CH$3,Entries!$L45:$L45,1,FALSE))),"S",""))</f>
        <v/>
      </c>
      <c r="CI70" t="str">
        <f>IF(NOT(ISERROR(HLOOKUP(Standings!CI$3,Entries!$C45:$K45,1,FALSE))),"x",IF(NOT(ISERROR(HLOOKUP(Standings!CI$3,Entries!$L45:$L45,1,FALSE))),"S",""))</f>
        <v/>
      </c>
      <c r="CJ70" t="str">
        <f>IF(NOT(ISERROR(HLOOKUP(Standings!CJ$3,Entries!$C45:$K45,1,FALSE))),"x",IF(NOT(ISERROR(HLOOKUP(Standings!CJ$3,Entries!$L45:$L45,1,FALSE))),"S",""))</f>
        <v/>
      </c>
      <c r="CK70" t="str">
        <f>IF(NOT(ISERROR(HLOOKUP(Standings!CK$3,Entries!$C45:$K45,1,FALSE))),"x",IF(NOT(ISERROR(HLOOKUP(Standings!CK$3,Entries!$L45:$L45,1,FALSE))),"S",""))</f>
        <v/>
      </c>
      <c r="CL70" t="str">
        <f>IF(NOT(ISERROR(HLOOKUP(Standings!CL$3,Entries!$C45:$K45,1,FALSE))),"x",IF(NOT(ISERROR(HLOOKUP(Standings!CL$3,Entries!$L45:$L45,1,FALSE))),"S",""))</f>
        <v>x</v>
      </c>
      <c r="CM70" t="str">
        <f>IF(NOT(ISERROR(HLOOKUP(Standings!CM$3,Entries!$C45:$K45,1,FALSE))),"x",IF(NOT(ISERROR(HLOOKUP(Standings!CM$3,Entries!$L45:$L45,1,FALSE))),"S",""))</f>
        <v/>
      </c>
      <c r="CN70" t="str">
        <f>IF(NOT(ISERROR(HLOOKUP(Standings!CN$3,Entries!$C45:$K45,1,FALSE))),"x",IF(NOT(ISERROR(HLOOKUP(Standings!CN$3,Entries!$L45:$L45,1,FALSE))),"S",""))</f>
        <v/>
      </c>
      <c r="CO70" t="str">
        <f>IF(NOT(ISERROR(HLOOKUP(Standings!CO$3,Entries!$C45:$K45,1,FALSE))),"x",IF(NOT(ISERROR(HLOOKUP(Standings!CO$3,Entries!$L45:$L45,1,FALSE))),"S",""))</f>
        <v/>
      </c>
      <c r="CP70" t="str">
        <f>IF(NOT(ISERROR(HLOOKUP(Standings!CP$3,Entries!$C45:$K45,1,FALSE))),"x",IF(NOT(ISERROR(HLOOKUP(Standings!CP$3,Entries!$L45:$L45,1,FALSE))),"S",""))</f>
        <v/>
      </c>
      <c r="CQ70" t="str">
        <f>IF(NOT(ISERROR(HLOOKUP(Standings!CQ$3,Entries!$C45:$K45,1,FALSE))),"x",IF(NOT(ISERROR(HLOOKUP(Standings!CQ$3,Entries!$L45:$L45,1,FALSE))),"S",""))</f>
        <v/>
      </c>
      <c r="CR70" t="str">
        <f>IF(NOT(ISERROR(HLOOKUP(Standings!CR$3,Entries!$C45:$K45,1,FALSE))),"x",IF(NOT(ISERROR(HLOOKUP(Standings!CR$3,Entries!$L45:$L45,1,FALSE))),"S",""))</f>
        <v/>
      </c>
      <c r="CS70" t="str">
        <f>IF(NOT(ISERROR(HLOOKUP(Standings!CS$3,Entries!$C45:$K45,1,FALSE))),"x",IF(NOT(ISERROR(HLOOKUP(Standings!CS$3,Entries!$L45:$L45,1,FALSE))),"S",""))</f>
        <v/>
      </c>
      <c r="CT70" t="str">
        <f>IF(NOT(ISERROR(HLOOKUP(Standings!CT$3,Entries!$C45:$K45,1,FALSE))),"x",IF(NOT(ISERROR(HLOOKUP(Standings!CT$3,Entries!$L45:$L45,1,FALSE))),"S",""))</f>
        <v/>
      </c>
      <c r="CU70" t="str">
        <f>IF(NOT(ISERROR(HLOOKUP(Standings!CU$3,Entries!$C45:$K45,1,FALSE))),"x",IF(NOT(ISERROR(HLOOKUP(Standings!CU$3,Entries!$L45:$L45,1,FALSE))),"S",""))</f>
        <v/>
      </c>
      <c r="CV70" t="str">
        <f>IF(NOT(ISERROR(HLOOKUP(Standings!CV$3,Entries!$C45:$K45,1,FALSE))),"x",IF(NOT(ISERROR(HLOOKUP(Standings!CV$3,Entries!$L45:$L45,1,FALSE))),"S",""))</f>
        <v/>
      </c>
      <c r="CW70" t="str">
        <f>IF(NOT(ISERROR(HLOOKUP(Standings!CW$3,Entries!$C45:$K45,1,FALSE))),"x",IF(NOT(ISERROR(HLOOKUP(Standings!CW$3,Entries!$L45:$L45,1,FALSE))),"S",""))</f>
        <v/>
      </c>
      <c r="CX70" t="str">
        <f>IF(NOT(ISERROR(HLOOKUP(Standings!CX$3,Entries!$C45:$K45,1,FALSE))),"x",IF(NOT(ISERROR(HLOOKUP(Standings!CX$3,Entries!$L45:$L45,1,FALSE))),"S",""))</f>
        <v/>
      </c>
      <c r="CY70" t="str">
        <f>IF(NOT(ISERROR(HLOOKUP(Standings!CY$3,Entries!$C45:$K45,1,FALSE))),"x",IF(NOT(ISERROR(HLOOKUP(Standings!CY$3,Entries!$L45:$L45,1,FALSE))),"S",""))</f>
        <v/>
      </c>
      <c r="CZ70" t="str">
        <f>IF(NOT(ISERROR(HLOOKUP(Standings!CZ$3,Entries!$C45:$K45,1,FALSE))),"x",IF(NOT(ISERROR(HLOOKUP(Standings!CZ$3,Entries!$L45:$L45,1,FALSE))),"S",""))</f>
        <v>x</v>
      </c>
      <c r="DA70" t="str">
        <f>IF(NOT(ISERROR(HLOOKUP(Standings!DA$3,Entries!$C45:$K45,1,FALSE))),"x",IF(NOT(ISERROR(HLOOKUP(Standings!DA$3,Entries!$L45:$L45,1,FALSE))),"S",""))</f>
        <v/>
      </c>
      <c r="DB70" t="str">
        <f>IF(NOT(ISERROR(HLOOKUP(Standings!DB$3,Entries!$C45:$K45,1,FALSE))),"x",IF(NOT(ISERROR(HLOOKUP(Standings!DB$3,Entries!$L45:$L45,1,FALSE))),"S",""))</f>
        <v/>
      </c>
    </row>
    <row r="71" spans="1:106" x14ac:dyDescent="0.25">
      <c r="A71" s="18"/>
      <c r="B71">
        <v>48</v>
      </c>
      <c r="C71" t="str">
        <f>Entries!B47</f>
        <v>Marissa Cleaveland</v>
      </c>
      <c r="D71" s="4">
        <f>IF(C71="","",RANK(E71,$E$10:$E$111))</f>
        <v>89</v>
      </c>
      <c r="E71" s="31">
        <f t="shared" si="50"/>
        <v>0</v>
      </c>
      <c r="F71" s="40" t="str">
        <f t="shared" si="49"/>
        <v/>
      </c>
      <c r="G71" s="41" t="str">
        <f t="shared" si="2"/>
        <v/>
      </c>
      <c r="H71" s="41" t="str">
        <f t="shared" si="3"/>
        <v/>
      </c>
      <c r="I71" s="42" t="str">
        <f t="shared" si="4"/>
        <v/>
      </c>
      <c r="J71" s="40">
        <f t="shared" si="5"/>
        <v>1</v>
      </c>
      <c r="K71" s="41" t="str">
        <f t="shared" si="6"/>
        <v/>
      </c>
      <c r="L71" s="41" t="str">
        <f t="shared" si="7"/>
        <v/>
      </c>
      <c r="M71" s="42" t="str">
        <f t="shared" si="8"/>
        <v/>
      </c>
      <c r="N71" s="43" t="str">
        <f t="shared" si="9"/>
        <v/>
      </c>
      <c r="O71" s="41" t="str">
        <f t="shared" si="10"/>
        <v/>
      </c>
      <c r="P71" s="41" t="str">
        <f t="shared" si="11"/>
        <v/>
      </c>
      <c r="Q71" s="42" t="str">
        <f t="shared" si="12"/>
        <v/>
      </c>
      <c r="R71" s="40" t="str">
        <f t="shared" si="13"/>
        <v/>
      </c>
      <c r="S71" s="41" t="str">
        <f t="shared" si="14"/>
        <v/>
      </c>
      <c r="T71" s="43" t="str">
        <f t="shared" si="15"/>
        <v/>
      </c>
      <c r="U71" s="42" t="str">
        <f t="shared" si="16"/>
        <v/>
      </c>
      <c r="V71" s="40" t="str">
        <f t="shared" si="17"/>
        <v/>
      </c>
      <c r="W71" s="41" t="str">
        <f t="shared" si="18"/>
        <v/>
      </c>
      <c r="X71" s="41" t="str">
        <f t="shared" si="19"/>
        <v/>
      </c>
      <c r="Y71" s="42">
        <f t="shared" si="20"/>
        <v>0</v>
      </c>
      <c r="Z71" s="40" t="str">
        <f t="shared" si="21"/>
        <v/>
      </c>
      <c r="AA71" s="41" t="str">
        <f t="shared" si="22"/>
        <v/>
      </c>
      <c r="AB71" s="41" t="str">
        <f t="shared" si="23"/>
        <v/>
      </c>
      <c r="AC71" s="42">
        <f t="shared" si="24"/>
        <v>-2.0000100000000001</v>
      </c>
      <c r="AD71" s="40" t="str">
        <f t="shared" si="25"/>
        <v/>
      </c>
      <c r="AE71" s="41">
        <f t="shared" si="26"/>
        <v>1</v>
      </c>
      <c r="AF71" s="41" t="str">
        <f t="shared" si="27"/>
        <v/>
      </c>
      <c r="AG71" s="42" t="str">
        <f t="shared" si="28"/>
        <v/>
      </c>
      <c r="AH71" s="40" t="str">
        <f t="shared" si="29"/>
        <v/>
      </c>
      <c r="AI71" s="41" t="str">
        <f t="shared" si="30"/>
        <v/>
      </c>
      <c r="AJ71" s="41" t="str">
        <f t="shared" si="31"/>
        <v/>
      </c>
      <c r="AK71" s="42" t="str">
        <f t="shared" si="32"/>
        <v/>
      </c>
      <c r="AL71" s="40">
        <f t="shared" si="33"/>
        <v>0</v>
      </c>
      <c r="AM71" s="41" t="str">
        <f t="shared" si="34"/>
        <v/>
      </c>
      <c r="AN71" s="41" t="str">
        <f t="shared" si="35"/>
        <v/>
      </c>
      <c r="AO71" s="42" t="str">
        <f t="shared" si="36"/>
        <v/>
      </c>
      <c r="AP71" s="40" t="str">
        <f t="shared" si="37"/>
        <v/>
      </c>
      <c r="AQ71" s="41" t="str">
        <f t="shared" si="38"/>
        <v/>
      </c>
      <c r="AR71" s="41" t="str">
        <f t="shared" si="39"/>
        <v/>
      </c>
      <c r="AS71" s="42" t="str">
        <f t="shared" si="40"/>
        <v/>
      </c>
      <c r="AT71" s="40" t="str">
        <f t="shared" si="41"/>
        <v/>
      </c>
      <c r="AU71" s="41" t="str">
        <f t="shared" si="42"/>
        <v/>
      </c>
      <c r="AV71" s="41" t="str">
        <f t="shared" si="43"/>
        <v/>
      </c>
      <c r="AW71" s="42" t="str">
        <f t="shared" si="44"/>
        <v/>
      </c>
      <c r="AX71" s="40" t="str">
        <f t="shared" si="45"/>
        <v/>
      </c>
      <c r="AY71" s="41" t="str">
        <f t="shared" si="46"/>
        <v/>
      </c>
      <c r="AZ71" s="41" t="str">
        <f t="shared" si="47"/>
        <v/>
      </c>
      <c r="BA71" s="42" t="str">
        <f t="shared" si="48"/>
        <v/>
      </c>
      <c r="BB71" s="37" t="s">
        <v>106</v>
      </c>
      <c r="BC71" s="21"/>
      <c r="BD71" s="21"/>
      <c r="BG71" t="str">
        <f>IF(NOT(ISERROR(HLOOKUP(Standings!BG$3,Entries!$C47:$K47,1,FALSE))),"x",IF(NOT(ISERROR(HLOOKUP(Standings!BG$3,Entries!$L47:$L47,1,FALSE))),"S",""))</f>
        <v/>
      </c>
      <c r="BH71" t="str">
        <f>IF(NOT(ISERROR(HLOOKUP(Standings!BH$3,Entries!$C47:$K47,1,FALSE))),"x",IF(NOT(ISERROR(HLOOKUP(Standings!BH$3,Entries!$L47:$L47,1,FALSE))),"S",""))</f>
        <v/>
      </c>
      <c r="BI71" t="str">
        <f>IF(NOT(ISERROR(HLOOKUP(Standings!BI$3,Entries!$C47:$K47,1,FALSE))),"x",IF(NOT(ISERROR(HLOOKUP(Standings!BI$3,Entries!$L47:$L47,1,FALSE))),"S",""))</f>
        <v/>
      </c>
      <c r="BJ71" t="str">
        <f>IF(NOT(ISERROR(HLOOKUP(Standings!BJ$3,Entries!$C47:$K47,1,FALSE))),"x",IF(NOT(ISERROR(HLOOKUP(Standings!BJ$3,Entries!$L47:$L47,1,FALSE))),"S",""))</f>
        <v/>
      </c>
      <c r="BK71" t="str">
        <f>IF(NOT(ISERROR(HLOOKUP(Standings!BK$3,Entries!$C47:$K47,1,FALSE))),"x",IF(NOT(ISERROR(HLOOKUP(Standings!BK$3,Entries!$L47:$L47,1,FALSE))),"S",""))</f>
        <v>x</v>
      </c>
      <c r="BL71" t="str">
        <f>IF(NOT(ISERROR(HLOOKUP(Standings!BL$3,Entries!$C47:$K47,1,FALSE))),"x",IF(NOT(ISERROR(HLOOKUP(Standings!BL$3,Entries!$L47:$L47,1,FALSE))),"S",""))</f>
        <v/>
      </c>
      <c r="BM71" t="str">
        <f>IF(NOT(ISERROR(HLOOKUP(Standings!BM$3,Entries!$C47:$K47,1,FALSE))),"x",IF(NOT(ISERROR(HLOOKUP(Standings!BM$3,Entries!$L47:$L47,1,FALSE))),"S",""))</f>
        <v/>
      </c>
      <c r="BN71" t="str">
        <f>IF(NOT(ISERROR(HLOOKUP(Standings!BN$3,Entries!$C47:$K47,1,FALSE))),"x",IF(NOT(ISERROR(HLOOKUP(Standings!BN$3,Entries!$L47:$L47,1,FALSE))),"S",""))</f>
        <v/>
      </c>
      <c r="BO71" t="str">
        <f>IF(NOT(ISERROR(HLOOKUP(Standings!BO$3,Entries!$C47:$K47,1,FALSE))),"x",IF(NOT(ISERROR(HLOOKUP(Standings!BO$3,Entries!$L47:$L47,1,FALSE))),"S",""))</f>
        <v/>
      </c>
      <c r="BP71" t="str">
        <f>IF(NOT(ISERROR(HLOOKUP(Standings!BP$3,Entries!$C47:$K47,1,FALSE))),"x",IF(NOT(ISERROR(HLOOKUP(Standings!BP$3,Entries!$L47:$L47,1,FALSE))),"S",""))</f>
        <v/>
      </c>
      <c r="BQ71" t="str">
        <f>IF(NOT(ISERROR(HLOOKUP(Standings!BQ$3,Entries!$C47:$K47,1,FALSE))),"x",IF(NOT(ISERROR(HLOOKUP(Standings!BQ$3,Entries!$L47:$L47,1,FALSE))),"S",""))</f>
        <v/>
      </c>
      <c r="BR71" t="str">
        <f>IF(NOT(ISERROR(HLOOKUP(Standings!BR$3,Entries!$C47:$K47,1,FALSE))),"x",IF(NOT(ISERROR(HLOOKUP(Standings!BR$3,Entries!$L47:$L47,1,FALSE))),"S",""))</f>
        <v/>
      </c>
      <c r="BS71" t="str">
        <f>IF(NOT(ISERROR(HLOOKUP(Standings!BS$3,Entries!$C47:$K47,1,FALSE))),"x",IF(NOT(ISERROR(HLOOKUP(Standings!BS$3,Entries!$L47:$L47,1,FALSE))),"S",""))</f>
        <v/>
      </c>
      <c r="BT71" t="str">
        <f>IF(NOT(ISERROR(HLOOKUP(Standings!BT$3,Entries!$C47:$K47,1,FALSE))),"x",IF(NOT(ISERROR(HLOOKUP(Standings!BT$3,Entries!$L47:$L47,1,FALSE))),"S",""))</f>
        <v/>
      </c>
      <c r="BU71" t="str">
        <f>IF(NOT(ISERROR(HLOOKUP(Standings!BU$3,Entries!$C47:$K47,1,FALSE))),"x",IF(NOT(ISERROR(HLOOKUP(Standings!BU$3,Entries!$L47:$L47,1,FALSE))),"S",""))</f>
        <v/>
      </c>
      <c r="BV71" t="str">
        <f>IF(NOT(ISERROR(HLOOKUP(Standings!BV$3,Entries!$C47:$K47,1,FALSE))),"x",IF(NOT(ISERROR(HLOOKUP(Standings!BV$3,Entries!$L47:$L47,1,FALSE))),"S",""))</f>
        <v/>
      </c>
      <c r="BW71" t="str">
        <f>IF(NOT(ISERROR(HLOOKUP(Standings!BW$3,Entries!$C47:$K47,1,FALSE))),"x",IF(NOT(ISERROR(HLOOKUP(Standings!BW$3,Entries!$L47:$L47,1,FALSE))),"S",""))</f>
        <v/>
      </c>
      <c r="BX71" t="str">
        <f>IF(NOT(ISERROR(HLOOKUP(Standings!BX$3,Entries!$C47:$K47,1,FALSE))),"x",IF(NOT(ISERROR(HLOOKUP(Standings!BX$3,Entries!$L47:$L47,1,FALSE))),"S",""))</f>
        <v/>
      </c>
      <c r="BY71" t="str">
        <f>IF(NOT(ISERROR(HLOOKUP(Standings!BY$3,Entries!$C47:$K47,1,FALSE))),"x",IF(NOT(ISERROR(HLOOKUP(Standings!BY$3,Entries!$L47:$L47,1,FALSE))),"S",""))</f>
        <v/>
      </c>
      <c r="BZ71" t="str">
        <f>IF(NOT(ISERROR(HLOOKUP(Standings!BZ$3,Entries!$C47:$K47,1,FALSE))),"x",IF(NOT(ISERROR(HLOOKUP(Standings!BZ$3,Entries!$L47:$L47,1,FALSE))),"S",""))</f>
        <v>x</v>
      </c>
      <c r="CA71" t="str">
        <f>IF(NOT(ISERROR(HLOOKUP(Standings!CA$3,Entries!$C47:$K47,1,FALSE))),"x",IF(NOT(ISERROR(HLOOKUP(Standings!CA$3,Entries!$L47:$L47,1,FALSE))),"S",""))</f>
        <v/>
      </c>
      <c r="CB71" t="str">
        <f>IF(NOT(ISERROR(HLOOKUP(Standings!CB$3,Entries!$C47:$K47,1,FALSE))),"x",IF(NOT(ISERROR(HLOOKUP(Standings!CB$3,Entries!$L47:$L47,1,FALSE))),"S",""))</f>
        <v/>
      </c>
      <c r="CC71" t="str">
        <f>IF(NOT(ISERROR(HLOOKUP(Standings!CC$3,Entries!$C47:$K47,1,FALSE))),"x",IF(NOT(ISERROR(HLOOKUP(Standings!CC$3,Entries!$L47:$L47,1,FALSE))),"S",""))</f>
        <v/>
      </c>
      <c r="CD71" t="str">
        <f>IF(NOT(ISERROR(HLOOKUP(Standings!CD$3,Entries!$C47:$K47,1,FALSE))),"x",IF(NOT(ISERROR(HLOOKUP(Standings!CD$3,Entries!$L47:$L47,1,FALSE))),"S",""))</f>
        <v>S</v>
      </c>
      <c r="CE71" t="str">
        <f>IF(NOT(ISERROR(HLOOKUP(Standings!CE$3,Entries!$C47:$K47,1,FALSE))),"x",IF(NOT(ISERROR(HLOOKUP(Standings!CE$3,Entries!$L47:$L47,1,FALSE))),"S",""))</f>
        <v/>
      </c>
      <c r="CF71" t="str">
        <f>IF(NOT(ISERROR(HLOOKUP(Standings!CF$3,Entries!$C47:$K47,1,FALSE))),"x",IF(NOT(ISERROR(HLOOKUP(Standings!CF$3,Entries!$L47:$L47,1,FALSE))),"S",""))</f>
        <v>x</v>
      </c>
      <c r="CG71" t="str">
        <f>IF(NOT(ISERROR(HLOOKUP(Standings!CG$3,Entries!$C47:$K47,1,FALSE))),"x",IF(NOT(ISERROR(HLOOKUP(Standings!CG$3,Entries!$L47:$L47,1,FALSE))),"S",""))</f>
        <v/>
      </c>
      <c r="CH71" t="str">
        <f>IF(NOT(ISERROR(HLOOKUP(Standings!CH$3,Entries!$C47:$K47,1,FALSE))),"x",IF(NOT(ISERROR(HLOOKUP(Standings!CH$3,Entries!$L47:$L47,1,FALSE))),"S",""))</f>
        <v/>
      </c>
      <c r="CI71" t="str">
        <f>IF(NOT(ISERROR(HLOOKUP(Standings!CI$3,Entries!$C47:$K47,1,FALSE))),"x",IF(NOT(ISERROR(HLOOKUP(Standings!CI$3,Entries!$L47:$L47,1,FALSE))),"S",""))</f>
        <v/>
      </c>
      <c r="CJ71" t="str">
        <f>IF(NOT(ISERROR(HLOOKUP(Standings!CJ$3,Entries!$C47:$K47,1,FALSE))),"x",IF(NOT(ISERROR(HLOOKUP(Standings!CJ$3,Entries!$L47:$L47,1,FALSE))),"S",""))</f>
        <v/>
      </c>
      <c r="CK71" t="str">
        <f>IF(NOT(ISERROR(HLOOKUP(Standings!CK$3,Entries!$C47:$K47,1,FALSE))),"x",IF(NOT(ISERROR(HLOOKUP(Standings!CK$3,Entries!$L47:$L47,1,FALSE))),"S",""))</f>
        <v/>
      </c>
      <c r="CL71" t="str">
        <f>IF(NOT(ISERROR(HLOOKUP(Standings!CL$3,Entries!$C47:$K47,1,FALSE))),"x",IF(NOT(ISERROR(HLOOKUP(Standings!CL$3,Entries!$L47:$L47,1,FALSE))),"S",""))</f>
        <v/>
      </c>
      <c r="CM71" t="str">
        <f>IF(NOT(ISERROR(HLOOKUP(Standings!CM$3,Entries!$C47:$K47,1,FALSE))),"x",IF(NOT(ISERROR(HLOOKUP(Standings!CM$3,Entries!$L47:$L47,1,FALSE))),"S",""))</f>
        <v>x</v>
      </c>
      <c r="CN71" t="str">
        <f>IF(NOT(ISERROR(HLOOKUP(Standings!CN$3,Entries!$C47:$K47,1,FALSE))),"x",IF(NOT(ISERROR(HLOOKUP(Standings!CN$3,Entries!$L47:$L47,1,FALSE))),"S",""))</f>
        <v/>
      </c>
      <c r="CO71" t="str">
        <f>IF(NOT(ISERROR(HLOOKUP(Standings!CO$3,Entries!$C47:$K47,1,FALSE))),"x",IF(NOT(ISERROR(HLOOKUP(Standings!CO$3,Entries!$L47:$L47,1,FALSE))),"S",""))</f>
        <v/>
      </c>
      <c r="CP71" t="str">
        <f>IF(NOT(ISERROR(HLOOKUP(Standings!CP$3,Entries!$C47:$K47,1,FALSE))),"x",IF(NOT(ISERROR(HLOOKUP(Standings!CP$3,Entries!$L47:$L47,1,FALSE))),"S",""))</f>
        <v/>
      </c>
      <c r="CQ71" t="str">
        <f>IF(NOT(ISERROR(HLOOKUP(Standings!CQ$3,Entries!$C47:$K47,1,FALSE))),"x",IF(NOT(ISERROR(HLOOKUP(Standings!CQ$3,Entries!$L47:$L47,1,FALSE))),"S",""))</f>
        <v/>
      </c>
      <c r="CR71" t="str">
        <f>IF(NOT(ISERROR(HLOOKUP(Standings!CR$3,Entries!$C47:$K47,1,FALSE))),"x",IF(NOT(ISERROR(HLOOKUP(Standings!CR$3,Entries!$L47:$L47,1,FALSE))),"S",""))</f>
        <v/>
      </c>
      <c r="CS71" t="str">
        <f>IF(NOT(ISERROR(HLOOKUP(Standings!CS$3,Entries!$C47:$K47,1,FALSE))),"x",IF(NOT(ISERROR(HLOOKUP(Standings!CS$3,Entries!$L47:$L47,1,FALSE))),"S",""))</f>
        <v/>
      </c>
      <c r="CT71" t="str">
        <f>IF(NOT(ISERROR(HLOOKUP(Standings!CT$3,Entries!$C47:$K47,1,FALSE))),"x",IF(NOT(ISERROR(HLOOKUP(Standings!CT$3,Entries!$L47:$L47,1,FALSE))),"S",""))</f>
        <v/>
      </c>
      <c r="CU71" t="str">
        <f>IF(NOT(ISERROR(HLOOKUP(Standings!CU$3,Entries!$C47:$K47,1,FALSE))),"x",IF(NOT(ISERROR(HLOOKUP(Standings!CU$3,Entries!$L47:$L47,1,FALSE))),"S",""))</f>
        <v/>
      </c>
      <c r="CV71" t="str">
        <f>IF(NOT(ISERROR(HLOOKUP(Standings!CV$3,Entries!$C47:$K47,1,FALSE))),"x",IF(NOT(ISERROR(HLOOKUP(Standings!CV$3,Entries!$L47:$L47,1,FALSE))),"S",""))</f>
        <v/>
      </c>
      <c r="CW71" t="str">
        <f>IF(NOT(ISERROR(HLOOKUP(Standings!CW$3,Entries!$C47:$K47,1,FALSE))),"x",IF(NOT(ISERROR(HLOOKUP(Standings!CW$3,Entries!$L47:$L47,1,FALSE))),"S",""))</f>
        <v/>
      </c>
      <c r="CX71" t="str">
        <f>IF(NOT(ISERROR(HLOOKUP(Standings!CX$3,Entries!$C47:$K47,1,FALSE))),"x",IF(NOT(ISERROR(HLOOKUP(Standings!CX$3,Entries!$L47:$L47,1,FALSE))),"S",""))</f>
        <v/>
      </c>
      <c r="CY71" t="str">
        <f>IF(NOT(ISERROR(HLOOKUP(Standings!CY$3,Entries!$C47:$K47,1,FALSE))),"x",IF(NOT(ISERROR(HLOOKUP(Standings!CY$3,Entries!$L47:$L47,1,FALSE))),"S",""))</f>
        <v/>
      </c>
      <c r="CZ71" t="str">
        <f>IF(NOT(ISERROR(HLOOKUP(Standings!CZ$3,Entries!$C47:$K47,1,FALSE))),"x",IF(NOT(ISERROR(HLOOKUP(Standings!CZ$3,Entries!$L47:$L47,1,FALSE))),"S",""))</f>
        <v/>
      </c>
      <c r="DA71" t="str">
        <f>IF(NOT(ISERROR(HLOOKUP(Standings!DA$3,Entries!$C47:$K47,1,FALSE))),"x",IF(NOT(ISERROR(HLOOKUP(Standings!DA$3,Entries!$L47:$L47,1,FALSE))),"S",""))</f>
        <v/>
      </c>
      <c r="DB71" t="str">
        <f>IF(NOT(ISERROR(HLOOKUP(Standings!DB$3,Entries!$C47:$K47,1,FALSE))),"x",IF(NOT(ISERROR(HLOOKUP(Standings!DB$3,Entries!$L47:$L47,1,FALSE))),"S",""))</f>
        <v/>
      </c>
    </row>
    <row r="72" spans="1:106" x14ac:dyDescent="0.25">
      <c r="B72">
        <v>71</v>
      </c>
      <c r="C72" t="str">
        <f>Entries!B48</f>
        <v>Henry Cleaveland</v>
      </c>
      <c r="D72" s="4">
        <f>IF(C72="","",RANK(E72,$E$10:$E$111))</f>
        <v>55</v>
      </c>
      <c r="E72" s="31">
        <f t="shared" si="50"/>
        <v>3</v>
      </c>
      <c r="F72" s="40" t="str">
        <f t="shared" si="49"/>
        <v/>
      </c>
      <c r="G72" s="41" t="str">
        <f t="shared" si="2"/>
        <v/>
      </c>
      <c r="H72" s="41" t="str">
        <f t="shared" si="3"/>
        <v/>
      </c>
      <c r="I72" s="42" t="str">
        <f t="shared" si="4"/>
        <v/>
      </c>
      <c r="J72" s="40" t="str">
        <f t="shared" si="5"/>
        <v/>
      </c>
      <c r="K72" s="41" t="str">
        <f t="shared" si="6"/>
        <v/>
      </c>
      <c r="L72" s="41" t="str">
        <f t="shared" si="7"/>
        <v/>
      </c>
      <c r="M72" s="42" t="str">
        <f t="shared" si="8"/>
        <v/>
      </c>
      <c r="N72" s="43" t="str">
        <f t="shared" si="9"/>
        <v/>
      </c>
      <c r="O72" s="41">
        <f t="shared" si="10"/>
        <v>1</v>
      </c>
      <c r="P72" s="41" t="str">
        <f t="shared" si="11"/>
        <v/>
      </c>
      <c r="Q72" s="42">
        <f t="shared" si="12"/>
        <v>2</v>
      </c>
      <c r="R72" s="40" t="str">
        <f t="shared" si="13"/>
        <v/>
      </c>
      <c r="S72" s="41" t="str">
        <f t="shared" si="14"/>
        <v/>
      </c>
      <c r="T72" s="43" t="str">
        <f t="shared" si="15"/>
        <v/>
      </c>
      <c r="U72" s="42">
        <f t="shared" si="16"/>
        <v>0</v>
      </c>
      <c r="V72" s="40" t="str">
        <f t="shared" si="17"/>
        <v/>
      </c>
      <c r="W72" s="41" t="str">
        <f t="shared" si="18"/>
        <v/>
      </c>
      <c r="X72" s="41" t="str">
        <f t="shared" si="19"/>
        <v/>
      </c>
      <c r="Y72" s="42" t="str">
        <f t="shared" si="20"/>
        <v/>
      </c>
      <c r="Z72" s="40" t="str">
        <f t="shared" si="21"/>
        <v/>
      </c>
      <c r="AA72" s="41" t="str">
        <f t="shared" si="22"/>
        <v/>
      </c>
      <c r="AB72" s="41" t="str">
        <f t="shared" si="23"/>
        <v/>
      </c>
      <c r="AC72" s="42" t="str">
        <f t="shared" si="24"/>
        <v/>
      </c>
      <c r="AD72" s="40" t="str">
        <f t="shared" si="25"/>
        <v/>
      </c>
      <c r="AE72" s="41" t="str">
        <f t="shared" si="26"/>
        <v/>
      </c>
      <c r="AF72" s="41" t="str">
        <f t="shared" si="27"/>
        <v/>
      </c>
      <c r="AG72" s="42" t="str">
        <f t="shared" si="28"/>
        <v/>
      </c>
      <c r="AH72" s="40" t="str">
        <f t="shared" si="29"/>
        <v/>
      </c>
      <c r="AI72" s="41" t="str">
        <f t="shared" si="30"/>
        <v/>
      </c>
      <c r="AJ72" s="41" t="str">
        <f t="shared" si="31"/>
        <v/>
      </c>
      <c r="AK72" s="42" t="str">
        <f t="shared" si="32"/>
        <v/>
      </c>
      <c r="AL72" s="40" t="str">
        <f t="shared" si="33"/>
        <v/>
      </c>
      <c r="AM72" s="41" t="str">
        <f t="shared" si="34"/>
        <v/>
      </c>
      <c r="AN72" s="41" t="str">
        <f t="shared" si="35"/>
        <v/>
      </c>
      <c r="AO72" s="42" t="str">
        <f t="shared" si="36"/>
        <v/>
      </c>
      <c r="AP72" s="40" t="str">
        <f t="shared" si="37"/>
        <v/>
      </c>
      <c r="AQ72" s="41" t="str">
        <f t="shared" si="38"/>
        <v/>
      </c>
      <c r="AR72" s="41" t="str">
        <f t="shared" si="39"/>
        <v/>
      </c>
      <c r="AS72" s="42" t="str">
        <f t="shared" si="40"/>
        <v/>
      </c>
      <c r="AT72" s="40">
        <f t="shared" si="41"/>
        <v>0</v>
      </c>
      <c r="AU72" s="41" t="str">
        <f t="shared" si="42"/>
        <v/>
      </c>
      <c r="AV72" s="41" t="str">
        <f t="shared" si="43"/>
        <v/>
      </c>
      <c r="AW72" s="42" t="str">
        <f t="shared" si="44"/>
        <v/>
      </c>
      <c r="AX72" s="40" t="str">
        <f t="shared" si="45"/>
        <v/>
      </c>
      <c r="AY72" s="41" t="str">
        <f t="shared" si="46"/>
        <v/>
      </c>
      <c r="AZ72" s="41" t="str">
        <f t="shared" si="47"/>
        <v/>
      </c>
      <c r="BA72" s="42" t="str">
        <f t="shared" si="48"/>
        <v/>
      </c>
      <c r="BB72" s="37" t="s">
        <v>106</v>
      </c>
      <c r="BC72" s="21"/>
      <c r="BD72" s="21"/>
      <c r="BG72" t="str">
        <f>IF(NOT(ISERROR(HLOOKUP(Standings!BG$3,Entries!$C48:$K48,1,FALSE))),"x",IF(NOT(ISERROR(HLOOKUP(Standings!BG$3,Entries!$L48:$L48,1,FALSE))),"S",""))</f>
        <v/>
      </c>
      <c r="BH72" t="str">
        <f>IF(NOT(ISERROR(HLOOKUP(Standings!BH$3,Entries!$C48:$K48,1,FALSE))),"x",IF(NOT(ISERROR(HLOOKUP(Standings!BH$3,Entries!$L48:$L48,1,FALSE))),"S",""))</f>
        <v/>
      </c>
      <c r="BI72" t="str">
        <f>IF(NOT(ISERROR(HLOOKUP(Standings!BI$3,Entries!$C48:$K48,1,FALSE))),"x",IF(NOT(ISERROR(HLOOKUP(Standings!BI$3,Entries!$L48:$L48,1,FALSE))),"S",""))</f>
        <v/>
      </c>
      <c r="BJ72" t="str">
        <f>IF(NOT(ISERROR(HLOOKUP(Standings!BJ$3,Entries!$C48:$K48,1,FALSE))),"x",IF(NOT(ISERROR(HLOOKUP(Standings!BJ$3,Entries!$L48:$L48,1,FALSE))),"S",""))</f>
        <v/>
      </c>
      <c r="BK72" t="str">
        <f>IF(NOT(ISERROR(HLOOKUP(Standings!BK$3,Entries!$C48:$K48,1,FALSE))),"x",IF(NOT(ISERROR(HLOOKUP(Standings!BK$3,Entries!$L48:$L48,1,FALSE))),"S",""))</f>
        <v/>
      </c>
      <c r="BL72" t="str">
        <f>IF(NOT(ISERROR(HLOOKUP(Standings!BL$3,Entries!$C48:$K48,1,FALSE))),"x",IF(NOT(ISERROR(HLOOKUP(Standings!BL$3,Entries!$L48:$L48,1,FALSE))),"S",""))</f>
        <v/>
      </c>
      <c r="BM72" t="str">
        <f>IF(NOT(ISERROR(HLOOKUP(Standings!BM$3,Entries!$C48:$K48,1,FALSE))),"x",IF(NOT(ISERROR(HLOOKUP(Standings!BM$3,Entries!$L48:$L48,1,FALSE))),"S",""))</f>
        <v/>
      </c>
      <c r="BN72" t="str">
        <f>IF(NOT(ISERROR(HLOOKUP(Standings!BN$3,Entries!$C48:$K48,1,FALSE))),"x",IF(NOT(ISERROR(HLOOKUP(Standings!BN$3,Entries!$L48:$L48,1,FALSE))),"S",""))</f>
        <v/>
      </c>
      <c r="BO72" t="str">
        <f>IF(NOT(ISERROR(HLOOKUP(Standings!BO$3,Entries!$C48:$K48,1,FALSE))),"x",IF(NOT(ISERROR(HLOOKUP(Standings!BO$3,Entries!$L48:$L48,1,FALSE))),"S",""))</f>
        <v/>
      </c>
      <c r="BP72" t="str">
        <f>IF(NOT(ISERROR(HLOOKUP(Standings!BP$3,Entries!$C48:$K48,1,FALSE))),"x",IF(NOT(ISERROR(HLOOKUP(Standings!BP$3,Entries!$L48:$L48,1,FALSE))),"S",""))</f>
        <v>x</v>
      </c>
      <c r="BQ72" t="str">
        <f>IF(NOT(ISERROR(HLOOKUP(Standings!BQ$3,Entries!$C48:$K48,1,FALSE))),"x",IF(NOT(ISERROR(HLOOKUP(Standings!BQ$3,Entries!$L48:$L48,1,FALSE))),"S",""))</f>
        <v/>
      </c>
      <c r="BR72" t="str">
        <f>IF(NOT(ISERROR(HLOOKUP(Standings!BR$3,Entries!$C48:$K48,1,FALSE))),"x",IF(NOT(ISERROR(HLOOKUP(Standings!BR$3,Entries!$L48:$L48,1,FALSE))),"S",""))</f>
        <v>x</v>
      </c>
      <c r="BS72" t="str">
        <f>IF(NOT(ISERROR(HLOOKUP(Standings!BS$3,Entries!$C48:$K48,1,FALSE))),"x",IF(NOT(ISERROR(HLOOKUP(Standings!BS$3,Entries!$L48:$L48,1,FALSE))),"S",""))</f>
        <v/>
      </c>
      <c r="BT72" t="str">
        <f>IF(NOT(ISERROR(HLOOKUP(Standings!BT$3,Entries!$C48:$K48,1,FALSE))),"x",IF(NOT(ISERROR(HLOOKUP(Standings!BT$3,Entries!$L48:$L48,1,FALSE))),"S",""))</f>
        <v/>
      </c>
      <c r="BU72" t="str">
        <f>IF(NOT(ISERROR(HLOOKUP(Standings!BU$3,Entries!$C48:$K48,1,FALSE))),"x",IF(NOT(ISERROR(HLOOKUP(Standings!BU$3,Entries!$L48:$L48,1,FALSE))),"S",""))</f>
        <v/>
      </c>
      <c r="BV72" t="str">
        <f>IF(NOT(ISERROR(HLOOKUP(Standings!BV$3,Entries!$C48:$K48,1,FALSE))),"x",IF(NOT(ISERROR(HLOOKUP(Standings!BV$3,Entries!$L48:$L48,1,FALSE))),"S",""))</f>
        <v>x</v>
      </c>
      <c r="BW72" t="str">
        <f>IF(NOT(ISERROR(HLOOKUP(Standings!BW$3,Entries!$C48:$K48,1,FALSE))),"x",IF(NOT(ISERROR(HLOOKUP(Standings!BW$3,Entries!$L48:$L48,1,FALSE))),"S",""))</f>
        <v/>
      </c>
      <c r="BX72" t="str">
        <f>IF(NOT(ISERROR(HLOOKUP(Standings!BX$3,Entries!$C48:$K48,1,FALSE))),"x",IF(NOT(ISERROR(HLOOKUP(Standings!BX$3,Entries!$L48:$L48,1,FALSE))),"S",""))</f>
        <v/>
      </c>
      <c r="BY72" t="str">
        <f>IF(NOT(ISERROR(HLOOKUP(Standings!BY$3,Entries!$C48:$K48,1,FALSE))),"x",IF(NOT(ISERROR(HLOOKUP(Standings!BY$3,Entries!$L48:$L48,1,FALSE))),"S",""))</f>
        <v/>
      </c>
      <c r="BZ72" t="str">
        <f>IF(NOT(ISERROR(HLOOKUP(Standings!BZ$3,Entries!$C48:$K48,1,FALSE))),"x",IF(NOT(ISERROR(HLOOKUP(Standings!BZ$3,Entries!$L48:$L48,1,FALSE))),"S",""))</f>
        <v/>
      </c>
      <c r="CA72" t="str">
        <f>IF(NOT(ISERROR(HLOOKUP(Standings!CA$3,Entries!$C48:$K48,1,FALSE))),"x",IF(NOT(ISERROR(HLOOKUP(Standings!CA$3,Entries!$L48:$L48,1,FALSE))),"S",""))</f>
        <v/>
      </c>
      <c r="CB72" t="str">
        <f>IF(NOT(ISERROR(HLOOKUP(Standings!CB$3,Entries!$C48:$K48,1,FALSE))),"x",IF(NOT(ISERROR(HLOOKUP(Standings!CB$3,Entries!$L48:$L48,1,FALSE))),"S",""))</f>
        <v/>
      </c>
      <c r="CC72" t="str">
        <f>IF(NOT(ISERROR(HLOOKUP(Standings!CC$3,Entries!$C48:$K48,1,FALSE))),"x",IF(NOT(ISERROR(HLOOKUP(Standings!CC$3,Entries!$L48:$L48,1,FALSE))),"S",""))</f>
        <v/>
      </c>
      <c r="CD72" t="str">
        <f>IF(NOT(ISERROR(HLOOKUP(Standings!CD$3,Entries!$C48:$K48,1,FALSE))),"x",IF(NOT(ISERROR(HLOOKUP(Standings!CD$3,Entries!$L48:$L48,1,FALSE))),"S",""))</f>
        <v/>
      </c>
      <c r="CE72" t="str">
        <f>IF(NOT(ISERROR(HLOOKUP(Standings!CE$3,Entries!$C48:$K48,1,FALSE))),"x",IF(NOT(ISERROR(HLOOKUP(Standings!CE$3,Entries!$L48:$L48,1,FALSE))),"S",""))</f>
        <v/>
      </c>
      <c r="CF72" t="str">
        <f>IF(NOT(ISERROR(HLOOKUP(Standings!CF$3,Entries!$C48:$K48,1,FALSE))),"x",IF(NOT(ISERROR(HLOOKUP(Standings!CF$3,Entries!$L48:$L48,1,FALSE))),"S",""))</f>
        <v/>
      </c>
      <c r="CG72" t="str">
        <f>IF(NOT(ISERROR(HLOOKUP(Standings!CG$3,Entries!$C48:$K48,1,FALSE))),"x",IF(NOT(ISERROR(HLOOKUP(Standings!CG$3,Entries!$L48:$L48,1,FALSE))),"S",""))</f>
        <v/>
      </c>
      <c r="CH72" t="str">
        <f>IF(NOT(ISERROR(HLOOKUP(Standings!CH$3,Entries!$C48:$K48,1,FALSE))),"x",IF(NOT(ISERROR(HLOOKUP(Standings!CH$3,Entries!$L48:$L48,1,FALSE))),"S",""))</f>
        <v/>
      </c>
      <c r="CI72" t="str">
        <f>IF(NOT(ISERROR(HLOOKUP(Standings!CI$3,Entries!$C48:$K48,1,FALSE))),"x",IF(NOT(ISERROR(HLOOKUP(Standings!CI$3,Entries!$L48:$L48,1,FALSE))),"S",""))</f>
        <v/>
      </c>
      <c r="CJ72" t="str">
        <f>IF(NOT(ISERROR(HLOOKUP(Standings!CJ$3,Entries!$C48:$K48,1,FALSE))),"x",IF(NOT(ISERROR(HLOOKUP(Standings!CJ$3,Entries!$L48:$L48,1,FALSE))),"S",""))</f>
        <v/>
      </c>
      <c r="CK72" t="str">
        <f>IF(NOT(ISERROR(HLOOKUP(Standings!CK$3,Entries!$C48:$K48,1,FALSE))),"x",IF(NOT(ISERROR(HLOOKUP(Standings!CK$3,Entries!$L48:$L48,1,FALSE))),"S",""))</f>
        <v/>
      </c>
      <c r="CL72" t="str">
        <f>IF(NOT(ISERROR(HLOOKUP(Standings!CL$3,Entries!$C48:$K48,1,FALSE))),"x",IF(NOT(ISERROR(HLOOKUP(Standings!CL$3,Entries!$L48:$L48,1,FALSE))),"S",""))</f>
        <v/>
      </c>
      <c r="CM72" t="str">
        <f>IF(NOT(ISERROR(HLOOKUP(Standings!CM$3,Entries!$C48:$K48,1,FALSE))),"x",IF(NOT(ISERROR(HLOOKUP(Standings!CM$3,Entries!$L48:$L48,1,FALSE))),"S",""))</f>
        <v/>
      </c>
      <c r="CN72" t="str">
        <f>IF(NOT(ISERROR(HLOOKUP(Standings!CN$3,Entries!$C48:$K48,1,FALSE))),"x",IF(NOT(ISERROR(HLOOKUP(Standings!CN$3,Entries!$L48:$L48,1,FALSE))),"S",""))</f>
        <v/>
      </c>
      <c r="CO72" t="str">
        <f>IF(NOT(ISERROR(HLOOKUP(Standings!CO$3,Entries!$C48:$K48,1,FALSE))),"x",IF(NOT(ISERROR(HLOOKUP(Standings!CO$3,Entries!$L48:$L48,1,FALSE))),"S",""))</f>
        <v/>
      </c>
      <c r="CP72" t="str">
        <f>IF(NOT(ISERROR(HLOOKUP(Standings!CP$3,Entries!$C48:$K48,1,FALSE))),"x",IF(NOT(ISERROR(HLOOKUP(Standings!CP$3,Entries!$L48:$L48,1,FALSE))),"S",""))</f>
        <v/>
      </c>
      <c r="CQ72" t="str">
        <f>IF(NOT(ISERROR(HLOOKUP(Standings!CQ$3,Entries!$C48:$K48,1,FALSE))),"x",IF(NOT(ISERROR(HLOOKUP(Standings!CQ$3,Entries!$L48:$L48,1,FALSE))),"S",""))</f>
        <v/>
      </c>
      <c r="CR72" t="str">
        <f>IF(NOT(ISERROR(HLOOKUP(Standings!CR$3,Entries!$C48:$K48,1,FALSE))),"x",IF(NOT(ISERROR(HLOOKUP(Standings!CR$3,Entries!$L48:$L48,1,FALSE))),"S",""))</f>
        <v/>
      </c>
      <c r="CS72" t="str">
        <f>IF(NOT(ISERROR(HLOOKUP(Standings!CS$3,Entries!$C48:$K48,1,FALSE))),"x",IF(NOT(ISERROR(HLOOKUP(Standings!CS$3,Entries!$L48:$L48,1,FALSE))),"S",""))</f>
        <v/>
      </c>
      <c r="CT72" t="str">
        <f>IF(NOT(ISERROR(HLOOKUP(Standings!CT$3,Entries!$C48:$K48,1,FALSE))),"x",IF(NOT(ISERROR(HLOOKUP(Standings!CT$3,Entries!$L48:$L48,1,FALSE))),"S",""))</f>
        <v/>
      </c>
      <c r="CU72" t="str">
        <f>IF(NOT(ISERROR(HLOOKUP(Standings!CU$3,Entries!$C48:$K48,1,FALSE))),"x",IF(NOT(ISERROR(HLOOKUP(Standings!CU$3,Entries!$L48:$L48,1,FALSE))),"S",""))</f>
        <v>x</v>
      </c>
      <c r="CV72" t="str">
        <f>IF(NOT(ISERROR(HLOOKUP(Standings!CV$3,Entries!$C48:$K48,1,FALSE))),"x",IF(NOT(ISERROR(HLOOKUP(Standings!CV$3,Entries!$L48:$L48,1,FALSE))),"S",""))</f>
        <v/>
      </c>
      <c r="CW72" t="str">
        <f>IF(NOT(ISERROR(HLOOKUP(Standings!CW$3,Entries!$C48:$K48,1,FALSE))),"x",IF(NOT(ISERROR(HLOOKUP(Standings!CW$3,Entries!$L48:$L48,1,FALSE))),"S",""))</f>
        <v/>
      </c>
      <c r="CX72" t="str">
        <f>IF(NOT(ISERROR(HLOOKUP(Standings!CX$3,Entries!$C48:$K48,1,FALSE))),"x",IF(NOT(ISERROR(HLOOKUP(Standings!CX$3,Entries!$L48:$L48,1,FALSE))),"S",""))</f>
        <v/>
      </c>
      <c r="CY72" t="str">
        <f>IF(NOT(ISERROR(HLOOKUP(Standings!CY$3,Entries!$C48:$K48,1,FALSE))),"x",IF(NOT(ISERROR(HLOOKUP(Standings!CY$3,Entries!$L48:$L48,1,FALSE))),"S",""))</f>
        <v/>
      </c>
      <c r="CZ72" t="str">
        <f>IF(NOT(ISERROR(HLOOKUP(Standings!CZ$3,Entries!$C48:$K48,1,FALSE))),"x",IF(NOT(ISERROR(HLOOKUP(Standings!CZ$3,Entries!$L48:$L48,1,FALSE))),"S",""))</f>
        <v/>
      </c>
      <c r="DA72" t="str">
        <f>IF(NOT(ISERROR(HLOOKUP(Standings!DA$3,Entries!$C48:$K48,1,FALSE))),"x",IF(NOT(ISERROR(HLOOKUP(Standings!DA$3,Entries!$L48:$L48,1,FALSE))),"S",""))</f>
        <v/>
      </c>
      <c r="DB72" t="str">
        <f>IF(NOT(ISERROR(HLOOKUP(Standings!DB$3,Entries!$C48:$K48,1,FALSE))),"x",IF(NOT(ISERROR(HLOOKUP(Standings!DB$3,Entries!$L48:$L48,1,FALSE))),"S",""))</f>
        <v/>
      </c>
    </row>
    <row r="73" spans="1:106" x14ac:dyDescent="0.25">
      <c r="B73">
        <v>67</v>
      </c>
      <c r="C73" t="str">
        <f>Entries!B49</f>
        <v>L_Smith777</v>
      </c>
      <c r="D73" s="4">
        <f>IF(C73="","",RANK(E73,$E$10:$E$111))</f>
        <v>81</v>
      </c>
      <c r="E73" s="31">
        <f t="shared" si="50"/>
        <v>1</v>
      </c>
      <c r="F73" s="40" t="str">
        <f t="shared" si="49"/>
        <v/>
      </c>
      <c r="G73" s="41" t="str">
        <f t="shared" si="2"/>
        <v/>
      </c>
      <c r="H73" s="41" t="str">
        <f t="shared" si="3"/>
        <v/>
      </c>
      <c r="I73" s="42" t="str">
        <f t="shared" si="4"/>
        <v/>
      </c>
      <c r="J73" s="40" t="str">
        <f t="shared" si="5"/>
        <v/>
      </c>
      <c r="K73" s="41" t="str">
        <f t="shared" si="6"/>
        <v/>
      </c>
      <c r="L73" s="41" t="str">
        <f t="shared" si="7"/>
        <v/>
      </c>
      <c r="M73" s="42" t="str">
        <f t="shared" si="8"/>
        <v/>
      </c>
      <c r="N73" s="43" t="str">
        <f t="shared" si="9"/>
        <v/>
      </c>
      <c r="O73" s="41">
        <f t="shared" si="10"/>
        <v>1</v>
      </c>
      <c r="P73" s="41" t="str">
        <f t="shared" si="11"/>
        <v/>
      </c>
      <c r="Q73" s="42" t="str">
        <f t="shared" si="12"/>
        <v/>
      </c>
      <c r="R73" s="40" t="str">
        <f t="shared" si="13"/>
        <v/>
      </c>
      <c r="S73" s="41" t="str">
        <f t="shared" si="14"/>
        <v/>
      </c>
      <c r="T73" s="43" t="str">
        <f t="shared" si="15"/>
        <v/>
      </c>
      <c r="U73" s="42" t="str">
        <f t="shared" si="16"/>
        <v/>
      </c>
      <c r="V73" s="40">
        <f t="shared" si="17"/>
        <v>-2.0000100000000001</v>
      </c>
      <c r="W73" s="41" t="str">
        <f t="shared" si="18"/>
        <v/>
      </c>
      <c r="X73" s="41" t="str">
        <f t="shared" si="19"/>
        <v/>
      </c>
      <c r="Y73" s="42" t="str">
        <f t="shared" si="20"/>
        <v/>
      </c>
      <c r="Z73" s="40" t="str">
        <f t="shared" si="21"/>
        <v/>
      </c>
      <c r="AA73" s="41">
        <f t="shared" si="22"/>
        <v>1</v>
      </c>
      <c r="AB73" s="41" t="str">
        <f t="shared" si="23"/>
        <v/>
      </c>
      <c r="AC73" s="42" t="str">
        <f t="shared" si="24"/>
        <v/>
      </c>
      <c r="AD73" s="40" t="str">
        <f t="shared" si="25"/>
        <v/>
      </c>
      <c r="AE73" s="41" t="str">
        <f t="shared" si="26"/>
        <v/>
      </c>
      <c r="AF73" s="41" t="str">
        <f t="shared" si="27"/>
        <v/>
      </c>
      <c r="AG73" s="42" t="str">
        <f t="shared" si="28"/>
        <v/>
      </c>
      <c r="AH73" s="40" t="str">
        <f t="shared" si="29"/>
        <v/>
      </c>
      <c r="AI73" s="41" t="str">
        <f t="shared" si="30"/>
        <v/>
      </c>
      <c r="AJ73" s="41" t="str">
        <f t="shared" si="31"/>
        <v/>
      </c>
      <c r="AK73" s="42">
        <f t="shared" si="32"/>
        <v>1</v>
      </c>
      <c r="AL73" s="40" t="str">
        <f t="shared" si="33"/>
        <v/>
      </c>
      <c r="AM73" s="41" t="str">
        <f t="shared" si="34"/>
        <v/>
      </c>
      <c r="AN73" s="41" t="str">
        <f t="shared" si="35"/>
        <v/>
      </c>
      <c r="AO73" s="42" t="str">
        <f t="shared" si="36"/>
        <v/>
      </c>
      <c r="AP73" s="40" t="str">
        <f t="shared" si="37"/>
        <v/>
      </c>
      <c r="AQ73" s="41" t="str">
        <f t="shared" si="38"/>
        <v/>
      </c>
      <c r="AR73" s="41" t="str">
        <f t="shared" si="39"/>
        <v/>
      </c>
      <c r="AS73" s="42" t="str">
        <f t="shared" si="40"/>
        <v/>
      </c>
      <c r="AT73" s="40" t="str">
        <f t="shared" si="41"/>
        <v/>
      </c>
      <c r="AU73" s="41" t="str">
        <f t="shared" si="42"/>
        <v/>
      </c>
      <c r="AV73" s="41">
        <f t="shared" si="43"/>
        <v>0</v>
      </c>
      <c r="AW73" s="42" t="str">
        <f t="shared" si="44"/>
        <v/>
      </c>
      <c r="AX73" s="40">
        <f t="shared" si="45"/>
        <v>0</v>
      </c>
      <c r="AY73" s="41" t="str">
        <f t="shared" si="46"/>
        <v/>
      </c>
      <c r="AZ73" s="41" t="str">
        <f t="shared" si="47"/>
        <v/>
      </c>
      <c r="BA73" s="42" t="str">
        <f t="shared" si="48"/>
        <v/>
      </c>
      <c r="BB73" s="37" t="s">
        <v>106</v>
      </c>
      <c r="BC73" s="21"/>
      <c r="BD73" s="21"/>
      <c r="BG73" t="str">
        <f>IF(NOT(ISERROR(HLOOKUP(Standings!BG$3,Entries!$C49:$K49,1,FALSE))),"x",IF(NOT(ISERROR(HLOOKUP(Standings!BG$3,Entries!$L49:$L49,1,FALSE))),"S",""))</f>
        <v/>
      </c>
      <c r="BH73" t="str">
        <f>IF(NOT(ISERROR(HLOOKUP(Standings!BH$3,Entries!$C49:$K49,1,FALSE))),"x",IF(NOT(ISERROR(HLOOKUP(Standings!BH$3,Entries!$L49:$L49,1,FALSE))),"S",""))</f>
        <v/>
      </c>
      <c r="BI73" t="str">
        <f>IF(NOT(ISERROR(HLOOKUP(Standings!BI$3,Entries!$C49:$K49,1,FALSE))),"x",IF(NOT(ISERROR(HLOOKUP(Standings!BI$3,Entries!$L49:$L49,1,FALSE))),"S",""))</f>
        <v/>
      </c>
      <c r="BJ73" t="str">
        <f>IF(NOT(ISERROR(HLOOKUP(Standings!BJ$3,Entries!$C49:$K49,1,FALSE))),"x",IF(NOT(ISERROR(HLOOKUP(Standings!BJ$3,Entries!$L49:$L49,1,FALSE))),"S",""))</f>
        <v/>
      </c>
      <c r="BK73" t="str">
        <f>IF(NOT(ISERROR(HLOOKUP(Standings!BK$3,Entries!$C49:$K49,1,FALSE))),"x",IF(NOT(ISERROR(HLOOKUP(Standings!BK$3,Entries!$L49:$L49,1,FALSE))),"S",""))</f>
        <v/>
      </c>
      <c r="BL73" t="str">
        <f>IF(NOT(ISERROR(HLOOKUP(Standings!BL$3,Entries!$C49:$K49,1,FALSE))),"x",IF(NOT(ISERROR(HLOOKUP(Standings!BL$3,Entries!$L49:$L49,1,FALSE))),"S",""))</f>
        <v/>
      </c>
      <c r="BM73" t="str">
        <f>IF(NOT(ISERROR(HLOOKUP(Standings!BM$3,Entries!$C49:$K49,1,FALSE))),"x",IF(NOT(ISERROR(HLOOKUP(Standings!BM$3,Entries!$L49:$L49,1,FALSE))),"S",""))</f>
        <v/>
      </c>
      <c r="BN73" t="str">
        <f>IF(NOT(ISERROR(HLOOKUP(Standings!BN$3,Entries!$C49:$K49,1,FALSE))),"x",IF(NOT(ISERROR(HLOOKUP(Standings!BN$3,Entries!$L49:$L49,1,FALSE))),"S",""))</f>
        <v/>
      </c>
      <c r="BO73" t="str">
        <f>IF(NOT(ISERROR(HLOOKUP(Standings!BO$3,Entries!$C49:$K49,1,FALSE))),"x",IF(NOT(ISERROR(HLOOKUP(Standings!BO$3,Entries!$L49:$L49,1,FALSE))),"S",""))</f>
        <v/>
      </c>
      <c r="BP73" t="str">
        <f>IF(NOT(ISERROR(HLOOKUP(Standings!BP$3,Entries!$C49:$K49,1,FALSE))),"x",IF(NOT(ISERROR(HLOOKUP(Standings!BP$3,Entries!$L49:$L49,1,FALSE))),"S",""))</f>
        <v>x</v>
      </c>
      <c r="BQ73" t="str">
        <f>IF(NOT(ISERROR(HLOOKUP(Standings!BQ$3,Entries!$C49:$K49,1,FALSE))),"x",IF(NOT(ISERROR(HLOOKUP(Standings!BQ$3,Entries!$L49:$L49,1,FALSE))),"S",""))</f>
        <v/>
      </c>
      <c r="BR73" t="str">
        <f>IF(NOT(ISERROR(HLOOKUP(Standings!BR$3,Entries!$C49:$K49,1,FALSE))),"x",IF(NOT(ISERROR(HLOOKUP(Standings!BR$3,Entries!$L49:$L49,1,FALSE))),"S",""))</f>
        <v/>
      </c>
      <c r="BS73" t="str">
        <f>IF(NOT(ISERROR(HLOOKUP(Standings!BS$3,Entries!$C49:$K49,1,FALSE))),"x",IF(NOT(ISERROR(HLOOKUP(Standings!BS$3,Entries!$L49:$L49,1,FALSE))),"S",""))</f>
        <v/>
      </c>
      <c r="BT73" t="str">
        <f>IF(NOT(ISERROR(HLOOKUP(Standings!BT$3,Entries!$C49:$K49,1,FALSE))),"x",IF(NOT(ISERROR(HLOOKUP(Standings!BT$3,Entries!$L49:$L49,1,FALSE))),"S",""))</f>
        <v/>
      </c>
      <c r="BU73" t="str">
        <f>IF(NOT(ISERROR(HLOOKUP(Standings!BU$3,Entries!$C49:$K49,1,FALSE))),"x",IF(NOT(ISERROR(HLOOKUP(Standings!BU$3,Entries!$L49:$L49,1,FALSE))),"S",""))</f>
        <v/>
      </c>
      <c r="BV73" t="str">
        <f>IF(NOT(ISERROR(HLOOKUP(Standings!BV$3,Entries!$C49:$K49,1,FALSE))),"x",IF(NOT(ISERROR(HLOOKUP(Standings!BV$3,Entries!$L49:$L49,1,FALSE))),"S",""))</f>
        <v/>
      </c>
      <c r="BW73" t="str">
        <f>IF(NOT(ISERROR(HLOOKUP(Standings!BW$3,Entries!$C49:$K49,1,FALSE))),"x",IF(NOT(ISERROR(HLOOKUP(Standings!BW$3,Entries!$L49:$L49,1,FALSE))),"S",""))</f>
        <v>S</v>
      </c>
      <c r="BX73" t="str">
        <f>IF(NOT(ISERROR(HLOOKUP(Standings!BX$3,Entries!$C49:$K49,1,FALSE))),"x",IF(NOT(ISERROR(HLOOKUP(Standings!BX$3,Entries!$L49:$L49,1,FALSE))),"S",""))</f>
        <v/>
      </c>
      <c r="BY73" t="str">
        <f>IF(NOT(ISERROR(HLOOKUP(Standings!BY$3,Entries!$C49:$K49,1,FALSE))),"x",IF(NOT(ISERROR(HLOOKUP(Standings!BY$3,Entries!$L49:$L49,1,FALSE))),"S",""))</f>
        <v/>
      </c>
      <c r="BZ73" t="str">
        <f>IF(NOT(ISERROR(HLOOKUP(Standings!BZ$3,Entries!$C49:$K49,1,FALSE))),"x",IF(NOT(ISERROR(HLOOKUP(Standings!BZ$3,Entries!$L49:$L49,1,FALSE))),"S",""))</f>
        <v/>
      </c>
      <c r="CA73" t="str">
        <f>IF(NOT(ISERROR(HLOOKUP(Standings!CA$3,Entries!$C49:$K49,1,FALSE))),"x",IF(NOT(ISERROR(HLOOKUP(Standings!CA$3,Entries!$L49:$L49,1,FALSE))),"S",""))</f>
        <v/>
      </c>
      <c r="CB73" t="str">
        <f>IF(NOT(ISERROR(HLOOKUP(Standings!CB$3,Entries!$C49:$K49,1,FALSE))),"x",IF(NOT(ISERROR(HLOOKUP(Standings!CB$3,Entries!$L49:$L49,1,FALSE))),"S",""))</f>
        <v>x</v>
      </c>
      <c r="CC73" t="str">
        <f>IF(NOT(ISERROR(HLOOKUP(Standings!CC$3,Entries!$C49:$K49,1,FALSE))),"x",IF(NOT(ISERROR(HLOOKUP(Standings!CC$3,Entries!$L49:$L49,1,FALSE))),"S",""))</f>
        <v/>
      </c>
      <c r="CD73" t="str">
        <f>IF(NOT(ISERROR(HLOOKUP(Standings!CD$3,Entries!$C49:$K49,1,FALSE))),"x",IF(NOT(ISERROR(HLOOKUP(Standings!CD$3,Entries!$L49:$L49,1,FALSE))),"S",""))</f>
        <v/>
      </c>
      <c r="CE73" t="str">
        <f>IF(NOT(ISERROR(HLOOKUP(Standings!CE$3,Entries!$C49:$K49,1,FALSE))),"x",IF(NOT(ISERROR(HLOOKUP(Standings!CE$3,Entries!$L49:$L49,1,FALSE))),"S",""))</f>
        <v/>
      </c>
      <c r="CF73" t="str">
        <f>IF(NOT(ISERROR(HLOOKUP(Standings!CF$3,Entries!$C49:$K49,1,FALSE))),"x",IF(NOT(ISERROR(HLOOKUP(Standings!CF$3,Entries!$L49:$L49,1,FALSE))),"S",""))</f>
        <v/>
      </c>
      <c r="CG73" t="str">
        <f>IF(NOT(ISERROR(HLOOKUP(Standings!CG$3,Entries!$C49:$K49,1,FALSE))),"x",IF(NOT(ISERROR(HLOOKUP(Standings!CG$3,Entries!$L49:$L49,1,FALSE))),"S",""))</f>
        <v/>
      </c>
      <c r="CH73" t="str">
        <f>IF(NOT(ISERROR(HLOOKUP(Standings!CH$3,Entries!$C49:$K49,1,FALSE))),"x",IF(NOT(ISERROR(HLOOKUP(Standings!CH$3,Entries!$L49:$L49,1,FALSE))),"S",""))</f>
        <v/>
      </c>
      <c r="CI73" t="str">
        <f>IF(NOT(ISERROR(HLOOKUP(Standings!CI$3,Entries!$C49:$K49,1,FALSE))),"x",IF(NOT(ISERROR(HLOOKUP(Standings!CI$3,Entries!$L49:$L49,1,FALSE))),"S",""))</f>
        <v/>
      </c>
      <c r="CJ73" t="str">
        <f>IF(NOT(ISERROR(HLOOKUP(Standings!CJ$3,Entries!$C49:$K49,1,FALSE))),"x",IF(NOT(ISERROR(HLOOKUP(Standings!CJ$3,Entries!$L49:$L49,1,FALSE))),"S",""))</f>
        <v/>
      </c>
      <c r="CK73" t="str">
        <f>IF(NOT(ISERROR(HLOOKUP(Standings!CK$3,Entries!$C49:$K49,1,FALSE))),"x",IF(NOT(ISERROR(HLOOKUP(Standings!CK$3,Entries!$L49:$L49,1,FALSE))),"S",""))</f>
        <v/>
      </c>
      <c r="CL73" t="str">
        <f>IF(NOT(ISERROR(HLOOKUP(Standings!CL$3,Entries!$C49:$K49,1,FALSE))),"x",IF(NOT(ISERROR(HLOOKUP(Standings!CL$3,Entries!$L49:$L49,1,FALSE))),"S",""))</f>
        <v>x</v>
      </c>
      <c r="CM73" t="str">
        <f>IF(NOT(ISERROR(HLOOKUP(Standings!CM$3,Entries!$C49:$K49,1,FALSE))),"x",IF(NOT(ISERROR(HLOOKUP(Standings!CM$3,Entries!$L49:$L49,1,FALSE))),"S",""))</f>
        <v/>
      </c>
      <c r="CN73" t="str">
        <f>IF(NOT(ISERROR(HLOOKUP(Standings!CN$3,Entries!$C49:$K49,1,FALSE))),"x",IF(NOT(ISERROR(HLOOKUP(Standings!CN$3,Entries!$L49:$L49,1,FALSE))),"S",""))</f>
        <v/>
      </c>
      <c r="CO73" t="str">
        <f>IF(NOT(ISERROR(HLOOKUP(Standings!CO$3,Entries!$C49:$K49,1,FALSE))),"x",IF(NOT(ISERROR(HLOOKUP(Standings!CO$3,Entries!$L49:$L49,1,FALSE))),"S",""))</f>
        <v/>
      </c>
      <c r="CP73" t="str">
        <f>IF(NOT(ISERROR(HLOOKUP(Standings!CP$3,Entries!$C49:$K49,1,FALSE))),"x",IF(NOT(ISERROR(HLOOKUP(Standings!CP$3,Entries!$L49:$L49,1,FALSE))),"S",""))</f>
        <v/>
      </c>
      <c r="CQ73" t="str">
        <f>IF(NOT(ISERROR(HLOOKUP(Standings!CQ$3,Entries!$C49:$K49,1,FALSE))),"x",IF(NOT(ISERROR(HLOOKUP(Standings!CQ$3,Entries!$L49:$L49,1,FALSE))),"S",""))</f>
        <v/>
      </c>
      <c r="CR73" t="str">
        <f>IF(NOT(ISERROR(HLOOKUP(Standings!CR$3,Entries!$C49:$K49,1,FALSE))),"x",IF(NOT(ISERROR(HLOOKUP(Standings!CR$3,Entries!$L49:$L49,1,FALSE))),"S",""))</f>
        <v/>
      </c>
      <c r="CS73" t="str">
        <f>IF(NOT(ISERROR(HLOOKUP(Standings!CS$3,Entries!$C49:$K49,1,FALSE))),"x",IF(NOT(ISERROR(HLOOKUP(Standings!CS$3,Entries!$L49:$L49,1,FALSE))),"S",""))</f>
        <v/>
      </c>
      <c r="CT73" t="str">
        <f>IF(NOT(ISERROR(HLOOKUP(Standings!CT$3,Entries!$C49:$K49,1,FALSE))),"x",IF(NOT(ISERROR(HLOOKUP(Standings!CT$3,Entries!$L49:$L49,1,FALSE))),"S",""))</f>
        <v/>
      </c>
      <c r="CU73" t="str">
        <f>IF(NOT(ISERROR(HLOOKUP(Standings!CU$3,Entries!$C49:$K49,1,FALSE))),"x",IF(NOT(ISERROR(HLOOKUP(Standings!CU$3,Entries!$L49:$L49,1,FALSE))),"S",""))</f>
        <v/>
      </c>
      <c r="CV73" t="str">
        <f>IF(NOT(ISERROR(HLOOKUP(Standings!CV$3,Entries!$C49:$K49,1,FALSE))),"x",IF(NOT(ISERROR(HLOOKUP(Standings!CV$3,Entries!$L49:$L49,1,FALSE))),"S",""))</f>
        <v/>
      </c>
      <c r="CW73" t="str">
        <f>IF(NOT(ISERROR(HLOOKUP(Standings!CW$3,Entries!$C49:$K49,1,FALSE))),"x",IF(NOT(ISERROR(HLOOKUP(Standings!CW$3,Entries!$L49:$L49,1,FALSE))),"S",""))</f>
        <v>x</v>
      </c>
      <c r="CX73" t="str">
        <f>IF(NOT(ISERROR(HLOOKUP(Standings!CX$3,Entries!$C49:$K49,1,FALSE))),"x",IF(NOT(ISERROR(HLOOKUP(Standings!CX$3,Entries!$L49:$L49,1,FALSE))),"S",""))</f>
        <v/>
      </c>
      <c r="CY73" t="str">
        <f>IF(NOT(ISERROR(HLOOKUP(Standings!CY$3,Entries!$C49:$K49,1,FALSE))),"x",IF(NOT(ISERROR(HLOOKUP(Standings!CY$3,Entries!$L49:$L49,1,FALSE))),"S",""))</f>
        <v>x</v>
      </c>
      <c r="CZ73" t="str">
        <f>IF(NOT(ISERROR(HLOOKUP(Standings!CZ$3,Entries!$C49:$K49,1,FALSE))),"x",IF(NOT(ISERROR(HLOOKUP(Standings!CZ$3,Entries!$L49:$L49,1,FALSE))),"S",""))</f>
        <v/>
      </c>
      <c r="DA73" t="str">
        <f>IF(NOT(ISERROR(HLOOKUP(Standings!DA$3,Entries!$C49:$K49,1,FALSE))),"x",IF(NOT(ISERROR(HLOOKUP(Standings!DA$3,Entries!$L49:$L49,1,FALSE))),"S",""))</f>
        <v/>
      </c>
      <c r="DB73" t="str">
        <f>IF(NOT(ISERROR(HLOOKUP(Standings!DB$3,Entries!$C49:$K49,1,FALSE))),"x",IF(NOT(ISERROR(HLOOKUP(Standings!DB$3,Entries!$L49:$L49,1,FALSE))),"S",""))</f>
        <v/>
      </c>
    </row>
    <row r="74" spans="1:106" x14ac:dyDescent="0.25">
      <c r="B74">
        <v>71</v>
      </c>
      <c r="C74" t="str">
        <f>Entries!B50</f>
        <v>Tony M Pick 1</v>
      </c>
      <c r="D74" s="4">
        <f>IF(C74="","",RANK(E74,$E$10:$E$111))</f>
        <v>32</v>
      </c>
      <c r="E74" s="31">
        <f t="shared" si="50"/>
        <v>4</v>
      </c>
      <c r="F74" s="40" t="str">
        <f t="shared" si="49"/>
        <v/>
      </c>
      <c r="G74" s="41" t="str">
        <f t="shared" si="2"/>
        <v/>
      </c>
      <c r="H74" s="41" t="str">
        <f t="shared" si="3"/>
        <v/>
      </c>
      <c r="I74" s="42">
        <f t="shared" si="4"/>
        <v>0</v>
      </c>
      <c r="J74" s="40">
        <f t="shared" si="5"/>
        <v>1</v>
      </c>
      <c r="K74" s="41">
        <f t="shared" si="6"/>
        <v>1</v>
      </c>
      <c r="L74" s="41" t="str">
        <f t="shared" si="7"/>
        <v/>
      </c>
      <c r="M74" s="42" t="str">
        <f t="shared" si="8"/>
        <v/>
      </c>
      <c r="N74" s="43" t="str">
        <f t="shared" si="9"/>
        <v/>
      </c>
      <c r="O74" s="41" t="str">
        <f t="shared" si="10"/>
        <v/>
      </c>
      <c r="P74" s="41" t="str">
        <f t="shared" si="11"/>
        <v/>
      </c>
      <c r="Q74" s="42" t="str">
        <f t="shared" si="12"/>
        <v/>
      </c>
      <c r="R74" s="40" t="str">
        <f t="shared" si="13"/>
        <v/>
      </c>
      <c r="S74" s="41" t="str">
        <f t="shared" si="14"/>
        <v/>
      </c>
      <c r="T74" s="43" t="str">
        <f t="shared" si="15"/>
        <v/>
      </c>
      <c r="U74" s="42" t="str">
        <f t="shared" si="16"/>
        <v/>
      </c>
      <c r="V74" s="40" t="str">
        <f t="shared" si="17"/>
        <v/>
      </c>
      <c r="W74" s="41" t="str">
        <f t="shared" si="18"/>
        <v/>
      </c>
      <c r="X74" s="41" t="str">
        <f t="shared" si="19"/>
        <v/>
      </c>
      <c r="Y74" s="42" t="str">
        <f t="shared" si="20"/>
        <v/>
      </c>
      <c r="Z74" s="40" t="str">
        <f t="shared" si="21"/>
        <v/>
      </c>
      <c r="AA74" s="41" t="str">
        <f t="shared" si="22"/>
        <v/>
      </c>
      <c r="AB74" s="41" t="str">
        <f t="shared" si="23"/>
        <v/>
      </c>
      <c r="AC74" s="42" t="str">
        <f t="shared" si="24"/>
        <v/>
      </c>
      <c r="AD74" s="40" t="str">
        <f t="shared" si="25"/>
        <v/>
      </c>
      <c r="AE74" s="41">
        <f t="shared" si="26"/>
        <v>1</v>
      </c>
      <c r="AF74" s="41" t="str">
        <f t="shared" si="27"/>
        <v/>
      </c>
      <c r="AG74" s="42" t="str">
        <f t="shared" si="28"/>
        <v/>
      </c>
      <c r="AH74" s="40" t="str">
        <f t="shared" si="29"/>
        <v/>
      </c>
      <c r="AI74" s="41" t="str">
        <f t="shared" si="30"/>
        <v/>
      </c>
      <c r="AJ74" s="41" t="str">
        <f t="shared" si="31"/>
        <v/>
      </c>
      <c r="AK74" s="42">
        <f t="shared" si="32"/>
        <v>1</v>
      </c>
      <c r="AL74" s="40">
        <f t="shared" si="33"/>
        <v>-1.0000000000000001E-5</v>
      </c>
      <c r="AM74" s="41" t="str">
        <f t="shared" si="34"/>
        <v/>
      </c>
      <c r="AN74" s="41">
        <f t="shared" si="35"/>
        <v>0</v>
      </c>
      <c r="AO74" s="42" t="str">
        <f t="shared" si="36"/>
        <v/>
      </c>
      <c r="AP74" s="40" t="str">
        <f t="shared" si="37"/>
        <v/>
      </c>
      <c r="AQ74" s="41" t="str">
        <f t="shared" si="38"/>
        <v/>
      </c>
      <c r="AR74" s="41">
        <f t="shared" si="39"/>
        <v>0</v>
      </c>
      <c r="AS74" s="42" t="str">
        <f t="shared" si="40"/>
        <v/>
      </c>
      <c r="AT74" s="40" t="str">
        <f t="shared" si="41"/>
        <v/>
      </c>
      <c r="AU74" s="41" t="str">
        <f t="shared" si="42"/>
        <v/>
      </c>
      <c r="AV74" s="41">
        <f t="shared" si="43"/>
        <v>0</v>
      </c>
      <c r="AW74" s="42" t="str">
        <f t="shared" si="44"/>
        <v/>
      </c>
      <c r="AX74" s="40" t="str">
        <f t="shared" si="45"/>
        <v/>
      </c>
      <c r="AY74" s="41">
        <f t="shared" si="46"/>
        <v>0</v>
      </c>
      <c r="AZ74" s="41" t="str">
        <f t="shared" si="47"/>
        <v/>
      </c>
      <c r="BA74" s="42" t="str">
        <f t="shared" si="48"/>
        <v/>
      </c>
      <c r="BB74" s="37" t="s">
        <v>106</v>
      </c>
      <c r="BC74" s="21"/>
      <c r="BD74" s="21"/>
      <c r="BG74" t="str">
        <f>IF(NOT(ISERROR(HLOOKUP(Standings!BG$3,Entries!$C50:$K50,1,FALSE))),"x",IF(NOT(ISERROR(HLOOKUP(Standings!BG$3,Entries!$L50:$L50,1,FALSE))),"S",""))</f>
        <v/>
      </c>
      <c r="BH74" t="str">
        <f>IF(NOT(ISERROR(HLOOKUP(Standings!BH$3,Entries!$C50:$K50,1,FALSE))),"x",IF(NOT(ISERROR(HLOOKUP(Standings!BH$3,Entries!$L50:$L50,1,FALSE))),"S",""))</f>
        <v/>
      </c>
      <c r="BI74" t="str">
        <f>IF(NOT(ISERROR(HLOOKUP(Standings!BI$3,Entries!$C50:$K50,1,FALSE))),"x",IF(NOT(ISERROR(HLOOKUP(Standings!BI$3,Entries!$L50:$L50,1,FALSE))),"S",""))</f>
        <v/>
      </c>
      <c r="BJ74" t="str">
        <f>IF(NOT(ISERROR(HLOOKUP(Standings!BJ$3,Entries!$C50:$K50,1,FALSE))),"x",IF(NOT(ISERROR(HLOOKUP(Standings!BJ$3,Entries!$L50:$L50,1,FALSE))),"S",""))</f>
        <v>x</v>
      </c>
      <c r="BK74" t="str">
        <f>IF(NOT(ISERROR(HLOOKUP(Standings!BK$3,Entries!$C50:$K50,1,FALSE))),"x",IF(NOT(ISERROR(HLOOKUP(Standings!BK$3,Entries!$L50:$L50,1,FALSE))),"S",""))</f>
        <v>x</v>
      </c>
      <c r="BL74" t="str">
        <f>IF(NOT(ISERROR(HLOOKUP(Standings!BL$3,Entries!$C50:$K50,1,FALSE))),"x",IF(NOT(ISERROR(HLOOKUP(Standings!BL$3,Entries!$L50:$L50,1,FALSE))),"S",""))</f>
        <v>x</v>
      </c>
      <c r="BM74" t="str">
        <f>IF(NOT(ISERROR(HLOOKUP(Standings!BM$3,Entries!$C50:$K50,1,FALSE))),"x",IF(NOT(ISERROR(HLOOKUP(Standings!BM$3,Entries!$L50:$L50,1,FALSE))),"S",""))</f>
        <v/>
      </c>
      <c r="BN74" t="str">
        <f>IF(NOT(ISERROR(HLOOKUP(Standings!BN$3,Entries!$C50:$K50,1,FALSE))),"x",IF(NOT(ISERROR(HLOOKUP(Standings!BN$3,Entries!$L50:$L50,1,FALSE))),"S",""))</f>
        <v/>
      </c>
      <c r="BO74" t="str">
        <f>IF(NOT(ISERROR(HLOOKUP(Standings!BO$3,Entries!$C50:$K50,1,FALSE))),"x",IF(NOT(ISERROR(HLOOKUP(Standings!BO$3,Entries!$L50:$L50,1,FALSE))),"S",""))</f>
        <v/>
      </c>
      <c r="BP74" t="str">
        <f>IF(NOT(ISERROR(HLOOKUP(Standings!BP$3,Entries!$C50:$K50,1,FALSE))),"x",IF(NOT(ISERROR(HLOOKUP(Standings!BP$3,Entries!$L50:$L50,1,FALSE))),"S",""))</f>
        <v/>
      </c>
      <c r="BQ74" t="str">
        <f>IF(NOT(ISERROR(HLOOKUP(Standings!BQ$3,Entries!$C50:$K50,1,FALSE))),"x",IF(NOT(ISERROR(HLOOKUP(Standings!BQ$3,Entries!$L50:$L50,1,FALSE))),"S",""))</f>
        <v/>
      </c>
      <c r="BR74" t="str">
        <f>IF(NOT(ISERROR(HLOOKUP(Standings!BR$3,Entries!$C50:$K50,1,FALSE))),"x",IF(NOT(ISERROR(HLOOKUP(Standings!BR$3,Entries!$L50:$L50,1,FALSE))),"S",""))</f>
        <v/>
      </c>
      <c r="BS74" t="str">
        <f>IF(NOT(ISERROR(HLOOKUP(Standings!BS$3,Entries!$C50:$K50,1,FALSE))),"x",IF(NOT(ISERROR(HLOOKUP(Standings!BS$3,Entries!$L50:$L50,1,FALSE))),"S",""))</f>
        <v/>
      </c>
      <c r="BT74" t="str">
        <f>IF(NOT(ISERROR(HLOOKUP(Standings!BT$3,Entries!$C50:$K50,1,FALSE))),"x",IF(NOT(ISERROR(HLOOKUP(Standings!BT$3,Entries!$L50:$L50,1,FALSE))),"S",""))</f>
        <v/>
      </c>
      <c r="BU74" t="str">
        <f>IF(NOT(ISERROR(HLOOKUP(Standings!BU$3,Entries!$C50:$K50,1,FALSE))),"x",IF(NOT(ISERROR(HLOOKUP(Standings!BU$3,Entries!$L50:$L50,1,FALSE))),"S",""))</f>
        <v/>
      </c>
      <c r="BV74" t="str">
        <f>IF(NOT(ISERROR(HLOOKUP(Standings!BV$3,Entries!$C50:$K50,1,FALSE))),"x",IF(NOT(ISERROR(HLOOKUP(Standings!BV$3,Entries!$L50:$L50,1,FALSE))),"S",""))</f>
        <v/>
      </c>
      <c r="BW74" t="str">
        <f>IF(NOT(ISERROR(HLOOKUP(Standings!BW$3,Entries!$C50:$K50,1,FALSE))),"x",IF(NOT(ISERROR(HLOOKUP(Standings!BW$3,Entries!$L50:$L50,1,FALSE))),"S",""))</f>
        <v/>
      </c>
      <c r="BX74" t="str">
        <f>IF(NOT(ISERROR(HLOOKUP(Standings!BX$3,Entries!$C50:$K50,1,FALSE))),"x",IF(NOT(ISERROR(HLOOKUP(Standings!BX$3,Entries!$L50:$L50,1,FALSE))),"S",""))</f>
        <v/>
      </c>
      <c r="BY74" t="str">
        <f>IF(NOT(ISERROR(HLOOKUP(Standings!BY$3,Entries!$C50:$K50,1,FALSE))),"x",IF(NOT(ISERROR(HLOOKUP(Standings!BY$3,Entries!$L50:$L50,1,FALSE))),"S",""))</f>
        <v/>
      </c>
      <c r="BZ74" t="str">
        <f>IF(NOT(ISERROR(HLOOKUP(Standings!BZ$3,Entries!$C50:$K50,1,FALSE))),"x",IF(NOT(ISERROR(HLOOKUP(Standings!BZ$3,Entries!$L50:$L50,1,FALSE))),"S",""))</f>
        <v/>
      </c>
      <c r="CA74" t="str">
        <f>IF(NOT(ISERROR(HLOOKUP(Standings!CA$3,Entries!$C50:$K50,1,FALSE))),"x",IF(NOT(ISERROR(HLOOKUP(Standings!CA$3,Entries!$L50:$L50,1,FALSE))),"S",""))</f>
        <v/>
      </c>
      <c r="CB74" t="str">
        <f>IF(NOT(ISERROR(HLOOKUP(Standings!CB$3,Entries!$C50:$K50,1,FALSE))),"x",IF(NOT(ISERROR(HLOOKUP(Standings!CB$3,Entries!$L50:$L50,1,FALSE))),"S",""))</f>
        <v/>
      </c>
      <c r="CC74" t="str">
        <f>IF(NOT(ISERROR(HLOOKUP(Standings!CC$3,Entries!$C50:$K50,1,FALSE))),"x",IF(NOT(ISERROR(HLOOKUP(Standings!CC$3,Entries!$L50:$L50,1,FALSE))),"S",""))</f>
        <v/>
      </c>
      <c r="CD74" t="str">
        <f>IF(NOT(ISERROR(HLOOKUP(Standings!CD$3,Entries!$C50:$K50,1,FALSE))),"x",IF(NOT(ISERROR(HLOOKUP(Standings!CD$3,Entries!$L50:$L50,1,FALSE))),"S",""))</f>
        <v/>
      </c>
      <c r="CE74" t="str">
        <f>IF(NOT(ISERROR(HLOOKUP(Standings!CE$3,Entries!$C50:$K50,1,FALSE))),"x",IF(NOT(ISERROR(HLOOKUP(Standings!CE$3,Entries!$L50:$L50,1,FALSE))),"S",""))</f>
        <v/>
      </c>
      <c r="CF74" t="str">
        <f>IF(NOT(ISERROR(HLOOKUP(Standings!CF$3,Entries!$C50:$K50,1,FALSE))),"x",IF(NOT(ISERROR(HLOOKUP(Standings!CF$3,Entries!$L50:$L50,1,FALSE))),"S",""))</f>
        <v>x</v>
      </c>
      <c r="CG74" t="str">
        <f>IF(NOT(ISERROR(HLOOKUP(Standings!CG$3,Entries!$C50:$K50,1,FALSE))),"x",IF(NOT(ISERROR(HLOOKUP(Standings!CG$3,Entries!$L50:$L50,1,FALSE))),"S",""))</f>
        <v/>
      </c>
      <c r="CH74" t="str">
        <f>IF(NOT(ISERROR(HLOOKUP(Standings!CH$3,Entries!$C50:$K50,1,FALSE))),"x",IF(NOT(ISERROR(HLOOKUP(Standings!CH$3,Entries!$L50:$L50,1,FALSE))),"S",""))</f>
        <v/>
      </c>
      <c r="CI74" t="str">
        <f>IF(NOT(ISERROR(HLOOKUP(Standings!CI$3,Entries!$C50:$K50,1,FALSE))),"x",IF(NOT(ISERROR(HLOOKUP(Standings!CI$3,Entries!$L50:$L50,1,FALSE))),"S",""))</f>
        <v/>
      </c>
      <c r="CJ74" t="str">
        <f>IF(NOT(ISERROR(HLOOKUP(Standings!CJ$3,Entries!$C50:$K50,1,FALSE))),"x",IF(NOT(ISERROR(HLOOKUP(Standings!CJ$3,Entries!$L50:$L50,1,FALSE))),"S",""))</f>
        <v/>
      </c>
      <c r="CK74" t="str">
        <f>IF(NOT(ISERROR(HLOOKUP(Standings!CK$3,Entries!$C50:$K50,1,FALSE))),"x",IF(NOT(ISERROR(HLOOKUP(Standings!CK$3,Entries!$L50:$L50,1,FALSE))),"S",""))</f>
        <v/>
      </c>
      <c r="CL74" t="str">
        <f>IF(NOT(ISERROR(HLOOKUP(Standings!CL$3,Entries!$C50:$K50,1,FALSE))),"x",IF(NOT(ISERROR(HLOOKUP(Standings!CL$3,Entries!$L50:$L50,1,FALSE))),"S",""))</f>
        <v>x</v>
      </c>
      <c r="CM74" t="str">
        <f>IF(NOT(ISERROR(HLOOKUP(Standings!CM$3,Entries!$C50:$K50,1,FALSE))),"x",IF(NOT(ISERROR(HLOOKUP(Standings!CM$3,Entries!$L50:$L50,1,FALSE))),"S",""))</f>
        <v>S</v>
      </c>
      <c r="CN74" t="str">
        <f>IF(NOT(ISERROR(HLOOKUP(Standings!CN$3,Entries!$C50:$K50,1,FALSE))),"x",IF(NOT(ISERROR(HLOOKUP(Standings!CN$3,Entries!$L50:$L50,1,FALSE))),"S",""))</f>
        <v/>
      </c>
      <c r="CO74" t="str">
        <f>IF(NOT(ISERROR(HLOOKUP(Standings!CO$3,Entries!$C50:$K50,1,FALSE))),"x",IF(NOT(ISERROR(HLOOKUP(Standings!CO$3,Entries!$L50:$L50,1,FALSE))),"S",""))</f>
        <v>x</v>
      </c>
      <c r="CP74" t="str">
        <f>IF(NOT(ISERROR(HLOOKUP(Standings!CP$3,Entries!$C50:$K50,1,FALSE))),"x",IF(NOT(ISERROR(HLOOKUP(Standings!CP$3,Entries!$L50:$L50,1,FALSE))),"S",""))</f>
        <v/>
      </c>
      <c r="CQ74" t="str">
        <f>IF(NOT(ISERROR(HLOOKUP(Standings!CQ$3,Entries!$C50:$K50,1,FALSE))),"x",IF(NOT(ISERROR(HLOOKUP(Standings!CQ$3,Entries!$L50:$L50,1,FALSE))),"S",""))</f>
        <v/>
      </c>
      <c r="CR74" t="str">
        <f>IF(NOT(ISERROR(HLOOKUP(Standings!CR$3,Entries!$C50:$K50,1,FALSE))),"x",IF(NOT(ISERROR(HLOOKUP(Standings!CR$3,Entries!$L50:$L50,1,FALSE))),"S",""))</f>
        <v/>
      </c>
      <c r="CS74" t="str">
        <f>IF(NOT(ISERROR(HLOOKUP(Standings!CS$3,Entries!$C50:$K50,1,FALSE))),"x",IF(NOT(ISERROR(HLOOKUP(Standings!CS$3,Entries!$L50:$L50,1,FALSE))),"S",""))</f>
        <v>x</v>
      </c>
      <c r="CT74" t="str">
        <f>IF(NOT(ISERROR(HLOOKUP(Standings!CT$3,Entries!$C50:$K50,1,FALSE))),"x",IF(NOT(ISERROR(HLOOKUP(Standings!CT$3,Entries!$L50:$L50,1,FALSE))),"S",""))</f>
        <v/>
      </c>
      <c r="CU74" t="str">
        <f>IF(NOT(ISERROR(HLOOKUP(Standings!CU$3,Entries!$C50:$K50,1,FALSE))),"x",IF(NOT(ISERROR(HLOOKUP(Standings!CU$3,Entries!$L50:$L50,1,FALSE))),"S",""))</f>
        <v/>
      </c>
      <c r="CV74" t="str">
        <f>IF(NOT(ISERROR(HLOOKUP(Standings!CV$3,Entries!$C50:$K50,1,FALSE))),"x",IF(NOT(ISERROR(HLOOKUP(Standings!CV$3,Entries!$L50:$L50,1,FALSE))),"S",""))</f>
        <v/>
      </c>
      <c r="CW74" t="str">
        <f>IF(NOT(ISERROR(HLOOKUP(Standings!CW$3,Entries!$C50:$K50,1,FALSE))),"x",IF(NOT(ISERROR(HLOOKUP(Standings!CW$3,Entries!$L50:$L50,1,FALSE))),"S",""))</f>
        <v>x</v>
      </c>
      <c r="CX74" t="str">
        <f>IF(NOT(ISERROR(HLOOKUP(Standings!CX$3,Entries!$C50:$K50,1,FALSE))),"x",IF(NOT(ISERROR(HLOOKUP(Standings!CX$3,Entries!$L50:$L50,1,FALSE))),"S",""))</f>
        <v/>
      </c>
      <c r="CY74" t="str">
        <f>IF(NOT(ISERROR(HLOOKUP(Standings!CY$3,Entries!$C50:$K50,1,FALSE))),"x",IF(NOT(ISERROR(HLOOKUP(Standings!CY$3,Entries!$L50:$L50,1,FALSE))),"S",""))</f>
        <v/>
      </c>
      <c r="CZ74" t="str">
        <f>IF(NOT(ISERROR(HLOOKUP(Standings!CZ$3,Entries!$C50:$K50,1,FALSE))),"x",IF(NOT(ISERROR(HLOOKUP(Standings!CZ$3,Entries!$L50:$L50,1,FALSE))),"S",""))</f>
        <v>x</v>
      </c>
      <c r="DA74" t="str">
        <f>IF(NOT(ISERROR(HLOOKUP(Standings!DA$3,Entries!$C50:$K50,1,FALSE))),"x",IF(NOT(ISERROR(HLOOKUP(Standings!DA$3,Entries!$L50:$L50,1,FALSE))),"S",""))</f>
        <v/>
      </c>
      <c r="DB74" t="str">
        <f>IF(NOT(ISERROR(HLOOKUP(Standings!DB$3,Entries!$C50:$K50,1,FALSE))),"x",IF(NOT(ISERROR(HLOOKUP(Standings!DB$3,Entries!$L50:$L50,1,FALSE))),"S",""))</f>
        <v/>
      </c>
    </row>
    <row r="75" spans="1:106" x14ac:dyDescent="0.25">
      <c r="A75" s="18"/>
      <c r="B75">
        <v>58</v>
      </c>
      <c r="C75" t="str">
        <f>Entries!B53</f>
        <v>shoupmicah</v>
      </c>
      <c r="D75" s="4">
        <f>IF(C75="","",RANK(E75,$E$10:$E$111))</f>
        <v>97</v>
      </c>
      <c r="E75" s="31">
        <f t="shared" si="50"/>
        <v>-1</v>
      </c>
      <c r="F75" s="40" t="str">
        <f t="shared" si="49"/>
        <v/>
      </c>
      <c r="G75" s="41" t="str">
        <f t="shared" si="2"/>
        <v/>
      </c>
      <c r="H75" s="41" t="str">
        <f t="shared" si="3"/>
        <v/>
      </c>
      <c r="I75" s="42" t="str">
        <f t="shared" si="4"/>
        <v/>
      </c>
      <c r="J75" s="40" t="str">
        <f t="shared" si="5"/>
        <v/>
      </c>
      <c r="K75" s="41" t="str">
        <f t="shared" si="6"/>
        <v/>
      </c>
      <c r="L75" s="41" t="str">
        <f t="shared" si="7"/>
        <v/>
      </c>
      <c r="M75" s="42" t="str">
        <f t="shared" si="8"/>
        <v/>
      </c>
      <c r="N75" s="43" t="str">
        <f t="shared" si="9"/>
        <v/>
      </c>
      <c r="O75" s="41">
        <f t="shared" si="10"/>
        <v>1</v>
      </c>
      <c r="P75" s="41" t="str">
        <f t="shared" si="11"/>
        <v/>
      </c>
      <c r="Q75" s="42" t="str">
        <f t="shared" si="12"/>
        <v/>
      </c>
      <c r="R75" s="40" t="str">
        <f t="shared" si="13"/>
        <v/>
      </c>
      <c r="S75" s="41" t="str">
        <f t="shared" si="14"/>
        <v/>
      </c>
      <c r="T75" s="43" t="str">
        <f t="shared" si="15"/>
        <v/>
      </c>
      <c r="U75" s="42" t="str">
        <f t="shared" si="16"/>
        <v/>
      </c>
      <c r="V75" s="40">
        <f t="shared" si="17"/>
        <v>-2.0000100000000001</v>
      </c>
      <c r="W75" s="41" t="str">
        <f t="shared" si="18"/>
        <v/>
      </c>
      <c r="X75" s="41" t="str">
        <f t="shared" si="19"/>
        <v/>
      </c>
      <c r="Y75" s="42" t="str">
        <f t="shared" si="20"/>
        <v/>
      </c>
      <c r="Z75" s="40" t="str">
        <f t="shared" si="21"/>
        <v/>
      </c>
      <c r="AA75" s="41" t="str">
        <f t="shared" si="22"/>
        <v/>
      </c>
      <c r="AB75" s="41" t="str">
        <f t="shared" si="23"/>
        <v/>
      </c>
      <c r="AC75" s="42" t="str">
        <f t="shared" si="24"/>
        <v/>
      </c>
      <c r="AD75" s="40" t="str">
        <f t="shared" si="25"/>
        <v/>
      </c>
      <c r="AE75" s="41" t="str">
        <f t="shared" si="26"/>
        <v/>
      </c>
      <c r="AF75" s="41" t="str">
        <f t="shared" si="27"/>
        <v/>
      </c>
      <c r="AG75" s="42" t="str">
        <f t="shared" si="28"/>
        <v/>
      </c>
      <c r="AH75" s="40" t="str">
        <f t="shared" si="29"/>
        <v/>
      </c>
      <c r="AI75" s="41" t="str">
        <f t="shared" si="30"/>
        <v/>
      </c>
      <c r="AJ75" s="41" t="str">
        <f t="shared" si="31"/>
        <v/>
      </c>
      <c r="AK75" s="42" t="str">
        <f t="shared" si="32"/>
        <v/>
      </c>
      <c r="AL75" s="40" t="str">
        <f t="shared" si="33"/>
        <v/>
      </c>
      <c r="AM75" s="41" t="str">
        <f t="shared" si="34"/>
        <v/>
      </c>
      <c r="AN75" s="41" t="str">
        <f t="shared" si="35"/>
        <v/>
      </c>
      <c r="AO75" s="42" t="str">
        <f t="shared" si="36"/>
        <v/>
      </c>
      <c r="AP75" s="40">
        <f t="shared" si="37"/>
        <v>0</v>
      </c>
      <c r="AQ75" s="41" t="str">
        <f t="shared" si="38"/>
        <v/>
      </c>
      <c r="AR75" s="41">
        <f t="shared" si="39"/>
        <v>0</v>
      </c>
      <c r="AS75" s="42" t="str">
        <f t="shared" si="40"/>
        <v/>
      </c>
      <c r="AT75" s="40" t="str">
        <f t="shared" si="41"/>
        <v/>
      </c>
      <c r="AU75" s="41" t="str">
        <f t="shared" si="42"/>
        <v/>
      </c>
      <c r="AV75" s="41" t="str">
        <f t="shared" si="43"/>
        <v/>
      </c>
      <c r="AW75" s="42" t="str">
        <f t="shared" si="44"/>
        <v/>
      </c>
      <c r="AX75" s="40">
        <f t="shared" si="45"/>
        <v>0</v>
      </c>
      <c r="AY75" s="41" t="str">
        <f t="shared" si="46"/>
        <v/>
      </c>
      <c r="AZ75" s="41" t="str">
        <f t="shared" si="47"/>
        <v/>
      </c>
      <c r="BA75" s="42" t="str">
        <f t="shared" si="48"/>
        <v/>
      </c>
      <c r="BB75" s="37" t="s">
        <v>106</v>
      </c>
      <c r="BD75" s="21"/>
      <c r="BG75" t="str">
        <f>IF(NOT(ISERROR(HLOOKUP(Standings!BG$3,Entries!$C53:$K53,1,FALSE))),"x",IF(NOT(ISERROR(HLOOKUP(Standings!BG$3,Entries!$L53:$L53,1,FALSE))),"S",""))</f>
        <v/>
      </c>
      <c r="BH75" t="str">
        <f>IF(NOT(ISERROR(HLOOKUP(Standings!BH$3,Entries!$C53:$K53,1,FALSE))),"x",IF(NOT(ISERROR(HLOOKUP(Standings!BH$3,Entries!$L53:$L53,1,FALSE))),"S",""))</f>
        <v/>
      </c>
      <c r="BI75" t="str">
        <f>IF(NOT(ISERROR(HLOOKUP(Standings!BI$3,Entries!$C53:$K53,1,FALSE))),"x",IF(NOT(ISERROR(HLOOKUP(Standings!BI$3,Entries!$L53:$L53,1,FALSE))),"S",""))</f>
        <v/>
      </c>
      <c r="BJ75" t="str">
        <f>IF(NOT(ISERROR(HLOOKUP(Standings!BJ$3,Entries!$C53:$K53,1,FALSE))),"x",IF(NOT(ISERROR(HLOOKUP(Standings!BJ$3,Entries!$L53:$L53,1,FALSE))),"S",""))</f>
        <v/>
      </c>
      <c r="BK75" t="str">
        <f>IF(NOT(ISERROR(HLOOKUP(Standings!BK$3,Entries!$C53:$K53,1,FALSE))),"x",IF(NOT(ISERROR(HLOOKUP(Standings!BK$3,Entries!$L53:$L53,1,FALSE))),"S",""))</f>
        <v/>
      </c>
      <c r="BL75" t="str">
        <f>IF(NOT(ISERROR(HLOOKUP(Standings!BL$3,Entries!$C53:$K53,1,FALSE))),"x",IF(NOT(ISERROR(HLOOKUP(Standings!BL$3,Entries!$L53:$L53,1,FALSE))),"S",""))</f>
        <v/>
      </c>
      <c r="BM75" t="str">
        <f>IF(NOT(ISERROR(HLOOKUP(Standings!BM$3,Entries!$C53:$K53,1,FALSE))),"x",IF(NOT(ISERROR(HLOOKUP(Standings!BM$3,Entries!$L53:$L53,1,FALSE))),"S",""))</f>
        <v/>
      </c>
      <c r="BN75" t="str">
        <f>IF(NOT(ISERROR(HLOOKUP(Standings!BN$3,Entries!$C53:$K53,1,FALSE))),"x",IF(NOT(ISERROR(HLOOKUP(Standings!BN$3,Entries!$L53:$L53,1,FALSE))),"S",""))</f>
        <v/>
      </c>
      <c r="BO75" t="str">
        <f>IF(NOT(ISERROR(HLOOKUP(Standings!BO$3,Entries!$C53:$K53,1,FALSE))),"x",IF(NOT(ISERROR(HLOOKUP(Standings!BO$3,Entries!$L53:$L53,1,FALSE))),"S",""))</f>
        <v/>
      </c>
      <c r="BP75" t="str">
        <f>IF(NOT(ISERROR(HLOOKUP(Standings!BP$3,Entries!$C53:$K53,1,FALSE))),"x",IF(NOT(ISERROR(HLOOKUP(Standings!BP$3,Entries!$L53:$L53,1,FALSE))),"S",""))</f>
        <v>x</v>
      </c>
      <c r="BQ75" t="str">
        <f>IF(NOT(ISERROR(HLOOKUP(Standings!BQ$3,Entries!$C53:$K53,1,FALSE))),"x",IF(NOT(ISERROR(HLOOKUP(Standings!BQ$3,Entries!$L53:$L53,1,FALSE))),"S",""))</f>
        <v/>
      </c>
      <c r="BR75" t="str">
        <f>IF(NOT(ISERROR(HLOOKUP(Standings!BR$3,Entries!$C53:$K53,1,FALSE))),"x",IF(NOT(ISERROR(HLOOKUP(Standings!BR$3,Entries!$L53:$L53,1,FALSE))),"S",""))</f>
        <v/>
      </c>
      <c r="BS75" t="str">
        <f>IF(NOT(ISERROR(HLOOKUP(Standings!BS$3,Entries!$C53:$K53,1,FALSE))),"x",IF(NOT(ISERROR(HLOOKUP(Standings!BS$3,Entries!$L53:$L53,1,FALSE))),"S",""))</f>
        <v/>
      </c>
      <c r="BT75" t="str">
        <f>IF(NOT(ISERROR(HLOOKUP(Standings!BT$3,Entries!$C53:$K53,1,FALSE))),"x",IF(NOT(ISERROR(HLOOKUP(Standings!BT$3,Entries!$L53:$L53,1,FALSE))),"S",""))</f>
        <v/>
      </c>
      <c r="BU75" t="str">
        <f>IF(NOT(ISERROR(HLOOKUP(Standings!BU$3,Entries!$C53:$K53,1,FALSE))),"x",IF(NOT(ISERROR(HLOOKUP(Standings!BU$3,Entries!$L53:$L53,1,FALSE))),"S",""))</f>
        <v/>
      </c>
      <c r="BV75" t="str">
        <f>IF(NOT(ISERROR(HLOOKUP(Standings!BV$3,Entries!$C53:$K53,1,FALSE))),"x",IF(NOT(ISERROR(HLOOKUP(Standings!BV$3,Entries!$L53:$L53,1,FALSE))),"S",""))</f>
        <v/>
      </c>
      <c r="BW75" t="str">
        <f>IF(NOT(ISERROR(HLOOKUP(Standings!BW$3,Entries!$C53:$K53,1,FALSE))),"x",IF(NOT(ISERROR(HLOOKUP(Standings!BW$3,Entries!$L53:$L53,1,FALSE))),"S",""))</f>
        <v>S</v>
      </c>
      <c r="BX75" t="str">
        <f>IF(NOT(ISERROR(HLOOKUP(Standings!BX$3,Entries!$C53:$K53,1,FALSE))),"x",IF(NOT(ISERROR(HLOOKUP(Standings!BX$3,Entries!$L53:$L53,1,FALSE))),"S",""))</f>
        <v/>
      </c>
      <c r="BY75" t="str">
        <f>IF(NOT(ISERROR(HLOOKUP(Standings!BY$3,Entries!$C53:$K53,1,FALSE))),"x",IF(NOT(ISERROR(HLOOKUP(Standings!BY$3,Entries!$L53:$L53,1,FALSE))),"S",""))</f>
        <v/>
      </c>
      <c r="BZ75" t="str">
        <f>IF(NOT(ISERROR(HLOOKUP(Standings!BZ$3,Entries!$C53:$K53,1,FALSE))),"x",IF(NOT(ISERROR(HLOOKUP(Standings!BZ$3,Entries!$L53:$L53,1,FALSE))),"S",""))</f>
        <v/>
      </c>
      <c r="CA75" t="str">
        <f>IF(NOT(ISERROR(HLOOKUP(Standings!CA$3,Entries!$C53:$K53,1,FALSE))),"x",IF(NOT(ISERROR(HLOOKUP(Standings!CA$3,Entries!$L53:$L53,1,FALSE))),"S",""))</f>
        <v/>
      </c>
      <c r="CB75" t="str">
        <f>IF(NOT(ISERROR(HLOOKUP(Standings!CB$3,Entries!$C53:$K53,1,FALSE))),"x",IF(NOT(ISERROR(HLOOKUP(Standings!CB$3,Entries!$L53:$L53,1,FALSE))),"S",""))</f>
        <v/>
      </c>
      <c r="CC75" t="str">
        <f>IF(NOT(ISERROR(HLOOKUP(Standings!CC$3,Entries!$C53:$K53,1,FALSE))),"x",IF(NOT(ISERROR(HLOOKUP(Standings!CC$3,Entries!$L53:$L53,1,FALSE))),"S",""))</f>
        <v/>
      </c>
      <c r="CD75" t="str">
        <f>IF(NOT(ISERROR(HLOOKUP(Standings!CD$3,Entries!$C53:$K53,1,FALSE))),"x",IF(NOT(ISERROR(HLOOKUP(Standings!CD$3,Entries!$L53:$L53,1,FALSE))),"S",""))</f>
        <v/>
      </c>
      <c r="CE75" t="str">
        <f>IF(NOT(ISERROR(HLOOKUP(Standings!CE$3,Entries!$C53:$K53,1,FALSE))),"x",IF(NOT(ISERROR(HLOOKUP(Standings!CE$3,Entries!$L53:$L53,1,FALSE))),"S",""))</f>
        <v/>
      </c>
      <c r="CF75" t="str">
        <f>IF(NOT(ISERROR(HLOOKUP(Standings!CF$3,Entries!$C53:$K53,1,FALSE))),"x",IF(NOT(ISERROR(HLOOKUP(Standings!CF$3,Entries!$L53:$L53,1,FALSE))),"S",""))</f>
        <v/>
      </c>
      <c r="CG75" t="str">
        <f>IF(NOT(ISERROR(HLOOKUP(Standings!CG$3,Entries!$C53:$K53,1,FALSE))),"x",IF(NOT(ISERROR(HLOOKUP(Standings!CG$3,Entries!$L53:$L53,1,FALSE))),"S",""))</f>
        <v/>
      </c>
      <c r="CH75" t="str">
        <f>IF(NOT(ISERROR(HLOOKUP(Standings!CH$3,Entries!$C53:$K53,1,FALSE))),"x",IF(NOT(ISERROR(HLOOKUP(Standings!CH$3,Entries!$L53:$L53,1,FALSE))),"S",""))</f>
        <v/>
      </c>
      <c r="CI75" t="str">
        <f>IF(NOT(ISERROR(HLOOKUP(Standings!CI$3,Entries!$C53:$K53,1,FALSE))),"x",IF(NOT(ISERROR(HLOOKUP(Standings!CI$3,Entries!$L53:$L53,1,FALSE))),"S",""))</f>
        <v/>
      </c>
      <c r="CJ75" t="str">
        <f>IF(NOT(ISERROR(HLOOKUP(Standings!CJ$3,Entries!$C53:$K53,1,FALSE))),"x",IF(NOT(ISERROR(HLOOKUP(Standings!CJ$3,Entries!$L53:$L53,1,FALSE))),"S",""))</f>
        <v/>
      </c>
      <c r="CK75" t="str">
        <f>IF(NOT(ISERROR(HLOOKUP(Standings!CK$3,Entries!$C53:$K53,1,FALSE))),"x",IF(NOT(ISERROR(HLOOKUP(Standings!CK$3,Entries!$L53:$L53,1,FALSE))),"S",""))</f>
        <v/>
      </c>
      <c r="CL75" t="str">
        <f>IF(NOT(ISERROR(HLOOKUP(Standings!CL$3,Entries!$C53:$K53,1,FALSE))),"x",IF(NOT(ISERROR(HLOOKUP(Standings!CL$3,Entries!$L53:$L53,1,FALSE))),"S",""))</f>
        <v/>
      </c>
      <c r="CM75" t="str">
        <f>IF(NOT(ISERROR(HLOOKUP(Standings!CM$3,Entries!$C53:$K53,1,FALSE))),"x",IF(NOT(ISERROR(HLOOKUP(Standings!CM$3,Entries!$L53:$L53,1,FALSE))),"S",""))</f>
        <v/>
      </c>
      <c r="CN75" t="str">
        <f>IF(NOT(ISERROR(HLOOKUP(Standings!CN$3,Entries!$C53:$K53,1,FALSE))),"x",IF(NOT(ISERROR(HLOOKUP(Standings!CN$3,Entries!$L53:$L53,1,FALSE))),"S",""))</f>
        <v/>
      </c>
      <c r="CO75" t="str">
        <f>IF(NOT(ISERROR(HLOOKUP(Standings!CO$3,Entries!$C53:$K53,1,FALSE))),"x",IF(NOT(ISERROR(HLOOKUP(Standings!CO$3,Entries!$L53:$L53,1,FALSE))),"S",""))</f>
        <v/>
      </c>
      <c r="CP75" t="str">
        <f>IF(NOT(ISERROR(HLOOKUP(Standings!CP$3,Entries!$C53:$K53,1,FALSE))),"x",IF(NOT(ISERROR(HLOOKUP(Standings!CP$3,Entries!$L53:$L53,1,FALSE))),"S",""))</f>
        <v/>
      </c>
      <c r="CQ75" t="str">
        <f>IF(NOT(ISERROR(HLOOKUP(Standings!CQ$3,Entries!$C53:$K53,1,FALSE))),"x",IF(NOT(ISERROR(HLOOKUP(Standings!CQ$3,Entries!$L53:$L53,1,FALSE))),"S",""))</f>
        <v>x</v>
      </c>
      <c r="CR75" t="str">
        <f>IF(NOT(ISERROR(HLOOKUP(Standings!CR$3,Entries!$C53:$K53,1,FALSE))),"x",IF(NOT(ISERROR(HLOOKUP(Standings!CR$3,Entries!$L53:$L53,1,FALSE))),"S",""))</f>
        <v/>
      </c>
      <c r="CS75" t="str">
        <f>IF(NOT(ISERROR(HLOOKUP(Standings!CS$3,Entries!$C53:$K53,1,FALSE))),"x",IF(NOT(ISERROR(HLOOKUP(Standings!CS$3,Entries!$L53:$L53,1,FALSE))),"S",""))</f>
        <v>x</v>
      </c>
      <c r="CT75" t="str">
        <f>IF(NOT(ISERROR(HLOOKUP(Standings!CT$3,Entries!$C53:$K53,1,FALSE))),"x",IF(NOT(ISERROR(HLOOKUP(Standings!CT$3,Entries!$L53:$L53,1,FALSE))),"S",""))</f>
        <v/>
      </c>
      <c r="CU75" t="str">
        <f>IF(NOT(ISERROR(HLOOKUP(Standings!CU$3,Entries!$C53:$K53,1,FALSE))),"x",IF(NOT(ISERROR(HLOOKUP(Standings!CU$3,Entries!$L53:$L53,1,FALSE))),"S",""))</f>
        <v/>
      </c>
      <c r="CV75" t="str">
        <f>IF(NOT(ISERROR(HLOOKUP(Standings!CV$3,Entries!$C53:$K53,1,FALSE))),"x",IF(NOT(ISERROR(HLOOKUP(Standings!CV$3,Entries!$L53:$L53,1,FALSE))),"S",""))</f>
        <v/>
      </c>
      <c r="CW75" t="str">
        <f>IF(NOT(ISERROR(HLOOKUP(Standings!CW$3,Entries!$C53:$K53,1,FALSE))),"x",IF(NOT(ISERROR(HLOOKUP(Standings!CW$3,Entries!$L53:$L53,1,FALSE))),"S",""))</f>
        <v/>
      </c>
      <c r="CX75" t="str">
        <f>IF(NOT(ISERROR(HLOOKUP(Standings!CX$3,Entries!$C53:$K53,1,FALSE))),"x",IF(NOT(ISERROR(HLOOKUP(Standings!CX$3,Entries!$L53:$L53,1,FALSE))),"S",""))</f>
        <v/>
      </c>
      <c r="CY75" t="str">
        <f>IF(NOT(ISERROR(HLOOKUP(Standings!CY$3,Entries!$C53:$K53,1,FALSE))),"x",IF(NOT(ISERROR(HLOOKUP(Standings!CY$3,Entries!$L53:$L53,1,FALSE))),"S",""))</f>
        <v>x</v>
      </c>
      <c r="CZ75" t="str">
        <f>IF(NOT(ISERROR(HLOOKUP(Standings!CZ$3,Entries!$C53:$K53,1,FALSE))),"x",IF(NOT(ISERROR(HLOOKUP(Standings!CZ$3,Entries!$L53:$L53,1,FALSE))),"S",""))</f>
        <v/>
      </c>
      <c r="DA75" t="str">
        <f>IF(NOT(ISERROR(HLOOKUP(Standings!DA$3,Entries!$C53:$K53,1,FALSE))),"x",IF(NOT(ISERROR(HLOOKUP(Standings!DA$3,Entries!$L53:$L53,1,FALSE))),"S",""))</f>
        <v/>
      </c>
      <c r="DB75" t="str">
        <f>IF(NOT(ISERROR(HLOOKUP(Standings!DB$3,Entries!$C53:$K53,1,FALSE))),"x",IF(NOT(ISERROR(HLOOKUP(Standings!DB$3,Entries!$L53:$L53,1,FALSE))),"S",""))</f>
        <v/>
      </c>
    </row>
    <row r="76" spans="1:106" x14ac:dyDescent="0.25">
      <c r="A76" s="18"/>
      <c r="B76">
        <v>60</v>
      </c>
      <c r="C76" t="str">
        <f>Entries!B54</f>
        <v>Tim Skierka</v>
      </c>
      <c r="D76" s="4">
        <f>IF(C76="","",RANK(E76,$E$10:$E$111))</f>
        <v>32</v>
      </c>
      <c r="E76" s="31">
        <f t="shared" si="50"/>
        <v>4</v>
      </c>
      <c r="F76" s="40">
        <f t="shared" si="49"/>
        <v>2</v>
      </c>
      <c r="G76" s="41" t="str">
        <f t="shared" si="2"/>
        <v/>
      </c>
      <c r="H76" s="41" t="str">
        <f t="shared" si="3"/>
        <v/>
      </c>
      <c r="I76" s="42" t="str">
        <f t="shared" si="4"/>
        <v/>
      </c>
      <c r="J76" s="40">
        <f t="shared" si="5"/>
        <v>1</v>
      </c>
      <c r="K76" s="41" t="str">
        <f t="shared" si="6"/>
        <v/>
      </c>
      <c r="L76" s="41" t="str">
        <f t="shared" si="7"/>
        <v/>
      </c>
      <c r="M76" s="42" t="str">
        <f t="shared" si="8"/>
        <v/>
      </c>
      <c r="N76" s="43" t="str">
        <f t="shared" si="9"/>
        <v/>
      </c>
      <c r="O76" s="41" t="str">
        <f t="shared" si="10"/>
        <v/>
      </c>
      <c r="P76" s="41" t="str">
        <f t="shared" si="11"/>
        <v/>
      </c>
      <c r="Q76" s="42" t="str">
        <f t="shared" si="12"/>
        <v/>
      </c>
      <c r="R76" s="40">
        <f t="shared" si="13"/>
        <v>2</v>
      </c>
      <c r="S76" s="41" t="str">
        <f t="shared" si="14"/>
        <v/>
      </c>
      <c r="T76" s="43" t="str">
        <f t="shared" si="15"/>
        <v/>
      </c>
      <c r="U76" s="42" t="str">
        <f t="shared" si="16"/>
        <v/>
      </c>
      <c r="V76" s="40" t="str">
        <f t="shared" si="17"/>
        <v/>
      </c>
      <c r="W76" s="41" t="str">
        <f t="shared" si="18"/>
        <v/>
      </c>
      <c r="X76" s="41" t="str">
        <f t="shared" si="19"/>
        <v/>
      </c>
      <c r="Y76" s="42" t="str">
        <f t="shared" si="20"/>
        <v/>
      </c>
      <c r="Z76" s="40">
        <f t="shared" si="21"/>
        <v>-1.0000100000000001</v>
      </c>
      <c r="AA76" s="41" t="str">
        <f t="shared" si="22"/>
        <v/>
      </c>
      <c r="AB76" s="41" t="str">
        <f t="shared" si="23"/>
        <v/>
      </c>
      <c r="AC76" s="42" t="str">
        <f t="shared" si="24"/>
        <v/>
      </c>
      <c r="AD76" s="40" t="str">
        <f t="shared" si="25"/>
        <v/>
      </c>
      <c r="AE76" s="41" t="str">
        <f t="shared" si="26"/>
        <v/>
      </c>
      <c r="AF76" s="41" t="str">
        <f t="shared" si="27"/>
        <v/>
      </c>
      <c r="AG76" s="42" t="str">
        <f t="shared" si="28"/>
        <v/>
      </c>
      <c r="AH76" s="40" t="str">
        <f t="shared" si="29"/>
        <v/>
      </c>
      <c r="AI76" s="41" t="str">
        <f t="shared" si="30"/>
        <v/>
      </c>
      <c r="AJ76" s="41" t="str">
        <f t="shared" si="31"/>
        <v/>
      </c>
      <c r="AK76" s="42" t="str">
        <f t="shared" si="32"/>
        <v/>
      </c>
      <c r="AL76" s="40" t="str">
        <f t="shared" si="33"/>
        <v/>
      </c>
      <c r="AM76" s="41">
        <f t="shared" si="34"/>
        <v>0</v>
      </c>
      <c r="AN76" s="41" t="str">
        <f t="shared" si="35"/>
        <v/>
      </c>
      <c r="AO76" s="42" t="str">
        <f t="shared" si="36"/>
        <v/>
      </c>
      <c r="AP76" s="40" t="str">
        <f t="shared" si="37"/>
        <v/>
      </c>
      <c r="AQ76" s="41" t="str">
        <f t="shared" si="38"/>
        <v/>
      </c>
      <c r="AR76" s="41">
        <f t="shared" si="39"/>
        <v>0</v>
      </c>
      <c r="AS76" s="42" t="str">
        <f t="shared" si="40"/>
        <v/>
      </c>
      <c r="AT76" s="40" t="str">
        <f t="shared" si="41"/>
        <v/>
      </c>
      <c r="AU76" s="41" t="str">
        <f t="shared" si="42"/>
        <v/>
      </c>
      <c r="AV76" s="41">
        <f t="shared" si="43"/>
        <v>0</v>
      </c>
      <c r="AW76" s="42" t="str">
        <f t="shared" si="44"/>
        <v/>
      </c>
      <c r="AX76" s="40" t="str">
        <f t="shared" si="45"/>
        <v/>
      </c>
      <c r="AY76" s="41">
        <f t="shared" si="46"/>
        <v>0</v>
      </c>
      <c r="AZ76" s="41" t="str">
        <f t="shared" si="47"/>
        <v/>
      </c>
      <c r="BA76" s="42" t="str">
        <f t="shared" si="48"/>
        <v/>
      </c>
      <c r="BB76" s="37" t="s">
        <v>106</v>
      </c>
      <c r="BC76" s="21"/>
      <c r="BD76" s="21"/>
      <c r="BG76" t="str">
        <f>IF(NOT(ISERROR(HLOOKUP(Standings!BG$3,Entries!$C54:$K54,1,FALSE))),"x",IF(NOT(ISERROR(HLOOKUP(Standings!BG$3,Entries!$L54:$L54,1,FALSE))),"S",""))</f>
        <v>x</v>
      </c>
      <c r="BH76" t="str">
        <f>IF(NOT(ISERROR(HLOOKUP(Standings!BH$3,Entries!$C54:$K54,1,FALSE))),"x",IF(NOT(ISERROR(HLOOKUP(Standings!BH$3,Entries!$L54:$L54,1,FALSE))),"S",""))</f>
        <v/>
      </c>
      <c r="BI76" t="str">
        <f>IF(NOT(ISERROR(HLOOKUP(Standings!BI$3,Entries!$C54:$K54,1,FALSE))),"x",IF(NOT(ISERROR(HLOOKUP(Standings!BI$3,Entries!$L54:$L54,1,FALSE))),"S",""))</f>
        <v/>
      </c>
      <c r="BJ76" t="str">
        <f>IF(NOT(ISERROR(HLOOKUP(Standings!BJ$3,Entries!$C54:$K54,1,FALSE))),"x",IF(NOT(ISERROR(HLOOKUP(Standings!BJ$3,Entries!$L54:$L54,1,FALSE))),"S",""))</f>
        <v/>
      </c>
      <c r="BK76" t="str">
        <f>IF(NOT(ISERROR(HLOOKUP(Standings!BK$3,Entries!$C54:$K54,1,FALSE))),"x",IF(NOT(ISERROR(HLOOKUP(Standings!BK$3,Entries!$L54:$L54,1,FALSE))),"S",""))</f>
        <v>x</v>
      </c>
      <c r="BL76" t="str">
        <f>IF(NOT(ISERROR(HLOOKUP(Standings!BL$3,Entries!$C54:$K54,1,FALSE))),"x",IF(NOT(ISERROR(HLOOKUP(Standings!BL$3,Entries!$L54:$L54,1,FALSE))),"S",""))</f>
        <v/>
      </c>
      <c r="BM76" t="str">
        <f>IF(NOT(ISERROR(HLOOKUP(Standings!BM$3,Entries!$C54:$K54,1,FALSE))),"x",IF(NOT(ISERROR(HLOOKUP(Standings!BM$3,Entries!$L54:$L54,1,FALSE))),"S",""))</f>
        <v/>
      </c>
      <c r="BN76" t="str">
        <f>IF(NOT(ISERROR(HLOOKUP(Standings!BN$3,Entries!$C54:$K54,1,FALSE))),"x",IF(NOT(ISERROR(HLOOKUP(Standings!BN$3,Entries!$L54:$L54,1,FALSE))),"S",""))</f>
        <v/>
      </c>
      <c r="BO76" t="str">
        <f>IF(NOT(ISERROR(HLOOKUP(Standings!BO$3,Entries!$C54:$K54,1,FALSE))),"x",IF(NOT(ISERROR(HLOOKUP(Standings!BO$3,Entries!$L54:$L54,1,FALSE))),"S",""))</f>
        <v/>
      </c>
      <c r="BP76" t="str">
        <f>IF(NOT(ISERROR(HLOOKUP(Standings!BP$3,Entries!$C54:$K54,1,FALSE))),"x",IF(NOT(ISERROR(HLOOKUP(Standings!BP$3,Entries!$L54:$L54,1,FALSE))),"S",""))</f>
        <v/>
      </c>
      <c r="BQ76" t="str">
        <f>IF(NOT(ISERROR(HLOOKUP(Standings!BQ$3,Entries!$C54:$K54,1,FALSE))),"x",IF(NOT(ISERROR(HLOOKUP(Standings!BQ$3,Entries!$L54:$L54,1,FALSE))),"S",""))</f>
        <v/>
      </c>
      <c r="BR76" t="str">
        <f>IF(NOT(ISERROR(HLOOKUP(Standings!BR$3,Entries!$C54:$K54,1,FALSE))),"x",IF(NOT(ISERROR(HLOOKUP(Standings!BR$3,Entries!$L54:$L54,1,FALSE))),"S",""))</f>
        <v/>
      </c>
      <c r="BS76" t="str">
        <f>IF(NOT(ISERROR(HLOOKUP(Standings!BS$3,Entries!$C54:$K54,1,FALSE))),"x",IF(NOT(ISERROR(HLOOKUP(Standings!BS$3,Entries!$L54:$L54,1,FALSE))),"S",""))</f>
        <v>x</v>
      </c>
      <c r="BT76" t="str">
        <f>IF(NOT(ISERROR(HLOOKUP(Standings!BT$3,Entries!$C54:$K54,1,FALSE))),"x",IF(NOT(ISERROR(HLOOKUP(Standings!BT$3,Entries!$L54:$L54,1,FALSE))),"S",""))</f>
        <v/>
      </c>
      <c r="BU76" t="str">
        <f>IF(NOT(ISERROR(HLOOKUP(Standings!BU$3,Entries!$C54:$K54,1,FALSE))),"x",IF(NOT(ISERROR(HLOOKUP(Standings!BU$3,Entries!$L54:$L54,1,FALSE))),"S",""))</f>
        <v/>
      </c>
      <c r="BV76" t="str">
        <f>IF(NOT(ISERROR(HLOOKUP(Standings!BV$3,Entries!$C54:$K54,1,FALSE))),"x",IF(NOT(ISERROR(HLOOKUP(Standings!BV$3,Entries!$L54:$L54,1,FALSE))),"S",""))</f>
        <v/>
      </c>
      <c r="BW76" t="str">
        <f>IF(NOT(ISERROR(HLOOKUP(Standings!BW$3,Entries!$C54:$K54,1,FALSE))),"x",IF(NOT(ISERROR(HLOOKUP(Standings!BW$3,Entries!$L54:$L54,1,FALSE))),"S",""))</f>
        <v/>
      </c>
      <c r="BX76" t="str">
        <f>IF(NOT(ISERROR(HLOOKUP(Standings!BX$3,Entries!$C54:$K54,1,FALSE))),"x",IF(NOT(ISERROR(HLOOKUP(Standings!BX$3,Entries!$L54:$L54,1,FALSE))),"S",""))</f>
        <v/>
      </c>
      <c r="BY76" t="str">
        <f>IF(NOT(ISERROR(HLOOKUP(Standings!BY$3,Entries!$C54:$K54,1,FALSE))),"x",IF(NOT(ISERROR(HLOOKUP(Standings!BY$3,Entries!$L54:$L54,1,FALSE))),"S",""))</f>
        <v/>
      </c>
      <c r="BZ76" t="str">
        <f>IF(NOT(ISERROR(HLOOKUP(Standings!BZ$3,Entries!$C54:$K54,1,FALSE))),"x",IF(NOT(ISERROR(HLOOKUP(Standings!BZ$3,Entries!$L54:$L54,1,FALSE))),"S",""))</f>
        <v/>
      </c>
      <c r="CA76" t="str">
        <f>IF(NOT(ISERROR(HLOOKUP(Standings!CA$3,Entries!$C54:$K54,1,FALSE))),"x",IF(NOT(ISERROR(HLOOKUP(Standings!CA$3,Entries!$L54:$L54,1,FALSE))),"S",""))</f>
        <v>S</v>
      </c>
      <c r="CB76" t="str">
        <f>IF(NOT(ISERROR(HLOOKUP(Standings!CB$3,Entries!$C54:$K54,1,FALSE))),"x",IF(NOT(ISERROR(HLOOKUP(Standings!CB$3,Entries!$L54:$L54,1,FALSE))),"S",""))</f>
        <v/>
      </c>
      <c r="CC76" t="str">
        <f>IF(NOT(ISERROR(HLOOKUP(Standings!CC$3,Entries!$C54:$K54,1,FALSE))),"x",IF(NOT(ISERROR(HLOOKUP(Standings!CC$3,Entries!$L54:$L54,1,FALSE))),"S",""))</f>
        <v/>
      </c>
      <c r="CD76" t="str">
        <f>IF(NOT(ISERROR(HLOOKUP(Standings!CD$3,Entries!$C54:$K54,1,FALSE))),"x",IF(NOT(ISERROR(HLOOKUP(Standings!CD$3,Entries!$L54:$L54,1,FALSE))),"S",""))</f>
        <v/>
      </c>
      <c r="CE76" t="str">
        <f>IF(NOT(ISERROR(HLOOKUP(Standings!CE$3,Entries!$C54:$K54,1,FALSE))),"x",IF(NOT(ISERROR(HLOOKUP(Standings!CE$3,Entries!$L54:$L54,1,FALSE))),"S",""))</f>
        <v/>
      </c>
      <c r="CF76" t="str">
        <f>IF(NOT(ISERROR(HLOOKUP(Standings!CF$3,Entries!$C54:$K54,1,FALSE))),"x",IF(NOT(ISERROR(HLOOKUP(Standings!CF$3,Entries!$L54:$L54,1,FALSE))),"S",""))</f>
        <v/>
      </c>
      <c r="CG76" t="str">
        <f>IF(NOT(ISERROR(HLOOKUP(Standings!CG$3,Entries!$C54:$K54,1,FALSE))),"x",IF(NOT(ISERROR(HLOOKUP(Standings!CG$3,Entries!$L54:$L54,1,FALSE))),"S",""))</f>
        <v/>
      </c>
      <c r="CH76" t="str">
        <f>IF(NOT(ISERROR(HLOOKUP(Standings!CH$3,Entries!$C54:$K54,1,FALSE))),"x",IF(NOT(ISERROR(HLOOKUP(Standings!CH$3,Entries!$L54:$L54,1,FALSE))),"S",""))</f>
        <v/>
      </c>
      <c r="CI76" t="str">
        <f>IF(NOT(ISERROR(HLOOKUP(Standings!CI$3,Entries!$C54:$K54,1,FALSE))),"x",IF(NOT(ISERROR(HLOOKUP(Standings!CI$3,Entries!$L54:$L54,1,FALSE))),"S",""))</f>
        <v/>
      </c>
      <c r="CJ76" t="str">
        <f>IF(NOT(ISERROR(HLOOKUP(Standings!CJ$3,Entries!$C54:$K54,1,FALSE))),"x",IF(NOT(ISERROR(HLOOKUP(Standings!CJ$3,Entries!$L54:$L54,1,FALSE))),"S",""))</f>
        <v/>
      </c>
      <c r="CK76" t="str">
        <f>IF(NOT(ISERROR(HLOOKUP(Standings!CK$3,Entries!$C54:$K54,1,FALSE))),"x",IF(NOT(ISERROR(HLOOKUP(Standings!CK$3,Entries!$L54:$L54,1,FALSE))),"S",""))</f>
        <v/>
      </c>
      <c r="CL76" t="str">
        <f>IF(NOT(ISERROR(HLOOKUP(Standings!CL$3,Entries!$C54:$K54,1,FALSE))),"x",IF(NOT(ISERROR(HLOOKUP(Standings!CL$3,Entries!$L54:$L54,1,FALSE))),"S",""))</f>
        <v/>
      </c>
      <c r="CM76" t="str">
        <f>IF(NOT(ISERROR(HLOOKUP(Standings!CM$3,Entries!$C54:$K54,1,FALSE))),"x",IF(NOT(ISERROR(HLOOKUP(Standings!CM$3,Entries!$L54:$L54,1,FALSE))),"S",""))</f>
        <v/>
      </c>
      <c r="CN76" t="str">
        <f>IF(NOT(ISERROR(HLOOKUP(Standings!CN$3,Entries!$C54:$K54,1,FALSE))),"x",IF(NOT(ISERROR(HLOOKUP(Standings!CN$3,Entries!$L54:$L54,1,FALSE))),"S",""))</f>
        <v>x</v>
      </c>
      <c r="CO76" t="str">
        <f>IF(NOT(ISERROR(HLOOKUP(Standings!CO$3,Entries!$C54:$K54,1,FALSE))),"x",IF(NOT(ISERROR(HLOOKUP(Standings!CO$3,Entries!$L54:$L54,1,FALSE))),"S",""))</f>
        <v/>
      </c>
      <c r="CP76" t="str">
        <f>IF(NOT(ISERROR(HLOOKUP(Standings!CP$3,Entries!$C54:$K54,1,FALSE))),"x",IF(NOT(ISERROR(HLOOKUP(Standings!CP$3,Entries!$L54:$L54,1,FALSE))),"S",""))</f>
        <v/>
      </c>
      <c r="CQ76" t="str">
        <f>IF(NOT(ISERROR(HLOOKUP(Standings!CQ$3,Entries!$C54:$K54,1,FALSE))),"x",IF(NOT(ISERROR(HLOOKUP(Standings!CQ$3,Entries!$L54:$L54,1,FALSE))),"S",""))</f>
        <v/>
      </c>
      <c r="CR76" t="str">
        <f>IF(NOT(ISERROR(HLOOKUP(Standings!CR$3,Entries!$C54:$K54,1,FALSE))),"x",IF(NOT(ISERROR(HLOOKUP(Standings!CR$3,Entries!$L54:$L54,1,FALSE))),"S",""))</f>
        <v/>
      </c>
      <c r="CS76" t="str">
        <f>IF(NOT(ISERROR(HLOOKUP(Standings!CS$3,Entries!$C54:$K54,1,FALSE))),"x",IF(NOT(ISERROR(HLOOKUP(Standings!CS$3,Entries!$L54:$L54,1,FALSE))),"S",""))</f>
        <v>x</v>
      </c>
      <c r="CT76" t="str">
        <f>IF(NOT(ISERROR(HLOOKUP(Standings!CT$3,Entries!$C54:$K54,1,FALSE))),"x",IF(NOT(ISERROR(HLOOKUP(Standings!CT$3,Entries!$L54:$L54,1,FALSE))),"S",""))</f>
        <v/>
      </c>
      <c r="CU76" t="str">
        <f>IF(NOT(ISERROR(HLOOKUP(Standings!CU$3,Entries!$C54:$K54,1,FALSE))),"x",IF(NOT(ISERROR(HLOOKUP(Standings!CU$3,Entries!$L54:$L54,1,FALSE))),"S",""))</f>
        <v/>
      </c>
      <c r="CV76" t="str">
        <f>IF(NOT(ISERROR(HLOOKUP(Standings!CV$3,Entries!$C54:$K54,1,FALSE))),"x",IF(NOT(ISERROR(HLOOKUP(Standings!CV$3,Entries!$L54:$L54,1,FALSE))),"S",""))</f>
        <v/>
      </c>
      <c r="CW76" t="str">
        <f>IF(NOT(ISERROR(HLOOKUP(Standings!CW$3,Entries!$C54:$K54,1,FALSE))),"x",IF(NOT(ISERROR(HLOOKUP(Standings!CW$3,Entries!$L54:$L54,1,FALSE))),"S",""))</f>
        <v>x</v>
      </c>
      <c r="CX76" t="str">
        <f>IF(NOT(ISERROR(HLOOKUP(Standings!CX$3,Entries!$C54:$K54,1,FALSE))),"x",IF(NOT(ISERROR(HLOOKUP(Standings!CX$3,Entries!$L54:$L54,1,FALSE))),"S",""))</f>
        <v/>
      </c>
      <c r="CY76" t="str">
        <f>IF(NOT(ISERROR(HLOOKUP(Standings!CY$3,Entries!$C54:$K54,1,FALSE))),"x",IF(NOT(ISERROR(HLOOKUP(Standings!CY$3,Entries!$L54:$L54,1,FALSE))),"S",""))</f>
        <v/>
      </c>
      <c r="CZ76" t="str">
        <f>IF(NOT(ISERROR(HLOOKUP(Standings!CZ$3,Entries!$C54:$K54,1,FALSE))),"x",IF(NOT(ISERROR(HLOOKUP(Standings!CZ$3,Entries!$L54:$L54,1,FALSE))),"S",""))</f>
        <v>x</v>
      </c>
      <c r="DA76" t="str">
        <f>IF(NOT(ISERROR(HLOOKUP(Standings!DA$3,Entries!$C54:$K54,1,FALSE))),"x",IF(NOT(ISERROR(HLOOKUP(Standings!DA$3,Entries!$L54:$L54,1,FALSE))),"S",""))</f>
        <v/>
      </c>
      <c r="DB76" t="str">
        <f>IF(NOT(ISERROR(HLOOKUP(Standings!DB$3,Entries!$C54:$K54,1,FALSE))),"x",IF(NOT(ISERROR(HLOOKUP(Standings!DB$3,Entries!$L54:$L54,1,FALSE))),"S",""))</f>
        <v/>
      </c>
    </row>
    <row r="77" spans="1:106" x14ac:dyDescent="0.25">
      <c r="B77">
        <v>42</v>
      </c>
      <c r="C77" t="str">
        <f>Entries!B55</f>
        <v>JHudd1</v>
      </c>
      <c r="D77" s="4">
        <f>IF(C77="","",RANK(E77,$E$10:$E$111))</f>
        <v>55</v>
      </c>
      <c r="E77" s="31">
        <f t="shared" si="50"/>
        <v>3</v>
      </c>
      <c r="F77" s="40" t="str">
        <f t="shared" si="49"/>
        <v/>
      </c>
      <c r="G77" s="41" t="str">
        <f t="shared" si="2"/>
        <v/>
      </c>
      <c r="H77" s="41" t="str">
        <f t="shared" si="3"/>
        <v/>
      </c>
      <c r="I77" s="42" t="str">
        <f t="shared" si="4"/>
        <v/>
      </c>
      <c r="J77" s="40" t="str">
        <f t="shared" si="5"/>
        <v/>
      </c>
      <c r="K77" s="41" t="str">
        <f t="shared" si="6"/>
        <v/>
      </c>
      <c r="L77" s="41" t="str">
        <f t="shared" si="7"/>
        <v/>
      </c>
      <c r="M77" s="42" t="str">
        <f t="shared" si="8"/>
        <v/>
      </c>
      <c r="N77" s="43">
        <f t="shared" si="9"/>
        <v>-1.0000100000000001</v>
      </c>
      <c r="O77" s="41">
        <f t="shared" si="10"/>
        <v>1</v>
      </c>
      <c r="P77" s="41" t="str">
        <f t="shared" si="11"/>
        <v/>
      </c>
      <c r="Q77" s="42">
        <f t="shared" si="12"/>
        <v>2</v>
      </c>
      <c r="R77" s="40" t="str">
        <f t="shared" si="13"/>
        <v/>
      </c>
      <c r="S77" s="41" t="str">
        <f t="shared" si="14"/>
        <v/>
      </c>
      <c r="T77" s="43" t="str">
        <f t="shared" si="15"/>
        <v/>
      </c>
      <c r="U77" s="42" t="str">
        <f t="shared" si="16"/>
        <v/>
      </c>
      <c r="V77" s="40" t="str">
        <f t="shared" si="17"/>
        <v/>
      </c>
      <c r="W77" s="41" t="str">
        <f t="shared" si="18"/>
        <v/>
      </c>
      <c r="X77" s="41" t="str">
        <f t="shared" si="19"/>
        <v/>
      </c>
      <c r="Y77" s="42">
        <f t="shared" si="20"/>
        <v>0</v>
      </c>
      <c r="Z77" s="40">
        <f t="shared" si="21"/>
        <v>1</v>
      </c>
      <c r="AA77" s="41" t="str">
        <f t="shared" si="22"/>
        <v/>
      </c>
      <c r="AB77" s="41" t="str">
        <f t="shared" si="23"/>
        <v/>
      </c>
      <c r="AC77" s="42" t="str">
        <f t="shared" si="24"/>
        <v/>
      </c>
      <c r="AD77" s="40" t="str">
        <f t="shared" si="25"/>
        <v/>
      </c>
      <c r="AE77" s="41" t="str">
        <f t="shared" si="26"/>
        <v/>
      </c>
      <c r="AF77" s="41" t="str">
        <f t="shared" si="27"/>
        <v/>
      </c>
      <c r="AG77" s="42" t="str">
        <f t="shared" si="28"/>
        <v/>
      </c>
      <c r="AH77" s="40" t="str">
        <f t="shared" si="29"/>
        <v/>
      </c>
      <c r="AI77" s="41" t="str">
        <f t="shared" si="30"/>
        <v/>
      </c>
      <c r="AJ77" s="41" t="str">
        <f t="shared" si="31"/>
        <v/>
      </c>
      <c r="AK77" s="42" t="str">
        <f t="shared" si="32"/>
        <v/>
      </c>
      <c r="AL77" s="40" t="str">
        <f t="shared" si="33"/>
        <v/>
      </c>
      <c r="AM77" s="41" t="str">
        <f t="shared" si="34"/>
        <v/>
      </c>
      <c r="AN77" s="41" t="str">
        <f t="shared" si="35"/>
        <v/>
      </c>
      <c r="AO77" s="42" t="str">
        <f t="shared" si="36"/>
        <v/>
      </c>
      <c r="AP77" s="40" t="str">
        <f t="shared" si="37"/>
        <v/>
      </c>
      <c r="AQ77" s="41" t="str">
        <f t="shared" si="38"/>
        <v/>
      </c>
      <c r="AR77" s="41">
        <f t="shared" si="39"/>
        <v>0</v>
      </c>
      <c r="AS77" s="42" t="str">
        <f t="shared" si="40"/>
        <v/>
      </c>
      <c r="AT77" s="40" t="str">
        <f t="shared" si="41"/>
        <v/>
      </c>
      <c r="AU77" s="41" t="str">
        <f t="shared" si="42"/>
        <v/>
      </c>
      <c r="AV77" s="41" t="str">
        <f t="shared" si="43"/>
        <v/>
      </c>
      <c r="AW77" s="42" t="str">
        <f t="shared" si="44"/>
        <v/>
      </c>
      <c r="AX77" s="40">
        <f t="shared" si="45"/>
        <v>0</v>
      </c>
      <c r="AY77" s="41" t="str">
        <f t="shared" si="46"/>
        <v/>
      </c>
      <c r="AZ77" s="41" t="str">
        <f t="shared" si="47"/>
        <v/>
      </c>
      <c r="BA77" s="42" t="str">
        <f t="shared" si="48"/>
        <v/>
      </c>
      <c r="BB77" s="37" t="s">
        <v>106</v>
      </c>
      <c r="BD77" s="21"/>
      <c r="BG77" t="str">
        <f>IF(NOT(ISERROR(HLOOKUP(Standings!BG$3,Entries!$C55:$K55,1,FALSE))),"x",IF(NOT(ISERROR(HLOOKUP(Standings!BG$3,Entries!$L55:$L55,1,FALSE))),"S",""))</f>
        <v/>
      </c>
      <c r="BH77" t="str">
        <f>IF(NOT(ISERROR(HLOOKUP(Standings!BH$3,Entries!$C55:$K55,1,FALSE))),"x",IF(NOT(ISERROR(HLOOKUP(Standings!BH$3,Entries!$L55:$L55,1,FALSE))),"S",""))</f>
        <v/>
      </c>
      <c r="BI77" t="str">
        <f>IF(NOT(ISERROR(HLOOKUP(Standings!BI$3,Entries!$C55:$K55,1,FALSE))),"x",IF(NOT(ISERROR(HLOOKUP(Standings!BI$3,Entries!$L55:$L55,1,FALSE))),"S",""))</f>
        <v/>
      </c>
      <c r="BJ77" t="str">
        <f>IF(NOT(ISERROR(HLOOKUP(Standings!BJ$3,Entries!$C55:$K55,1,FALSE))),"x",IF(NOT(ISERROR(HLOOKUP(Standings!BJ$3,Entries!$L55:$L55,1,FALSE))),"S",""))</f>
        <v/>
      </c>
      <c r="BK77" t="str">
        <f>IF(NOT(ISERROR(HLOOKUP(Standings!BK$3,Entries!$C55:$K55,1,FALSE))),"x",IF(NOT(ISERROR(HLOOKUP(Standings!BK$3,Entries!$L55:$L55,1,FALSE))),"S",""))</f>
        <v/>
      </c>
      <c r="BL77" t="str">
        <f>IF(NOT(ISERROR(HLOOKUP(Standings!BL$3,Entries!$C55:$K55,1,FALSE))),"x",IF(NOT(ISERROR(HLOOKUP(Standings!BL$3,Entries!$L55:$L55,1,FALSE))),"S",""))</f>
        <v/>
      </c>
      <c r="BM77" t="str">
        <f>IF(NOT(ISERROR(HLOOKUP(Standings!BM$3,Entries!$C55:$K55,1,FALSE))),"x",IF(NOT(ISERROR(HLOOKUP(Standings!BM$3,Entries!$L55:$L55,1,FALSE))),"S",""))</f>
        <v/>
      </c>
      <c r="BN77" t="str">
        <f>IF(NOT(ISERROR(HLOOKUP(Standings!BN$3,Entries!$C55:$K55,1,FALSE))),"x",IF(NOT(ISERROR(HLOOKUP(Standings!BN$3,Entries!$L55:$L55,1,FALSE))),"S",""))</f>
        <v/>
      </c>
      <c r="BO77" t="str">
        <f>IF(NOT(ISERROR(HLOOKUP(Standings!BO$3,Entries!$C55:$K55,1,FALSE))),"x",IF(NOT(ISERROR(HLOOKUP(Standings!BO$3,Entries!$L55:$L55,1,FALSE))),"S",""))</f>
        <v>S</v>
      </c>
      <c r="BP77" t="str">
        <f>IF(NOT(ISERROR(HLOOKUP(Standings!BP$3,Entries!$C55:$K55,1,FALSE))),"x",IF(NOT(ISERROR(HLOOKUP(Standings!BP$3,Entries!$L55:$L55,1,FALSE))),"S",""))</f>
        <v>x</v>
      </c>
      <c r="BQ77" t="str">
        <f>IF(NOT(ISERROR(HLOOKUP(Standings!BQ$3,Entries!$C55:$K55,1,FALSE))),"x",IF(NOT(ISERROR(HLOOKUP(Standings!BQ$3,Entries!$L55:$L55,1,FALSE))),"S",""))</f>
        <v/>
      </c>
      <c r="BR77" t="str">
        <f>IF(NOT(ISERROR(HLOOKUP(Standings!BR$3,Entries!$C55:$K55,1,FALSE))),"x",IF(NOT(ISERROR(HLOOKUP(Standings!BR$3,Entries!$L55:$L55,1,FALSE))),"S",""))</f>
        <v>x</v>
      </c>
      <c r="BS77" t="str">
        <f>IF(NOT(ISERROR(HLOOKUP(Standings!BS$3,Entries!$C55:$K55,1,FALSE))),"x",IF(NOT(ISERROR(HLOOKUP(Standings!BS$3,Entries!$L55:$L55,1,FALSE))),"S",""))</f>
        <v/>
      </c>
      <c r="BT77" t="str">
        <f>IF(NOT(ISERROR(HLOOKUP(Standings!BT$3,Entries!$C55:$K55,1,FALSE))),"x",IF(NOT(ISERROR(HLOOKUP(Standings!BT$3,Entries!$L55:$L55,1,FALSE))),"S",""))</f>
        <v/>
      </c>
      <c r="BU77" t="str">
        <f>IF(NOT(ISERROR(HLOOKUP(Standings!BU$3,Entries!$C55:$K55,1,FALSE))),"x",IF(NOT(ISERROR(HLOOKUP(Standings!BU$3,Entries!$L55:$L55,1,FALSE))),"S",""))</f>
        <v/>
      </c>
      <c r="BV77" t="str">
        <f>IF(NOT(ISERROR(HLOOKUP(Standings!BV$3,Entries!$C55:$K55,1,FALSE))),"x",IF(NOT(ISERROR(HLOOKUP(Standings!BV$3,Entries!$L55:$L55,1,FALSE))),"S",""))</f>
        <v/>
      </c>
      <c r="BW77" t="str">
        <f>IF(NOT(ISERROR(HLOOKUP(Standings!BW$3,Entries!$C55:$K55,1,FALSE))),"x",IF(NOT(ISERROR(HLOOKUP(Standings!BW$3,Entries!$L55:$L55,1,FALSE))),"S",""))</f>
        <v/>
      </c>
      <c r="BX77" t="str">
        <f>IF(NOT(ISERROR(HLOOKUP(Standings!BX$3,Entries!$C55:$K55,1,FALSE))),"x",IF(NOT(ISERROR(HLOOKUP(Standings!BX$3,Entries!$L55:$L55,1,FALSE))),"S",""))</f>
        <v/>
      </c>
      <c r="BY77" t="str">
        <f>IF(NOT(ISERROR(HLOOKUP(Standings!BY$3,Entries!$C55:$K55,1,FALSE))),"x",IF(NOT(ISERROR(HLOOKUP(Standings!BY$3,Entries!$L55:$L55,1,FALSE))),"S",""))</f>
        <v/>
      </c>
      <c r="BZ77" t="str">
        <f>IF(NOT(ISERROR(HLOOKUP(Standings!BZ$3,Entries!$C55:$K55,1,FALSE))),"x",IF(NOT(ISERROR(HLOOKUP(Standings!BZ$3,Entries!$L55:$L55,1,FALSE))),"S",""))</f>
        <v>x</v>
      </c>
      <c r="CA77" t="str">
        <f>IF(NOT(ISERROR(HLOOKUP(Standings!CA$3,Entries!$C55:$K55,1,FALSE))),"x",IF(NOT(ISERROR(HLOOKUP(Standings!CA$3,Entries!$L55:$L55,1,FALSE))),"S",""))</f>
        <v>x</v>
      </c>
      <c r="CB77" t="str">
        <f>IF(NOT(ISERROR(HLOOKUP(Standings!CB$3,Entries!$C55:$K55,1,FALSE))),"x",IF(NOT(ISERROR(HLOOKUP(Standings!CB$3,Entries!$L55:$L55,1,FALSE))),"S",""))</f>
        <v/>
      </c>
      <c r="CC77" t="str">
        <f>IF(NOT(ISERROR(HLOOKUP(Standings!CC$3,Entries!$C55:$K55,1,FALSE))),"x",IF(NOT(ISERROR(HLOOKUP(Standings!CC$3,Entries!$L55:$L55,1,FALSE))),"S",""))</f>
        <v/>
      </c>
      <c r="CD77" t="str">
        <f>IF(NOT(ISERROR(HLOOKUP(Standings!CD$3,Entries!$C55:$K55,1,FALSE))),"x",IF(NOT(ISERROR(HLOOKUP(Standings!CD$3,Entries!$L55:$L55,1,FALSE))),"S",""))</f>
        <v/>
      </c>
      <c r="CE77" t="str">
        <f>IF(NOT(ISERROR(HLOOKUP(Standings!CE$3,Entries!$C55:$K55,1,FALSE))),"x",IF(NOT(ISERROR(HLOOKUP(Standings!CE$3,Entries!$L55:$L55,1,FALSE))),"S",""))</f>
        <v/>
      </c>
      <c r="CF77" t="str">
        <f>IF(NOT(ISERROR(HLOOKUP(Standings!CF$3,Entries!$C55:$K55,1,FALSE))),"x",IF(NOT(ISERROR(HLOOKUP(Standings!CF$3,Entries!$L55:$L55,1,FALSE))),"S",""))</f>
        <v/>
      </c>
      <c r="CG77" t="str">
        <f>IF(NOT(ISERROR(HLOOKUP(Standings!CG$3,Entries!$C55:$K55,1,FALSE))),"x",IF(NOT(ISERROR(HLOOKUP(Standings!CG$3,Entries!$L55:$L55,1,FALSE))),"S",""))</f>
        <v/>
      </c>
      <c r="CH77" t="str">
        <f>IF(NOT(ISERROR(HLOOKUP(Standings!CH$3,Entries!$C55:$K55,1,FALSE))),"x",IF(NOT(ISERROR(HLOOKUP(Standings!CH$3,Entries!$L55:$L55,1,FALSE))),"S",""))</f>
        <v/>
      </c>
      <c r="CI77" t="str">
        <f>IF(NOT(ISERROR(HLOOKUP(Standings!CI$3,Entries!$C55:$K55,1,FALSE))),"x",IF(NOT(ISERROR(HLOOKUP(Standings!CI$3,Entries!$L55:$L55,1,FALSE))),"S",""))</f>
        <v/>
      </c>
      <c r="CJ77" t="str">
        <f>IF(NOT(ISERROR(HLOOKUP(Standings!CJ$3,Entries!$C55:$K55,1,FALSE))),"x",IF(NOT(ISERROR(HLOOKUP(Standings!CJ$3,Entries!$L55:$L55,1,FALSE))),"S",""))</f>
        <v/>
      </c>
      <c r="CK77" t="str">
        <f>IF(NOT(ISERROR(HLOOKUP(Standings!CK$3,Entries!$C55:$K55,1,FALSE))),"x",IF(NOT(ISERROR(HLOOKUP(Standings!CK$3,Entries!$L55:$L55,1,FALSE))),"S",""))</f>
        <v/>
      </c>
      <c r="CL77" t="str">
        <f>IF(NOT(ISERROR(HLOOKUP(Standings!CL$3,Entries!$C55:$K55,1,FALSE))),"x",IF(NOT(ISERROR(HLOOKUP(Standings!CL$3,Entries!$L55:$L55,1,FALSE))),"S",""))</f>
        <v/>
      </c>
      <c r="CM77" t="str">
        <f>IF(NOT(ISERROR(HLOOKUP(Standings!CM$3,Entries!$C55:$K55,1,FALSE))),"x",IF(NOT(ISERROR(HLOOKUP(Standings!CM$3,Entries!$L55:$L55,1,FALSE))),"S",""))</f>
        <v/>
      </c>
      <c r="CN77" t="str">
        <f>IF(NOT(ISERROR(HLOOKUP(Standings!CN$3,Entries!$C55:$K55,1,FALSE))),"x",IF(NOT(ISERROR(HLOOKUP(Standings!CN$3,Entries!$L55:$L55,1,FALSE))),"S",""))</f>
        <v/>
      </c>
      <c r="CO77" t="str">
        <f>IF(NOT(ISERROR(HLOOKUP(Standings!CO$3,Entries!$C55:$K55,1,FALSE))),"x",IF(NOT(ISERROR(HLOOKUP(Standings!CO$3,Entries!$L55:$L55,1,FALSE))),"S",""))</f>
        <v/>
      </c>
      <c r="CP77" t="str">
        <f>IF(NOT(ISERROR(HLOOKUP(Standings!CP$3,Entries!$C55:$K55,1,FALSE))),"x",IF(NOT(ISERROR(HLOOKUP(Standings!CP$3,Entries!$L55:$L55,1,FALSE))),"S",""))</f>
        <v/>
      </c>
      <c r="CQ77" t="str">
        <f>IF(NOT(ISERROR(HLOOKUP(Standings!CQ$3,Entries!$C55:$K55,1,FALSE))),"x",IF(NOT(ISERROR(HLOOKUP(Standings!CQ$3,Entries!$L55:$L55,1,FALSE))),"S",""))</f>
        <v/>
      </c>
      <c r="CR77" t="str">
        <f>IF(NOT(ISERROR(HLOOKUP(Standings!CR$3,Entries!$C55:$K55,1,FALSE))),"x",IF(NOT(ISERROR(HLOOKUP(Standings!CR$3,Entries!$L55:$L55,1,FALSE))),"S",""))</f>
        <v/>
      </c>
      <c r="CS77" t="str">
        <f>IF(NOT(ISERROR(HLOOKUP(Standings!CS$3,Entries!$C55:$K55,1,FALSE))),"x",IF(NOT(ISERROR(HLOOKUP(Standings!CS$3,Entries!$L55:$L55,1,FALSE))),"S",""))</f>
        <v>x</v>
      </c>
      <c r="CT77" t="str">
        <f>IF(NOT(ISERROR(HLOOKUP(Standings!CT$3,Entries!$C55:$K55,1,FALSE))),"x",IF(NOT(ISERROR(HLOOKUP(Standings!CT$3,Entries!$L55:$L55,1,FALSE))),"S",""))</f>
        <v/>
      </c>
      <c r="CU77" t="str">
        <f>IF(NOT(ISERROR(HLOOKUP(Standings!CU$3,Entries!$C55:$K55,1,FALSE))),"x",IF(NOT(ISERROR(HLOOKUP(Standings!CU$3,Entries!$L55:$L55,1,FALSE))),"S",""))</f>
        <v/>
      </c>
      <c r="CV77" t="str">
        <f>IF(NOT(ISERROR(HLOOKUP(Standings!CV$3,Entries!$C55:$K55,1,FALSE))),"x",IF(NOT(ISERROR(HLOOKUP(Standings!CV$3,Entries!$L55:$L55,1,FALSE))),"S",""))</f>
        <v/>
      </c>
      <c r="CW77" t="str">
        <f>IF(NOT(ISERROR(HLOOKUP(Standings!CW$3,Entries!$C55:$K55,1,FALSE))),"x",IF(NOT(ISERROR(HLOOKUP(Standings!CW$3,Entries!$L55:$L55,1,FALSE))),"S",""))</f>
        <v/>
      </c>
      <c r="CX77" t="str">
        <f>IF(NOT(ISERROR(HLOOKUP(Standings!CX$3,Entries!$C55:$K55,1,FALSE))),"x",IF(NOT(ISERROR(HLOOKUP(Standings!CX$3,Entries!$L55:$L55,1,FALSE))),"S",""))</f>
        <v/>
      </c>
      <c r="CY77" t="str">
        <f>IF(NOT(ISERROR(HLOOKUP(Standings!CY$3,Entries!$C55:$K55,1,FALSE))),"x",IF(NOT(ISERROR(HLOOKUP(Standings!CY$3,Entries!$L55:$L55,1,FALSE))),"S",""))</f>
        <v>x</v>
      </c>
      <c r="CZ77" t="str">
        <f>IF(NOT(ISERROR(HLOOKUP(Standings!CZ$3,Entries!$C55:$K55,1,FALSE))),"x",IF(NOT(ISERROR(HLOOKUP(Standings!CZ$3,Entries!$L55:$L55,1,FALSE))),"S",""))</f>
        <v/>
      </c>
      <c r="DA77" t="str">
        <f>IF(NOT(ISERROR(HLOOKUP(Standings!DA$3,Entries!$C55:$K55,1,FALSE))),"x",IF(NOT(ISERROR(HLOOKUP(Standings!DA$3,Entries!$L55:$L55,1,FALSE))),"S",""))</f>
        <v/>
      </c>
      <c r="DB77" t="str">
        <f>IF(NOT(ISERROR(HLOOKUP(Standings!DB$3,Entries!$C55:$K55,1,FALSE))),"x",IF(NOT(ISERROR(HLOOKUP(Standings!DB$3,Entries!$L55:$L55,1,FALSE))),"S",""))</f>
        <v/>
      </c>
    </row>
    <row r="78" spans="1:106" x14ac:dyDescent="0.25">
      <c r="B78">
        <v>71</v>
      </c>
      <c r="C78" t="str">
        <f>Entries!B57</f>
        <v>Anne H</v>
      </c>
      <c r="D78" s="4">
        <f>IF(C78="","",RANK(E78,$E$10:$E$111))</f>
        <v>89</v>
      </c>
      <c r="E78" s="31">
        <f t="shared" si="50"/>
        <v>0</v>
      </c>
      <c r="F78" s="40" t="str">
        <f t="shared" si="49"/>
        <v/>
      </c>
      <c r="G78" s="41" t="str">
        <f t="shared" si="2"/>
        <v/>
      </c>
      <c r="H78" s="41" t="str">
        <f t="shared" si="3"/>
        <v/>
      </c>
      <c r="I78" s="42" t="str">
        <f t="shared" si="4"/>
        <v/>
      </c>
      <c r="J78" s="40" t="str">
        <f t="shared" si="5"/>
        <v/>
      </c>
      <c r="K78" s="41" t="str">
        <f t="shared" si="6"/>
        <v/>
      </c>
      <c r="L78" s="41" t="str">
        <f t="shared" si="7"/>
        <v/>
      </c>
      <c r="M78" s="42" t="str">
        <f t="shared" si="8"/>
        <v/>
      </c>
      <c r="N78" s="43">
        <f t="shared" si="9"/>
        <v>1</v>
      </c>
      <c r="O78" s="41" t="str">
        <f t="shared" si="10"/>
        <v/>
      </c>
      <c r="P78" s="41" t="str">
        <f t="shared" si="11"/>
        <v/>
      </c>
      <c r="Q78" s="42" t="str">
        <f t="shared" si="12"/>
        <v/>
      </c>
      <c r="R78" s="40" t="str">
        <f t="shared" si="13"/>
        <v/>
      </c>
      <c r="S78" s="41" t="str">
        <f t="shared" si="14"/>
        <v/>
      </c>
      <c r="T78" s="43" t="str">
        <f t="shared" si="15"/>
        <v/>
      </c>
      <c r="U78" s="42" t="str">
        <f t="shared" si="16"/>
        <v/>
      </c>
      <c r="V78" s="40" t="str">
        <f t="shared" si="17"/>
        <v/>
      </c>
      <c r="W78" s="41" t="str">
        <f t="shared" si="18"/>
        <v/>
      </c>
      <c r="X78" s="41" t="str">
        <f t="shared" si="19"/>
        <v/>
      </c>
      <c r="Y78" s="42" t="str">
        <f t="shared" si="20"/>
        <v/>
      </c>
      <c r="Z78" s="40" t="str">
        <f t="shared" si="21"/>
        <v/>
      </c>
      <c r="AA78" s="41">
        <f t="shared" si="22"/>
        <v>-1.0000100000000001</v>
      </c>
      <c r="AB78" s="41" t="str">
        <f t="shared" si="23"/>
        <v/>
      </c>
      <c r="AC78" s="42" t="str">
        <f t="shared" si="24"/>
        <v/>
      </c>
      <c r="AD78" s="40" t="str">
        <f t="shared" si="25"/>
        <v/>
      </c>
      <c r="AE78" s="41" t="str">
        <f t="shared" si="26"/>
        <v/>
      </c>
      <c r="AF78" s="41" t="str">
        <f t="shared" si="27"/>
        <v/>
      </c>
      <c r="AG78" s="42" t="str">
        <f t="shared" si="28"/>
        <v/>
      </c>
      <c r="AH78" s="40" t="str">
        <f t="shared" si="29"/>
        <v/>
      </c>
      <c r="AI78" s="41" t="str">
        <f t="shared" si="30"/>
        <v/>
      </c>
      <c r="AJ78" s="41" t="str">
        <f t="shared" si="31"/>
        <v/>
      </c>
      <c r="AK78" s="42" t="str">
        <f t="shared" si="32"/>
        <v/>
      </c>
      <c r="AL78" s="40" t="str">
        <f t="shared" si="33"/>
        <v/>
      </c>
      <c r="AM78" s="41">
        <f t="shared" si="34"/>
        <v>0</v>
      </c>
      <c r="AN78" s="41" t="str">
        <f t="shared" si="35"/>
        <v/>
      </c>
      <c r="AO78" s="42" t="str">
        <f t="shared" si="36"/>
        <v/>
      </c>
      <c r="AP78" s="40">
        <f t="shared" si="37"/>
        <v>0</v>
      </c>
      <c r="AQ78" s="41" t="str">
        <f t="shared" si="38"/>
        <v/>
      </c>
      <c r="AR78" s="41" t="str">
        <f t="shared" si="39"/>
        <v/>
      </c>
      <c r="AS78" s="42" t="str">
        <f t="shared" si="40"/>
        <v/>
      </c>
      <c r="AT78" s="40" t="str">
        <f t="shared" si="41"/>
        <v/>
      </c>
      <c r="AU78" s="41" t="str">
        <f t="shared" si="42"/>
        <v/>
      </c>
      <c r="AV78" s="41" t="str">
        <f t="shared" si="43"/>
        <v/>
      </c>
      <c r="AW78" s="42" t="str">
        <f t="shared" si="44"/>
        <v/>
      </c>
      <c r="AX78" s="40" t="str">
        <f t="shared" si="45"/>
        <v/>
      </c>
      <c r="AY78" s="41" t="str">
        <f t="shared" si="46"/>
        <v/>
      </c>
      <c r="AZ78" s="41" t="str">
        <f t="shared" si="47"/>
        <v/>
      </c>
      <c r="BA78" s="42" t="str">
        <f t="shared" si="48"/>
        <v/>
      </c>
      <c r="BB78" s="37" t="s">
        <v>106</v>
      </c>
      <c r="BC78" s="21"/>
      <c r="BD78" s="21"/>
      <c r="BG78" t="str">
        <f>IF(NOT(ISERROR(HLOOKUP(Standings!BG$3,Entries!$C57:$K57,1,FALSE))),"x",IF(NOT(ISERROR(HLOOKUP(Standings!BG$3,Entries!$L57:$L57,1,FALSE))),"S",""))</f>
        <v/>
      </c>
      <c r="BH78" t="str">
        <f>IF(NOT(ISERROR(HLOOKUP(Standings!BH$3,Entries!$C57:$K57,1,FALSE))),"x",IF(NOT(ISERROR(HLOOKUP(Standings!BH$3,Entries!$L57:$L57,1,FALSE))),"S",""))</f>
        <v/>
      </c>
      <c r="BI78" t="str">
        <f>IF(NOT(ISERROR(HLOOKUP(Standings!BI$3,Entries!$C57:$K57,1,FALSE))),"x",IF(NOT(ISERROR(HLOOKUP(Standings!BI$3,Entries!$L57:$L57,1,FALSE))),"S",""))</f>
        <v/>
      </c>
      <c r="BJ78" t="str">
        <f>IF(NOT(ISERROR(HLOOKUP(Standings!BJ$3,Entries!$C57:$K57,1,FALSE))),"x",IF(NOT(ISERROR(HLOOKUP(Standings!BJ$3,Entries!$L57:$L57,1,FALSE))),"S",""))</f>
        <v/>
      </c>
      <c r="BK78" t="str">
        <f>IF(NOT(ISERROR(HLOOKUP(Standings!BK$3,Entries!$C57:$K57,1,FALSE))),"x",IF(NOT(ISERROR(HLOOKUP(Standings!BK$3,Entries!$L57:$L57,1,FALSE))),"S",""))</f>
        <v/>
      </c>
      <c r="BL78" t="str">
        <f>IF(NOT(ISERROR(HLOOKUP(Standings!BL$3,Entries!$C57:$K57,1,FALSE))),"x",IF(NOT(ISERROR(HLOOKUP(Standings!BL$3,Entries!$L57:$L57,1,FALSE))),"S",""))</f>
        <v/>
      </c>
      <c r="BM78" t="str">
        <f>IF(NOT(ISERROR(HLOOKUP(Standings!BM$3,Entries!$C57:$K57,1,FALSE))),"x",IF(NOT(ISERROR(HLOOKUP(Standings!BM$3,Entries!$L57:$L57,1,FALSE))),"S",""))</f>
        <v/>
      </c>
      <c r="BN78" t="str">
        <f>IF(NOT(ISERROR(HLOOKUP(Standings!BN$3,Entries!$C57:$K57,1,FALSE))),"x",IF(NOT(ISERROR(HLOOKUP(Standings!BN$3,Entries!$L57:$L57,1,FALSE))),"S",""))</f>
        <v/>
      </c>
      <c r="BO78" t="str">
        <f>IF(NOT(ISERROR(HLOOKUP(Standings!BO$3,Entries!$C57:$K57,1,FALSE))),"x",IF(NOT(ISERROR(HLOOKUP(Standings!BO$3,Entries!$L57:$L57,1,FALSE))),"S",""))</f>
        <v>x</v>
      </c>
      <c r="BP78" t="str">
        <f>IF(NOT(ISERROR(HLOOKUP(Standings!BP$3,Entries!$C57:$K57,1,FALSE))),"x",IF(NOT(ISERROR(HLOOKUP(Standings!BP$3,Entries!$L57:$L57,1,FALSE))),"S",""))</f>
        <v/>
      </c>
      <c r="BQ78" t="str">
        <f>IF(NOT(ISERROR(HLOOKUP(Standings!BQ$3,Entries!$C57:$K57,1,FALSE))),"x",IF(NOT(ISERROR(HLOOKUP(Standings!BQ$3,Entries!$L57:$L57,1,FALSE))),"S",""))</f>
        <v/>
      </c>
      <c r="BR78" t="str">
        <f>IF(NOT(ISERROR(HLOOKUP(Standings!BR$3,Entries!$C57:$K57,1,FALSE))),"x",IF(NOT(ISERROR(HLOOKUP(Standings!BR$3,Entries!$L57:$L57,1,FALSE))),"S",""))</f>
        <v/>
      </c>
      <c r="BS78" t="str">
        <f>IF(NOT(ISERROR(HLOOKUP(Standings!BS$3,Entries!$C57:$K57,1,FALSE))),"x",IF(NOT(ISERROR(HLOOKUP(Standings!BS$3,Entries!$L57:$L57,1,FALSE))),"S",""))</f>
        <v/>
      </c>
      <c r="BT78" t="str">
        <f>IF(NOT(ISERROR(HLOOKUP(Standings!BT$3,Entries!$C57:$K57,1,FALSE))),"x",IF(NOT(ISERROR(HLOOKUP(Standings!BT$3,Entries!$L57:$L57,1,FALSE))),"S",""))</f>
        <v/>
      </c>
      <c r="BU78" t="str">
        <f>IF(NOT(ISERROR(HLOOKUP(Standings!BU$3,Entries!$C57:$K57,1,FALSE))),"x",IF(NOT(ISERROR(HLOOKUP(Standings!BU$3,Entries!$L57:$L57,1,FALSE))),"S",""))</f>
        <v/>
      </c>
      <c r="BV78" t="str">
        <f>IF(NOT(ISERROR(HLOOKUP(Standings!BV$3,Entries!$C57:$K57,1,FALSE))),"x",IF(NOT(ISERROR(HLOOKUP(Standings!BV$3,Entries!$L57:$L57,1,FALSE))),"S",""))</f>
        <v/>
      </c>
      <c r="BW78" t="str">
        <f>IF(NOT(ISERROR(HLOOKUP(Standings!BW$3,Entries!$C57:$K57,1,FALSE))),"x",IF(NOT(ISERROR(HLOOKUP(Standings!BW$3,Entries!$L57:$L57,1,FALSE))),"S",""))</f>
        <v/>
      </c>
      <c r="BX78" t="str">
        <f>IF(NOT(ISERROR(HLOOKUP(Standings!BX$3,Entries!$C57:$K57,1,FALSE))),"x",IF(NOT(ISERROR(HLOOKUP(Standings!BX$3,Entries!$L57:$L57,1,FALSE))),"S",""))</f>
        <v/>
      </c>
      <c r="BY78" t="str">
        <f>IF(NOT(ISERROR(HLOOKUP(Standings!BY$3,Entries!$C57:$K57,1,FALSE))),"x",IF(NOT(ISERROR(HLOOKUP(Standings!BY$3,Entries!$L57:$L57,1,FALSE))),"S",""))</f>
        <v/>
      </c>
      <c r="BZ78" t="str">
        <f>IF(NOT(ISERROR(HLOOKUP(Standings!BZ$3,Entries!$C57:$K57,1,FALSE))),"x",IF(NOT(ISERROR(HLOOKUP(Standings!BZ$3,Entries!$L57:$L57,1,FALSE))),"S",""))</f>
        <v/>
      </c>
      <c r="CA78" t="str">
        <f>IF(NOT(ISERROR(HLOOKUP(Standings!CA$3,Entries!$C57:$K57,1,FALSE))),"x",IF(NOT(ISERROR(HLOOKUP(Standings!CA$3,Entries!$L57:$L57,1,FALSE))),"S",""))</f>
        <v/>
      </c>
      <c r="CB78" t="str">
        <f>IF(NOT(ISERROR(HLOOKUP(Standings!CB$3,Entries!$C57:$K57,1,FALSE))),"x",IF(NOT(ISERROR(HLOOKUP(Standings!CB$3,Entries!$L57:$L57,1,FALSE))),"S",""))</f>
        <v>S</v>
      </c>
      <c r="CC78" t="str">
        <f>IF(NOT(ISERROR(HLOOKUP(Standings!CC$3,Entries!$C57:$K57,1,FALSE))),"x",IF(NOT(ISERROR(HLOOKUP(Standings!CC$3,Entries!$L57:$L57,1,FALSE))),"S",""))</f>
        <v/>
      </c>
      <c r="CD78" t="str">
        <f>IF(NOT(ISERROR(HLOOKUP(Standings!CD$3,Entries!$C57:$K57,1,FALSE))),"x",IF(NOT(ISERROR(HLOOKUP(Standings!CD$3,Entries!$L57:$L57,1,FALSE))),"S",""))</f>
        <v/>
      </c>
      <c r="CE78" t="str">
        <f>IF(NOT(ISERROR(HLOOKUP(Standings!CE$3,Entries!$C57:$K57,1,FALSE))),"x",IF(NOT(ISERROR(HLOOKUP(Standings!CE$3,Entries!$L57:$L57,1,FALSE))),"S",""))</f>
        <v/>
      </c>
      <c r="CF78" t="str">
        <f>IF(NOT(ISERROR(HLOOKUP(Standings!CF$3,Entries!$C57:$K57,1,FALSE))),"x",IF(NOT(ISERROR(HLOOKUP(Standings!CF$3,Entries!$L57:$L57,1,FALSE))),"S",""))</f>
        <v/>
      </c>
      <c r="CG78" t="str">
        <f>IF(NOT(ISERROR(HLOOKUP(Standings!CG$3,Entries!$C57:$K57,1,FALSE))),"x",IF(NOT(ISERROR(HLOOKUP(Standings!CG$3,Entries!$L57:$L57,1,FALSE))),"S",""))</f>
        <v/>
      </c>
      <c r="CH78" t="str">
        <f>IF(NOT(ISERROR(HLOOKUP(Standings!CH$3,Entries!$C57:$K57,1,FALSE))),"x",IF(NOT(ISERROR(HLOOKUP(Standings!CH$3,Entries!$L57:$L57,1,FALSE))),"S",""))</f>
        <v/>
      </c>
      <c r="CI78" t="str">
        <f>IF(NOT(ISERROR(HLOOKUP(Standings!CI$3,Entries!$C57:$K57,1,FALSE))),"x",IF(NOT(ISERROR(HLOOKUP(Standings!CI$3,Entries!$L57:$L57,1,FALSE))),"S",""))</f>
        <v/>
      </c>
      <c r="CJ78" t="str">
        <f>IF(NOT(ISERROR(HLOOKUP(Standings!CJ$3,Entries!$C57:$K57,1,FALSE))),"x",IF(NOT(ISERROR(HLOOKUP(Standings!CJ$3,Entries!$L57:$L57,1,FALSE))),"S",""))</f>
        <v/>
      </c>
      <c r="CK78" t="str">
        <f>IF(NOT(ISERROR(HLOOKUP(Standings!CK$3,Entries!$C57:$K57,1,FALSE))),"x",IF(NOT(ISERROR(HLOOKUP(Standings!CK$3,Entries!$L57:$L57,1,FALSE))),"S",""))</f>
        <v/>
      </c>
      <c r="CL78" t="str">
        <f>IF(NOT(ISERROR(HLOOKUP(Standings!CL$3,Entries!$C57:$K57,1,FALSE))),"x",IF(NOT(ISERROR(HLOOKUP(Standings!CL$3,Entries!$L57:$L57,1,FALSE))),"S",""))</f>
        <v/>
      </c>
      <c r="CM78" t="str">
        <f>IF(NOT(ISERROR(HLOOKUP(Standings!CM$3,Entries!$C57:$K57,1,FALSE))),"x",IF(NOT(ISERROR(HLOOKUP(Standings!CM$3,Entries!$L57:$L57,1,FALSE))),"S",""))</f>
        <v/>
      </c>
      <c r="CN78" t="str">
        <f>IF(NOT(ISERROR(HLOOKUP(Standings!CN$3,Entries!$C57:$K57,1,FALSE))),"x",IF(NOT(ISERROR(HLOOKUP(Standings!CN$3,Entries!$L57:$L57,1,FALSE))),"S",""))</f>
        <v>x</v>
      </c>
      <c r="CO78" t="str">
        <f>IF(NOT(ISERROR(HLOOKUP(Standings!CO$3,Entries!$C57:$K57,1,FALSE))),"x",IF(NOT(ISERROR(HLOOKUP(Standings!CO$3,Entries!$L57:$L57,1,FALSE))),"S",""))</f>
        <v/>
      </c>
      <c r="CP78" t="str">
        <f>IF(NOT(ISERROR(HLOOKUP(Standings!CP$3,Entries!$C57:$K57,1,FALSE))),"x",IF(NOT(ISERROR(HLOOKUP(Standings!CP$3,Entries!$L57:$L57,1,FALSE))),"S",""))</f>
        <v/>
      </c>
      <c r="CQ78" t="str">
        <f>IF(NOT(ISERROR(HLOOKUP(Standings!CQ$3,Entries!$C57:$K57,1,FALSE))),"x",IF(NOT(ISERROR(HLOOKUP(Standings!CQ$3,Entries!$L57:$L57,1,FALSE))),"S",""))</f>
        <v>x</v>
      </c>
      <c r="CR78" t="str">
        <f>IF(NOT(ISERROR(HLOOKUP(Standings!CR$3,Entries!$C57:$K57,1,FALSE))),"x",IF(NOT(ISERROR(HLOOKUP(Standings!CR$3,Entries!$L57:$L57,1,FALSE))),"S",""))</f>
        <v/>
      </c>
      <c r="CS78" t="str">
        <f>IF(NOT(ISERROR(HLOOKUP(Standings!CS$3,Entries!$C57:$K57,1,FALSE))),"x",IF(NOT(ISERROR(HLOOKUP(Standings!CS$3,Entries!$L57:$L57,1,FALSE))),"S",""))</f>
        <v/>
      </c>
      <c r="CT78" t="str">
        <f>IF(NOT(ISERROR(HLOOKUP(Standings!CT$3,Entries!$C57:$K57,1,FALSE))),"x",IF(NOT(ISERROR(HLOOKUP(Standings!CT$3,Entries!$L57:$L57,1,FALSE))),"S",""))</f>
        <v/>
      </c>
      <c r="CU78" t="str">
        <f>IF(NOT(ISERROR(HLOOKUP(Standings!CU$3,Entries!$C57:$K57,1,FALSE))),"x",IF(NOT(ISERROR(HLOOKUP(Standings!CU$3,Entries!$L57:$L57,1,FALSE))),"S",""))</f>
        <v/>
      </c>
      <c r="CV78" t="str">
        <f>IF(NOT(ISERROR(HLOOKUP(Standings!CV$3,Entries!$C57:$K57,1,FALSE))),"x",IF(NOT(ISERROR(HLOOKUP(Standings!CV$3,Entries!$L57:$L57,1,FALSE))),"S",""))</f>
        <v/>
      </c>
      <c r="CW78" t="str">
        <f>IF(NOT(ISERROR(HLOOKUP(Standings!CW$3,Entries!$C57:$K57,1,FALSE))),"x",IF(NOT(ISERROR(HLOOKUP(Standings!CW$3,Entries!$L57:$L57,1,FALSE))),"S",""))</f>
        <v/>
      </c>
      <c r="CX78" t="str">
        <f>IF(NOT(ISERROR(HLOOKUP(Standings!CX$3,Entries!$C57:$K57,1,FALSE))),"x",IF(NOT(ISERROR(HLOOKUP(Standings!CX$3,Entries!$L57:$L57,1,FALSE))),"S",""))</f>
        <v/>
      </c>
      <c r="CY78" t="str">
        <f>IF(NOT(ISERROR(HLOOKUP(Standings!CY$3,Entries!$C57:$K57,1,FALSE))),"x",IF(NOT(ISERROR(HLOOKUP(Standings!CY$3,Entries!$L57:$L57,1,FALSE))),"S",""))</f>
        <v/>
      </c>
      <c r="CZ78" t="str">
        <f>IF(NOT(ISERROR(HLOOKUP(Standings!CZ$3,Entries!$C57:$K57,1,FALSE))),"x",IF(NOT(ISERROR(HLOOKUP(Standings!CZ$3,Entries!$L57:$L57,1,FALSE))),"S",""))</f>
        <v/>
      </c>
      <c r="DA78" t="str">
        <f>IF(NOT(ISERROR(HLOOKUP(Standings!DA$3,Entries!$C57:$K57,1,FALSE))),"x",IF(NOT(ISERROR(HLOOKUP(Standings!DA$3,Entries!$L57:$L57,1,FALSE))),"S",""))</f>
        <v/>
      </c>
      <c r="DB78" t="str">
        <f>IF(NOT(ISERROR(HLOOKUP(Standings!DB$3,Entries!$C57:$K57,1,FALSE))),"x",IF(NOT(ISERROR(HLOOKUP(Standings!DB$3,Entries!$L57:$L57,1,FALSE))),"S",""))</f>
        <v/>
      </c>
    </row>
    <row r="79" spans="1:106" x14ac:dyDescent="0.25">
      <c r="A79" s="18"/>
      <c r="B79">
        <v>50</v>
      </c>
      <c r="C79" t="str">
        <f>Entries!B58</f>
        <v>Sam H</v>
      </c>
      <c r="D79" s="4">
        <f>IF(C79="","",RANK(E79,$E$10:$E$111))</f>
        <v>89</v>
      </c>
      <c r="E79" s="31">
        <f t="shared" si="50"/>
        <v>0</v>
      </c>
      <c r="F79" s="40" t="str">
        <f t="shared" si="49"/>
        <v/>
      </c>
      <c r="G79" s="41" t="str">
        <f t="shared" si="2"/>
        <v/>
      </c>
      <c r="H79" s="41" t="str">
        <f t="shared" si="3"/>
        <v/>
      </c>
      <c r="I79" s="42" t="str">
        <f t="shared" si="4"/>
        <v/>
      </c>
      <c r="J79" s="40" t="str">
        <f t="shared" si="5"/>
        <v/>
      </c>
      <c r="K79" s="41" t="str">
        <f t="shared" si="6"/>
        <v/>
      </c>
      <c r="L79" s="41" t="str">
        <f t="shared" si="7"/>
        <v/>
      </c>
      <c r="M79" s="42">
        <f t="shared" si="8"/>
        <v>-1.0000100000000001</v>
      </c>
      <c r="N79" s="43" t="str">
        <f t="shared" si="9"/>
        <v/>
      </c>
      <c r="O79" s="41" t="str">
        <f t="shared" si="10"/>
        <v/>
      </c>
      <c r="P79" s="41" t="str">
        <f t="shared" si="11"/>
        <v/>
      </c>
      <c r="Q79" s="42" t="str">
        <f t="shared" si="12"/>
        <v/>
      </c>
      <c r="R79" s="40" t="str">
        <f t="shared" si="13"/>
        <v/>
      </c>
      <c r="S79" s="41" t="str">
        <f t="shared" si="14"/>
        <v/>
      </c>
      <c r="T79" s="43" t="str">
        <f t="shared" si="15"/>
        <v/>
      </c>
      <c r="U79" s="42" t="str">
        <f t="shared" si="16"/>
        <v/>
      </c>
      <c r="V79" s="40" t="str">
        <f t="shared" si="17"/>
        <v/>
      </c>
      <c r="W79" s="41" t="str">
        <f t="shared" si="18"/>
        <v/>
      </c>
      <c r="X79" s="41" t="str">
        <f t="shared" si="19"/>
        <v/>
      </c>
      <c r="Y79" s="42" t="str">
        <f t="shared" si="20"/>
        <v/>
      </c>
      <c r="Z79" s="40">
        <f t="shared" si="21"/>
        <v>1</v>
      </c>
      <c r="AA79" s="41" t="str">
        <f t="shared" si="22"/>
        <v/>
      </c>
      <c r="AB79" s="41" t="str">
        <f t="shared" si="23"/>
        <v/>
      </c>
      <c r="AC79" s="42" t="str">
        <f t="shared" si="24"/>
        <v/>
      </c>
      <c r="AD79" s="40" t="str">
        <f t="shared" si="25"/>
        <v/>
      </c>
      <c r="AE79" s="41" t="str">
        <f t="shared" si="26"/>
        <v/>
      </c>
      <c r="AF79" s="41" t="str">
        <f t="shared" si="27"/>
        <v/>
      </c>
      <c r="AG79" s="42" t="str">
        <f t="shared" si="28"/>
        <v/>
      </c>
      <c r="AH79" s="40" t="str">
        <f t="shared" si="29"/>
        <v/>
      </c>
      <c r="AI79" s="41" t="str">
        <f t="shared" si="30"/>
        <v/>
      </c>
      <c r="AJ79" s="41" t="str">
        <f t="shared" si="31"/>
        <v/>
      </c>
      <c r="AK79" s="42" t="str">
        <f t="shared" si="32"/>
        <v/>
      </c>
      <c r="AL79" s="40" t="str">
        <f t="shared" si="33"/>
        <v/>
      </c>
      <c r="AM79" s="41" t="str">
        <f t="shared" si="34"/>
        <v/>
      </c>
      <c r="AN79" s="41" t="str">
        <f t="shared" si="35"/>
        <v/>
      </c>
      <c r="AO79" s="42" t="str">
        <f t="shared" si="36"/>
        <v/>
      </c>
      <c r="AP79" s="40" t="str">
        <f t="shared" si="37"/>
        <v/>
      </c>
      <c r="AQ79" s="41" t="str">
        <f t="shared" si="38"/>
        <v/>
      </c>
      <c r="AR79" s="41" t="str">
        <f t="shared" si="39"/>
        <v/>
      </c>
      <c r="AS79" s="42" t="str">
        <f t="shared" si="40"/>
        <v/>
      </c>
      <c r="AT79" s="40">
        <f t="shared" si="41"/>
        <v>0</v>
      </c>
      <c r="AU79" s="41" t="str">
        <f t="shared" si="42"/>
        <v/>
      </c>
      <c r="AV79" s="41">
        <f t="shared" si="43"/>
        <v>0</v>
      </c>
      <c r="AW79" s="42" t="str">
        <f t="shared" si="44"/>
        <v/>
      </c>
      <c r="AX79" s="40" t="str">
        <f t="shared" si="45"/>
        <v/>
      </c>
      <c r="AY79" s="41" t="str">
        <f t="shared" si="46"/>
        <v/>
      </c>
      <c r="AZ79" s="41" t="str">
        <f t="shared" si="47"/>
        <v/>
      </c>
      <c r="BA79" s="42" t="str">
        <f t="shared" si="48"/>
        <v/>
      </c>
      <c r="BB79" s="37" t="s">
        <v>106</v>
      </c>
      <c r="BD79" s="21"/>
      <c r="BG79" t="str">
        <f>IF(NOT(ISERROR(HLOOKUP(Standings!BG$3,Entries!$C58:$K58,1,FALSE))),"x",IF(NOT(ISERROR(HLOOKUP(Standings!BG$3,Entries!$L58:$L58,1,FALSE))),"S",""))</f>
        <v/>
      </c>
      <c r="BH79" t="str">
        <f>IF(NOT(ISERROR(HLOOKUP(Standings!BH$3,Entries!$C58:$K58,1,FALSE))),"x",IF(NOT(ISERROR(HLOOKUP(Standings!BH$3,Entries!$L58:$L58,1,FALSE))),"S",""))</f>
        <v/>
      </c>
      <c r="BI79" t="str">
        <f>IF(NOT(ISERROR(HLOOKUP(Standings!BI$3,Entries!$C58:$K58,1,FALSE))),"x",IF(NOT(ISERROR(HLOOKUP(Standings!BI$3,Entries!$L58:$L58,1,FALSE))),"S",""))</f>
        <v/>
      </c>
      <c r="BJ79" t="str">
        <f>IF(NOT(ISERROR(HLOOKUP(Standings!BJ$3,Entries!$C58:$K58,1,FALSE))),"x",IF(NOT(ISERROR(HLOOKUP(Standings!BJ$3,Entries!$L58:$L58,1,FALSE))),"S",""))</f>
        <v/>
      </c>
      <c r="BK79" t="str">
        <f>IF(NOT(ISERROR(HLOOKUP(Standings!BK$3,Entries!$C58:$K58,1,FALSE))),"x",IF(NOT(ISERROR(HLOOKUP(Standings!BK$3,Entries!$L58:$L58,1,FALSE))),"S",""))</f>
        <v/>
      </c>
      <c r="BL79" t="str">
        <f>IF(NOT(ISERROR(HLOOKUP(Standings!BL$3,Entries!$C58:$K58,1,FALSE))),"x",IF(NOT(ISERROR(HLOOKUP(Standings!BL$3,Entries!$L58:$L58,1,FALSE))),"S",""))</f>
        <v/>
      </c>
      <c r="BM79" t="str">
        <f>IF(NOT(ISERROR(HLOOKUP(Standings!BM$3,Entries!$C58:$K58,1,FALSE))),"x",IF(NOT(ISERROR(HLOOKUP(Standings!BM$3,Entries!$L58:$L58,1,FALSE))),"S",""))</f>
        <v/>
      </c>
      <c r="BN79" t="str">
        <f>IF(NOT(ISERROR(HLOOKUP(Standings!BN$3,Entries!$C58:$K58,1,FALSE))),"x",IF(NOT(ISERROR(HLOOKUP(Standings!BN$3,Entries!$L58:$L58,1,FALSE))),"S",""))</f>
        <v>S</v>
      </c>
      <c r="BO79" t="str">
        <f>IF(NOT(ISERROR(HLOOKUP(Standings!BO$3,Entries!$C58:$K58,1,FALSE))),"x",IF(NOT(ISERROR(HLOOKUP(Standings!BO$3,Entries!$L58:$L58,1,FALSE))),"S",""))</f>
        <v/>
      </c>
      <c r="BP79" t="str">
        <f>IF(NOT(ISERROR(HLOOKUP(Standings!BP$3,Entries!$C58:$K58,1,FALSE))),"x",IF(NOT(ISERROR(HLOOKUP(Standings!BP$3,Entries!$L58:$L58,1,FALSE))),"S",""))</f>
        <v/>
      </c>
      <c r="BQ79" t="str">
        <f>IF(NOT(ISERROR(HLOOKUP(Standings!BQ$3,Entries!$C58:$K58,1,FALSE))),"x",IF(NOT(ISERROR(HLOOKUP(Standings!BQ$3,Entries!$L58:$L58,1,FALSE))),"S",""))</f>
        <v/>
      </c>
      <c r="BR79" t="str">
        <f>IF(NOT(ISERROR(HLOOKUP(Standings!BR$3,Entries!$C58:$K58,1,FALSE))),"x",IF(NOT(ISERROR(HLOOKUP(Standings!BR$3,Entries!$L58:$L58,1,FALSE))),"S",""))</f>
        <v/>
      </c>
      <c r="BS79" t="str">
        <f>IF(NOT(ISERROR(HLOOKUP(Standings!BS$3,Entries!$C58:$K58,1,FALSE))),"x",IF(NOT(ISERROR(HLOOKUP(Standings!BS$3,Entries!$L58:$L58,1,FALSE))),"S",""))</f>
        <v/>
      </c>
      <c r="BT79" t="str">
        <f>IF(NOT(ISERROR(HLOOKUP(Standings!BT$3,Entries!$C58:$K58,1,FALSE))),"x",IF(NOT(ISERROR(HLOOKUP(Standings!BT$3,Entries!$L58:$L58,1,FALSE))),"S",""))</f>
        <v/>
      </c>
      <c r="BU79" t="str">
        <f>IF(NOT(ISERROR(HLOOKUP(Standings!BU$3,Entries!$C58:$K58,1,FALSE))),"x",IF(NOT(ISERROR(HLOOKUP(Standings!BU$3,Entries!$L58:$L58,1,FALSE))),"S",""))</f>
        <v/>
      </c>
      <c r="BV79" t="str">
        <f>IF(NOT(ISERROR(HLOOKUP(Standings!BV$3,Entries!$C58:$K58,1,FALSE))),"x",IF(NOT(ISERROR(HLOOKUP(Standings!BV$3,Entries!$L58:$L58,1,FALSE))),"S",""))</f>
        <v/>
      </c>
      <c r="BW79" t="str">
        <f>IF(NOT(ISERROR(HLOOKUP(Standings!BW$3,Entries!$C58:$K58,1,FALSE))),"x",IF(NOT(ISERROR(HLOOKUP(Standings!BW$3,Entries!$L58:$L58,1,FALSE))),"S",""))</f>
        <v/>
      </c>
      <c r="BX79" t="str">
        <f>IF(NOT(ISERROR(HLOOKUP(Standings!BX$3,Entries!$C58:$K58,1,FALSE))),"x",IF(NOT(ISERROR(HLOOKUP(Standings!BX$3,Entries!$L58:$L58,1,FALSE))),"S",""))</f>
        <v/>
      </c>
      <c r="BY79" t="str">
        <f>IF(NOT(ISERROR(HLOOKUP(Standings!BY$3,Entries!$C58:$K58,1,FALSE))),"x",IF(NOT(ISERROR(HLOOKUP(Standings!BY$3,Entries!$L58:$L58,1,FALSE))),"S",""))</f>
        <v/>
      </c>
      <c r="BZ79" t="str">
        <f>IF(NOT(ISERROR(HLOOKUP(Standings!BZ$3,Entries!$C58:$K58,1,FALSE))),"x",IF(NOT(ISERROR(HLOOKUP(Standings!BZ$3,Entries!$L58:$L58,1,FALSE))),"S",""))</f>
        <v/>
      </c>
      <c r="CA79" t="str">
        <f>IF(NOT(ISERROR(HLOOKUP(Standings!CA$3,Entries!$C58:$K58,1,FALSE))),"x",IF(NOT(ISERROR(HLOOKUP(Standings!CA$3,Entries!$L58:$L58,1,FALSE))),"S",""))</f>
        <v>x</v>
      </c>
      <c r="CB79" t="str">
        <f>IF(NOT(ISERROR(HLOOKUP(Standings!CB$3,Entries!$C58:$K58,1,FALSE))),"x",IF(NOT(ISERROR(HLOOKUP(Standings!CB$3,Entries!$L58:$L58,1,FALSE))),"S",""))</f>
        <v/>
      </c>
      <c r="CC79" t="str">
        <f>IF(NOT(ISERROR(HLOOKUP(Standings!CC$3,Entries!$C58:$K58,1,FALSE))),"x",IF(NOT(ISERROR(HLOOKUP(Standings!CC$3,Entries!$L58:$L58,1,FALSE))),"S",""))</f>
        <v/>
      </c>
      <c r="CD79" t="str">
        <f>IF(NOT(ISERROR(HLOOKUP(Standings!CD$3,Entries!$C58:$K58,1,FALSE))),"x",IF(NOT(ISERROR(HLOOKUP(Standings!CD$3,Entries!$L58:$L58,1,FALSE))),"S",""))</f>
        <v/>
      </c>
      <c r="CE79" t="str">
        <f>IF(NOT(ISERROR(HLOOKUP(Standings!CE$3,Entries!$C58:$K58,1,FALSE))),"x",IF(NOT(ISERROR(HLOOKUP(Standings!CE$3,Entries!$L58:$L58,1,FALSE))),"S",""))</f>
        <v/>
      </c>
      <c r="CF79" t="str">
        <f>IF(NOT(ISERROR(HLOOKUP(Standings!CF$3,Entries!$C58:$K58,1,FALSE))),"x",IF(NOT(ISERROR(HLOOKUP(Standings!CF$3,Entries!$L58:$L58,1,FALSE))),"S",""))</f>
        <v/>
      </c>
      <c r="CG79" t="str">
        <f>IF(NOT(ISERROR(HLOOKUP(Standings!CG$3,Entries!$C58:$K58,1,FALSE))),"x",IF(NOT(ISERROR(HLOOKUP(Standings!CG$3,Entries!$L58:$L58,1,FALSE))),"S",""))</f>
        <v/>
      </c>
      <c r="CH79" t="str">
        <f>IF(NOT(ISERROR(HLOOKUP(Standings!CH$3,Entries!$C58:$K58,1,FALSE))),"x",IF(NOT(ISERROR(HLOOKUP(Standings!CH$3,Entries!$L58:$L58,1,FALSE))),"S",""))</f>
        <v/>
      </c>
      <c r="CI79" t="str">
        <f>IF(NOT(ISERROR(HLOOKUP(Standings!CI$3,Entries!$C58:$K58,1,FALSE))),"x",IF(NOT(ISERROR(HLOOKUP(Standings!CI$3,Entries!$L58:$L58,1,FALSE))),"S",""))</f>
        <v/>
      </c>
      <c r="CJ79" t="str">
        <f>IF(NOT(ISERROR(HLOOKUP(Standings!CJ$3,Entries!$C58:$K58,1,FALSE))),"x",IF(NOT(ISERROR(HLOOKUP(Standings!CJ$3,Entries!$L58:$L58,1,FALSE))),"S",""))</f>
        <v/>
      </c>
      <c r="CK79" t="str">
        <f>IF(NOT(ISERROR(HLOOKUP(Standings!CK$3,Entries!$C58:$K58,1,FALSE))),"x",IF(NOT(ISERROR(HLOOKUP(Standings!CK$3,Entries!$L58:$L58,1,FALSE))),"S",""))</f>
        <v/>
      </c>
      <c r="CL79" t="str">
        <f>IF(NOT(ISERROR(HLOOKUP(Standings!CL$3,Entries!$C58:$K58,1,FALSE))),"x",IF(NOT(ISERROR(HLOOKUP(Standings!CL$3,Entries!$L58:$L58,1,FALSE))),"S",""))</f>
        <v/>
      </c>
      <c r="CM79" t="str">
        <f>IF(NOT(ISERROR(HLOOKUP(Standings!CM$3,Entries!$C58:$K58,1,FALSE))),"x",IF(NOT(ISERROR(HLOOKUP(Standings!CM$3,Entries!$L58:$L58,1,FALSE))),"S",""))</f>
        <v/>
      </c>
      <c r="CN79" t="str">
        <f>IF(NOT(ISERROR(HLOOKUP(Standings!CN$3,Entries!$C58:$K58,1,FALSE))),"x",IF(NOT(ISERROR(HLOOKUP(Standings!CN$3,Entries!$L58:$L58,1,FALSE))),"S",""))</f>
        <v/>
      </c>
      <c r="CO79" t="str">
        <f>IF(NOT(ISERROR(HLOOKUP(Standings!CO$3,Entries!$C58:$K58,1,FALSE))),"x",IF(NOT(ISERROR(HLOOKUP(Standings!CO$3,Entries!$L58:$L58,1,FALSE))),"S",""))</f>
        <v/>
      </c>
      <c r="CP79" t="str">
        <f>IF(NOT(ISERROR(HLOOKUP(Standings!CP$3,Entries!$C58:$K58,1,FALSE))),"x",IF(NOT(ISERROR(HLOOKUP(Standings!CP$3,Entries!$L58:$L58,1,FALSE))),"S",""))</f>
        <v/>
      </c>
      <c r="CQ79" t="str">
        <f>IF(NOT(ISERROR(HLOOKUP(Standings!CQ$3,Entries!$C58:$K58,1,FALSE))),"x",IF(NOT(ISERROR(HLOOKUP(Standings!CQ$3,Entries!$L58:$L58,1,FALSE))),"S",""))</f>
        <v/>
      </c>
      <c r="CR79" t="str">
        <f>IF(NOT(ISERROR(HLOOKUP(Standings!CR$3,Entries!$C58:$K58,1,FALSE))),"x",IF(NOT(ISERROR(HLOOKUP(Standings!CR$3,Entries!$L58:$L58,1,FALSE))),"S",""))</f>
        <v/>
      </c>
      <c r="CS79" t="str">
        <f>IF(NOT(ISERROR(HLOOKUP(Standings!CS$3,Entries!$C58:$K58,1,FALSE))),"x",IF(NOT(ISERROR(HLOOKUP(Standings!CS$3,Entries!$L58:$L58,1,FALSE))),"S",""))</f>
        <v/>
      </c>
      <c r="CT79" t="str">
        <f>IF(NOT(ISERROR(HLOOKUP(Standings!CT$3,Entries!$C58:$K58,1,FALSE))),"x",IF(NOT(ISERROR(HLOOKUP(Standings!CT$3,Entries!$L58:$L58,1,FALSE))),"S",""))</f>
        <v/>
      </c>
      <c r="CU79" t="str">
        <f>IF(NOT(ISERROR(HLOOKUP(Standings!CU$3,Entries!$C58:$K58,1,FALSE))),"x",IF(NOT(ISERROR(HLOOKUP(Standings!CU$3,Entries!$L58:$L58,1,FALSE))),"S",""))</f>
        <v>x</v>
      </c>
      <c r="CV79" t="str">
        <f>IF(NOT(ISERROR(HLOOKUP(Standings!CV$3,Entries!$C58:$K58,1,FALSE))),"x",IF(NOT(ISERROR(HLOOKUP(Standings!CV$3,Entries!$L58:$L58,1,FALSE))),"S",""))</f>
        <v/>
      </c>
      <c r="CW79" t="str">
        <f>IF(NOT(ISERROR(HLOOKUP(Standings!CW$3,Entries!$C58:$K58,1,FALSE))),"x",IF(NOT(ISERROR(HLOOKUP(Standings!CW$3,Entries!$L58:$L58,1,FALSE))),"S",""))</f>
        <v>x</v>
      </c>
      <c r="CX79" t="str">
        <f>IF(NOT(ISERROR(HLOOKUP(Standings!CX$3,Entries!$C58:$K58,1,FALSE))),"x",IF(NOT(ISERROR(HLOOKUP(Standings!CX$3,Entries!$L58:$L58,1,FALSE))),"S",""))</f>
        <v/>
      </c>
      <c r="CY79" t="str">
        <f>IF(NOT(ISERROR(HLOOKUP(Standings!CY$3,Entries!$C58:$K58,1,FALSE))),"x",IF(NOT(ISERROR(HLOOKUP(Standings!CY$3,Entries!$L58:$L58,1,FALSE))),"S",""))</f>
        <v/>
      </c>
      <c r="CZ79" t="str">
        <f>IF(NOT(ISERROR(HLOOKUP(Standings!CZ$3,Entries!$C58:$K58,1,FALSE))),"x",IF(NOT(ISERROR(HLOOKUP(Standings!CZ$3,Entries!$L58:$L58,1,FALSE))),"S",""))</f>
        <v/>
      </c>
      <c r="DA79" t="str">
        <f>IF(NOT(ISERROR(HLOOKUP(Standings!DA$3,Entries!$C58:$K58,1,FALSE))),"x",IF(NOT(ISERROR(HLOOKUP(Standings!DA$3,Entries!$L58:$L58,1,FALSE))),"S",""))</f>
        <v/>
      </c>
      <c r="DB79" t="str">
        <f>IF(NOT(ISERROR(HLOOKUP(Standings!DB$3,Entries!$C58:$K58,1,FALSE))),"x",IF(NOT(ISERROR(HLOOKUP(Standings!DB$3,Entries!$L58:$L58,1,FALSE))),"S",""))</f>
        <v/>
      </c>
    </row>
    <row r="80" spans="1:106" x14ac:dyDescent="0.25">
      <c r="B80">
        <v>71</v>
      </c>
      <c r="C80" t="str">
        <f>Entries!B59</f>
        <v>Maddie/Quinn</v>
      </c>
      <c r="D80" s="4">
        <f>IF(C80="","",RANK(E80,$E$10:$E$111))</f>
        <v>32</v>
      </c>
      <c r="E80" s="31">
        <f t="shared" si="50"/>
        <v>4</v>
      </c>
      <c r="F80" s="40" t="str">
        <f t="shared" si="49"/>
        <v/>
      </c>
      <c r="G80" s="41" t="str">
        <f t="shared" si="2"/>
        <v/>
      </c>
      <c r="H80" s="41" t="str">
        <f t="shared" si="3"/>
        <v/>
      </c>
      <c r="I80" s="42">
        <f t="shared" si="4"/>
        <v>-1.0000000000000001E-5</v>
      </c>
      <c r="J80" s="40" t="str">
        <f t="shared" si="5"/>
        <v/>
      </c>
      <c r="K80" s="41" t="str">
        <f t="shared" si="6"/>
        <v/>
      </c>
      <c r="L80" s="41" t="str">
        <f t="shared" si="7"/>
        <v/>
      </c>
      <c r="M80" s="42" t="str">
        <f t="shared" si="8"/>
        <v/>
      </c>
      <c r="N80" s="43" t="str">
        <f t="shared" si="9"/>
        <v/>
      </c>
      <c r="O80" s="41">
        <f t="shared" si="10"/>
        <v>1</v>
      </c>
      <c r="P80" s="41" t="str">
        <f t="shared" si="11"/>
        <v/>
      </c>
      <c r="Q80" s="42" t="str">
        <f t="shared" si="12"/>
        <v/>
      </c>
      <c r="R80" s="40">
        <f t="shared" si="13"/>
        <v>2</v>
      </c>
      <c r="S80" s="41" t="str">
        <f t="shared" si="14"/>
        <v/>
      </c>
      <c r="T80" s="43" t="str">
        <f t="shared" si="15"/>
        <v/>
      </c>
      <c r="U80" s="42" t="str">
        <f t="shared" si="16"/>
        <v/>
      </c>
      <c r="V80" s="40" t="str">
        <f t="shared" si="17"/>
        <v/>
      </c>
      <c r="W80" s="41" t="str">
        <f t="shared" si="18"/>
        <v/>
      </c>
      <c r="X80" s="41" t="str">
        <f t="shared" si="19"/>
        <v/>
      </c>
      <c r="Y80" s="42" t="str">
        <f t="shared" si="20"/>
        <v/>
      </c>
      <c r="Z80" s="40" t="str">
        <f t="shared" si="21"/>
        <v/>
      </c>
      <c r="AA80" s="41" t="str">
        <f t="shared" si="22"/>
        <v/>
      </c>
      <c r="AB80" s="41" t="str">
        <f t="shared" si="23"/>
        <v/>
      </c>
      <c r="AC80" s="42" t="str">
        <f t="shared" si="24"/>
        <v/>
      </c>
      <c r="AD80" s="40">
        <f t="shared" si="25"/>
        <v>1</v>
      </c>
      <c r="AE80" s="41" t="str">
        <f t="shared" si="26"/>
        <v/>
      </c>
      <c r="AF80" s="41" t="str">
        <f t="shared" si="27"/>
        <v/>
      </c>
      <c r="AG80" s="42" t="str">
        <f t="shared" si="28"/>
        <v/>
      </c>
      <c r="AH80" s="40" t="str">
        <f t="shared" si="29"/>
        <v/>
      </c>
      <c r="AI80" s="41" t="str">
        <f t="shared" si="30"/>
        <v/>
      </c>
      <c r="AJ80" s="41" t="str">
        <f t="shared" si="31"/>
        <v/>
      </c>
      <c r="AK80" s="42" t="str">
        <f t="shared" si="32"/>
        <v/>
      </c>
      <c r="AL80" s="40" t="str">
        <f t="shared" si="33"/>
        <v/>
      </c>
      <c r="AM80" s="41" t="str">
        <f t="shared" si="34"/>
        <v/>
      </c>
      <c r="AN80" s="41">
        <f t="shared" si="35"/>
        <v>0</v>
      </c>
      <c r="AO80" s="42" t="str">
        <f t="shared" si="36"/>
        <v/>
      </c>
      <c r="AP80" s="40" t="str">
        <f t="shared" si="37"/>
        <v/>
      </c>
      <c r="AQ80" s="41" t="str">
        <f t="shared" si="38"/>
        <v/>
      </c>
      <c r="AR80" s="41" t="str">
        <f t="shared" si="39"/>
        <v/>
      </c>
      <c r="AS80" s="42" t="str">
        <f t="shared" si="40"/>
        <v/>
      </c>
      <c r="AT80" s="40" t="str">
        <f t="shared" si="41"/>
        <v/>
      </c>
      <c r="AU80" s="41" t="str">
        <f t="shared" si="42"/>
        <v/>
      </c>
      <c r="AV80" s="41" t="str">
        <f t="shared" si="43"/>
        <v/>
      </c>
      <c r="AW80" s="42" t="str">
        <f t="shared" si="44"/>
        <v/>
      </c>
      <c r="AX80" s="40" t="str">
        <f t="shared" si="45"/>
        <v/>
      </c>
      <c r="AY80" s="41" t="str">
        <f t="shared" si="46"/>
        <v/>
      </c>
      <c r="AZ80" s="41" t="str">
        <f t="shared" si="47"/>
        <v/>
      </c>
      <c r="BA80" s="42" t="str">
        <f t="shared" si="48"/>
        <v/>
      </c>
      <c r="BB80" s="37" t="s">
        <v>106</v>
      </c>
      <c r="BC80" s="21"/>
      <c r="BD80" s="21"/>
      <c r="BG80" t="str">
        <f>IF(NOT(ISERROR(HLOOKUP(Standings!BG$3,Entries!$C59:$K59,1,FALSE))),"x",IF(NOT(ISERROR(HLOOKUP(Standings!BG$3,Entries!$L59:$L59,1,FALSE))),"S",""))</f>
        <v/>
      </c>
      <c r="BH80" t="str">
        <f>IF(NOT(ISERROR(HLOOKUP(Standings!BH$3,Entries!$C59:$K59,1,FALSE))),"x",IF(NOT(ISERROR(HLOOKUP(Standings!BH$3,Entries!$L59:$L59,1,FALSE))),"S",""))</f>
        <v/>
      </c>
      <c r="BI80" t="str">
        <f>IF(NOT(ISERROR(HLOOKUP(Standings!BI$3,Entries!$C59:$K59,1,FALSE))),"x",IF(NOT(ISERROR(HLOOKUP(Standings!BI$3,Entries!$L59:$L59,1,FALSE))),"S",""))</f>
        <v/>
      </c>
      <c r="BJ80" t="str">
        <f>IF(NOT(ISERROR(HLOOKUP(Standings!BJ$3,Entries!$C59:$K59,1,FALSE))),"x",IF(NOT(ISERROR(HLOOKUP(Standings!BJ$3,Entries!$L59:$L59,1,FALSE))),"S",""))</f>
        <v>S</v>
      </c>
      <c r="BK80" t="str">
        <f>IF(NOT(ISERROR(HLOOKUP(Standings!BK$3,Entries!$C59:$K59,1,FALSE))),"x",IF(NOT(ISERROR(HLOOKUP(Standings!BK$3,Entries!$L59:$L59,1,FALSE))),"S",""))</f>
        <v/>
      </c>
      <c r="BL80" t="str">
        <f>IF(NOT(ISERROR(HLOOKUP(Standings!BL$3,Entries!$C59:$K59,1,FALSE))),"x",IF(NOT(ISERROR(HLOOKUP(Standings!BL$3,Entries!$L59:$L59,1,FALSE))),"S",""))</f>
        <v/>
      </c>
      <c r="BM80" t="str">
        <f>IF(NOT(ISERROR(HLOOKUP(Standings!BM$3,Entries!$C59:$K59,1,FALSE))),"x",IF(NOT(ISERROR(HLOOKUP(Standings!BM$3,Entries!$L59:$L59,1,FALSE))),"S",""))</f>
        <v/>
      </c>
      <c r="BN80" t="str">
        <f>IF(NOT(ISERROR(HLOOKUP(Standings!BN$3,Entries!$C59:$K59,1,FALSE))),"x",IF(NOT(ISERROR(HLOOKUP(Standings!BN$3,Entries!$L59:$L59,1,FALSE))),"S",""))</f>
        <v/>
      </c>
      <c r="BO80" t="str">
        <f>IF(NOT(ISERROR(HLOOKUP(Standings!BO$3,Entries!$C59:$K59,1,FALSE))),"x",IF(NOT(ISERROR(HLOOKUP(Standings!BO$3,Entries!$L59:$L59,1,FALSE))),"S",""))</f>
        <v/>
      </c>
      <c r="BP80" t="str">
        <f>IF(NOT(ISERROR(HLOOKUP(Standings!BP$3,Entries!$C59:$K59,1,FALSE))),"x",IF(NOT(ISERROR(HLOOKUP(Standings!BP$3,Entries!$L59:$L59,1,FALSE))),"S",""))</f>
        <v>x</v>
      </c>
      <c r="BQ80" t="str">
        <f>IF(NOT(ISERROR(HLOOKUP(Standings!BQ$3,Entries!$C59:$K59,1,FALSE))),"x",IF(NOT(ISERROR(HLOOKUP(Standings!BQ$3,Entries!$L59:$L59,1,FALSE))),"S",""))</f>
        <v/>
      </c>
      <c r="BR80" t="str">
        <f>IF(NOT(ISERROR(HLOOKUP(Standings!BR$3,Entries!$C59:$K59,1,FALSE))),"x",IF(NOT(ISERROR(HLOOKUP(Standings!BR$3,Entries!$L59:$L59,1,FALSE))),"S",""))</f>
        <v/>
      </c>
      <c r="BS80" t="str">
        <f>IF(NOT(ISERROR(HLOOKUP(Standings!BS$3,Entries!$C59:$K59,1,FALSE))),"x",IF(NOT(ISERROR(HLOOKUP(Standings!BS$3,Entries!$L59:$L59,1,FALSE))),"S",""))</f>
        <v>x</v>
      </c>
      <c r="BT80" t="str">
        <f>IF(NOT(ISERROR(HLOOKUP(Standings!BT$3,Entries!$C59:$K59,1,FALSE))),"x",IF(NOT(ISERROR(HLOOKUP(Standings!BT$3,Entries!$L59:$L59,1,FALSE))),"S",""))</f>
        <v/>
      </c>
      <c r="BU80" t="str">
        <f>IF(NOT(ISERROR(HLOOKUP(Standings!BU$3,Entries!$C59:$K59,1,FALSE))),"x",IF(NOT(ISERROR(HLOOKUP(Standings!BU$3,Entries!$L59:$L59,1,FALSE))),"S",""))</f>
        <v/>
      </c>
      <c r="BV80" t="str">
        <f>IF(NOT(ISERROR(HLOOKUP(Standings!BV$3,Entries!$C59:$K59,1,FALSE))),"x",IF(NOT(ISERROR(HLOOKUP(Standings!BV$3,Entries!$L59:$L59,1,FALSE))),"S",""))</f>
        <v/>
      </c>
      <c r="BW80" t="str">
        <f>IF(NOT(ISERROR(HLOOKUP(Standings!BW$3,Entries!$C59:$K59,1,FALSE))),"x",IF(NOT(ISERROR(HLOOKUP(Standings!BW$3,Entries!$L59:$L59,1,FALSE))),"S",""))</f>
        <v/>
      </c>
      <c r="BX80" t="str">
        <f>IF(NOT(ISERROR(HLOOKUP(Standings!BX$3,Entries!$C59:$K59,1,FALSE))),"x",IF(NOT(ISERROR(HLOOKUP(Standings!BX$3,Entries!$L59:$L59,1,FALSE))),"S",""))</f>
        <v/>
      </c>
      <c r="BY80" t="str">
        <f>IF(NOT(ISERROR(HLOOKUP(Standings!BY$3,Entries!$C59:$K59,1,FALSE))),"x",IF(NOT(ISERROR(HLOOKUP(Standings!BY$3,Entries!$L59:$L59,1,FALSE))),"S",""))</f>
        <v/>
      </c>
      <c r="BZ80" t="str">
        <f>IF(NOT(ISERROR(HLOOKUP(Standings!BZ$3,Entries!$C59:$K59,1,FALSE))),"x",IF(NOT(ISERROR(HLOOKUP(Standings!BZ$3,Entries!$L59:$L59,1,FALSE))),"S",""))</f>
        <v/>
      </c>
      <c r="CA80" t="str">
        <f>IF(NOT(ISERROR(HLOOKUP(Standings!CA$3,Entries!$C59:$K59,1,FALSE))),"x",IF(NOT(ISERROR(HLOOKUP(Standings!CA$3,Entries!$L59:$L59,1,FALSE))),"S",""))</f>
        <v/>
      </c>
      <c r="CB80" t="str">
        <f>IF(NOT(ISERROR(HLOOKUP(Standings!CB$3,Entries!$C59:$K59,1,FALSE))),"x",IF(NOT(ISERROR(HLOOKUP(Standings!CB$3,Entries!$L59:$L59,1,FALSE))),"S",""))</f>
        <v/>
      </c>
      <c r="CC80" t="str">
        <f>IF(NOT(ISERROR(HLOOKUP(Standings!CC$3,Entries!$C59:$K59,1,FALSE))),"x",IF(NOT(ISERROR(HLOOKUP(Standings!CC$3,Entries!$L59:$L59,1,FALSE))),"S",""))</f>
        <v/>
      </c>
      <c r="CD80" t="str">
        <f>IF(NOT(ISERROR(HLOOKUP(Standings!CD$3,Entries!$C59:$K59,1,FALSE))),"x",IF(NOT(ISERROR(HLOOKUP(Standings!CD$3,Entries!$L59:$L59,1,FALSE))),"S",""))</f>
        <v/>
      </c>
      <c r="CE80" t="str">
        <f>IF(NOT(ISERROR(HLOOKUP(Standings!CE$3,Entries!$C59:$K59,1,FALSE))),"x",IF(NOT(ISERROR(HLOOKUP(Standings!CE$3,Entries!$L59:$L59,1,FALSE))),"S",""))</f>
        <v>x</v>
      </c>
      <c r="CF80" t="str">
        <f>IF(NOT(ISERROR(HLOOKUP(Standings!CF$3,Entries!$C59:$K59,1,FALSE))),"x",IF(NOT(ISERROR(HLOOKUP(Standings!CF$3,Entries!$L59:$L59,1,FALSE))),"S",""))</f>
        <v/>
      </c>
      <c r="CG80" t="str">
        <f>IF(NOT(ISERROR(HLOOKUP(Standings!CG$3,Entries!$C59:$K59,1,FALSE))),"x",IF(NOT(ISERROR(HLOOKUP(Standings!CG$3,Entries!$L59:$L59,1,FALSE))),"S",""))</f>
        <v/>
      </c>
      <c r="CH80" t="str">
        <f>IF(NOT(ISERROR(HLOOKUP(Standings!CH$3,Entries!$C59:$K59,1,FALSE))),"x",IF(NOT(ISERROR(HLOOKUP(Standings!CH$3,Entries!$L59:$L59,1,FALSE))),"S",""))</f>
        <v/>
      </c>
      <c r="CI80" t="str">
        <f>IF(NOT(ISERROR(HLOOKUP(Standings!CI$3,Entries!$C59:$K59,1,FALSE))),"x",IF(NOT(ISERROR(HLOOKUP(Standings!CI$3,Entries!$L59:$L59,1,FALSE))),"S",""))</f>
        <v/>
      </c>
      <c r="CJ80" t="str">
        <f>IF(NOT(ISERROR(HLOOKUP(Standings!CJ$3,Entries!$C59:$K59,1,FALSE))),"x",IF(NOT(ISERROR(HLOOKUP(Standings!CJ$3,Entries!$L59:$L59,1,FALSE))),"S",""))</f>
        <v/>
      </c>
      <c r="CK80" t="str">
        <f>IF(NOT(ISERROR(HLOOKUP(Standings!CK$3,Entries!$C59:$K59,1,FALSE))),"x",IF(NOT(ISERROR(HLOOKUP(Standings!CK$3,Entries!$L59:$L59,1,FALSE))),"S",""))</f>
        <v/>
      </c>
      <c r="CL80" t="str">
        <f>IF(NOT(ISERROR(HLOOKUP(Standings!CL$3,Entries!$C59:$K59,1,FALSE))),"x",IF(NOT(ISERROR(HLOOKUP(Standings!CL$3,Entries!$L59:$L59,1,FALSE))),"S",""))</f>
        <v/>
      </c>
      <c r="CM80" t="str">
        <f>IF(NOT(ISERROR(HLOOKUP(Standings!CM$3,Entries!$C59:$K59,1,FALSE))),"x",IF(NOT(ISERROR(HLOOKUP(Standings!CM$3,Entries!$L59:$L59,1,FALSE))),"S",""))</f>
        <v/>
      </c>
      <c r="CN80" t="str">
        <f>IF(NOT(ISERROR(HLOOKUP(Standings!CN$3,Entries!$C59:$K59,1,FALSE))),"x",IF(NOT(ISERROR(HLOOKUP(Standings!CN$3,Entries!$L59:$L59,1,FALSE))),"S",""))</f>
        <v/>
      </c>
      <c r="CO80" t="str">
        <f>IF(NOT(ISERROR(HLOOKUP(Standings!CO$3,Entries!$C59:$K59,1,FALSE))),"x",IF(NOT(ISERROR(HLOOKUP(Standings!CO$3,Entries!$L59:$L59,1,FALSE))),"S",""))</f>
        <v>x</v>
      </c>
      <c r="CP80" t="str">
        <f>IF(NOT(ISERROR(HLOOKUP(Standings!CP$3,Entries!$C59:$K59,1,FALSE))),"x",IF(NOT(ISERROR(HLOOKUP(Standings!CP$3,Entries!$L59:$L59,1,FALSE))),"S",""))</f>
        <v/>
      </c>
      <c r="CQ80" t="str">
        <f>IF(NOT(ISERROR(HLOOKUP(Standings!CQ$3,Entries!$C59:$K59,1,FALSE))),"x",IF(NOT(ISERROR(HLOOKUP(Standings!CQ$3,Entries!$L59:$L59,1,FALSE))),"S",""))</f>
        <v/>
      </c>
      <c r="CR80" t="str">
        <f>IF(NOT(ISERROR(HLOOKUP(Standings!CR$3,Entries!$C59:$K59,1,FALSE))),"x",IF(NOT(ISERROR(HLOOKUP(Standings!CR$3,Entries!$L59:$L59,1,FALSE))),"S",""))</f>
        <v/>
      </c>
      <c r="CS80" t="str">
        <f>IF(NOT(ISERROR(HLOOKUP(Standings!CS$3,Entries!$C59:$K59,1,FALSE))),"x",IF(NOT(ISERROR(HLOOKUP(Standings!CS$3,Entries!$L59:$L59,1,FALSE))),"S",""))</f>
        <v/>
      </c>
      <c r="CT80" t="str">
        <f>IF(NOT(ISERROR(HLOOKUP(Standings!CT$3,Entries!$C59:$K59,1,FALSE))),"x",IF(NOT(ISERROR(HLOOKUP(Standings!CT$3,Entries!$L59:$L59,1,FALSE))),"S",""))</f>
        <v/>
      </c>
      <c r="CU80" t="str">
        <f>IF(NOT(ISERROR(HLOOKUP(Standings!CU$3,Entries!$C59:$K59,1,FALSE))),"x",IF(NOT(ISERROR(HLOOKUP(Standings!CU$3,Entries!$L59:$L59,1,FALSE))),"S",""))</f>
        <v/>
      </c>
      <c r="CV80" t="str">
        <f>IF(NOT(ISERROR(HLOOKUP(Standings!CV$3,Entries!$C59:$K59,1,FALSE))),"x",IF(NOT(ISERROR(HLOOKUP(Standings!CV$3,Entries!$L59:$L59,1,FALSE))),"S",""))</f>
        <v/>
      </c>
      <c r="CW80" t="str">
        <f>IF(NOT(ISERROR(HLOOKUP(Standings!CW$3,Entries!$C59:$K59,1,FALSE))),"x",IF(NOT(ISERROR(HLOOKUP(Standings!CW$3,Entries!$L59:$L59,1,FALSE))),"S",""))</f>
        <v/>
      </c>
      <c r="CX80" t="str">
        <f>IF(NOT(ISERROR(HLOOKUP(Standings!CX$3,Entries!$C59:$K59,1,FALSE))),"x",IF(NOT(ISERROR(HLOOKUP(Standings!CX$3,Entries!$L59:$L59,1,FALSE))),"S",""))</f>
        <v/>
      </c>
      <c r="CY80" t="str">
        <f>IF(NOT(ISERROR(HLOOKUP(Standings!CY$3,Entries!$C59:$K59,1,FALSE))),"x",IF(NOT(ISERROR(HLOOKUP(Standings!CY$3,Entries!$L59:$L59,1,FALSE))),"S",""))</f>
        <v/>
      </c>
      <c r="CZ80" t="str">
        <f>IF(NOT(ISERROR(HLOOKUP(Standings!CZ$3,Entries!$C59:$K59,1,FALSE))),"x",IF(NOT(ISERROR(HLOOKUP(Standings!CZ$3,Entries!$L59:$L59,1,FALSE))),"S",""))</f>
        <v/>
      </c>
      <c r="DA80" t="str">
        <f>IF(NOT(ISERROR(HLOOKUP(Standings!DA$3,Entries!$C59:$K59,1,FALSE))),"x",IF(NOT(ISERROR(HLOOKUP(Standings!DA$3,Entries!$L59:$L59,1,FALSE))),"S",""))</f>
        <v/>
      </c>
      <c r="DB80" t="str">
        <f>IF(NOT(ISERROR(HLOOKUP(Standings!DB$3,Entries!$C59:$K59,1,FALSE))),"x",IF(NOT(ISERROR(HLOOKUP(Standings!DB$3,Entries!$L59:$L59,1,FALSE))),"S",""))</f>
        <v/>
      </c>
    </row>
    <row r="81" spans="1:106" x14ac:dyDescent="0.25">
      <c r="B81">
        <v>61</v>
      </c>
      <c r="C81" t="str">
        <f>Entries!B61</f>
        <v>Brianco2</v>
      </c>
      <c r="D81" s="4">
        <f>IF(C81="","",RANK(E81,$E$10:$E$111))</f>
        <v>71</v>
      </c>
      <c r="E81" s="31">
        <f t="shared" si="50"/>
        <v>2</v>
      </c>
      <c r="F81" s="40" t="str">
        <f t="shared" si="49"/>
        <v/>
      </c>
      <c r="G81" s="41" t="str">
        <f t="shared" si="2"/>
        <v/>
      </c>
      <c r="H81" s="41" t="str">
        <f t="shared" si="3"/>
        <v/>
      </c>
      <c r="I81" s="42">
        <f t="shared" si="4"/>
        <v>0</v>
      </c>
      <c r="J81" s="40" t="str">
        <f t="shared" si="5"/>
        <v/>
      </c>
      <c r="K81" s="41" t="str">
        <f t="shared" si="6"/>
        <v/>
      </c>
      <c r="L81" s="41" t="str">
        <f t="shared" si="7"/>
        <v/>
      </c>
      <c r="M81" s="42" t="str">
        <f t="shared" si="8"/>
        <v/>
      </c>
      <c r="N81" s="43" t="str">
        <f t="shared" si="9"/>
        <v/>
      </c>
      <c r="O81" s="41" t="str">
        <f t="shared" si="10"/>
        <v/>
      </c>
      <c r="P81" s="41" t="str">
        <f t="shared" si="11"/>
        <v/>
      </c>
      <c r="Q81" s="42" t="str">
        <f t="shared" si="12"/>
        <v/>
      </c>
      <c r="R81" s="40" t="str">
        <f t="shared" si="13"/>
        <v/>
      </c>
      <c r="S81" s="41" t="str">
        <f t="shared" si="14"/>
        <v/>
      </c>
      <c r="T81" s="43" t="str">
        <f t="shared" si="15"/>
        <v/>
      </c>
      <c r="U81" s="42" t="str">
        <f t="shared" si="16"/>
        <v/>
      </c>
      <c r="V81" s="40" t="str">
        <f t="shared" si="17"/>
        <v/>
      </c>
      <c r="W81" s="41" t="str">
        <f t="shared" si="18"/>
        <v/>
      </c>
      <c r="X81" s="41" t="str">
        <f t="shared" si="19"/>
        <v/>
      </c>
      <c r="Y81" s="42" t="str">
        <f t="shared" si="20"/>
        <v/>
      </c>
      <c r="Z81" s="40" t="str">
        <f t="shared" si="21"/>
        <v/>
      </c>
      <c r="AA81" s="41">
        <f t="shared" si="22"/>
        <v>-1.0000100000000001</v>
      </c>
      <c r="AB81" s="41" t="str">
        <f t="shared" si="23"/>
        <v/>
      </c>
      <c r="AC81" s="42">
        <f t="shared" si="24"/>
        <v>2</v>
      </c>
      <c r="AD81" s="40" t="str">
        <f t="shared" si="25"/>
        <v/>
      </c>
      <c r="AE81" s="41" t="str">
        <f t="shared" si="26"/>
        <v/>
      </c>
      <c r="AF81" s="41" t="str">
        <f t="shared" si="27"/>
        <v/>
      </c>
      <c r="AG81" s="42">
        <f t="shared" si="28"/>
        <v>1</v>
      </c>
      <c r="AH81" s="40" t="str">
        <f t="shared" si="29"/>
        <v/>
      </c>
      <c r="AI81" s="41" t="str">
        <f t="shared" si="30"/>
        <v/>
      </c>
      <c r="AJ81" s="41" t="str">
        <f t="shared" si="31"/>
        <v/>
      </c>
      <c r="AK81" s="42" t="str">
        <f t="shared" si="32"/>
        <v/>
      </c>
      <c r="AL81" s="40" t="str">
        <f t="shared" si="33"/>
        <v/>
      </c>
      <c r="AM81" s="41" t="str">
        <f t="shared" si="34"/>
        <v/>
      </c>
      <c r="AN81" s="41">
        <f t="shared" si="35"/>
        <v>0</v>
      </c>
      <c r="AO81" s="42" t="str">
        <f t="shared" si="36"/>
        <v/>
      </c>
      <c r="AP81" s="40" t="str">
        <f t="shared" si="37"/>
        <v/>
      </c>
      <c r="AQ81" s="41" t="str">
        <f t="shared" si="38"/>
        <v/>
      </c>
      <c r="AR81" s="41" t="str">
        <f t="shared" si="39"/>
        <v/>
      </c>
      <c r="AS81" s="42" t="str">
        <f t="shared" si="40"/>
        <v/>
      </c>
      <c r="AT81" s="40" t="str">
        <f t="shared" si="41"/>
        <v/>
      </c>
      <c r="AU81" s="41" t="str">
        <f t="shared" si="42"/>
        <v/>
      </c>
      <c r="AV81" s="41" t="str">
        <f t="shared" si="43"/>
        <v/>
      </c>
      <c r="AW81" s="42" t="str">
        <f t="shared" si="44"/>
        <v/>
      </c>
      <c r="AX81" s="40">
        <f t="shared" si="45"/>
        <v>0</v>
      </c>
      <c r="AY81" s="41" t="str">
        <f t="shared" si="46"/>
        <v/>
      </c>
      <c r="AZ81" s="41" t="str">
        <f t="shared" si="47"/>
        <v/>
      </c>
      <c r="BA81" s="42" t="str">
        <f t="shared" si="48"/>
        <v/>
      </c>
      <c r="BB81" s="37" t="s">
        <v>106</v>
      </c>
      <c r="BC81" s="21"/>
      <c r="BD81" s="21"/>
      <c r="BG81" t="str">
        <f>IF(NOT(ISERROR(HLOOKUP(Standings!BG$3,Entries!$C61:$K61,1,FALSE))),"x",IF(NOT(ISERROR(HLOOKUP(Standings!BG$3,Entries!$L61:$L61,1,FALSE))),"S",""))</f>
        <v/>
      </c>
      <c r="BH81" t="str">
        <f>IF(NOT(ISERROR(HLOOKUP(Standings!BH$3,Entries!$C61:$K61,1,FALSE))),"x",IF(NOT(ISERROR(HLOOKUP(Standings!BH$3,Entries!$L61:$L61,1,FALSE))),"S",""))</f>
        <v/>
      </c>
      <c r="BI81" t="str">
        <f>IF(NOT(ISERROR(HLOOKUP(Standings!BI$3,Entries!$C61:$K61,1,FALSE))),"x",IF(NOT(ISERROR(HLOOKUP(Standings!BI$3,Entries!$L61:$L61,1,FALSE))),"S",""))</f>
        <v/>
      </c>
      <c r="BJ81" t="str">
        <f>IF(NOT(ISERROR(HLOOKUP(Standings!BJ$3,Entries!$C61:$K61,1,FALSE))),"x",IF(NOT(ISERROR(HLOOKUP(Standings!BJ$3,Entries!$L61:$L61,1,FALSE))),"S",""))</f>
        <v>x</v>
      </c>
      <c r="BK81" t="str">
        <f>IF(NOT(ISERROR(HLOOKUP(Standings!BK$3,Entries!$C61:$K61,1,FALSE))),"x",IF(NOT(ISERROR(HLOOKUP(Standings!BK$3,Entries!$L61:$L61,1,FALSE))),"S",""))</f>
        <v/>
      </c>
      <c r="BL81" t="str">
        <f>IF(NOT(ISERROR(HLOOKUP(Standings!BL$3,Entries!$C61:$K61,1,FALSE))),"x",IF(NOT(ISERROR(HLOOKUP(Standings!BL$3,Entries!$L61:$L61,1,FALSE))),"S",""))</f>
        <v/>
      </c>
      <c r="BM81" t="str">
        <f>IF(NOT(ISERROR(HLOOKUP(Standings!BM$3,Entries!$C61:$K61,1,FALSE))),"x",IF(NOT(ISERROR(HLOOKUP(Standings!BM$3,Entries!$L61:$L61,1,FALSE))),"S",""))</f>
        <v/>
      </c>
      <c r="BN81" t="str">
        <f>IF(NOT(ISERROR(HLOOKUP(Standings!BN$3,Entries!$C61:$K61,1,FALSE))),"x",IF(NOT(ISERROR(HLOOKUP(Standings!BN$3,Entries!$L61:$L61,1,FALSE))),"S",""))</f>
        <v/>
      </c>
      <c r="BO81" t="str">
        <f>IF(NOT(ISERROR(HLOOKUP(Standings!BO$3,Entries!$C61:$K61,1,FALSE))),"x",IF(NOT(ISERROR(HLOOKUP(Standings!BO$3,Entries!$L61:$L61,1,FALSE))),"S",""))</f>
        <v/>
      </c>
      <c r="BP81" t="str">
        <f>IF(NOT(ISERROR(HLOOKUP(Standings!BP$3,Entries!$C61:$K61,1,FALSE))),"x",IF(NOT(ISERROR(HLOOKUP(Standings!BP$3,Entries!$L61:$L61,1,FALSE))),"S",""))</f>
        <v/>
      </c>
      <c r="BQ81" t="str">
        <f>IF(NOT(ISERROR(HLOOKUP(Standings!BQ$3,Entries!$C61:$K61,1,FALSE))),"x",IF(NOT(ISERROR(HLOOKUP(Standings!BQ$3,Entries!$L61:$L61,1,FALSE))),"S",""))</f>
        <v/>
      </c>
      <c r="BR81" t="str">
        <f>IF(NOT(ISERROR(HLOOKUP(Standings!BR$3,Entries!$C61:$K61,1,FALSE))),"x",IF(NOT(ISERROR(HLOOKUP(Standings!BR$3,Entries!$L61:$L61,1,FALSE))),"S",""))</f>
        <v/>
      </c>
      <c r="BS81" t="str">
        <f>IF(NOT(ISERROR(HLOOKUP(Standings!BS$3,Entries!$C61:$K61,1,FALSE))),"x",IF(NOT(ISERROR(HLOOKUP(Standings!BS$3,Entries!$L61:$L61,1,FALSE))),"S",""))</f>
        <v/>
      </c>
      <c r="BT81" t="str">
        <f>IF(NOT(ISERROR(HLOOKUP(Standings!BT$3,Entries!$C61:$K61,1,FALSE))),"x",IF(NOT(ISERROR(HLOOKUP(Standings!BT$3,Entries!$L61:$L61,1,FALSE))),"S",""))</f>
        <v/>
      </c>
      <c r="BU81" t="str">
        <f>IF(NOT(ISERROR(HLOOKUP(Standings!BU$3,Entries!$C61:$K61,1,FALSE))),"x",IF(NOT(ISERROR(HLOOKUP(Standings!BU$3,Entries!$L61:$L61,1,FALSE))),"S",""))</f>
        <v/>
      </c>
      <c r="BV81" t="str">
        <f>IF(NOT(ISERROR(HLOOKUP(Standings!BV$3,Entries!$C61:$K61,1,FALSE))),"x",IF(NOT(ISERROR(HLOOKUP(Standings!BV$3,Entries!$L61:$L61,1,FALSE))),"S",""))</f>
        <v/>
      </c>
      <c r="BW81" t="str">
        <f>IF(NOT(ISERROR(HLOOKUP(Standings!BW$3,Entries!$C61:$K61,1,FALSE))),"x",IF(NOT(ISERROR(HLOOKUP(Standings!BW$3,Entries!$L61:$L61,1,FALSE))),"S",""))</f>
        <v/>
      </c>
      <c r="BX81" t="str">
        <f>IF(NOT(ISERROR(HLOOKUP(Standings!BX$3,Entries!$C61:$K61,1,FALSE))),"x",IF(NOT(ISERROR(HLOOKUP(Standings!BX$3,Entries!$L61:$L61,1,FALSE))),"S",""))</f>
        <v/>
      </c>
      <c r="BY81" t="str">
        <f>IF(NOT(ISERROR(HLOOKUP(Standings!BY$3,Entries!$C61:$K61,1,FALSE))),"x",IF(NOT(ISERROR(HLOOKUP(Standings!BY$3,Entries!$L61:$L61,1,FALSE))),"S",""))</f>
        <v/>
      </c>
      <c r="BZ81" t="str">
        <f>IF(NOT(ISERROR(HLOOKUP(Standings!BZ$3,Entries!$C61:$K61,1,FALSE))),"x",IF(NOT(ISERROR(HLOOKUP(Standings!BZ$3,Entries!$L61:$L61,1,FALSE))),"S",""))</f>
        <v/>
      </c>
      <c r="CA81" t="str">
        <f>IF(NOT(ISERROR(HLOOKUP(Standings!CA$3,Entries!$C61:$K61,1,FALSE))),"x",IF(NOT(ISERROR(HLOOKUP(Standings!CA$3,Entries!$L61:$L61,1,FALSE))),"S",""))</f>
        <v/>
      </c>
      <c r="CB81" t="str">
        <f>IF(NOT(ISERROR(HLOOKUP(Standings!CB$3,Entries!$C61:$K61,1,FALSE))),"x",IF(NOT(ISERROR(HLOOKUP(Standings!CB$3,Entries!$L61:$L61,1,FALSE))),"S",""))</f>
        <v>S</v>
      </c>
      <c r="CC81" t="str">
        <f>IF(NOT(ISERROR(HLOOKUP(Standings!CC$3,Entries!$C61:$K61,1,FALSE))),"x",IF(NOT(ISERROR(HLOOKUP(Standings!CC$3,Entries!$L61:$L61,1,FALSE))),"S",""))</f>
        <v/>
      </c>
      <c r="CD81" t="str">
        <f>IF(NOT(ISERROR(HLOOKUP(Standings!CD$3,Entries!$C61:$K61,1,FALSE))),"x",IF(NOT(ISERROR(HLOOKUP(Standings!CD$3,Entries!$L61:$L61,1,FALSE))),"S",""))</f>
        <v>x</v>
      </c>
      <c r="CE81" t="str">
        <f>IF(NOT(ISERROR(HLOOKUP(Standings!CE$3,Entries!$C61:$K61,1,FALSE))),"x",IF(NOT(ISERROR(HLOOKUP(Standings!CE$3,Entries!$L61:$L61,1,FALSE))),"S",""))</f>
        <v/>
      </c>
      <c r="CF81" t="str">
        <f>IF(NOT(ISERROR(HLOOKUP(Standings!CF$3,Entries!$C61:$K61,1,FALSE))),"x",IF(NOT(ISERROR(HLOOKUP(Standings!CF$3,Entries!$L61:$L61,1,FALSE))),"S",""))</f>
        <v/>
      </c>
      <c r="CG81" t="str">
        <f>IF(NOT(ISERROR(HLOOKUP(Standings!CG$3,Entries!$C61:$K61,1,FALSE))),"x",IF(NOT(ISERROR(HLOOKUP(Standings!CG$3,Entries!$L61:$L61,1,FALSE))),"S",""))</f>
        <v/>
      </c>
      <c r="CH81" t="str">
        <f>IF(NOT(ISERROR(HLOOKUP(Standings!CH$3,Entries!$C61:$K61,1,FALSE))),"x",IF(NOT(ISERROR(HLOOKUP(Standings!CH$3,Entries!$L61:$L61,1,FALSE))),"S",""))</f>
        <v>x</v>
      </c>
      <c r="CI81" t="str">
        <f>IF(NOT(ISERROR(HLOOKUP(Standings!CI$3,Entries!$C61:$K61,1,FALSE))),"x",IF(NOT(ISERROR(HLOOKUP(Standings!CI$3,Entries!$L61:$L61,1,FALSE))),"S",""))</f>
        <v/>
      </c>
      <c r="CJ81" t="str">
        <f>IF(NOT(ISERROR(HLOOKUP(Standings!CJ$3,Entries!$C61:$K61,1,FALSE))),"x",IF(NOT(ISERROR(HLOOKUP(Standings!CJ$3,Entries!$L61:$L61,1,FALSE))),"S",""))</f>
        <v/>
      </c>
      <c r="CK81" t="str">
        <f>IF(NOT(ISERROR(HLOOKUP(Standings!CK$3,Entries!$C61:$K61,1,FALSE))),"x",IF(NOT(ISERROR(HLOOKUP(Standings!CK$3,Entries!$L61:$L61,1,FALSE))),"S",""))</f>
        <v/>
      </c>
      <c r="CL81" t="str">
        <f>IF(NOT(ISERROR(HLOOKUP(Standings!CL$3,Entries!$C61:$K61,1,FALSE))),"x",IF(NOT(ISERROR(HLOOKUP(Standings!CL$3,Entries!$L61:$L61,1,FALSE))),"S",""))</f>
        <v/>
      </c>
      <c r="CM81" t="str">
        <f>IF(NOT(ISERROR(HLOOKUP(Standings!CM$3,Entries!$C61:$K61,1,FALSE))),"x",IF(NOT(ISERROR(HLOOKUP(Standings!CM$3,Entries!$L61:$L61,1,FALSE))),"S",""))</f>
        <v/>
      </c>
      <c r="CN81" t="str">
        <f>IF(NOT(ISERROR(HLOOKUP(Standings!CN$3,Entries!$C61:$K61,1,FALSE))),"x",IF(NOT(ISERROR(HLOOKUP(Standings!CN$3,Entries!$L61:$L61,1,FALSE))),"S",""))</f>
        <v/>
      </c>
      <c r="CO81" t="str">
        <f>IF(NOT(ISERROR(HLOOKUP(Standings!CO$3,Entries!$C61:$K61,1,FALSE))),"x",IF(NOT(ISERROR(HLOOKUP(Standings!CO$3,Entries!$L61:$L61,1,FALSE))),"S",""))</f>
        <v>x</v>
      </c>
      <c r="CP81" t="str">
        <f>IF(NOT(ISERROR(HLOOKUP(Standings!CP$3,Entries!$C61:$K61,1,FALSE))),"x",IF(NOT(ISERROR(HLOOKUP(Standings!CP$3,Entries!$L61:$L61,1,FALSE))),"S",""))</f>
        <v/>
      </c>
      <c r="CQ81" t="str">
        <f>IF(NOT(ISERROR(HLOOKUP(Standings!CQ$3,Entries!$C61:$K61,1,FALSE))),"x",IF(NOT(ISERROR(HLOOKUP(Standings!CQ$3,Entries!$L61:$L61,1,FALSE))),"S",""))</f>
        <v/>
      </c>
      <c r="CR81" t="str">
        <f>IF(NOT(ISERROR(HLOOKUP(Standings!CR$3,Entries!$C61:$K61,1,FALSE))),"x",IF(NOT(ISERROR(HLOOKUP(Standings!CR$3,Entries!$L61:$L61,1,FALSE))),"S",""))</f>
        <v/>
      </c>
      <c r="CS81" t="str">
        <f>IF(NOT(ISERROR(HLOOKUP(Standings!CS$3,Entries!$C61:$K61,1,FALSE))),"x",IF(NOT(ISERROR(HLOOKUP(Standings!CS$3,Entries!$L61:$L61,1,FALSE))),"S",""))</f>
        <v/>
      </c>
      <c r="CT81" t="str">
        <f>IF(NOT(ISERROR(HLOOKUP(Standings!CT$3,Entries!$C61:$K61,1,FALSE))),"x",IF(NOT(ISERROR(HLOOKUP(Standings!CT$3,Entries!$L61:$L61,1,FALSE))),"S",""))</f>
        <v/>
      </c>
      <c r="CU81" t="str">
        <f>IF(NOT(ISERROR(HLOOKUP(Standings!CU$3,Entries!$C61:$K61,1,FALSE))),"x",IF(NOT(ISERROR(HLOOKUP(Standings!CU$3,Entries!$L61:$L61,1,FALSE))),"S",""))</f>
        <v/>
      </c>
      <c r="CV81" t="str">
        <f>IF(NOT(ISERROR(HLOOKUP(Standings!CV$3,Entries!$C61:$K61,1,FALSE))),"x",IF(NOT(ISERROR(HLOOKUP(Standings!CV$3,Entries!$L61:$L61,1,FALSE))),"S",""))</f>
        <v/>
      </c>
      <c r="CW81" t="str">
        <f>IF(NOT(ISERROR(HLOOKUP(Standings!CW$3,Entries!$C61:$K61,1,FALSE))),"x",IF(NOT(ISERROR(HLOOKUP(Standings!CW$3,Entries!$L61:$L61,1,FALSE))),"S",""))</f>
        <v/>
      </c>
      <c r="CX81" t="str">
        <f>IF(NOT(ISERROR(HLOOKUP(Standings!CX$3,Entries!$C61:$K61,1,FALSE))),"x",IF(NOT(ISERROR(HLOOKUP(Standings!CX$3,Entries!$L61:$L61,1,FALSE))),"S",""))</f>
        <v/>
      </c>
      <c r="CY81" t="str">
        <f>IF(NOT(ISERROR(HLOOKUP(Standings!CY$3,Entries!$C61:$K61,1,FALSE))),"x",IF(NOT(ISERROR(HLOOKUP(Standings!CY$3,Entries!$L61:$L61,1,FALSE))),"S",""))</f>
        <v>x</v>
      </c>
      <c r="CZ81" t="str">
        <f>IF(NOT(ISERROR(HLOOKUP(Standings!CZ$3,Entries!$C61:$K61,1,FALSE))),"x",IF(NOT(ISERROR(HLOOKUP(Standings!CZ$3,Entries!$L61:$L61,1,FALSE))),"S",""))</f>
        <v/>
      </c>
      <c r="DA81" t="str">
        <f>IF(NOT(ISERROR(HLOOKUP(Standings!DA$3,Entries!$C61:$K61,1,FALSE))),"x",IF(NOT(ISERROR(HLOOKUP(Standings!DA$3,Entries!$L61:$L61,1,FALSE))),"S",""))</f>
        <v/>
      </c>
      <c r="DB81" t="str">
        <f>IF(NOT(ISERROR(HLOOKUP(Standings!DB$3,Entries!$C61:$K61,1,FALSE))),"x",IF(NOT(ISERROR(HLOOKUP(Standings!DB$3,Entries!$L61:$L61,1,FALSE))),"S",""))</f>
        <v/>
      </c>
    </row>
    <row r="82" spans="1:106" x14ac:dyDescent="0.25">
      <c r="B82">
        <v>71</v>
      </c>
      <c r="C82" t="str">
        <f>Entries!B62</f>
        <v>Ben Ritz Picks</v>
      </c>
      <c r="D82" s="4">
        <f>IF(C82="","",RANK(E82,$E$10:$E$111))</f>
        <v>81</v>
      </c>
      <c r="E82" s="31">
        <f t="shared" si="50"/>
        <v>1</v>
      </c>
      <c r="F82" s="40" t="str">
        <f t="shared" si="49"/>
        <v/>
      </c>
      <c r="G82" s="41" t="str">
        <f t="shared" si="2"/>
        <v/>
      </c>
      <c r="H82" s="41">
        <f t="shared" si="3"/>
        <v>2</v>
      </c>
      <c r="I82" s="42" t="str">
        <f t="shared" si="4"/>
        <v/>
      </c>
      <c r="J82" s="40" t="str">
        <f t="shared" si="5"/>
        <v/>
      </c>
      <c r="K82" s="41" t="str">
        <f t="shared" si="6"/>
        <v/>
      </c>
      <c r="L82" s="41" t="str">
        <f t="shared" si="7"/>
        <v/>
      </c>
      <c r="M82" s="42" t="str">
        <f t="shared" si="8"/>
        <v/>
      </c>
      <c r="N82" s="43" t="str">
        <f t="shared" si="9"/>
        <v/>
      </c>
      <c r="O82" s="41" t="str">
        <f t="shared" si="10"/>
        <v/>
      </c>
      <c r="P82" s="41" t="str">
        <f t="shared" si="11"/>
        <v/>
      </c>
      <c r="Q82" s="42" t="str">
        <f t="shared" si="12"/>
        <v/>
      </c>
      <c r="R82" s="40" t="str">
        <f t="shared" si="13"/>
        <v/>
      </c>
      <c r="S82" s="41" t="str">
        <f t="shared" si="14"/>
        <v/>
      </c>
      <c r="T82" s="43" t="str">
        <f t="shared" si="15"/>
        <v/>
      </c>
      <c r="U82" s="42" t="str">
        <f t="shared" si="16"/>
        <v/>
      </c>
      <c r="V82" s="40" t="str">
        <f t="shared" si="17"/>
        <v/>
      </c>
      <c r="W82" s="41" t="str">
        <f t="shared" si="18"/>
        <v/>
      </c>
      <c r="X82" s="41" t="str">
        <f t="shared" si="19"/>
        <v/>
      </c>
      <c r="Y82" s="42" t="str">
        <f t="shared" si="20"/>
        <v/>
      </c>
      <c r="Z82" s="40" t="str">
        <f t="shared" si="21"/>
        <v/>
      </c>
      <c r="AA82" s="41" t="str">
        <f t="shared" si="22"/>
        <v/>
      </c>
      <c r="AB82" s="41" t="str">
        <f t="shared" si="23"/>
        <v/>
      </c>
      <c r="AC82" s="42">
        <f t="shared" si="24"/>
        <v>-2.0000100000000001</v>
      </c>
      <c r="AD82" s="40">
        <f t="shared" si="25"/>
        <v>1</v>
      </c>
      <c r="AE82" s="41" t="str">
        <f t="shared" si="26"/>
        <v/>
      </c>
      <c r="AF82" s="41" t="str">
        <f t="shared" si="27"/>
        <v/>
      </c>
      <c r="AG82" s="42" t="str">
        <f t="shared" si="28"/>
        <v/>
      </c>
      <c r="AH82" s="40" t="str">
        <f t="shared" si="29"/>
        <v/>
      </c>
      <c r="AI82" s="41" t="str">
        <f t="shared" si="30"/>
        <v/>
      </c>
      <c r="AJ82" s="41" t="str">
        <f t="shared" si="31"/>
        <v/>
      </c>
      <c r="AK82" s="42" t="str">
        <f t="shared" si="32"/>
        <v/>
      </c>
      <c r="AL82" s="40" t="str">
        <f t="shared" si="33"/>
        <v/>
      </c>
      <c r="AM82" s="41">
        <f t="shared" si="34"/>
        <v>0</v>
      </c>
      <c r="AN82" s="41" t="str">
        <f t="shared" si="35"/>
        <v/>
      </c>
      <c r="AO82" s="42" t="str">
        <f t="shared" si="36"/>
        <v/>
      </c>
      <c r="AP82" s="40">
        <f t="shared" si="37"/>
        <v>0</v>
      </c>
      <c r="AQ82" s="41" t="str">
        <f t="shared" si="38"/>
        <v/>
      </c>
      <c r="AR82" s="41" t="str">
        <f t="shared" si="39"/>
        <v/>
      </c>
      <c r="AS82" s="42" t="str">
        <f t="shared" si="40"/>
        <v/>
      </c>
      <c r="AT82" s="40" t="str">
        <f t="shared" si="41"/>
        <v/>
      </c>
      <c r="AU82" s="41" t="str">
        <f t="shared" si="42"/>
        <v/>
      </c>
      <c r="AV82" s="41" t="str">
        <f t="shared" si="43"/>
        <v/>
      </c>
      <c r="AW82" s="42" t="str">
        <f t="shared" si="44"/>
        <v/>
      </c>
      <c r="AX82" s="40" t="str">
        <f t="shared" si="45"/>
        <v/>
      </c>
      <c r="AY82" s="41" t="str">
        <f t="shared" si="46"/>
        <v/>
      </c>
      <c r="AZ82" s="41" t="str">
        <f t="shared" si="47"/>
        <v/>
      </c>
      <c r="BA82" s="42" t="str">
        <f t="shared" si="48"/>
        <v/>
      </c>
      <c r="BB82" s="37" t="s">
        <v>106</v>
      </c>
      <c r="BC82" s="21"/>
      <c r="BD82" s="21"/>
      <c r="BG82" t="str">
        <f>IF(NOT(ISERROR(HLOOKUP(Standings!BG$3,Entries!$C62:$K62,1,FALSE))),"x",IF(NOT(ISERROR(HLOOKUP(Standings!BG$3,Entries!$L62:$L62,1,FALSE))),"S",""))</f>
        <v/>
      </c>
      <c r="BH82" t="str">
        <f>IF(NOT(ISERROR(HLOOKUP(Standings!BH$3,Entries!$C62:$K62,1,FALSE))),"x",IF(NOT(ISERROR(HLOOKUP(Standings!BH$3,Entries!$L62:$L62,1,FALSE))),"S",""))</f>
        <v/>
      </c>
      <c r="BI82" t="str">
        <f>IF(NOT(ISERROR(HLOOKUP(Standings!BI$3,Entries!$C62:$K62,1,FALSE))),"x",IF(NOT(ISERROR(HLOOKUP(Standings!BI$3,Entries!$L62:$L62,1,FALSE))),"S",""))</f>
        <v>x</v>
      </c>
      <c r="BJ82" t="str">
        <f>IF(NOT(ISERROR(HLOOKUP(Standings!BJ$3,Entries!$C62:$K62,1,FALSE))),"x",IF(NOT(ISERROR(HLOOKUP(Standings!BJ$3,Entries!$L62:$L62,1,FALSE))),"S",""))</f>
        <v/>
      </c>
      <c r="BK82" t="str">
        <f>IF(NOT(ISERROR(HLOOKUP(Standings!BK$3,Entries!$C62:$K62,1,FALSE))),"x",IF(NOT(ISERROR(HLOOKUP(Standings!BK$3,Entries!$L62:$L62,1,FALSE))),"S",""))</f>
        <v/>
      </c>
      <c r="BL82" t="str">
        <f>IF(NOT(ISERROR(HLOOKUP(Standings!BL$3,Entries!$C62:$K62,1,FALSE))),"x",IF(NOT(ISERROR(HLOOKUP(Standings!BL$3,Entries!$L62:$L62,1,FALSE))),"S",""))</f>
        <v/>
      </c>
      <c r="BM82" t="str">
        <f>IF(NOT(ISERROR(HLOOKUP(Standings!BM$3,Entries!$C62:$K62,1,FALSE))),"x",IF(NOT(ISERROR(HLOOKUP(Standings!BM$3,Entries!$L62:$L62,1,FALSE))),"S",""))</f>
        <v/>
      </c>
      <c r="BN82" t="str">
        <f>IF(NOT(ISERROR(HLOOKUP(Standings!BN$3,Entries!$C62:$K62,1,FALSE))),"x",IF(NOT(ISERROR(HLOOKUP(Standings!BN$3,Entries!$L62:$L62,1,FALSE))),"S",""))</f>
        <v/>
      </c>
      <c r="BO82" t="str">
        <f>IF(NOT(ISERROR(HLOOKUP(Standings!BO$3,Entries!$C62:$K62,1,FALSE))),"x",IF(NOT(ISERROR(HLOOKUP(Standings!BO$3,Entries!$L62:$L62,1,FALSE))),"S",""))</f>
        <v/>
      </c>
      <c r="BP82" t="str">
        <f>IF(NOT(ISERROR(HLOOKUP(Standings!BP$3,Entries!$C62:$K62,1,FALSE))),"x",IF(NOT(ISERROR(HLOOKUP(Standings!BP$3,Entries!$L62:$L62,1,FALSE))),"S",""))</f>
        <v/>
      </c>
      <c r="BQ82" t="str">
        <f>IF(NOT(ISERROR(HLOOKUP(Standings!BQ$3,Entries!$C62:$K62,1,FALSE))),"x",IF(NOT(ISERROR(HLOOKUP(Standings!BQ$3,Entries!$L62:$L62,1,FALSE))),"S",""))</f>
        <v/>
      </c>
      <c r="BR82" t="str">
        <f>IF(NOT(ISERROR(HLOOKUP(Standings!BR$3,Entries!$C62:$K62,1,FALSE))),"x",IF(NOT(ISERROR(HLOOKUP(Standings!BR$3,Entries!$L62:$L62,1,FALSE))),"S",""))</f>
        <v/>
      </c>
      <c r="BS82" t="str">
        <f>IF(NOT(ISERROR(HLOOKUP(Standings!BS$3,Entries!$C62:$K62,1,FALSE))),"x",IF(NOT(ISERROR(HLOOKUP(Standings!BS$3,Entries!$L62:$L62,1,FALSE))),"S",""))</f>
        <v/>
      </c>
      <c r="BT82" t="str">
        <f>IF(NOT(ISERROR(HLOOKUP(Standings!BT$3,Entries!$C62:$K62,1,FALSE))),"x",IF(NOT(ISERROR(HLOOKUP(Standings!BT$3,Entries!$L62:$L62,1,FALSE))),"S",""))</f>
        <v/>
      </c>
      <c r="BU82" t="str">
        <f>IF(NOT(ISERROR(HLOOKUP(Standings!BU$3,Entries!$C62:$K62,1,FALSE))),"x",IF(NOT(ISERROR(HLOOKUP(Standings!BU$3,Entries!$L62:$L62,1,FALSE))),"S",""))</f>
        <v/>
      </c>
      <c r="BV82" t="str">
        <f>IF(NOT(ISERROR(HLOOKUP(Standings!BV$3,Entries!$C62:$K62,1,FALSE))),"x",IF(NOT(ISERROR(HLOOKUP(Standings!BV$3,Entries!$L62:$L62,1,FALSE))),"S",""))</f>
        <v/>
      </c>
      <c r="BW82" t="str">
        <f>IF(NOT(ISERROR(HLOOKUP(Standings!BW$3,Entries!$C62:$K62,1,FALSE))),"x",IF(NOT(ISERROR(HLOOKUP(Standings!BW$3,Entries!$L62:$L62,1,FALSE))),"S",""))</f>
        <v/>
      </c>
      <c r="BX82" t="str">
        <f>IF(NOT(ISERROR(HLOOKUP(Standings!BX$3,Entries!$C62:$K62,1,FALSE))),"x",IF(NOT(ISERROR(HLOOKUP(Standings!BX$3,Entries!$L62:$L62,1,FALSE))),"S",""))</f>
        <v/>
      </c>
      <c r="BY82" t="str">
        <f>IF(NOT(ISERROR(HLOOKUP(Standings!BY$3,Entries!$C62:$K62,1,FALSE))),"x",IF(NOT(ISERROR(HLOOKUP(Standings!BY$3,Entries!$L62:$L62,1,FALSE))),"S",""))</f>
        <v/>
      </c>
      <c r="BZ82" t="str">
        <f>IF(NOT(ISERROR(HLOOKUP(Standings!BZ$3,Entries!$C62:$K62,1,FALSE))),"x",IF(NOT(ISERROR(HLOOKUP(Standings!BZ$3,Entries!$L62:$L62,1,FALSE))),"S",""))</f>
        <v/>
      </c>
      <c r="CA82" t="str">
        <f>IF(NOT(ISERROR(HLOOKUP(Standings!CA$3,Entries!$C62:$K62,1,FALSE))),"x",IF(NOT(ISERROR(HLOOKUP(Standings!CA$3,Entries!$L62:$L62,1,FALSE))),"S",""))</f>
        <v/>
      </c>
      <c r="CB82" t="str">
        <f>IF(NOT(ISERROR(HLOOKUP(Standings!CB$3,Entries!$C62:$K62,1,FALSE))),"x",IF(NOT(ISERROR(HLOOKUP(Standings!CB$3,Entries!$L62:$L62,1,FALSE))),"S",""))</f>
        <v/>
      </c>
      <c r="CC82" t="str">
        <f>IF(NOT(ISERROR(HLOOKUP(Standings!CC$3,Entries!$C62:$K62,1,FALSE))),"x",IF(NOT(ISERROR(HLOOKUP(Standings!CC$3,Entries!$L62:$L62,1,FALSE))),"S",""))</f>
        <v/>
      </c>
      <c r="CD82" t="str">
        <f>IF(NOT(ISERROR(HLOOKUP(Standings!CD$3,Entries!$C62:$K62,1,FALSE))),"x",IF(NOT(ISERROR(HLOOKUP(Standings!CD$3,Entries!$L62:$L62,1,FALSE))),"S",""))</f>
        <v>S</v>
      </c>
      <c r="CE82" t="str">
        <f>IF(NOT(ISERROR(HLOOKUP(Standings!CE$3,Entries!$C62:$K62,1,FALSE))),"x",IF(NOT(ISERROR(HLOOKUP(Standings!CE$3,Entries!$L62:$L62,1,FALSE))),"S",""))</f>
        <v>x</v>
      </c>
      <c r="CF82" t="str">
        <f>IF(NOT(ISERROR(HLOOKUP(Standings!CF$3,Entries!$C62:$K62,1,FALSE))),"x",IF(NOT(ISERROR(HLOOKUP(Standings!CF$3,Entries!$L62:$L62,1,FALSE))),"S",""))</f>
        <v/>
      </c>
      <c r="CG82" t="str">
        <f>IF(NOT(ISERROR(HLOOKUP(Standings!CG$3,Entries!$C62:$K62,1,FALSE))),"x",IF(NOT(ISERROR(HLOOKUP(Standings!CG$3,Entries!$L62:$L62,1,FALSE))),"S",""))</f>
        <v/>
      </c>
      <c r="CH82" t="str">
        <f>IF(NOT(ISERROR(HLOOKUP(Standings!CH$3,Entries!$C62:$K62,1,FALSE))),"x",IF(NOT(ISERROR(HLOOKUP(Standings!CH$3,Entries!$L62:$L62,1,FALSE))),"S",""))</f>
        <v/>
      </c>
      <c r="CI82" t="str">
        <f>IF(NOT(ISERROR(HLOOKUP(Standings!CI$3,Entries!$C62:$K62,1,FALSE))),"x",IF(NOT(ISERROR(HLOOKUP(Standings!CI$3,Entries!$L62:$L62,1,FALSE))),"S",""))</f>
        <v/>
      </c>
      <c r="CJ82" t="str">
        <f>IF(NOT(ISERROR(HLOOKUP(Standings!CJ$3,Entries!$C62:$K62,1,FALSE))),"x",IF(NOT(ISERROR(HLOOKUP(Standings!CJ$3,Entries!$L62:$L62,1,FALSE))),"S",""))</f>
        <v/>
      </c>
      <c r="CK82" t="str">
        <f>IF(NOT(ISERROR(HLOOKUP(Standings!CK$3,Entries!$C62:$K62,1,FALSE))),"x",IF(NOT(ISERROR(HLOOKUP(Standings!CK$3,Entries!$L62:$L62,1,FALSE))),"S",""))</f>
        <v/>
      </c>
      <c r="CL82" t="str">
        <f>IF(NOT(ISERROR(HLOOKUP(Standings!CL$3,Entries!$C62:$K62,1,FALSE))),"x",IF(NOT(ISERROR(HLOOKUP(Standings!CL$3,Entries!$L62:$L62,1,FALSE))),"S",""))</f>
        <v/>
      </c>
      <c r="CM82" t="str">
        <f>IF(NOT(ISERROR(HLOOKUP(Standings!CM$3,Entries!$C62:$K62,1,FALSE))),"x",IF(NOT(ISERROR(HLOOKUP(Standings!CM$3,Entries!$L62:$L62,1,FALSE))),"S",""))</f>
        <v/>
      </c>
      <c r="CN82" t="str">
        <f>IF(NOT(ISERROR(HLOOKUP(Standings!CN$3,Entries!$C62:$K62,1,FALSE))),"x",IF(NOT(ISERROR(HLOOKUP(Standings!CN$3,Entries!$L62:$L62,1,FALSE))),"S",""))</f>
        <v>x</v>
      </c>
      <c r="CO82" t="str">
        <f>IF(NOT(ISERROR(HLOOKUP(Standings!CO$3,Entries!$C62:$K62,1,FALSE))),"x",IF(NOT(ISERROR(HLOOKUP(Standings!CO$3,Entries!$L62:$L62,1,FALSE))),"S",""))</f>
        <v/>
      </c>
      <c r="CP82" t="str">
        <f>IF(NOT(ISERROR(HLOOKUP(Standings!CP$3,Entries!$C62:$K62,1,FALSE))),"x",IF(NOT(ISERROR(HLOOKUP(Standings!CP$3,Entries!$L62:$L62,1,FALSE))),"S",""))</f>
        <v/>
      </c>
      <c r="CQ82" t="str">
        <f>IF(NOT(ISERROR(HLOOKUP(Standings!CQ$3,Entries!$C62:$K62,1,FALSE))),"x",IF(NOT(ISERROR(HLOOKUP(Standings!CQ$3,Entries!$L62:$L62,1,FALSE))),"S",""))</f>
        <v>x</v>
      </c>
      <c r="CR82" t="str">
        <f>IF(NOT(ISERROR(HLOOKUP(Standings!CR$3,Entries!$C62:$K62,1,FALSE))),"x",IF(NOT(ISERROR(HLOOKUP(Standings!CR$3,Entries!$L62:$L62,1,FALSE))),"S",""))</f>
        <v/>
      </c>
      <c r="CS82" t="str">
        <f>IF(NOT(ISERROR(HLOOKUP(Standings!CS$3,Entries!$C62:$K62,1,FALSE))),"x",IF(NOT(ISERROR(HLOOKUP(Standings!CS$3,Entries!$L62:$L62,1,FALSE))),"S",""))</f>
        <v/>
      </c>
      <c r="CT82" t="str">
        <f>IF(NOT(ISERROR(HLOOKUP(Standings!CT$3,Entries!$C62:$K62,1,FALSE))),"x",IF(NOT(ISERROR(HLOOKUP(Standings!CT$3,Entries!$L62:$L62,1,FALSE))),"S",""))</f>
        <v/>
      </c>
      <c r="CU82" t="str">
        <f>IF(NOT(ISERROR(HLOOKUP(Standings!CU$3,Entries!$C62:$K62,1,FALSE))),"x",IF(NOT(ISERROR(HLOOKUP(Standings!CU$3,Entries!$L62:$L62,1,FALSE))),"S",""))</f>
        <v/>
      </c>
      <c r="CV82" t="str">
        <f>IF(NOT(ISERROR(HLOOKUP(Standings!CV$3,Entries!$C62:$K62,1,FALSE))),"x",IF(NOT(ISERROR(HLOOKUP(Standings!CV$3,Entries!$L62:$L62,1,FALSE))),"S",""))</f>
        <v/>
      </c>
      <c r="CW82" t="str">
        <f>IF(NOT(ISERROR(HLOOKUP(Standings!CW$3,Entries!$C62:$K62,1,FALSE))),"x",IF(NOT(ISERROR(HLOOKUP(Standings!CW$3,Entries!$L62:$L62,1,FALSE))),"S",""))</f>
        <v/>
      </c>
      <c r="CX82" t="str">
        <f>IF(NOT(ISERROR(HLOOKUP(Standings!CX$3,Entries!$C62:$K62,1,FALSE))),"x",IF(NOT(ISERROR(HLOOKUP(Standings!CX$3,Entries!$L62:$L62,1,FALSE))),"S",""))</f>
        <v/>
      </c>
      <c r="CY82" t="str">
        <f>IF(NOT(ISERROR(HLOOKUP(Standings!CY$3,Entries!$C62:$K62,1,FALSE))),"x",IF(NOT(ISERROR(HLOOKUP(Standings!CY$3,Entries!$L62:$L62,1,FALSE))),"S",""))</f>
        <v/>
      </c>
      <c r="CZ82" t="str">
        <f>IF(NOT(ISERROR(HLOOKUP(Standings!CZ$3,Entries!$C62:$K62,1,FALSE))),"x",IF(NOT(ISERROR(HLOOKUP(Standings!CZ$3,Entries!$L62:$L62,1,FALSE))),"S",""))</f>
        <v/>
      </c>
      <c r="DA82" t="str">
        <f>IF(NOT(ISERROR(HLOOKUP(Standings!DA$3,Entries!$C62:$K62,1,FALSE))),"x",IF(NOT(ISERROR(HLOOKUP(Standings!DA$3,Entries!$L62:$L62,1,FALSE))),"S",""))</f>
        <v/>
      </c>
      <c r="DB82" t="str">
        <f>IF(NOT(ISERROR(HLOOKUP(Standings!DB$3,Entries!$C62:$K62,1,FALSE))),"x",IF(NOT(ISERROR(HLOOKUP(Standings!DB$3,Entries!$L62:$L62,1,FALSE))),"S",""))</f>
        <v/>
      </c>
    </row>
    <row r="83" spans="1:106" x14ac:dyDescent="0.25">
      <c r="A83" s="18"/>
      <c r="B83">
        <v>27</v>
      </c>
      <c r="C83" t="str">
        <f>Entries!B64</f>
        <v>chrishalverson2</v>
      </c>
      <c r="D83" s="4">
        <f>IF(C83="","",RANK(E83,$E$10:$E$111))</f>
        <v>55</v>
      </c>
      <c r="E83" s="31">
        <f t="shared" si="50"/>
        <v>3</v>
      </c>
      <c r="F83" s="40" t="str">
        <f t="shared" si="49"/>
        <v/>
      </c>
      <c r="G83" s="41" t="str">
        <f t="shared" si="2"/>
        <v/>
      </c>
      <c r="H83" s="41">
        <f t="shared" si="3"/>
        <v>2</v>
      </c>
      <c r="I83" s="42" t="str">
        <f t="shared" si="4"/>
        <v/>
      </c>
      <c r="J83" s="40" t="str">
        <f t="shared" si="5"/>
        <v/>
      </c>
      <c r="K83" s="41" t="str">
        <f t="shared" si="6"/>
        <v/>
      </c>
      <c r="L83" s="41">
        <f t="shared" si="7"/>
        <v>-1.0000100000000001</v>
      </c>
      <c r="M83" s="42" t="str">
        <f t="shared" si="8"/>
        <v/>
      </c>
      <c r="N83" s="43" t="str">
        <f t="shared" si="9"/>
        <v/>
      </c>
      <c r="O83" s="41" t="str">
        <f t="shared" si="10"/>
        <v/>
      </c>
      <c r="P83" s="41" t="str">
        <f t="shared" si="11"/>
        <v/>
      </c>
      <c r="Q83" s="42" t="str">
        <f t="shared" si="12"/>
        <v/>
      </c>
      <c r="R83" s="40" t="str">
        <f t="shared" si="13"/>
        <v/>
      </c>
      <c r="S83" s="41" t="str">
        <f t="shared" si="14"/>
        <v/>
      </c>
      <c r="T83" s="43" t="str">
        <f t="shared" si="15"/>
        <v/>
      </c>
      <c r="U83" s="42" t="str">
        <f t="shared" si="16"/>
        <v/>
      </c>
      <c r="V83" s="40" t="str">
        <f t="shared" si="17"/>
        <v/>
      </c>
      <c r="W83" s="41" t="str">
        <f t="shared" si="18"/>
        <v/>
      </c>
      <c r="X83" s="41" t="str">
        <f t="shared" si="19"/>
        <v/>
      </c>
      <c r="Y83" s="42" t="str">
        <f t="shared" si="20"/>
        <v/>
      </c>
      <c r="Z83" s="40" t="str">
        <f t="shared" si="21"/>
        <v/>
      </c>
      <c r="AA83" s="41">
        <f t="shared" si="22"/>
        <v>1</v>
      </c>
      <c r="AB83" s="41" t="str">
        <f t="shared" si="23"/>
        <v/>
      </c>
      <c r="AC83" s="42" t="str">
        <f t="shared" si="24"/>
        <v/>
      </c>
      <c r="AD83" s="40" t="str">
        <f t="shared" si="25"/>
        <v/>
      </c>
      <c r="AE83" s="41" t="str">
        <f t="shared" si="26"/>
        <v/>
      </c>
      <c r="AF83" s="41" t="str">
        <f t="shared" si="27"/>
        <v/>
      </c>
      <c r="AG83" s="42" t="str">
        <f t="shared" si="28"/>
        <v/>
      </c>
      <c r="AH83" s="40" t="str">
        <f t="shared" si="29"/>
        <v/>
      </c>
      <c r="AI83" s="41" t="str">
        <f t="shared" si="30"/>
        <v/>
      </c>
      <c r="AJ83" s="41" t="str">
        <f t="shared" si="31"/>
        <v/>
      </c>
      <c r="AK83" s="42">
        <f t="shared" si="32"/>
        <v>1</v>
      </c>
      <c r="AL83" s="40" t="str">
        <f t="shared" si="33"/>
        <v/>
      </c>
      <c r="AM83" s="41" t="str">
        <f t="shared" si="34"/>
        <v/>
      </c>
      <c r="AN83" s="41" t="str">
        <f t="shared" si="35"/>
        <v/>
      </c>
      <c r="AO83" s="42" t="str">
        <f t="shared" si="36"/>
        <v/>
      </c>
      <c r="AP83" s="40" t="str">
        <f t="shared" si="37"/>
        <v/>
      </c>
      <c r="AQ83" s="41" t="str">
        <f t="shared" si="38"/>
        <v/>
      </c>
      <c r="AR83" s="41">
        <f t="shared" si="39"/>
        <v>0</v>
      </c>
      <c r="AS83" s="42" t="str">
        <f t="shared" si="40"/>
        <v/>
      </c>
      <c r="AT83" s="40" t="str">
        <f t="shared" si="41"/>
        <v/>
      </c>
      <c r="AU83" s="41" t="str">
        <f t="shared" si="42"/>
        <v/>
      </c>
      <c r="AV83" s="41">
        <f t="shared" si="43"/>
        <v>0</v>
      </c>
      <c r="AW83" s="42" t="str">
        <f t="shared" si="44"/>
        <v/>
      </c>
      <c r="AX83" s="40" t="str">
        <f t="shared" si="45"/>
        <v/>
      </c>
      <c r="AY83" s="41">
        <f t="shared" si="46"/>
        <v>0</v>
      </c>
      <c r="AZ83" s="41" t="str">
        <f t="shared" si="47"/>
        <v/>
      </c>
      <c r="BA83" s="42" t="str">
        <f t="shared" si="48"/>
        <v/>
      </c>
      <c r="BB83" s="37" t="s">
        <v>106</v>
      </c>
      <c r="BC83" s="21"/>
      <c r="BD83" s="21"/>
      <c r="BG83" t="str">
        <f>IF(NOT(ISERROR(HLOOKUP(Standings!BG$3,Entries!$C64:$K64,1,FALSE))),"x",IF(NOT(ISERROR(HLOOKUP(Standings!BG$3,Entries!$L64:$L64,1,FALSE))),"S",""))</f>
        <v/>
      </c>
      <c r="BH83" t="str">
        <f>IF(NOT(ISERROR(HLOOKUP(Standings!BH$3,Entries!$C64:$K64,1,FALSE))),"x",IF(NOT(ISERROR(HLOOKUP(Standings!BH$3,Entries!$L64:$L64,1,FALSE))),"S",""))</f>
        <v/>
      </c>
      <c r="BI83" t="str">
        <f>IF(NOT(ISERROR(HLOOKUP(Standings!BI$3,Entries!$C64:$K64,1,FALSE))),"x",IF(NOT(ISERROR(HLOOKUP(Standings!BI$3,Entries!$L64:$L64,1,FALSE))),"S",""))</f>
        <v>x</v>
      </c>
      <c r="BJ83" t="str">
        <f>IF(NOT(ISERROR(HLOOKUP(Standings!BJ$3,Entries!$C64:$K64,1,FALSE))),"x",IF(NOT(ISERROR(HLOOKUP(Standings!BJ$3,Entries!$L64:$L64,1,FALSE))),"S",""))</f>
        <v/>
      </c>
      <c r="BK83" t="str">
        <f>IF(NOT(ISERROR(HLOOKUP(Standings!BK$3,Entries!$C64:$K64,1,FALSE))),"x",IF(NOT(ISERROR(HLOOKUP(Standings!BK$3,Entries!$L64:$L64,1,FALSE))),"S",""))</f>
        <v/>
      </c>
      <c r="BL83" t="str">
        <f>IF(NOT(ISERROR(HLOOKUP(Standings!BL$3,Entries!$C64:$K64,1,FALSE))),"x",IF(NOT(ISERROR(HLOOKUP(Standings!BL$3,Entries!$L64:$L64,1,FALSE))),"S",""))</f>
        <v/>
      </c>
      <c r="BM83" t="str">
        <f>IF(NOT(ISERROR(HLOOKUP(Standings!BM$3,Entries!$C64:$K64,1,FALSE))),"x",IF(NOT(ISERROR(HLOOKUP(Standings!BM$3,Entries!$L64:$L64,1,FALSE))),"S",""))</f>
        <v>S</v>
      </c>
      <c r="BN83" t="str">
        <f>IF(NOT(ISERROR(HLOOKUP(Standings!BN$3,Entries!$C64:$K64,1,FALSE))),"x",IF(NOT(ISERROR(HLOOKUP(Standings!BN$3,Entries!$L64:$L64,1,FALSE))),"S",""))</f>
        <v/>
      </c>
      <c r="BO83" t="str">
        <f>IF(NOT(ISERROR(HLOOKUP(Standings!BO$3,Entries!$C64:$K64,1,FALSE))),"x",IF(NOT(ISERROR(HLOOKUP(Standings!BO$3,Entries!$L64:$L64,1,FALSE))),"S",""))</f>
        <v/>
      </c>
      <c r="BP83" t="str">
        <f>IF(NOT(ISERROR(HLOOKUP(Standings!BP$3,Entries!$C64:$K64,1,FALSE))),"x",IF(NOT(ISERROR(HLOOKUP(Standings!BP$3,Entries!$L64:$L64,1,FALSE))),"S",""))</f>
        <v/>
      </c>
      <c r="BQ83" t="str">
        <f>IF(NOT(ISERROR(HLOOKUP(Standings!BQ$3,Entries!$C64:$K64,1,FALSE))),"x",IF(NOT(ISERROR(HLOOKUP(Standings!BQ$3,Entries!$L64:$L64,1,FALSE))),"S",""))</f>
        <v/>
      </c>
      <c r="BR83" t="str">
        <f>IF(NOT(ISERROR(HLOOKUP(Standings!BR$3,Entries!$C64:$K64,1,FALSE))),"x",IF(NOT(ISERROR(HLOOKUP(Standings!BR$3,Entries!$L64:$L64,1,FALSE))),"S",""))</f>
        <v/>
      </c>
      <c r="BS83" t="str">
        <f>IF(NOT(ISERROR(HLOOKUP(Standings!BS$3,Entries!$C64:$K64,1,FALSE))),"x",IF(NOT(ISERROR(HLOOKUP(Standings!BS$3,Entries!$L64:$L64,1,FALSE))),"S",""))</f>
        <v/>
      </c>
      <c r="BT83" t="str">
        <f>IF(NOT(ISERROR(HLOOKUP(Standings!BT$3,Entries!$C64:$K64,1,FALSE))),"x",IF(NOT(ISERROR(HLOOKUP(Standings!BT$3,Entries!$L64:$L64,1,FALSE))),"S",""))</f>
        <v/>
      </c>
      <c r="BU83" t="str">
        <f>IF(NOT(ISERROR(HLOOKUP(Standings!BU$3,Entries!$C64:$K64,1,FALSE))),"x",IF(NOT(ISERROR(HLOOKUP(Standings!BU$3,Entries!$L64:$L64,1,FALSE))),"S",""))</f>
        <v/>
      </c>
      <c r="BV83" t="str">
        <f>IF(NOT(ISERROR(HLOOKUP(Standings!BV$3,Entries!$C64:$K64,1,FALSE))),"x",IF(NOT(ISERROR(HLOOKUP(Standings!BV$3,Entries!$L64:$L64,1,FALSE))),"S",""))</f>
        <v/>
      </c>
      <c r="BW83" t="str">
        <f>IF(NOT(ISERROR(HLOOKUP(Standings!BW$3,Entries!$C64:$K64,1,FALSE))),"x",IF(NOT(ISERROR(HLOOKUP(Standings!BW$3,Entries!$L64:$L64,1,FALSE))),"S",""))</f>
        <v/>
      </c>
      <c r="BX83" t="str">
        <f>IF(NOT(ISERROR(HLOOKUP(Standings!BX$3,Entries!$C64:$K64,1,FALSE))),"x",IF(NOT(ISERROR(HLOOKUP(Standings!BX$3,Entries!$L64:$L64,1,FALSE))),"S",""))</f>
        <v/>
      </c>
      <c r="BY83" t="str">
        <f>IF(NOT(ISERROR(HLOOKUP(Standings!BY$3,Entries!$C64:$K64,1,FALSE))),"x",IF(NOT(ISERROR(HLOOKUP(Standings!BY$3,Entries!$L64:$L64,1,FALSE))),"S",""))</f>
        <v/>
      </c>
      <c r="BZ83" t="str">
        <f>IF(NOT(ISERROR(HLOOKUP(Standings!BZ$3,Entries!$C64:$K64,1,FALSE))),"x",IF(NOT(ISERROR(HLOOKUP(Standings!BZ$3,Entries!$L64:$L64,1,FALSE))),"S",""))</f>
        <v/>
      </c>
      <c r="CA83" t="str">
        <f>IF(NOT(ISERROR(HLOOKUP(Standings!CA$3,Entries!$C64:$K64,1,FALSE))),"x",IF(NOT(ISERROR(HLOOKUP(Standings!CA$3,Entries!$L64:$L64,1,FALSE))),"S",""))</f>
        <v/>
      </c>
      <c r="CB83" t="str">
        <f>IF(NOT(ISERROR(HLOOKUP(Standings!CB$3,Entries!$C64:$K64,1,FALSE))),"x",IF(NOT(ISERROR(HLOOKUP(Standings!CB$3,Entries!$L64:$L64,1,FALSE))),"S",""))</f>
        <v>x</v>
      </c>
      <c r="CC83" t="str">
        <f>IF(NOT(ISERROR(HLOOKUP(Standings!CC$3,Entries!$C64:$K64,1,FALSE))),"x",IF(NOT(ISERROR(HLOOKUP(Standings!CC$3,Entries!$L64:$L64,1,FALSE))),"S",""))</f>
        <v/>
      </c>
      <c r="CD83" t="str">
        <f>IF(NOT(ISERROR(HLOOKUP(Standings!CD$3,Entries!$C64:$K64,1,FALSE))),"x",IF(NOT(ISERROR(HLOOKUP(Standings!CD$3,Entries!$L64:$L64,1,FALSE))),"S",""))</f>
        <v/>
      </c>
      <c r="CE83" t="str">
        <f>IF(NOT(ISERROR(HLOOKUP(Standings!CE$3,Entries!$C64:$K64,1,FALSE))),"x",IF(NOT(ISERROR(HLOOKUP(Standings!CE$3,Entries!$L64:$L64,1,FALSE))),"S",""))</f>
        <v/>
      </c>
      <c r="CF83" t="str">
        <f>IF(NOT(ISERROR(HLOOKUP(Standings!CF$3,Entries!$C64:$K64,1,FALSE))),"x",IF(NOT(ISERROR(HLOOKUP(Standings!CF$3,Entries!$L64:$L64,1,FALSE))),"S",""))</f>
        <v/>
      </c>
      <c r="CG83" t="str">
        <f>IF(NOT(ISERROR(HLOOKUP(Standings!CG$3,Entries!$C64:$K64,1,FALSE))),"x",IF(NOT(ISERROR(HLOOKUP(Standings!CG$3,Entries!$L64:$L64,1,FALSE))),"S",""))</f>
        <v/>
      </c>
      <c r="CH83" t="str">
        <f>IF(NOT(ISERROR(HLOOKUP(Standings!CH$3,Entries!$C64:$K64,1,FALSE))),"x",IF(NOT(ISERROR(HLOOKUP(Standings!CH$3,Entries!$L64:$L64,1,FALSE))),"S",""))</f>
        <v/>
      </c>
      <c r="CI83" t="str">
        <f>IF(NOT(ISERROR(HLOOKUP(Standings!CI$3,Entries!$C64:$K64,1,FALSE))),"x",IF(NOT(ISERROR(HLOOKUP(Standings!CI$3,Entries!$L64:$L64,1,FALSE))),"S",""))</f>
        <v/>
      </c>
      <c r="CJ83" t="str">
        <f>IF(NOT(ISERROR(HLOOKUP(Standings!CJ$3,Entries!$C64:$K64,1,FALSE))),"x",IF(NOT(ISERROR(HLOOKUP(Standings!CJ$3,Entries!$L64:$L64,1,FALSE))),"S",""))</f>
        <v/>
      </c>
      <c r="CK83" t="str">
        <f>IF(NOT(ISERROR(HLOOKUP(Standings!CK$3,Entries!$C64:$K64,1,FALSE))),"x",IF(NOT(ISERROR(HLOOKUP(Standings!CK$3,Entries!$L64:$L64,1,FALSE))),"S",""))</f>
        <v/>
      </c>
      <c r="CL83" t="str">
        <f>IF(NOT(ISERROR(HLOOKUP(Standings!CL$3,Entries!$C64:$K64,1,FALSE))),"x",IF(NOT(ISERROR(HLOOKUP(Standings!CL$3,Entries!$L64:$L64,1,FALSE))),"S",""))</f>
        <v>x</v>
      </c>
      <c r="CM83" t="str">
        <f>IF(NOT(ISERROR(HLOOKUP(Standings!CM$3,Entries!$C64:$K64,1,FALSE))),"x",IF(NOT(ISERROR(HLOOKUP(Standings!CM$3,Entries!$L64:$L64,1,FALSE))),"S",""))</f>
        <v/>
      </c>
      <c r="CN83" t="str">
        <f>IF(NOT(ISERROR(HLOOKUP(Standings!CN$3,Entries!$C64:$K64,1,FALSE))),"x",IF(NOT(ISERROR(HLOOKUP(Standings!CN$3,Entries!$L64:$L64,1,FALSE))),"S",""))</f>
        <v/>
      </c>
      <c r="CO83" t="str">
        <f>IF(NOT(ISERROR(HLOOKUP(Standings!CO$3,Entries!$C64:$K64,1,FALSE))),"x",IF(NOT(ISERROR(HLOOKUP(Standings!CO$3,Entries!$L64:$L64,1,FALSE))),"S",""))</f>
        <v/>
      </c>
      <c r="CP83" t="str">
        <f>IF(NOT(ISERROR(HLOOKUP(Standings!CP$3,Entries!$C64:$K64,1,FALSE))),"x",IF(NOT(ISERROR(HLOOKUP(Standings!CP$3,Entries!$L64:$L64,1,FALSE))),"S",""))</f>
        <v/>
      </c>
      <c r="CQ83" t="str">
        <f>IF(NOT(ISERROR(HLOOKUP(Standings!CQ$3,Entries!$C64:$K64,1,FALSE))),"x",IF(NOT(ISERROR(HLOOKUP(Standings!CQ$3,Entries!$L64:$L64,1,FALSE))),"S",""))</f>
        <v/>
      </c>
      <c r="CR83" t="str">
        <f>IF(NOT(ISERROR(HLOOKUP(Standings!CR$3,Entries!$C64:$K64,1,FALSE))),"x",IF(NOT(ISERROR(HLOOKUP(Standings!CR$3,Entries!$L64:$L64,1,FALSE))),"S",""))</f>
        <v/>
      </c>
      <c r="CS83" t="str">
        <f>IF(NOT(ISERROR(HLOOKUP(Standings!CS$3,Entries!$C64:$K64,1,FALSE))),"x",IF(NOT(ISERROR(HLOOKUP(Standings!CS$3,Entries!$L64:$L64,1,FALSE))),"S",""))</f>
        <v>x</v>
      </c>
      <c r="CT83" t="str">
        <f>IF(NOT(ISERROR(HLOOKUP(Standings!CT$3,Entries!$C64:$K64,1,FALSE))),"x",IF(NOT(ISERROR(HLOOKUP(Standings!CT$3,Entries!$L64:$L64,1,FALSE))),"S",""))</f>
        <v/>
      </c>
      <c r="CU83" t="str">
        <f>IF(NOT(ISERROR(HLOOKUP(Standings!CU$3,Entries!$C64:$K64,1,FALSE))),"x",IF(NOT(ISERROR(HLOOKUP(Standings!CU$3,Entries!$L64:$L64,1,FALSE))),"S",""))</f>
        <v/>
      </c>
      <c r="CV83" t="str">
        <f>IF(NOT(ISERROR(HLOOKUP(Standings!CV$3,Entries!$C64:$K64,1,FALSE))),"x",IF(NOT(ISERROR(HLOOKUP(Standings!CV$3,Entries!$L64:$L64,1,FALSE))),"S",""))</f>
        <v/>
      </c>
      <c r="CW83" t="str">
        <f>IF(NOT(ISERROR(HLOOKUP(Standings!CW$3,Entries!$C64:$K64,1,FALSE))),"x",IF(NOT(ISERROR(HLOOKUP(Standings!CW$3,Entries!$L64:$L64,1,FALSE))),"S",""))</f>
        <v>x</v>
      </c>
      <c r="CX83" t="str">
        <f>IF(NOT(ISERROR(HLOOKUP(Standings!CX$3,Entries!$C64:$K64,1,FALSE))),"x",IF(NOT(ISERROR(HLOOKUP(Standings!CX$3,Entries!$L64:$L64,1,FALSE))),"S",""))</f>
        <v/>
      </c>
      <c r="CY83" t="str">
        <f>IF(NOT(ISERROR(HLOOKUP(Standings!CY$3,Entries!$C64:$K64,1,FALSE))),"x",IF(NOT(ISERROR(HLOOKUP(Standings!CY$3,Entries!$L64:$L64,1,FALSE))),"S",""))</f>
        <v/>
      </c>
      <c r="CZ83" t="str">
        <f>IF(NOT(ISERROR(HLOOKUP(Standings!CZ$3,Entries!$C64:$K64,1,FALSE))),"x",IF(NOT(ISERROR(HLOOKUP(Standings!CZ$3,Entries!$L64:$L64,1,FALSE))),"S",""))</f>
        <v>x</v>
      </c>
      <c r="DA83" t="str">
        <f>IF(NOT(ISERROR(HLOOKUP(Standings!DA$3,Entries!$C64:$K64,1,FALSE))),"x",IF(NOT(ISERROR(HLOOKUP(Standings!DA$3,Entries!$L64:$L64,1,FALSE))),"S",""))</f>
        <v/>
      </c>
      <c r="DB83" t="str">
        <f>IF(NOT(ISERROR(HLOOKUP(Standings!DB$3,Entries!$C64:$K64,1,FALSE))),"x",IF(NOT(ISERROR(HLOOKUP(Standings!DB$3,Entries!$L64:$L64,1,FALSE))),"S",""))</f>
        <v/>
      </c>
    </row>
    <row r="84" spans="1:106" x14ac:dyDescent="0.25">
      <c r="A84" s="18"/>
      <c r="B84">
        <v>24</v>
      </c>
      <c r="C84" t="str">
        <f>Entries!B66</f>
        <v>JonHendrickson</v>
      </c>
      <c r="D84" s="4">
        <f>IF(C84="","",RANK(E84,$E$10:$E$111))</f>
        <v>55</v>
      </c>
      <c r="E84" s="31">
        <f t="shared" ref="E84:E89" si="51">IF(C84="","",ROUND(SUM(F84:AK84),0))</f>
        <v>3</v>
      </c>
      <c r="F84" s="40" t="str">
        <f t="shared" si="49"/>
        <v/>
      </c>
      <c r="G84" s="41" t="str">
        <f t="shared" ref="G84:G89" si="52">IF(BH84="","",IF(BH84="x",G$6,0)+IF(BH84="S",-G$6-0.00001,0))</f>
        <v/>
      </c>
      <c r="H84" s="41" t="str">
        <f t="shared" ref="H84:H89" si="53">IF(BI84="","",IF(BI84="x",H$6,0)+IF(BI84="S",-H$6-0.00001,0))</f>
        <v/>
      </c>
      <c r="I84" s="42" t="str">
        <f t="shared" ref="I84:I89" si="54">IF(BJ84="","",IF(BJ84="x",I$6,0)+IF(BJ84="S",-I$6-0.00001,0))</f>
        <v/>
      </c>
      <c r="J84" s="40" t="str">
        <f t="shared" ref="J84:J89" si="55">IF(BK84="","",IF(BK84="x",J$6,0)+IF(BK84="S",-J$6-0.00001,0))</f>
        <v/>
      </c>
      <c r="K84" s="41" t="str">
        <f t="shared" ref="K84:K89" si="56">IF(BL84="","",IF(BL84="x",K$6,0)+IF(BL84="S",-K$6-0.00001,0))</f>
        <v/>
      </c>
      <c r="L84" s="41">
        <f t="shared" ref="L84:L89" si="57">IF(BM84="","",IF(BM84="x",L$6,0)+IF(BM84="S",-L$6-0.00001,0))</f>
        <v>1</v>
      </c>
      <c r="M84" s="42" t="str">
        <f t="shared" ref="M84:M89" si="58">IF(BN84="","",IF(BN84="x",M$6,0)+IF(BN84="S",-M$6-0.00001,0))</f>
        <v/>
      </c>
      <c r="N84" s="43" t="str">
        <f t="shared" ref="N84:N89" si="59">IF(BO84="","",IF(BO84="x",N$6,0)+IF(BO84="S",-N$6-0.00001,0))</f>
        <v/>
      </c>
      <c r="O84" s="41">
        <f t="shared" ref="O84:O89" si="60">IF(BP84="","",IF(BP84="x",O$6,0)+IF(BP84="S",-O$6-0.00001,0))</f>
        <v>1</v>
      </c>
      <c r="P84" s="41" t="str">
        <f t="shared" ref="P84:P89" si="61">IF(BQ84="","",IF(BQ84="x",P$6,0)+IF(BQ84="S",-P$6-0.00001,0))</f>
        <v/>
      </c>
      <c r="Q84" s="42" t="str">
        <f t="shared" ref="Q84:Q89" si="62">IF(BR84="","",IF(BR84="x",Q$6,0)+IF(BR84="S",-Q$6-0.00001,0))</f>
        <v/>
      </c>
      <c r="R84" s="40" t="str">
        <f t="shared" ref="R84:R89" si="63">IF(BS84="","",IF(BS84="x",R$6,0)+IF(BS84="S",-R$6-0.00001,0))</f>
        <v/>
      </c>
      <c r="S84" s="41" t="str">
        <f t="shared" ref="S84:S89" si="64">IF(BT84="","",IF(BT84="x",S$6,0)+IF(BT84="S",-S$6-0.00001,0))</f>
        <v/>
      </c>
      <c r="T84" s="43" t="str">
        <f t="shared" ref="T84:T89" si="65">IF(BU84="","",IF(BU84="x",T$6,0)+IF(BU84="S",-T$6-0.00001,0))</f>
        <v/>
      </c>
      <c r="U84" s="42" t="str">
        <f t="shared" ref="U84:U89" si="66">IF(BV84="","",IF(BV84="x",U$6,0)+IF(BV84="S",-U$6-0.00001,0))</f>
        <v/>
      </c>
      <c r="V84" s="40" t="str">
        <f t="shared" ref="V84:V89" si="67">IF(BW84="","",IF(BW84="x",V$6,0)+IF(BW84="S",-V$6-0.00001,0))</f>
        <v/>
      </c>
      <c r="W84" s="41" t="str">
        <f t="shared" ref="W84:W89" si="68">IF(BX84="","",IF(BX84="x",W$6,0)+IF(BX84="S",-W$6-0.00001,0))</f>
        <v/>
      </c>
      <c r="X84" s="41" t="str">
        <f t="shared" ref="X84:X89" si="69">IF(BY84="","",IF(BY84="x",X$6,0)+IF(BY84="S",-X$6-0.00001,0))</f>
        <v/>
      </c>
      <c r="Y84" s="42" t="str">
        <f t="shared" ref="Y84:Y89" si="70">IF(BZ84="","",IF(BZ84="x",Y$6,0)+IF(BZ84="S",-Y$6-0.00001,0))</f>
        <v/>
      </c>
      <c r="Z84" s="40" t="str">
        <f t="shared" ref="Z84:Z89" si="71">IF(CA84="","",IF(CA84="x",Z$6,0)+IF(CA84="S",-Z$6-0.00001,0))</f>
        <v/>
      </c>
      <c r="AA84" s="41" t="str">
        <f t="shared" ref="AA84:AA89" si="72">IF(CB84="","",IF(CB84="x",AA$6,0)+IF(CB84="S",-AA$6-0.00001,0))</f>
        <v/>
      </c>
      <c r="AB84" s="41" t="str">
        <f t="shared" ref="AB84:AB89" si="73">IF(CC84="","",IF(CC84="x",AB$6,0)+IF(CC84="S",-AB$6-0.00001,0))</f>
        <v/>
      </c>
      <c r="AC84" s="42" t="str">
        <f t="shared" ref="AC84:AC89" si="74">IF(CD84="","",IF(CD84="x",AC$6,0)+IF(CD84="S",-AC$6-0.00001,0))</f>
        <v/>
      </c>
      <c r="AD84" s="40">
        <f t="shared" ref="AD84:AD89" si="75">IF(CE84="","",IF(CE84="x",AD$6,0)+IF(CE84="S",-AD$6-0.00001,0))</f>
        <v>1</v>
      </c>
      <c r="AE84" s="41" t="str">
        <f t="shared" ref="AE84:AE89" si="76">IF(CF84="","",IF(CF84="x",AE$6,0)+IF(CF84="S",-AE$6-0.00001,0))</f>
        <v/>
      </c>
      <c r="AF84" s="41" t="str">
        <f t="shared" ref="AF84:AF89" si="77">IF(CG84="","",IF(CG84="x",AF$6,0)+IF(CG84="S",-AF$6-0.00001,0))</f>
        <v/>
      </c>
      <c r="AG84" s="42" t="str">
        <f t="shared" ref="AG84:AG89" si="78">IF(CH84="","",IF(CH84="x",AG$6,0)+IF(CH84="S",-AG$6-0.00001,0))</f>
        <v/>
      </c>
      <c r="AH84" s="40" t="str">
        <f t="shared" ref="AH84:AH89" si="79">IF(CI84="","",IF(CI84="x",AH$6,0)+IF(CI84="S",-AH$6-0.00001,0))</f>
        <v/>
      </c>
      <c r="AI84" s="41" t="str">
        <f t="shared" ref="AI84:AI89" si="80">IF(CJ84="","",IF(CJ84="x",AI$6,0)+IF(CJ84="S",-AI$6-0.00001,0))</f>
        <v/>
      </c>
      <c r="AJ84" s="41" t="str">
        <f t="shared" ref="AJ84:AJ89" si="81">IF(CK84="","",IF(CK84="x",AJ$6,0)+IF(CK84="S",-AJ$6-0.00001,0))</f>
        <v/>
      </c>
      <c r="AK84" s="42" t="str">
        <f t="shared" ref="AK84:AK89" si="82">IF(CL84="","",IF(CL84="x",AK$6,0)+IF(CL84="S",-AK$6-0.00001,0))</f>
        <v/>
      </c>
      <c r="AL84" s="40">
        <f t="shared" ref="AL84:AL89" si="83">IF(CM84="","",IF(CM84="x",AL$6,0)+IF(CM84="S",-AL$6-0.00001,0))</f>
        <v>0</v>
      </c>
      <c r="AM84" s="41" t="str">
        <f t="shared" ref="AM84:AM89" si="84">IF(CN84="","",IF(CN84="x",AM$6,0)+IF(CN84="S",-AM$6-0.00001,0))</f>
        <v/>
      </c>
      <c r="AN84" s="41">
        <f t="shared" ref="AN84:AN89" si="85">IF(CO84="","",IF(CO84="x",AN$6,0)+IF(CO84="S",-AN$6-0.00001,0))</f>
        <v>0</v>
      </c>
      <c r="AO84" s="42" t="str">
        <f t="shared" ref="AO84:AO89" si="86">IF(CP84="","",IF(CP84="x",AO$6,0)+IF(CP84="S",-AO$6-0.00001,0))</f>
        <v/>
      </c>
      <c r="AP84" s="40" t="str">
        <f t="shared" ref="AP84:AP89" si="87">IF(CQ84="","",IF(CQ84="x",AP$6,0)+IF(CQ84="S",-AP$6-0.00001,0))</f>
        <v/>
      </c>
      <c r="AQ84" s="41" t="str">
        <f t="shared" ref="AQ84:AQ89" si="88">IF(CR84="","",IF(CR84="x",AQ$6,0)+IF(CR84="S",-AQ$6-0.00001,0))</f>
        <v/>
      </c>
      <c r="AR84" s="41" t="str">
        <f t="shared" ref="AR84:AR89" si="89">IF(CS84="","",IF(CS84="x",AR$6,0)+IF(CS84="S",-AR$6-0.00001,0))</f>
        <v/>
      </c>
      <c r="AS84" s="42" t="str">
        <f t="shared" ref="AS84:AS89" si="90">IF(CT84="","",IF(CT84="x",AS$6,0)+IF(CT84="S",-AS$6-0.00001,0))</f>
        <v/>
      </c>
      <c r="AT84" s="40" t="str">
        <f t="shared" ref="AT84:AT89" si="91">IF(CU84="","",IF(CU84="x",AT$6,0)+IF(CU84="S",-AT$6-0.00001,0))</f>
        <v/>
      </c>
      <c r="AU84" s="41" t="str">
        <f t="shared" ref="AU84:AU89" si="92">IF(CV84="","",IF(CV84="x",AU$6,0)+IF(CV84="S",-AU$6-0.00001,0))</f>
        <v/>
      </c>
      <c r="AV84" s="41" t="str">
        <f t="shared" ref="AV84:AV89" si="93">IF(CW84="","",IF(CW84="x",AV$6,0)+IF(CW84="S",-AV$6-0.00001,0))</f>
        <v/>
      </c>
      <c r="AW84" s="42" t="str">
        <f t="shared" ref="AW84:AW89" si="94">IF(CX84="","",IF(CX84="x",AW$6,0)+IF(CX84="S",-AW$6-0.00001,0))</f>
        <v/>
      </c>
      <c r="AX84" s="40">
        <f t="shared" ref="AX84:AX89" si="95">IF(CY84="","",IF(CY84="x",AX$6,0)+IF(CY84="S",-AX$6-0.00001,0))</f>
        <v>-1.0000000000000001E-5</v>
      </c>
      <c r="AY84" s="41" t="str">
        <f t="shared" ref="AY84:AY89" si="96">IF(CZ84="","",IF(CZ84="x",AY$6,0)+IF(CZ84="S",-AY$6-0.00001,0))</f>
        <v/>
      </c>
      <c r="AZ84" s="41" t="str">
        <f t="shared" ref="AZ84:AZ89" si="97">IF(DA84="","",IF(DA84="x",AZ$6,0)+IF(DA84="S",-AZ$6-0.00001,0))</f>
        <v/>
      </c>
      <c r="BA84" s="42" t="str">
        <f t="shared" ref="BA84:BA89" si="98">IF(DB84="","",IF(DB84="x",BA$6,0)+IF(DB84="S",-BA$6-0.00001,0))</f>
        <v/>
      </c>
      <c r="BB84" s="37" t="s">
        <v>106</v>
      </c>
      <c r="BC84" s="21"/>
      <c r="BD84" s="21"/>
      <c r="BG84" t="str">
        <f>IF(NOT(ISERROR(HLOOKUP(Standings!BG$3,Entries!$C66:$K66,1,FALSE))),"x",IF(NOT(ISERROR(HLOOKUP(Standings!BG$3,Entries!$L66:$L66,1,FALSE))),"S",""))</f>
        <v/>
      </c>
      <c r="BH84" t="str">
        <f>IF(NOT(ISERROR(HLOOKUP(Standings!BH$3,Entries!$C66:$K66,1,FALSE))),"x",IF(NOT(ISERROR(HLOOKUP(Standings!BH$3,Entries!$L66:$L66,1,FALSE))),"S",""))</f>
        <v/>
      </c>
      <c r="BI84" t="str">
        <f>IF(NOT(ISERROR(HLOOKUP(Standings!BI$3,Entries!$C66:$K66,1,FALSE))),"x",IF(NOT(ISERROR(HLOOKUP(Standings!BI$3,Entries!$L66:$L66,1,FALSE))),"S",""))</f>
        <v/>
      </c>
      <c r="BJ84" t="str">
        <f>IF(NOT(ISERROR(HLOOKUP(Standings!BJ$3,Entries!$C66:$K66,1,FALSE))),"x",IF(NOT(ISERROR(HLOOKUP(Standings!BJ$3,Entries!$L66:$L66,1,FALSE))),"S",""))</f>
        <v/>
      </c>
      <c r="BK84" t="str">
        <f>IF(NOT(ISERROR(HLOOKUP(Standings!BK$3,Entries!$C66:$K66,1,FALSE))),"x",IF(NOT(ISERROR(HLOOKUP(Standings!BK$3,Entries!$L66:$L66,1,FALSE))),"S",""))</f>
        <v/>
      </c>
      <c r="BL84" t="str">
        <f>IF(NOT(ISERROR(HLOOKUP(Standings!BL$3,Entries!$C66:$K66,1,FALSE))),"x",IF(NOT(ISERROR(HLOOKUP(Standings!BL$3,Entries!$L66:$L66,1,FALSE))),"S",""))</f>
        <v/>
      </c>
      <c r="BM84" t="str">
        <f>IF(NOT(ISERROR(HLOOKUP(Standings!BM$3,Entries!$C66:$K66,1,FALSE))),"x",IF(NOT(ISERROR(HLOOKUP(Standings!BM$3,Entries!$L66:$L66,1,FALSE))),"S",""))</f>
        <v>x</v>
      </c>
      <c r="BN84" t="str">
        <f>IF(NOT(ISERROR(HLOOKUP(Standings!BN$3,Entries!$C66:$K66,1,FALSE))),"x",IF(NOT(ISERROR(HLOOKUP(Standings!BN$3,Entries!$L66:$L66,1,FALSE))),"S",""))</f>
        <v/>
      </c>
      <c r="BO84" t="str">
        <f>IF(NOT(ISERROR(HLOOKUP(Standings!BO$3,Entries!$C66:$K66,1,FALSE))),"x",IF(NOT(ISERROR(HLOOKUP(Standings!BO$3,Entries!$L66:$L66,1,FALSE))),"S",""))</f>
        <v/>
      </c>
      <c r="BP84" t="str">
        <f>IF(NOT(ISERROR(HLOOKUP(Standings!BP$3,Entries!$C66:$K66,1,FALSE))),"x",IF(NOT(ISERROR(HLOOKUP(Standings!BP$3,Entries!$L66:$L66,1,FALSE))),"S",""))</f>
        <v>x</v>
      </c>
      <c r="BQ84" t="str">
        <f>IF(NOT(ISERROR(HLOOKUP(Standings!BQ$3,Entries!$C66:$K66,1,FALSE))),"x",IF(NOT(ISERROR(HLOOKUP(Standings!BQ$3,Entries!$L66:$L66,1,FALSE))),"S",""))</f>
        <v/>
      </c>
      <c r="BR84" t="str">
        <f>IF(NOT(ISERROR(HLOOKUP(Standings!BR$3,Entries!$C66:$K66,1,FALSE))),"x",IF(NOT(ISERROR(HLOOKUP(Standings!BR$3,Entries!$L66:$L66,1,FALSE))),"S",""))</f>
        <v/>
      </c>
      <c r="BS84" t="str">
        <f>IF(NOT(ISERROR(HLOOKUP(Standings!BS$3,Entries!$C66:$K66,1,FALSE))),"x",IF(NOT(ISERROR(HLOOKUP(Standings!BS$3,Entries!$L66:$L66,1,FALSE))),"S",""))</f>
        <v/>
      </c>
      <c r="BT84" t="str">
        <f>IF(NOT(ISERROR(HLOOKUP(Standings!BT$3,Entries!$C66:$K66,1,FALSE))),"x",IF(NOT(ISERROR(HLOOKUP(Standings!BT$3,Entries!$L66:$L66,1,FALSE))),"S",""))</f>
        <v/>
      </c>
      <c r="BU84" t="str">
        <f>IF(NOT(ISERROR(HLOOKUP(Standings!BU$3,Entries!$C66:$K66,1,FALSE))),"x",IF(NOT(ISERROR(HLOOKUP(Standings!BU$3,Entries!$L66:$L66,1,FALSE))),"S",""))</f>
        <v/>
      </c>
      <c r="BV84" t="str">
        <f>IF(NOT(ISERROR(HLOOKUP(Standings!BV$3,Entries!$C66:$K66,1,FALSE))),"x",IF(NOT(ISERROR(HLOOKUP(Standings!BV$3,Entries!$L66:$L66,1,FALSE))),"S",""))</f>
        <v/>
      </c>
      <c r="BW84" t="str">
        <f>IF(NOT(ISERROR(HLOOKUP(Standings!BW$3,Entries!$C66:$K66,1,FALSE))),"x",IF(NOT(ISERROR(HLOOKUP(Standings!BW$3,Entries!$L66:$L66,1,FALSE))),"S",""))</f>
        <v/>
      </c>
      <c r="BX84" t="str">
        <f>IF(NOT(ISERROR(HLOOKUP(Standings!BX$3,Entries!$C66:$K66,1,FALSE))),"x",IF(NOT(ISERROR(HLOOKUP(Standings!BX$3,Entries!$L66:$L66,1,FALSE))),"S",""))</f>
        <v/>
      </c>
      <c r="BY84" t="str">
        <f>IF(NOT(ISERROR(HLOOKUP(Standings!BY$3,Entries!$C66:$K66,1,FALSE))),"x",IF(NOT(ISERROR(HLOOKUP(Standings!BY$3,Entries!$L66:$L66,1,FALSE))),"S",""))</f>
        <v/>
      </c>
      <c r="BZ84" t="str">
        <f>IF(NOT(ISERROR(HLOOKUP(Standings!BZ$3,Entries!$C66:$K66,1,FALSE))),"x",IF(NOT(ISERROR(HLOOKUP(Standings!BZ$3,Entries!$L66:$L66,1,FALSE))),"S",""))</f>
        <v/>
      </c>
      <c r="CA84" t="str">
        <f>IF(NOT(ISERROR(HLOOKUP(Standings!CA$3,Entries!$C66:$K66,1,FALSE))),"x",IF(NOT(ISERROR(HLOOKUP(Standings!CA$3,Entries!$L66:$L66,1,FALSE))),"S",""))</f>
        <v/>
      </c>
      <c r="CB84" t="str">
        <f>IF(NOT(ISERROR(HLOOKUP(Standings!CB$3,Entries!$C66:$K66,1,FALSE))),"x",IF(NOT(ISERROR(HLOOKUP(Standings!CB$3,Entries!$L66:$L66,1,FALSE))),"S",""))</f>
        <v/>
      </c>
      <c r="CC84" t="str">
        <f>IF(NOT(ISERROR(HLOOKUP(Standings!CC$3,Entries!$C66:$K66,1,FALSE))),"x",IF(NOT(ISERROR(HLOOKUP(Standings!CC$3,Entries!$L66:$L66,1,FALSE))),"S",""))</f>
        <v/>
      </c>
      <c r="CD84" t="str">
        <f>IF(NOT(ISERROR(HLOOKUP(Standings!CD$3,Entries!$C66:$K66,1,FALSE))),"x",IF(NOT(ISERROR(HLOOKUP(Standings!CD$3,Entries!$L66:$L66,1,FALSE))),"S",""))</f>
        <v/>
      </c>
      <c r="CE84" t="str">
        <f>IF(NOT(ISERROR(HLOOKUP(Standings!CE$3,Entries!$C66:$K66,1,FALSE))),"x",IF(NOT(ISERROR(HLOOKUP(Standings!CE$3,Entries!$L66:$L66,1,FALSE))),"S",""))</f>
        <v>x</v>
      </c>
      <c r="CF84" t="str">
        <f>IF(NOT(ISERROR(HLOOKUP(Standings!CF$3,Entries!$C66:$K66,1,FALSE))),"x",IF(NOT(ISERROR(HLOOKUP(Standings!CF$3,Entries!$L66:$L66,1,FALSE))),"S",""))</f>
        <v/>
      </c>
      <c r="CG84" t="str">
        <f>IF(NOT(ISERROR(HLOOKUP(Standings!CG$3,Entries!$C66:$K66,1,FALSE))),"x",IF(NOT(ISERROR(HLOOKUP(Standings!CG$3,Entries!$L66:$L66,1,FALSE))),"S",""))</f>
        <v/>
      </c>
      <c r="CH84" t="str">
        <f>IF(NOT(ISERROR(HLOOKUP(Standings!CH$3,Entries!$C66:$K66,1,FALSE))),"x",IF(NOT(ISERROR(HLOOKUP(Standings!CH$3,Entries!$L66:$L66,1,FALSE))),"S",""))</f>
        <v/>
      </c>
      <c r="CI84" t="str">
        <f>IF(NOT(ISERROR(HLOOKUP(Standings!CI$3,Entries!$C66:$K66,1,FALSE))),"x",IF(NOT(ISERROR(HLOOKUP(Standings!CI$3,Entries!$L66:$L66,1,FALSE))),"S",""))</f>
        <v/>
      </c>
      <c r="CJ84" t="str">
        <f>IF(NOT(ISERROR(HLOOKUP(Standings!CJ$3,Entries!$C66:$K66,1,FALSE))),"x",IF(NOT(ISERROR(HLOOKUP(Standings!CJ$3,Entries!$L66:$L66,1,FALSE))),"S",""))</f>
        <v/>
      </c>
      <c r="CK84" t="str">
        <f>IF(NOT(ISERROR(HLOOKUP(Standings!CK$3,Entries!$C66:$K66,1,FALSE))),"x",IF(NOT(ISERROR(HLOOKUP(Standings!CK$3,Entries!$L66:$L66,1,FALSE))),"S",""))</f>
        <v/>
      </c>
      <c r="CL84" t="str">
        <f>IF(NOT(ISERROR(HLOOKUP(Standings!CL$3,Entries!$C66:$K66,1,FALSE))),"x",IF(NOT(ISERROR(HLOOKUP(Standings!CL$3,Entries!$L66:$L66,1,FALSE))),"S",""))</f>
        <v/>
      </c>
      <c r="CM84" t="str">
        <f>IF(NOT(ISERROR(HLOOKUP(Standings!CM$3,Entries!$C66:$K66,1,FALSE))),"x",IF(NOT(ISERROR(HLOOKUP(Standings!CM$3,Entries!$L66:$L66,1,FALSE))),"S",""))</f>
        <v>x</v>
      </c>
      <c r="CN84" t="str">
        <f>IF(NOT(ISERROR(HLOOKUP(Standings!CN$3,Entries!$C66:$K66,1,FALSE))),"x",IF(NOT(ISERROR(HLOOKUP(Standings!CN$3,Entries!$L66:$L66,1,FALSE))),"S",""))</f>
        <v/>
      </c>
      <c r="CO84" t="str">
        <f>IF(NOT(ISERROR(HLOOKUP(Standings!CO$3,Entries!$C66:$K66,1,FALSE))),"x",IF(NOT(ISERROR(HLOOKUP(Standings!CO$3,Entries!$L66:$L66,1,FALSE))),"S",""))</f>
        <v>x</v>
      </c>
      <c r="CP84" t="str">
        <f>IF(NOT(ISERROR(HLOOKUP(Standings!CP$3,Entries!$C66:$K66,1,FALSE))),"x",IF(NOT(ISERROR(HLOOKUP(Standings!CP$3,Entries!$L66:$L66,1,FALSE))),"S",""))</f>
        <v/>
      </c>
      <c r="CQ84" t="str">
        <f>IF(NOT(ISERROR(HLOOKUP(Standings!CQ$3,Entries!$C66:$K66,1,FALSE))),"x",IF(NOT(ISERROR(HLOOKUP(Standings!CQ$3,Entries!$L66:$L66,1,FALSE))),"S",""))</f>
        <v/>
      </c>
      <c r="CR84" t="str">
        <f>IF(NOT(ISERROR(HLOOKUP(Standings!CR$3,Entries!$C66:$K66,1,FALSE))),"x",IF(NOT(ISERROR(HLOOKUP(Standings!CR$3,Entries!$L66:$L66,1,FALSE))),"S",""))</f>
        <v/>
      </c>
      <c r="CS84" t="str">
        <f>IF(NOT(ISERROR(HLOOKUP(Standings!CS$3,Entries!$C66:$K66,1,FALSE))),"x",IF(NOT(ISERROR(HLOOKUP(Standings!CS$3,Entries!$L66:$L66,1,FALSE))),"S",""))</f>
        <v/>
      </c>
      <c r="CT84" t="str">
        <f>IF(NOT(ISERROR(HLOOKUP(Standings!CT$3,Entries!$C66:$K66,1,FALSE))),"x",IF(NOT(ISERROR(HLOOKUP(Standings!CT$3,Entries!$L66:$L66,1,FALSE))),"S",""))</f>
        <v/>
      </c>
      <c r="CU84" t="str">
        <f>IF(NOT(ISERROR(HLOOKUP(Standings!CU$3,Entries!$C66:$K66,1,FALSE))),"x",IF(NOT(ISERROR(HLOOKUP(Standings!CU$3,Entries!$L66:$L66,1,FALSE))),"S",""))</f>
        <v/>
      </c>
      <c r="CV84" t="str">
        <f>IF(NOT(ISERROR(HLOOKUP(Standings!CV$3,Entries!$C66:$K66,1,FALSE))),"x",IF(NOT(ISERROR(HLOOKUP(Standings!CV$3,Entries!$L66:$L66,1,FALSE))),"S",""))</f>
        <v/>
      </c>
      <c r="CW84" t="str">
        <f>IF(NOT(ISERROR(HLOOKUP(Standings!CW$3,Entries!$C66:$K66,1,FALSE))),"x",IF(NOT(ISERROR(HLOOKUP(Standings!CW$3,Entries!$L66:$L66,1,FALSE))),"S",""))</f>
        <v/>
      </c>
      <c r="CX84" t="str">
        <f>IF(NOT(ISERROR(HLOOKUP(Standings!CX$3,Entries!$C66:$K66,1,FALSE))),"x",IF(NOT(ISERROR(HLOOKUP(Standings!CX$3,Entries!$L66:$L66,1,FALSE))),"S",""))</f>
        <v/>
      </c>
      <c r="CY84" t="str">
        <f>IF(NOT(ISERROR(HLOOKUP(Standings!CY$3,Entries!$C66:$K66,1,FALSE))),"x",IF(NOT(ISERROR(HLOOKUP(Standings!CY$3,Entries!$L66:$L66,1,FALSE))),"S",""))</f>
        <v>S</v>
      </c>
      <c r="CZ84" t="str">
        <f>IF(NOT(ISERROR(HLOOKUP(Standings!CZ$3,Entries!$C66:$K66,1,FALSE))),"x",IF(NOT(ISERROR(HLOOKUP(Standings!CZ$3,Entries!$L66:$L66,1,FALSE))),"S",""))</f>
        <v/>
      </c>
      <c r="DA84" t="str">
        <f>IF(NOT(ISERROR(HLOOKUP(Standings!DA$3,Entries!$C66:$K66,1,FALSE))),"x",IF(NOT(ISERROR(HLOOKUP(Standings!DA$3,Entries!$L66:$L66,1,FALSE))),"S",""))</f>
        <v/>
      </c>
      <c r="DB84" t="str">
        <f>IF(NOT(ISERROR(HLOOKUP(Standings!DB$3,Entries!$C66:$K66,1,FALSE))),"x",IF(NOT(ISERROR(HLOOKUP(Standings!DB$3,Entries!$L66:$L66,1,FALSE))),"S",""))</f>
        <v/>
      </c>
    </row>
    <row r="85" spans="1:106" x14ac:dyDescent="0.25">
      <c r="B85">
        <v>70</v>
      </c>
      <c r="C85" t="str">
        <f>Entries!B70</f>
        <v>EColvin2</v>
      </c>
      <c r="D85" s="4">
        <f>IF(C85="","",RANK(E85,$E$10:$E$111))</f>
        <v>32</v>
      </c>
      <c r="E85" s="31">
        <f t="shared" si="51"/>
        <v>4</v>
      </c>
      <c r="F85" s="40" t="str">
        <f t="shared" ref="F85:F89" si="99">IF(BG85="","",IF(BG85="x",F$6,0)+IF(BG85="S",-F$6-0.00001,0))</f>
        <v/>
      </c>
      <c r="G85" s="41" t="str">
        <f t="shared" si="52"/>
        <v/>
      </c>
      <c r="H85" s="41">
        <f t="shared" si="53"/>
        <v>2</v>
      </c>
      <c r="I85" s="42" t="str">
        <f t="shared" si="54"/>
        <v/>
      </c>
      <c r="J85" s="40" t="str">
        <f t="shared" si="55"/>
        <v/>
      </c>
      <c r="K85" s="41" t="str">
        <f t="shared" si="56"/>
        <v/>
      </c>
      <c r="L85" s="41" t="str">
        <f t="shared" si="57"/>
        <v/>
      </c>
      <c r="M85" s="42" t="str">
        <f t="shared" si="58"/>
        <v/>
      </c>
      <c r="N85" s="43" t="str">
        <f t="shared" si="59"/>
        <v/>
      </c>
      <c r="O85" s="41" t="str">
        <f t="shared" si="60"/>
        <v/>
      </c>
      <c r="P85" s="41" t="str">
        <f t="shared" si="61"/>
        <v/>
      </c>
      <c r="Q85" s="42" t="str">
        <f t="shared" si="62"/>
        <v/>
      </c>
      <c r="R85" s="40" t="str">
        <f t="shared" si="63"/>
        <v/>
      </c>
      <c r="S85" s="41" t="str">
        <f t="shared" si="64"/>
        <v/>
      </c>
      <c r="T85" s="43" t="str">
        <f t="shared" si="65"/>
        <v/>
      </c>
      <c r="U85" s="42" t="str">
        <f t="shared" si="66"/>
        <v/>
      </c>
      <c r="V85" s="40" t="str">
        <f t="shared" si="67"/>
        <v/>
      </c>
      <c r="W85" s="41" t="str">
        <f t="shared" si="68"/>
        <v/>
      </c>
      <c r="X85" s="41" t="str">
        <f t="shared" si="69"/>
        <v/>
      </c>
      <c r="Y85" s="42">
        <f t="shared" si="70"/>
        <v>0</v>
      </c>
      <c r="Z85" s="40">
        <f t="shared" si="71"/>
        <v>1</v>
      </c>
      <c r="AA85" s="41" t="str">
        <f t="shared" si="72"/>
        <v/>
      </c>
      <c r="AB85" s="41" t="str">
        <f t="shared" si="73"/>
        <v/>
      </c>
      <c r="AC85" s="42" t="str">
        <f t="shared" si="74"/>
        <v/>
      </c>
      <c r="AD85" s="40">
        <f t="shared" si="75"/>
        <v>1</v>
      </c>
      <c r="AE85" s="41" t="str">
        <f t="shared" si="76"/>
        <v/>
      </c>
      <c r="AF85" s="41" t="str">
        <f t="shared" si="77"/>
        <v/>
      </c>
      <c r="AG85" s="42" t="str">
        <f t="shared" si="78"/>
        <v/>
      </c>
      <c r="AH85" s="40" t="str">
        <f t="shared" si="79"/>
        <v/>
      </c>
      <c r="AI85" s="41" t="str">
        <f t="shared" si="80"/>
        <v/>
      </c>
      <c r="AJ85" s="41" t="str">
        <f t="shared" si="81"/>
        <v/>
      </c>
      <c r="AK85" s="42" t="str">
        <f t="shared" si="82"/>
        <v/>
      </c>
      <c r="AL85" s="40">
        <f t="shared" si="83"/>
        <v>-1.0000000000000001E-5</v>
      </c>
      <c r="AM85" s="41" t="str">
        <f t="shared" si="84"/>
        <v/>
      </c>
      <c r="AN85" s="41" t="str">
        <f t="shared" si="85"/>
        <v/>
      </c>
      <c r="AO85" s="42" t="str">
        <f t="shared" si="86"/>
        <v/>
      </c>
      <c r="AP85" s="40" t="str">
        <f t="shared" si="87"/>
        <v/>
      </c>
      <c r="AQ85" s="41" t="str">
        <f t="shared" si="88"/>
        <v/>
      </c>
      <c r="AR85" s="41" t="str">
        <f t="shared" si="89"/>
        <v/>
      </c>
      <c r="AS85" s="42" t="str">
        <f t="shared" si="90"/>
        <v/>
      </c>
      <c r="AT85" s="40">
        <f t="shared" si="91"/>
        <v>0</v>
      </c>
      <c r="AU85" s="41" t="str">
        <f t="shared" si="92"/>
        <v/>
      </c>
      <c r="AV85" s="41" t="str">
        <f t="shared" si="93"/>
        <v/>
      </c>
      <c r="AW85" s="42" t="str">
        <f t="shared" si="94"/>
        <v/>
      </c>
      <c r="AX85" s="40" t="str">
        <f t="shared" si="95"/>
        <v/>
      </c>
      <c r="AY85" s="41">
        <f t="shared" si="96"/>
        <v>0</v>
      </c>
      <c r="AZ85" s="41" t="str">
        <f t="shared" si="97"/>
        <v/>
      </c>
      <c r="BA85" s="42" t="str">
        <f t="shared" si="98"/>
        <v/>
      </c>
      <c r="BB85" s="37" t="s">
        <v>106</v>
      </c>
      <c r="BC85" s="21"/>
      <c r="BD85" s="21"/>
      <c r="BG85" t="str">
        <f>IF(NOT(ISERROR(HLOOKUP(Standings!BG$3,Entries!$C70:$K70,1,FALSE))),"x",IF(NOT(ISERROR(HLOOKUP(Standings!BG$3,Entries!$L70:$L70,1,FALSE))),"S",""))</f>
        <v/>
      </c>
      <c r="BH85" t="str">
        <f>IF(NOT(ISERROR(HLOOKUP(Standings!BH$3,Entries!$C70:$K70,1,FALSE))),"x",IF(NOT(ISERROR(HLOOKUP(Standings!BH$3,Entries!$L70:$L70,1,FALSE))),"S",""))</f>
        <v/>
      </c>
      <c r="BI85" t="str">
        <f>IF(NOT(ISERROR(HLOOKUP(Standings!BI$3,Entries!$C70:$K70,1,FALSE))),"x",IF(NOT(ISERROR(HLOOKUP(Standings!BI$3,Entries!$L70:$L70,1,FALSE))),"S",""))</f>
        <v>x</v>
      </c>
      <c r="BJ85" t="str">
        <f>IF(NOT(ISERROR(HLOOKUP(Standings!BJ$3,Entries!$C70:$K70,1,FALSE))),"x",IF(NOT(ISERROR(HLOOKUP(Standings!BJ$3,Entries!$L70:$L70,1,FALSE))),"S",""))</f>
        <v/>
      </c>
      <c r="BK85" t="str">
        <f>IF(NOT(ISERROR(HLOOKUP(Standings!BK$3,Entries!$C70:$K70,1,FALSE))),"x",IF(NOT(ISERROR(HLOOKUP(Standings!BK$3,Entries!$L70:$L70,1,FALSE))),"S",""))</f>
        <v/>
      </c>
      <c r="BL85" t="str">
        <f>IF(NOT(ISERROR(HLOOKUP(Standings!BL$3,Entries!$C70:$K70,1,FALSE))),"x",IF(NOT(ISERROR(HLOOKUP(Standings!BL$3,Entries!$L70:$L70,1,FALSE))),"S",""))</f>
        <v/>
      </c>
      <c r="BM85" t="str">
        <f>IF(NOT(ISERROR(HLOOKUP(Standings!BM$3,Entries!$C70:$K70,1,FALSE))),"x",IF(NOT(ISERROR(HLOOKUP(Standings!BM$3,Entries!$L70:$L70,1,FALSE))),"S",""))</f>
        <v/>
      </c>
      <c r="BN85" t="str">
        <f>IF(NOT(ISERROR(HLOOKUP(Standings!BN$3,Entries!$C70:$K70,1,FALSE))),"x",IF(NOT(ISERROR(HLOOKUP(Standings!BN$3,Entries!$L70:$L70,1,FALSE))),"S",""))</f>
        <v/>
      </c>
      <c r="BO85" t="str">
        <f>IF(NOT(ISERROR(HLOOKUP(Standings!BO$3,Entries!$C70:$K70,1,FALSE))),"x",IF(NOT(ISERROR(HLOOKUP(Standings!BO$3,Entries!$L70:$L70,1,FALSE))),"S",""))</f>
        <v/>
      </c>
      <c r="BP85" t="str">
        <f>IF(NOT(ISERROR(HLOOKUP(Standings!BP$3,Entries!$C70:$K70,1,FALSE))),"x",IF(NOT(ISERROR(HLOOKUP(Standings!BP$3,Entries!$L70:$L70,1,FALSE))),"S",""))</f>
        <v/>
      </c>
      <c r="BQ85" t="str">
        <f>IF(NOT(ISERROR(HLOOKUP(Standings!BQ$3,Entries!$C70:$K70,1,FALSE))),"x",IF(NOT(ISERROR(HLOOKUP(Standings!BQ$3,Entries!$L70:$L70,1,FALSE))),"S",""))</f>
        <v/>
      </c>
      <c r="BR85" t="str">
        <f>IF(NOT(ISERROR(HLOOKUP(Standings!BR$3,Entries!$C70:$K70,1,FALSE))),"x",IF(NOT(ISERROR(HLOOKUP(Standings!BR$3,Entries!$L70:$L70,1,FALSE))),"S",""))</f>
        <v/>
      </c>
      <c r="BS85" t="str">
        <f>IF(NOT(ISERROR(HLOOKUP(Standings!BS$3,Entries!$C70:$K70,1,FALSE))),"x",IF(NOT(ISERROR(HLOOKUP(Standings!BS$3,Entries!$L70:$L70,1,FALSE))),"S",""))</f>
        <v/>
      </c>
      <c r="BT85" t="str">
        <f>IF(NOT(ISERROR(HLOOKUP(Standings!BT$3,Entries!$C70:$K70,1,FALSE))),"x",IF(NOT(ISERROR(HLOOKUP(Standings!BT$3,Entries!$L70:$L70,1,FALSE))),"S",""))</f>
        <v/>
      </c>
      <c r="BU85" t="str">
        <f>IF(NOT(ISERROR(HLOOKUP(Standings!BU$3,Entries!$C70:$K70,1,FALSE))),"x",IF(NOT(ISERROR(HLOOKUP(Standings!BU$3,Entries!$L70:$L70,1,FALSE))),"S",""))</f>
        <v/>
      </c>
      <c r="BV85" t="str">
        <f>IF(NOT(ISERROR(HLOOKUP(Standings!BV$3,Entries!$C70:$K70,1,FALSE))),"x",IF(NOT(ISERROR(HLOOKUP(Standings!BV$3,Entries!$L70:$L70,1,FALSE))),"S",""))</f>
        <v/>
      </c>
      <c r="BW85" t="str">
        <f>IF(NOT(ISERROR(HLOOKUP(Standings!BW$3,Entries!$C70:$K70,1,FALSE))),"x",IF(NOT(ISERROR(HLOOKUP(Standings!BW$3,Entries!$L70:$L70,1,FALSE))),"S",""))</f>
        <v/>
      </c>
      <c r="BX85" t="str">
        <f>IF(NOT(ISERROR(HLOOKUP(Standings!BX$3,Entries!$C70:$K70,1,FALSE))),"x",IF(NOT(ISERROR(HLOOKUP(Standings!BX$3,Entries!$L70:$L70,1,FALSE))),"S",""))</f>
        <v/>
      </c>
      <c r="BY85" t="str">
        <f>IF(NOT(ISERROR(HLOOKUP(Standings!BY$3,Entries!$C70:$K70,1,FALSE))),"x",IF(NOT(ISERROR(HLOOKUP(Standings!BY$3,Entries!$L70:$L70,1,FALSE))),"S",""))</f>
        <v/>
      </c>
      <c r="BZ85" t="str">
        <f>IF(NOT(ISERROR(HLOOKUP(Standings!BZ$3,Entries!$C70:$K70,1,FALSE))),"x",IF(NOT(ISERROR(HLOOKUP(Standings!BZ$3,Entries!$L70:$L70,1,FALSE))),"S",""))</f>
        <v>x</v>
      </c>
      <c r="CA85" t="str">
        <f>IF(NOT(ISERROR(HLOOKUP(Standings!CA$3,Entries!$C70:$K70,1,FALSE))),"x",IF(NOT(ISERROR(HLOOKUP(Standings!CA$3,Entries!$L70:$L70,1,FALSE))),"S",""))</f>
        <v>x</v>
      </c>
      <c r="CB85" t="str">
        <f>IF(NOT(ISERROR(HLOOKUP(Standings!CB$3,Entries!$C70:$K70,1,FALSE))),"x",IF(NOT(ISERROR(HLOOKUP(Standings!CB$3,Entries!$L70:$L70,1,FALSE))),"S",""))</f>
        <v/>
      </c>
      <c r="CC85" t="str">
        <f>IF(NOT(ISERROR(HLOOKUP(Standings!CC$3,Entries!$C70:$K70,1,FALSE))),"x",IF(NOT(ISERROR(HLOOKUP(Standings!CC$3,Entries!$L70:$L70,1,FALSE))),"S",""))</f>
        <v/>
      </c>
      <c r="CD85" t="str">
        <f>IF(NOT(ISERROR(HLOOKUP(Standings!CD$3,Entries!$C70:$K70,1,FALSE))),"x",IF(NOT(ISERROR(HLOOKUP(Standings!CD$3,Entries!$L70:$L70,1,FALSE))),"S",""))</f>
        <v/>
      </c>
      <c r="CE85" t="str">
        <f>IF(NOT(ISERROR(HLOOKUP(Standings!CE$3,Entries!$C70:$K70,1,FALSE))),"x",IF(NOT(ISERROR(HLOOKUP(Standings!CE$3,Entries!$L70:$L70,1,FALSE))),"S",""))</f>
        <v>x</v>
      </c>
      <c r="CF85" t="str">
        <f>IF(NOT(ISERROR(HLOOKUP(Standings!CF$3,Entries!$C70:$K70,1,FALSE))),"x",IF(NOT(ISERROR(HLOOKUP(Standings!CF$3,Entries!$L70:$L70,1,FALSE))),"S",""))</f>
        <v/>
      </c>
      <c r="CG85" t="str">
        <f>IF(NOT(ISERROR(HLOOKUP(Standings!CG$3,Entries!$C70:$K70,1,FALSE))),"x",IF(NOT(ISERROR(HLOOKUP(Standings!CG$3,Entries!$L70:$L70,1,FALSE))),"S",""))</f>
        <v/>
      </c>
      <c r="CH85" t="str">
        <f>IF(NOT(ISERROR(HLOOKUP(Standings!CH$3,Entries!$C70:$K70,1,FALSE))),"x",IF(NOT(ISERROR(HLOOKUP(Standings!CH$3,Entries!$L70:$L70,1,FALSE))),"S",""))</f>
        <v/>
      </c>
      <c r="CI85" t="str">
        <f>IF(NOT(ISERROR(HLOOKUP(Standings!CI$3,Entries!$C70:$K70,1,FALSE))),"x",IF(NOT(ISERROR(HLOOKUP(Standings!CI$3,Entries!$L70:$L70,1,FALSE))),"S",""))</f>
        <v/>
      </c>
      <c r="CJ85" t="str">
        <f>IF(NOT(ISERROR(HLOOKUP(Standings!CJ$3,Entries!$C70:$K70,1,FALSE))),"x",IF(NOT(ISERROR(HLOOKUP(Standings!CJ$3,Entries!$L70:$L70,1,FALSE))),"S",""))</f>
        <v/>
      </c>
      <c r="CK85" t="str">
        <f>IF(NOT(ISERROR(HLOOKUP(Standings!CK$3,Entries!$C70:$K70,1,FALSE))),"x",IF(NOT(ISERROR(HLOOKUP(Standings!CK$3,Entries!$L70:$L70,1,FALSE))),"S",""))</f>
        <v/>
      </c>
      <c r="CL85" t="str">
        <f>IF(NOT(ISERROR(HLOOKUP(Standings!CL$3,Entries!$C70:$K70,1,FALSE))),"x",IF(NOT(ISERROR(HLOOKUP(Standings!CL$3,Entries!$L70:$L70,1,FALSE))),"S",""))</f>
        <v/>
      </c>
      <c r="CM85" t="str">
        <f>IF(NOT(ISERROR(HLOOKUP(Standings!CM$3,Entries!$C70:$K70,1,FALSE))),"x",IF(NOT(ISERROR(HLOOKUP(Standings!CM$3,Entries!$L70:$L70,1,FALSE))),"S",""))</f>
        <v>S</v>
      </c>
      <c r="CN85" t="str">
        <f>IF(NOT(ISERROR(HLOOKUP(Standings!CN$3,Entries!$C70:$K70,1,FALSE))),"x",IF(NOT(ISERROR(HLOOKUP(Standings!CN$3,Entries!$L70:$L70,1,FALSE))),"S",""))</f>
        <v/>
      </c>
      <c r="CO85" t="str">
        <f>IF(NOT(ISERROR(HLOOKUP(Standings!CO$3,Entries!$C70:$K70,1,FALSE))),"x",IF(NOT(ISERROR(HLOOKUP(Standings!CO$3,Entries!$L70:$L70,1,FALSE))),"S",""))</f>
        <v/>
      </c>
      <c r="CP85" t="str">
        <f>IF(NOT(ISERROR(HLOOKUP(Standings!CP$3,Entries!$C70:$K70,1,FALSE))),"x",IF(NOT(ISERROR(HLOOKUP(Standings!CP$3,Entries!$L70:$L70,1,FALSE))),"S",""))</f>
        <v/>
      </c>
      <c r="CQ85" t="str">
        <f>IF(NOT(ISERROR(HLOOKUP(Standings!CQ$3,Entries!$C70:$K70,1,FALSE))),"x",IF(NOT(ISERROR(HLOOKUP(Standings!CQ$3,Entries!$L70:$L70,1,FALSE))),"S",""))</f>
        <v/>
      </c>
      <c r="CR85" t="str">
        <f>IF(NOT(ISERROR(HLOOKUP(Standings!CR$3,Entries!$C70:$K70,1,FALSE))),"x",IF(NOT(ISERROR(HLOOKUP(Standings!CR$3,Entries!$L70:$L70,1,FALSE))),"S",""))</f>
        <v/>
      </c>
      <c r="CS85" t="str">
        <f>IF(NOT(ISERROR(HLOOKUP(Standings!CS$3,Entries!$C70:$K70,1,FALSE))),"x",IF(NOT(ISERROR(HLOOKUP(Standings!CS$3,Entries!$L70:$L70,1,FALSE))),"S",""))</f>
        <v/>
      </c>
      <c r="CT85" t="str">
        <f>IF(NOT(ISERROR(HLOOKUP(Standings!CT$3,Entries!$C70:$K70,1,FALSE))),"x",IF(NOT(ISERROR(HLOOKUP(Standings!CT$3,Entries!$L70:$L70,1,FALSE))),"S",""))</f>
        <v/>
      </c>
      <c r="CU85" t="str">
        <f>IF(NOT(ISERROR(HLOOKUP(Standings!CU$3,Entries!$C70:$K70,1,FALSE))),"x",IF(NOT(ISERROR(HLOOKUP(Standings!CU$3,Entries!$L70:$L70,1,FALSE))),"S",""))</f>
        <v>x</v>
      </c>
      <c r="CV85" t="str">
        <f>IF(NOT(ISERROR(HLOOKUP(Standings!CV$3,Entries!$C70:$K70,1,FALSE))),"x",IF(NOT(ISERROR(HLOOKUP(Standings!CV$3,Entries!$L70:$L70,1,FALSE))),"S",""))</f>
        <v/>
      </c>
      <c r="CW85" t="str">
        <f>IF(NOT(ISERROR(HLOOKUP(Standings!CW$3,Entries!$C70:$K70,1,FALSE))),"x",IF(NOT(ISERROR(HLOOKUP(Standings!CW$3,Entries!$L70:$L70,1,FALSE))),"S",""))</f>
        <v/>
      </c>
      <c r="CX85" t="str">
        <f>IF(NOT(ISERROR(HLOOKUP(Standings!CX$3,Entries!$C70:$K70,1,FALSE))),"x",IF(NOT(ISERROR(HLOOKUP(Standings!CX$3,Entries!$L70:$L70,1,FALSE))),"S",""))</f>
        <v/>
      </c>
      <c r="CY85" t="str">
        <f>IF(NOT(ISERROR(HLOOKUP(Standings!CY$3,Entries!$C70:$K70,1,FALSE))),"x",IF(NOT(ISERROR(HLOOKUP(Standings!CY$3,Entries!$L70:$L70,1,FALSE))),"S",""))</f>
        <v/>
      </c>
      <c r="CZ85" t="str">
        <f>IF(NOT(ISERROR(HLOOKUP(Standings!CZ$3,Entries!$C70:$K70,1,FALSE))),"x",IF(NOT(ISERROR(HLOOKUP(Standings!CZ$3,Entries!$L70:$L70,1,FALSE))),"S",""))</f>
        <v>x</v>
      </c>
      <c r="DA85" t="str">
        <f>IF(NOT(ISERROR(HLOOKUP(Standings!DA$3,Entries!$C70:$K70,1,FALSE))),"x",IF(NOT(ISERROR(HLOOKUP(Standings!DA$3,Entries!$L70:$L70,1,FALSE))),"S",""))</f>
        <v/>
      </c>
      <c r="DB85" t="str">
        <f>IF(NOT(ISERROR(HLOOKUP(Standings!DB$3,Entries!$C70:$K70,1,FALSE))),"x",IF(NOT(ISERROR(HLOOKUP(Standings!DB$3,Entries!$L70:$L70,1,FALSE))),"S",""))</f>
        <v/>
      </c>
    </row>
    <row r="86" spans="1:106" x14ac:dyDescent="0.25">
      <c r="A86" s="18"/>
      <c r="B86">
        <v>8</v>
      </c>
      <c r="C86" t="str">
        <f>Entries!B71</f>
        <v>EColvin3</v>
      </c>
      <c r="D86" s="4">
        <f>IF(C86="","",RANK(E86,$E$10:$E$111))</f>
        <v>55</v>
      </c>
      <c r="E86" s="31">
        <f t="shared" si="51"/>
        <v>3</v>
      </c>
      <c r="F86" s="40" t="str">
        <f t="shared" si="99"/>
        <v/>
      </c>
      <c r="G86" s="41" t="str">
        <f t="shared" si="52"/>
        <v/>
      </c>
      <c r="H86" s="41">
        <f t="shared" si="53"/>
        <v>2</v>
      </c>
      <c r="I86" s="42" t="str">
        <f t="shared" si="54"/>
        <v/>
      </c>
      <c r="J86" s="40" t="str">
        <f t="shared" si="55"/>
        <v/>
      </c>
      <c r="K86" s="41" t="str">
        <f t="shared" si="56"/>
        <v/>
      </c>
      <c r="L86" s="41" t="str">
        <f t="shared" si="57"/>
        <v/>
      </c>
      <c r="M86" s="42" t="str">
        <f t="shared" si="58"/>
        <v/>
      </c>
      <c r="N86" s="43" t="str">
        <f t="shared" si="59"/>
        <v/>
      </c>
      <c r="O86" s="41" t="str">
        <f t="shared" si="60"/>
        <v/>
      </c>
      <c r="P86" s="41" t="str">
        <f t="shared" si="61"/>
        <v/>
      </c>
      <c r="Q86" s="42" t="str">
        <f t="shared" si="62"/>
        <v/>
      </c>
      <c r="R86" s="40" t="str">
        <f t="shared" si="63"/>
        <v/>
      </c>
      <c r="S86" s="41" t="str">
        <f t="shared" si="64"/>
        <v/>
      </c>
      <c r="T86" s="43" t="str">
        <f t="shared" si="65"/>
        <v/>
      </c>
      <c r="U86" s="42">
        <f t="shared" si="66"/>
        <v>0</v>
      </c>
      <c r="V86" s="40" t="str">
        <f t="shared" si="67"/>
        <v/>
      </c>
      <c r="W86" s="41" t="str">
        <f t="shared" si="68"/>
        <v/>
      </c>
      <c r="X86" s="41" t="str">
        <f t="shared" si="69"/>
        <v/>
      </c>
      <c r="Y86" s="42">
        <f t="shared" si="70"/>
        <v>0</v>
      </c>
      <c r="Z86" s="40" t="str">
        <f t="shared" si="71"/>
        <v/>
      </c>
      <c r="AA86" s="41" t="str">
        <f t="shared" si="72"/>
        <v/>
      </c>
      <c r="AB86" s="41" t="str">
        <f t="shared" si="73"/>
        <v/>
      </c>
      <c r="AC86" s="42" t="str">
        <f t="shared" si="74"/>
        <v/>
      </c>
      <c r="AD86" s="40" t="str">
        <f t="shared" si="75"/>
        <v/>
      </c>
      <c r="AE86" s="41" t="str">
        <f t="shared" si="76"/>
        <v/>
      </c>
      <c r="AF86" s="41" t="str">
        <f t="shared" si="77"/>
        <v/>
      </c>
      <c r="AG86" s="42" t="str">
        <f t="shared" si="78"/>
        <v/>
      </c>
      <c r="AH86" s="40">
        <f t="shared" si="79"/>
        <v>1</v>
      </c>
      <c r="AI86" s="41" t="str">
        <f t="shared" si="80"/>
        <v/>
      </c>
      <c r="AJ86" s="41" t="str">
        <f t="shared" si="81"/>
        <v/>
      </c>
      <c r="AK86" s="42" t="str">
        <f t="shared" si="82"/>
        <v/>
      </c>
      <c r="AL86" s="40">
        <f t="shared" si="83"/>
        <v>-1.0000000000000001E-5</v>
      </c>
      <c r="AM86" s="41" t="str">
        <f t="shared" si="84"/>
        <v/>
      </c>
      <c r="AN86" s="41" t="str">
        <f t="shared" si="85"/>
        <v/>
      </c>
      <c r="AO86" s="42" t="str">
        <f t="shared" si="86"/>
        <v/>
      </c>
      <c r="AP86" s="40" t="str">
        <f t="shared" si="87"/>
        <v/>
      </c>
      <c r="AQ86" s="41" t="str">
        <f t="shared" si="88"/>
        <v/>
      </c>
      <c r="AR86" s="41" t="str">
        <f t="shared" si="89"/>
        <v/>
      </c>
      <c r="AS86" s="42" t="str">
        <f t="shared" si="90"/>
        <v/>
      </c>
      <c r="AT86" s="40">
        <f t="shared" si="91"/>
        <v>0</v>
      </c>
      <c r="AU86" s="41" t="str">
        <f t="shared" si="92"/>
        <v/>
      </c>
      <c r="AV86" s="41" t="str">
        <f t="shared" si="93"/>
        <v/>
      </c>
      <c r="AW86" s="42" t="str">
        <f t="shared" si="94"/>
        <v/>
      </c>
      <c r="AX86" s="40" t="str">
        <f t="shared" si="95"/>
        <v/>
      </c>
      <c r="AY86" s="41" t="str">
        <f t="shared" si="96"/>
        <v/>
      </c>
      <c r="AZ86" s="41" t="str">
        <f t="shared" si="97"/>
        <v/>
      </c>
      <c r="BA86" s="42" t="str">
        <f t="shared" si="98"/>
        <v/>
      </c>
      <c r="BB86" s="37" t="s">
        <v>106</v>
      </c>
      <c r="BC86" s="21"/>
      <c r="BD86" s="21"/>
      <c r="BG86" t="str">
        <f>IF(NOT(ISERROR(HLOOKUP(Standings!BG$3,Entries!$C71:$K71,1,FALSE))),"x",IF(NOT(ISERROR(HLOOKUP(Standings!BG$3,Entries!$L71:$L71,1,FALSE))),"S",""))</f>
        <v/>
      </c>
      <c r="BH86" t="str">
        <f>IF(NOT(ISERROR(HLOOKUP(Standings!BH$3,Entries!$C71:$K71,1,FALSE))),"x",IF(NOT(ISERROR(HLOOKUP(Standings!BH$3,Entries!$L71:$L71,1,FALSE))),"S",""))</f>
        <v/>
      </c>
      <c r="BI86" t="str">
        <f>IF(NOT(ISERROR(HLOOKUP(Standings!BI$3,Entries!$C71:$K71,1,FALSE))),"x",IF(NOT(ISERROR(HLOOKUP(Standings!BI$3,Entries!$L71:$L71,1,FALSE))),"S",""))</f>
        <v>x</v>
      </c>
      <c r="BJ86" t="str">
        <f>IF(NOT(ISERROR(HLOOKUP(Standings!BJ$3,Entries!$C71:$K71,1,FALSE))),"x",IF(NOT(ISERROR(HLOOKUP(Standings!BJ$3,Entries!$L71:$L71,1,FALSE))),"S",""))</f>
        <v/>
      </c>
      <c r="BK86" t="str">
        <f>IF(NOT(ISERROR(HLOOKUP(Standings!BK$3,Entries!$C71:$K71,1,FALSE))),"x",IF(NOT(ISERROR(HLOOKUP(Standings!BK$3,Entries!$L71:$L71,1,FALSE))),"S",""))</f>
        <v/>
      </c>
      <c r="BL86" t="str">
        <f>IF(NOT(ISERROR(HLOOKUP(Standings!BL$3,Entries!$C71:$K71,1,FALSE))),"x",IF(NOT(ISERROR(HLOOKUP(Standings!BL$3,Entries!$L71:$L71,1,FALSE))),"S",""))</f>
        <v/>
      </c>
      <c r="BM86" t="str">
        <f>IF(NOT(ISERROR(HLOOKUP(Standings!BM$3,Entries!$C71:$K71,1,FALSE))),"x",IF(NOT(ISERROR(HLOOKUP(Standings!BM$3,Entries!$L71:$L71,1,FALSE))),"S",""))</f>
        <v/>
      </c>
      <c r="BN86" t="str">
        <f>IF(NOT(ISERROR(HLOOKUP(Standings!BN$3,Entries!$C71:$K71,1,FALSE))),"x",IF(NOT(ISERROR(HLOOKUP(Standings!BN$3,Entries!$L71:$L71,1,FALSE))),"S",""))</f>
        <v/>
      </c>
      <c r="BO86" t="str">
        <f>IF(NOT(ISERROR(HLOOKUP(Standings!BO$3,Entries!$C71:$K71,1,FALSE))),"x",IF(NOT(ISERROR(HLOOKUP(Standings!BO$3,Entries!$L71:$L71,1,FALSE))),"S",""))</f>
        <v/>
      </c>
      <c r="BP86" t="str">
        <f>IF(NOT(ISERROR(HLOOKUP(Standings!BP$3,Entries!$C71:$K71,1,FALSE))),"x",IF(NOT(ISERROR(HLOOKUP(Standings!BP$3,Entries!$L71:$L71,1,FALSE))),"S",""))</f>
        <v/>
      </c>
      <c r="BQ86" t="str">
        <f>IF(NOT(ISERROR(HLOOKUP(Standings!BQ$3,Entries!$C71:$K71,1,FALSE))),"x",IF(NOT(ISERROR(HLOOKUP(Standings!BQ$3,Entries!$L71:$L71,1,FALSE))),"S",""))</f>
        <v/>
      </c>
      <c r="BR86" t="str">
        <f>IF(NOT(ISERROR(HLOOKUP(Standings!BR$3,Entries!$C71:$K71,1,FALSE))),"x",IF(NOT(ISERROR(HLOOKUP(Standings!BR$3,Entries!$L71:$L71,1,FALSE))),"S",""))</f>
        <v/>
      </c>
      <c r="BS86" t="str">
        <f>IF(NOT(ISERROR(HLOOKUP(Standings!BS$3,Entries!$C71:$K71,1,FALSE))),"x",IF(NOT(ISERROR(HLOOKUP(Standings!BS$3,Entries!$L71:$L71,1,FALSE))),"S",""))</f>
        <v/>
      </c>
      <c r="BT86" t="str">
        <f>IF(NOT(ISERROR(HLOOKUP(Standings!BT$3,Entries!$C71:$K71,1,FALSE))),"x",IF(NOT(ISERROR(HLOOKUP(Standings!BT$3,Entries!$L71:$L71,1,FALSE))),"S",""))</f>
        <v/>
      </c>
      <c r="BU86" t="str">
        <f>IF(NOT(ISERROR(HLOOKUP(Standings!BU$3,Entries!$C71:$K71,1,FALSE))),"x",IF(NOT(ISERROR(HLOOKUP(Standings!BU$3,Entries!$L71:$L71,1,FALSE))),"S",""))</f>
        <v/>
      </c>
      <c r="BV86" t="str">
        <f>IF(NOT(ISERROR(HLOOKUP(Standings!BV$3,Entries!$C71:$K71,1,FALSE))),"x",IF(NOT(ISERROR(HLOOKUP(Standings!BV$3,Entries!$L71:$L71,1,FALSE))),"S",""))</f>
        <v>x</v>
      </c>
      <c r="BW86" t="str">
        <f>IF(NOT(ISERROR(HLOOKUP(Standings!BW$3,Entries!$C71:$K71,1,FALSE))),"x",IF(NOT(ISERROR(HLOOKUP(Standings!BW$3,Entries!$L71:$L71,1,FALSE))),"S",""))</f>
        <v/>
      </c>
      <c r="BX86" t="str">
        <f>IF(NOT(ISERROR(HLOOKUP(Standings!BX$3,Entries!$C71:$K71,1,FALSE))),"x",IF(NOT(ISERROR(HLOOKUP(Standings!BX$3,Entries!$L71:$L71,1,FALSE))),"S",""))</f>
        <v/>
      </c>
      <c r="BY86" t="str">
        <f>IF(NOT(ISERROR(HLOOKUP(Standings!BY$3,Entries!$C71:$K71,1,FALSE))),"x",IF(NOT(ISERROR(HLOOKUP(Standings!BY$3,Entries!$L71:$L71,1,FALSE))),"S",""))</f>
        <v/>
      </c>
      <c r="BZ86" t="str">
        <f>IF(NOT(ISERROR(HLOOKUP(Standings!BZ$3,Entries!$C71:$K71,1,FALSE))),"x",IF(NOT(ISERROR(HLOOKUP(Standings!BZ$3,Entries!$L71:$L71,1,FALSE))),"S",""))</f>
        <v>x</v>
      </c>
      <c r="CA86" t="str">
        <f>IF(NOT(ISERROR(HLOOKUP(Standings!CA$3,Entries!$C71:$K71,1,FALSE))),"x",IF(NOT(ISERROR(HLOOKUP(Standings!CA$3,Entries!$L71:$L71,1,FALSE))),"S",""))</f>
        <v/>
      </c>
      <c r="CB86" t="str">
        <f>IF(NOT(ISERROR(HLOOKUP(Standings!CB$3,Entries!$C71:$K71,1,FALSE))),"x",IF(NOT(ISERROR(HLOOKUP(Standings!CB$3,Entries!$L71:$L71,1,FALSE))),"S",""))</f>
        <v/>
      </c>
      <c r="CC86" t="str">
        <f>IF(NOT(ISERROR(HLOOKUP(Standings!CC$3,Entries!$C71:$K71,1,FALSE))),"x",IF(NOT(ISERROR(HLOOKUP(Standings!CC$3,Entries!$L71:$L71,1,FALSE))),"S",""))</f>
        <v/>
      </c>
      <c r="CD86" t="str">
        <f>IF(NOT(ISERROR(HLOOKUP(Standings!CD$3,Entries!$C71:$K71,1,FALSE))),"x",IF(NOT(ISERROR(HLOOKUP(Standings!CD$3,Entries!$L71:$L71,1,FALSE))),"S",""))</f>
        <v/>
      </c>
      <c r="CE86" t="str">
        <f>IF(NOT(ISERROR(HLOOKUP(Standings!CE$3,Entries!$C71:$K71,1,FALSE))),"x",IF(NOT(ISERROR(HLOOKUP(Standings!CE$3,Entries!$L71:$L71,1,FALSE))),"S",""))</f>
        <v/>
      </c>
      <c r="CF86" t="str">
        <f>IF(NOT(ISERROR(HLOOKUP(Standings!CF$3,Entries!$C71:$K71,1,FALSE))),"x",IF(NOT(ISERROR(HLOOKUP(Standings!CF$3,Entries!$L71:$L71,1,FALSE))),"S",""))</f>
        <v/>
      </c>
      <c r="CG86" t="str">
        <f>IF(NOT(ISERROR(HLOOKUP(Standings!CG$3,Entries!$C71:$K71,1,FALSE))),"x",IF(NOT(ISERROR(HLOOKUP(Standings!CG$3,Entries!$L71:$L71,1,FALSE))),"S",""))</f>
        <v/>
      </c>
      <c r="CH86" t="str">
        <f>IF(NOT(ISERROR(HLOOKUP(Standings!CH$3,Entries!$C71:$K71,1,FALSE))),"x",IF(NOT(ISERROR(HLOOKUP(Standings!CH$3,Entries!$L71:$L71,1,FALSE))),"S",""))</f>
        <v/>
      </c>
      <c r="CI86" t="str">
        <f>IF(NOT(ISERROR(HLOOKUP(Standings!CI$3,Entries!$C71:$K71,1,FALSE))),"x",IF(NOT(ISERROR(HLOOKUP(Standings!CI$3,Entries!$L71:$L71,1,FALSE))),"S",""))</f>
        <v>x</v>
      </c>
      <c r="CJ86" t="str">
        <f>IF(NOT(ISERROR(HLOOKUP(Standings!CJ$3,Entries!$C71:$K71,1,FALSE))),"x",IF(NOT(ISERROR(HLOOKUP(Standings!CJ$3,Entries!$L71:$L71,1,FALSE))),"S",""))</f>
        <v/>
      </c>
      <c r="CK86" t="str">
        <f>IF(NOT(ISERROR(HLOOKUP(Standings!CK$3,Entries!$C71:$K71,1,FALSE))),"x",IF(NOT(ISERROR(HLOOKUP(Standings!CK$3,Entries!$L71:$L71,1,FALSE))),"S",""))</f>
        <v/>
      </c>
      <c r="CL86" t="str">
        <f>IF(NOT(ISERROR(HLOOKUP(Standings!CL$3,Entries!$C71:$K71,1,FALSE))),"x",IF(NOT(ISERROR(HLOOKUP(Standings!CL$3,Entries!$L71:$L71,1,FALSE))),"S",""))</f>
        <v/>
      </c>
      <c r="CM86" t="str">
        <f>IF(NOT(ISERROR(HLOOKUP(Standings!CM$3,Entries!$C71:$K71,1,FALSE))),"x",IF(NOT(ISERROR(HLOOKUP(Standings!CM$3,Entries!$L71:$L71,1,FALSE))),"S",""))</f>
        <v>S</v>
      </c>
      <c r="CN86" t="str">
        <f>IF(NOT(ISERROR(HLOOKUP(Standings!CN$3,Entries!$C71:$K71,1,FALSE))),"x",IF(NOT(ISERROR(HLOOKUP(Standings!CN$3,Entries!$L71:$L71,1,FALSE))),"S",""))</f>
        <v/>
      </c>
      <c r="CO86" t="str">
        <f>IF(NOT(ISERROR(HLOOKUP(Standings!CO$3,Entries!$C71:$K71,1,FALSE))),"x",IF(NOT(ISERROR(HLOOKUP(Standings!CO$3,Entries!$L71:$L71,1,FALSE))),"S",""))</f>
        <v/>
      </c>
      <c r="CP86" t="str">
        <f>IF(NOT(ISERROR(HLOOKUP(Standings!CP$3,Entries!$C71:$K71,1,FALSE))),"x",IF(NOT(ISERROR(HLOOKUP(Standings!CP$3,Entries!$L71:$L71,1,FALSE))),"S",""))</f>
        <v/>
      </c>
      <c r="CQ86" t="str">
        <f>IF(NOT(ISERROR(HLOOKUP(Standings!CQ$3,Entries!$C71:$K71,1,FALSE))),"x",IF(NOT(ISERROR(HLOOKUP(Standings!CQ$3,Entries!$L71:$L71,1,FALSE))),"S",""))</f>
        <v/>
      </c>
      <c r="CR86" t="str">
        <f>IF(NOT(ISERROR(HLOOKUP(Standings!CR$3,Entries!$C71:$K71,1,FALSE))),"x",IF(NOT(ISERROR(HLOOKUP(Standings!CR$3,Entries!$L71:$L71,1,FALSE))),"S",""))</f>
        <v/>
      </c>
      <c r="CS86" t="str">
        <f>IF(NOT(ISERROR(HLOOKUP(Standings!CS$3,Entries!$C71:$K71,1,FALSE))),"x",IF(NOT(ISERROR(HLOOKUP(Standings!CS$3,Entries!$L71:$L71,1,FALSE))),"S",""))</f>
        <v/>
      </c>
      <c r="CT86" t="str">
        <f>IF(NOT(ISERROR(HLOOKUP(Standings!CT$3,Entries!$C71:$K71,1,FALSE))),"x",IF(NOT(ISERROR(HLOOKUP(Standings!CT$3,Entries!$L71:$L71,1,FALSE))),"S",""))</f>
        <v/>
      </c>
      <c r="CU86" t="str">
        <f>IF(NOT(ISERROR(HLOOKUP(Standings!CU$3,Entries!$C71:$K71,1,FALSE))),"x",IF(NOT(ISERROR(HLOOKUP(Standings!CU$3,Entries!$L71:$L71,1,FALSE))),"S",""))</f>
        <v>x</v>
      </c>
      <c r="CV86" t="str">
        <f>IF(NOT(ISERROR(HLOOKUP(Standings!CV$3,Entries!$C71:$K71,1,FALSE))),"x",IF(NOT(ISERROR(HLOOKUP(Standings!CV$3,Entries!$L71:$L71,1,FALSE))),"S",""))</f>
        <v/>
      </c>
      <c r="CW86" t="str">
        <f>IF(NOT(ISERROR(HLOOKUP(Standings!CW$3,Entries!$C71:$K71,1,FALSE))),"x",IF(NOT(ISERROR(HLOOKUP(Standings!CW$3,Entries!$L71:$L71,1,FALSE))),"S",""))</f>
        <v/>
      </c>
      <c r="CX86" t="str">
        <f>IF(NOT(ISERROR(HLOOKUP(Standings!CX$3,Entries!$C71:$K71,1,FALSE))),"x",IF(NOT(ISERROR(HLOOKUP(Standings!CX$3,Entries!$L71:$L71,1,FALSE))),"S",""))</f>
        <v/>
      </c>
      <c r="CY86" t="str">
        <f>IF(NOT(ISERROR(HLOOKUP(Standings!CY$3,Entries!$C71:$K71,1,FALSE))),"x",IF(NOT(ISERROR(HLOOKUP(Standings!CY$3,Entries!$L71:$L71,1,FALSE))),"S",""))</f>
        <v/>
      </c>
      <c r="CZ86" t="str">
        <f>IF(NOT(ISERROR(HLOOKUP(Standings!CZ$3,Entries!$C71:$K71,1,FALSE))),"x",IF(NOT(ISERROR(HLOOKUP(Standings!CZ$3,Entries!$L71:$L71,1,FALSE))),"S",""))</f>
        <v/>
      </c>
      <c r="DA86" t="str">
        <f>IF(NOT(ISERROR(HLOOKUP(Standings!DA$3,Entries!$C71:$K71,1,FALSE))),"x",IF(NOT(ISERROR(HLOOKUP(Standings!DA$3,Entries!$L71:$L71,1,FALSE))),"S",""))</f>
        <v/>
      </c>
      <c r="DB86" t="str">
        <f>IF(NOT(ISERROR(HLOOKUP(Standings!DB$3,Entries!$C71:$K71,1,FALSE))),"x",IF(NOT(ISERROR(HLOOKUP(Standings!DB$3,Entries!$L71:$L71,1,FALSE))),"S",""))</f>
        <v/>
      </c>
    </row>
    <row r="87" spans="1:106" x14ac:dyDescent="0.25">
      <c r="B87">
        <v>71</v>
      </c>
      <c r="C87" t="str">
        <f>Entries!B72</f>
        <v>Noah Meier</v>
      </c>
      <c r="D87" s="4">
        <f>IF(C87="","",RANK(E87,$E$10:$E$111))</f>
        <v>32</v>
      </c>
      <c r="E87" s="31">
        <f t="shared" si="51"/>
        <v>4</v>
      </c>
      <c r="F87" s="40" t="str">
        <f t="shared" si="99"/>
        <v/>
      </c>
      <c r="G87" s="41" t="str">
        <f t="shared" si="52"/>
        <v/>
      </c>
      <c r="H87" s="41">
        <f t="shared" si="53"/>
        <v>2</v>
      </c>
      <c r="I87" s="42" t="str">
        <f t="shared" si="54"/>
        <v/>
      </c>
      <c r="J87" s="40" t="str">
        <f t="shared" si="55"/>
        <v/>
      </c>
      <c r="K87" s="41" t="str">
        <f t="shared" si="56"/>
        <v/>
      </c>
      <c r="L87" s="41" t="str">
        <f t="shared" si="57"/>
        <v/>
      </c>
      <c r="M87" s="42" t="str">
        <f t="shared" si="58"/>
        <v/>
      </c>
      <c r="N87" s="43" t="str">
        <f t="shared" si="59"/>
        <v/>
      </c>
      <c r="O87" s="41" t="str">
        <f t="shared" si="60"/>
        <v/>
      </c>
      <c r="P87" s="41" t="str">
        <f t="shared" si="61"/>
        <v/>
      </c>
      <c r="Q87" s="42" t="str">
        <f t="shared" si="62"/>
        <v/>
      </c>
      <c r="R87" s="40" t="str">
        <f t="shared" si="63"/>
        <v/>
      </c>
      <c r="S87" s="41" t="str">
        <f t="shared" si="64"/>
        <v/>
      </c>
      <c r="T87" s="43">
        <f t="shared" si="65"/>
        <v>2</v>
      </c>
      <c r="U87" s="42" t="str">
        <f t="shared" si="66"/>
        <v/>
      </c>
      <c r="V87" s="40" t="str">
        <f t="shared" si="67"/>
        <v/>
      </c>
      <c r="W87" s="41" t="str">
        <f t="shared" si="68"/>
        <v/>
      </c>
      <c r="X87" s="41" t="str">
        <f t="shared" si="69"/>
        <v/>
      </c>
      <c r="Y87" s="42" t="str">
        <f t="shared" si="70"/>
        <v/>
      </c>
      <c r="Z87" s="40" t="str">
        <f t="shared" si="71"/>
        <v/>
      </c>
      <c r="AA87" s="41" t="str">
        <f t="shared" si="72"/>
        <v/>
      </c>
      <c r="AB87" s="41" t="str">
        <f t="shared" si="73"/>
        <v/>
      </c>
      <c r="AC87" s="42" t="str">
        <f t="shared" si="74"/>
        <v/>
      </c>
      <c r="AD87" s="40" t="str">
        <f t="shared" si="75"/>
        <v/>
      </c>
      <c r="AE87" s="41" t="str">
        <f t="shared" si="76"/>
        <v/>
      </c>
      <c r="AF87" s="41" t="str">
        <f t="shared" si="77"/>
        <v/>
      </c>
      <c r="AG87" s="42" t="str">
        <f t="shared" si="78"/>
        <v/>
      </c>
      <c r="AH87" s="40" t="str">
        <f t="shared" si="79"/>
        <v/>
      </c>
      <c r="AI87" s="41" t="str">
        <f t="shared" si="80"/>
        <v/>
      </c>
      <c r="AJ87" s="41" t="str">
        <f t="shared" si="81"/>
        <v/>
      </c>
      <c r="AK87" s="42" t="str">
        <f t="shared" si="82"/>
        <v/>
      </c>
      <c r="AL87" s="40">
        <f t="shared" si="83"/>
        <v>0</v>
      </c>
      <c r="AM87" s="41" t="str">
        <f t="shared" si="84"/>
        <v/>
      </c>
      <c r="AN87" s="41" t="str">
        <f t="shared" si="85"/>
        <v/>
      </c>
      <c r="AO87" s="42" t="str">
        <f t="shared" si="86"/>
        <v/>
      </c>
      <c r="AP87" s="40">
        <f t="shared" si="87"/>
        <v>-1.0000000000000001E-5</v>
      </c>
      <c r="AQ87" s="41" t="str">
        <f t="shared" si="88"/>
        <v/>
      </c>
      <c r="AR87" s="41" t="str">
        <f t="shared" si="89"/>
        <v/>
      </c>
      <c r="AS87" s="42" t="str">
        <f t="shared" si="90"/>
        <v/>
      </c>
      <c r="AT87" s="40">
        <f t="shared" si="91"/>
        <v>0</v>
      </c>
      <c r="AU87" s="41" t="str">
        <f t="shared" si="92"/>
        <v/>
      </c>
      <c r="AV87" s="41" t="str">
        <f t="shared" si="93"/>
        <v/>
      </c>
      <c r="AW87" s="42" t="str">
        <f t="shared" si="94"/>
        <v/>
      </c>
      <c r="AX87" s="40" t="str">
        <f t="shared" si="95"/>
        <v/>
      </c>
      <c r="AY87" s="41">
        <f t="shared" si="96"/>
        <v>0</v>
      </c>
      <c r="AZ87" s="41" t="str">
        <f t="shared" si="97"/>
        <v/>
      </c>
      <c r="BA87" s="42" t="str">
        <f t="shared" si="98"/>
        <v/>
      </c>
      <c r="BB87" s="37" t="s">
        <v>106</v>
      </c>
      <c r="BD87" s="21"/>
      <c r="BG87" t="str">
        <f>IF(NOT(ISERROR(HLOOKUP(Standings!BG$3,Entries!$C72:$K72,1,FALSE))),"x",IF(NOT(ISERROR(HLOOKUP(Standings!BG$3,Entries!$L72:$L72,1,FALSE))),"S",""))</f>
        <v/>
      </c>
      <c r="BH87" t="str">
        <f>IF(NOT(ISERROR(HLOOKUP(Standings!BH$3,Entries!$C72:$K72,1,FALSE))),"x",IF(NOT(ISERROR(HLOOKUP(Standings!BH$3,Entries!$L72:$L72,1,FALSE))),"S",""))</f>
        <v/>
      </c>
      <c r="BI87" t="str">
        <f>IF(NOT(ISERROR(HLOOKUP(Standings!BI$3,Entries!$C72:$K72,1,FALSE))),"x",IF(NOT(ISERROR(HLOOKUP(Standings!BI$3,Entries!$L72:$L72,1,FALSE))),"S",""))</f>
        <v>x</v>
      </c>
      <c r="BJ87" t="str">
        <f>IF(NOT(ISERROR(HLOOKUP(Standings!BJ$3,Entries!$C72:$K72,1,FALSE))),"x",IF(NOT(ISERROR(HLOOKUP(Standings!BJ$3,Entries!$L72:$L72,1,FALSE))),"S",""))</f>
        <v/>
      </c>
      <c r="BK87" t="str">
        <f>IF(NOT(ISERROR(HLOOKUP(Standings!BK$3,Entries!$C72:$K72,1,FALSE))),"x",IF(NOT(ISERROR(HLOOKUP(Standings!BK$3,Entries!$L72:$L72,1,FALSE))),"S",""))</f>
        <v/>
      </c>
      <c r="BL87" t="str">
        <f>IF(NOT(ISERROR(HLOOKUP(Standings!BL$3,Entries!$C72:$K72,1,FALSE))),"x",IF(NOT(ISERROR(HLOOKUP(Standings!BL$3,Entries!$L72:$L72,1,FALSE))),"S",""))</f>
        <v/>
      </c>
      <c r="BM87" t="str">
        <f>IF(NOT(ISERROR(HLOOKUP(Standings!BM$3,Entries!$C72:$K72,1,FALSE))),"x",IF(NOT(ISERROR(HLOOKUP(Standings!BM$3,Entries!$L72:$L72,1,FALSE))),"S",""))</f>
        <v/>
      </c>
      <c r="BN87" t="str">
        <f>IF(NOT(ISERROR(HLOOKUP(Standings!BN$3,Entries!$C72:$K72,1,FALSE))),"x",IF(NOT(ISERROR(HLOOKUP(Standings!BN$3,Entries!$L72:$L72,1,FALSE))),"S",""))</f>
        <v/>
      </c>
      <c r="BO87" t="str">
        <f>IF(NOT(ISERROR(HLOOKUP(Standings!BO$3,Entries!$C72:$K72,1,FALSE))),"x",IF(NOT(ISERROR(HLOOKUP(Standings!BO$3,Entries!$L72:$L72,1,FALSE))),"S",""))</f>
        <v/>
      </c>
      <c r="BP87" t="str">
        <f>IF(NOT(ISERROR(HLOOKUP(Standings!BP$3,Entries!$C72:$K72,1,FALSE))),"x",IF(NOT(ISERROR(HLOOKUP(Standings!BP$3,Entries!$L72:$L72,1,FALSE))),"S",""))</f>
        <v/>
      </c>
      <c r="BQ87" t="str">
        <f>IF(NOT(ISERROR(HLOOKUP(Standings!BQ$3,Entries!$C72:$K72,1,FALSE))),"x",IF(NOT(ISERROR(HLOOKUP(Standings!BQ$3,Entries!$L72:$L72,1,FALSE))),"S",""))</f>
        <v/>
      </c>
      <c r="BR87" t="str">
        <f>IF(NOT(ISERROR(HLOOKUP(Standings!BR$3,Entries!$C72:$K72,1,FALSE))),"x",IF(NOT(ISERROR(HLOOKUP(Standings!BR$3,Entries!$L72:$L72,1,FALSE))),"S",""))</f>
        <v/>
      </c>
      <c r="BS87" t="str">
        <f>IF(NOT(ISERROR(HLOOKUP(Standings!BS$3,Entries!$C72:$K72,1,FALSE))),"x",IF(NOT(ISERROR(HLOOKUP(Standings!BS$3,Entries!$L72:$L72,1,FALSE))),"S",""))</f>
        <v/>
      </c>
      <c r="BT87" t="str">
        <f>IF(NOT(ISERROR(HLOOKUP(Standings!BT$3,Entries!$C72:$K72,1,FALSE))),"x",IF(NOT(ISERROR(HLOOKUP(Standings!BT$3,Entries!$L72:$L72,1,FALSE))),"S",""))</f>
        <v/>
      </c>
      <c r="BU87" t="str">
        <f>IF(NOT(ISERROR(HLOOKUP(Standings!BU$3,Entries!$C72:$K72,1,FALSE))),"x",IF(NOT(ISERROR(HLOOKUP(Standings!BU$3,Entries!$L72:$L72,1,FALSE))),"S",""))</f>
        <v>x</v>
      </c>
      <c r="BV87" t="str">
        <f>IF(NOT(ISERROR(HLOOKUP(Standings!BV$3,Entries!$C72:$K72,1,FALSE))),"x",IF(NOT(ISERROR(HLOOKUP(Standings!BV$3,Entries!$L72:$L72,1,FALSE))),"S",""))</f>
        <v/>
      </c>
      <c r="BW87" t="str">
        <f>IF(NOT(ISERROR(HLOOKUP(Standings!BW$3,Entries!$C72:$K72,1,FALSE))),"x",IF(NOT(ISERROR(HLOOKUP(Standings!BW$3,Entries!$L72:$L72,1,FALSE))),"S",""))</f>
        <v/>
      </c>
      <c r="BX87" t="str">
        <f>IF(NOT(ISERROR(HLOOKUP(Standings!BX$3,Entries!$C72:$K72,1,FALSE))),"x",IF(NOT(ISERROR(HLOOKUP(Standings!BX$3,Entries!$L72:$L72,1,FALSE))),"S",""))</f>
        <v/>
      </c>
      <c r="BY87" t="str">
        <f>IF(NOT(ISERROR(HLOOKUP(Standings!BY$3,Entries!$C72:$K72,1,FALSE))),"x",IF(NOT(ISERROR(HLOOKUP(Standings!BY$3,Entries!$L72:$L72,1,FALSE))),"S",""))</f>
        <v/>
      </c>
      <c r="BZ87" t="str">
        <f>IF(NOT(ISERROR(HLOOKUP(Standings!BZ$3,Entries!$C72:$K72,1,FALSE))),"x",IF(NOT(ISERROR(HLOOKUP(Standings!BZ$3,Entries!$L72:$L72,1,FALSE))),"S",""))</f>
        <v/>
      </c>
      <c r="CA87" t="str">
        <f>IF(NOT(ISERROR(HLOOKUP(Standings!CA$3,Entries!$C72:$K72,1,FALSE))),"x",IF(NOT(ISERROR(HLOOKUP(Standings!CA$3,Entries!$L72:$L72,1,FALSE))),"S",""))</f>
        <v/>
      </c>
      <c r="CB87" t="str">
        <f>IF(NOT(ISERROR(HLOOKUP(Standings!CB$3,Entries!$C72:$K72,1,FALSE))),"x",IF(NOT(ISERROR(HLOOKUP(Standings!CB$3,Entries!$L72:$L72,1,FALSE))),"S",""))</f>
        <v/>
      </c>
      <c r="CC87" t="str">
        <f>IF(NOT(ISERROR(HLOOKUP(Standings!CC$3,Entries!$C72:$K72,1,FALSE))),"x",IF(NOT(ISERROR(HLOOKUP(Standings!CC$3,Entries!$L72:$L72,1,FALSE))),"S",""))</f>
        <v/>
      </c>
      <c r="CD87" t="str">
        <f>IF(NOT(ISERROR(HLOOKUP(Standings!CD$3,Entries!$C72:$K72,1,FALSE))),"x",IF(NOT(ISERROR(HLOOKUP(Standings!CD$3,Entries!$L72:$L72,1,FALSE))),"S",""))</f>
        <v/>
      </c>
      <c r="CE87" t="str">
        <f>IF(NOT(ISERROR(HLOOKUP(Standings!CE$3,Entries!$C72:$K72,1,FALSE))),"x",IF(NOT(ISERROR(HLOOKUP(Standings!CE$3,Entries!$L72:$L72,1,FALSE))),"S",""))</f>
        <v/>
      </c>
      <c r="CF87" t="str">
        <f>IF(NOT(ISERROR(HLOOKUP(Standings!CF$3,Entries!$C72:$K72,1,FALSE))),"x",IF(NOT(ISERROR(HLOOKUP(Standings!CF$3,Entries!$L72:$L72,1,FALSE))),"S",""))</f>
        <v/>
      </c>
      <c r="CG87" t="str">
        <f>IF(NOT(ISERROR(HLOOKUP(Standings!CG$3,Entries!$C72:$K72,1,FALSE))),"x",IF(NOT(ISERROR(HLOOKUP(Standings!CG$3,Entries!$L72:$L72,1,FALSE))),"S",""))</f>
        <v/>
      </c>
      <c r="CH87" t="str">
        <f>IF(NOT(ISERROR(HLOOKUP(Standings!CH$3,Entries!$C72:$K72,1,FALSE))),"x",IF(NOT(ISERROR(HLOOKUP(Standings!CH$3,Entries!$L72:$L72,1,FALSE))),"S",""))</f>
        <v/>
      </c>
      <c r="CI87" t="str">
        <f>IF(NOT(ISERROR(HLOOKUP(Standings!CI$3,Entries!$C72:$K72,1,FALSE))),"x",IF(NOT(ISERROR(HLOOKUP(Standings!CI$3,Entries!$L72:$L72,1,FALSE))),"S",""))</f>
        <v/>
      </c>
      <c r="CJ87" t="str">
        <f>IF(NOT(ISERROR(HLOOKUP(Standings!CJ$3,Entries!$C72:$K72,1,FALSE))),"x",IF(NOT(ISERROR(HLOOKUP(Standings!CJ$3,Entries!$L72:$L72,1,FALSE))),"S",""))</f>
        <v/>
      </c>
      <c r="CK87" t="str">
        <f>IF(NOT(ISERROR(HLOOKUP(Standings!CK$3,Entries!$C72:$K72,1,FALSE))),"x",IF(NOT(ISERROR(HLOOKUP(Standings!CK$3,Entries!$L72:$L72,1,FALSE))),"S",""))</f>
        <v/>
      </c>
      <c r="CL87" t="str">
        <f>IF(NOT(ISERROR(HLOOKUP(Standings!CL$3,Entries!$C72:$K72,1,FALSE))),"x",IF(NOT(ISERROR(HLOOKUP(Standings!CL$3,Entries!$L72:$L72,1,FALSE))),"S",""))</f>
        <v/>
      </c>
      <c r="CM87" t="str">
        <f>IF(NOT(ISERROR(HLOOKUP(Standings!CM$3,Entries!$C72:$K72,1,FALSE))),"x",IF(NOT(ISERROR(HLOOKUP(Standings!CM$3,Entries!$L72:$L72,1,FALSE))),"S",""))</f>
        <v>x</v>
      </c>
      <c r="CN87" t="str">
        <f>IF(NOT(ISERROR(HLOOKUP(Standings!CN$3,Entries!$C72:$K72,1,FALSE))),"x",IF(NOT(ISERROR(HLOOKUP(Standings!CN$3,Entries!$L72:$L72,1,FALSE))),"S",""))</f>
        <v/>
      </c>
      <c r="CO87" t="str">
        <f>IF(NOT(ISERROR(HLOOKUP(Standings!CO$3,Entries!$C72:$K72,1,FALSE))),"x",IF(NOT(ISERROR(HLOOKUP(Standings!CO$3,Entries!$L72:$L72,1,FALSE))),"S",""))</f>
        <v/>
      </c>
      <c r="CP87" t="str">
        <f>IF(NOT(ISERROR(HLOOKUP(Standings!CP$3,Entries!$C72:$K72,1,FALSE))),"x",IF(NOT(ISERROR(HLOOKUP(Standings!CP$3,Entries!$L72:$L72,1,FALSE))),"S",""))</f>
        <v/>
      </c>
      <c r="CQ87" t="str">
        <f>IF(NOT(ISERROR(HLOOKUP(Standings!CQ$3,Entries!$C72:$K72,1,FALSE))),"x",IF(NOT(ISERROR(HLOOKUP(Standings!CQ$3,Entries!$L72:$L72,1,FALSE))),"S",""))</f>
        <v>S</v>
      </c>
      <c r="CR87" t="str">
        <f>IF(NOT(ISERROR(HLOOKUP(Standings!CR$3,Entries!$C72:$K72,1,FALSE))),"x",IF(NOT(ISERROR(HLOOKUP(Standings!CR$3,Entries!$L72:$L72,1,FALSE))),"S",""))</f>
        <v/>
      </c>
      <c r="CS87" t="str">
        <f>IF(NOT(ISERROR(HLOOKUP(Standings!CS$3,Entries!$C72:$K72,1,FALSE))),"x",IF(NOT(ISERROR(HLOOKUP(Standings!CS$3,Entries!$L72:$L72,1,FALSE))),"S",""))</f>
        <v/>
      </c>
      <c r="CT87" t="str">
        <f>IF(NOT(ISERROR(HLOOKUP(Standings!CT$3,Entries!$C72:$K72,1,FALSE))),"x",IF(NOT(ISERROR(HLOOKUP(Standings!CT$3,Entries!$L72:$L72,1,FALSE))),"S",""))</f>
        <v/>
      </c>
      <c r="CU87" t="str">
        <f>IF(NOT(ISERROR(HLOOKUP(Standings!CU$3,Entries!$C72:$K72,1,FALSE))),"x",IF(NOT(ISERROR(HLOOKUP(Standings!CU$3,Entries!$L72:$L72,1,FALSE))),"S",""))</f>
        <v>x</v>
      </c>
      <c r="CV87" t="str">
        <f>IF(NOT(ISERROR(HLOOKUP(Standings!CV$3,Entries!$C72:$K72,1,FALSE))),"x",IF(NOT(ISERROR(HLOOKUP(Standings!CV$3,Entries!$L72:$L72,1,FALSE))),"S",""))</f>
        <v/>
      </c>
      <c r="CW87" t="str">
        <f>IF(NOT(ISERROR(HLOOKUP(Standings!CW$3,Entries!$C72:$K72,1,FALSE))),"x",IF(NOT(ISERROR(HLOOKUP(Standings!CW$3,Entries!$L72:$L72,1,FALSE))),"S",""))</f>
        <v/>
      </c>
      <c r="CX87" t="str">
        <f>IF(NOT(ISERROR(HLOOKUP(Standings!CX$3,Entries!$C72:$K72,1,FALSE))),"x",IF(NOT(ISERROR(HLOOKUP(Standings!CX$3,Entries!$L72:$L72,1,FALSE))),"S",""))</f>
        <v/>
      </c>
      <c r="CY87" t="str">
        <f>IF(NOT(ISERROR(HLOOKUP(Standings!CY$3,Entries!$C72:$K72,1,FALSE))),"x",IF(NOT(ISERROR(HLOOKUP(Standings!CY$3,Entries!$L72:$L72,1,FALSE))),"S",""))</f>
        <v/>
      </c>
      <c r="CZ87" t="str">
        <f>IF(NOT(ISERROR(HLOOKUP(Standings!CZ$3,Entries!$C72:$K72,1,FALSE))),"x",IF(NOT(ISERROR(HLOOKUP(Standings!CZ$3,Entries!$L72:$L72,1,FALSE))),"S",""))</f>
        <v>x</v>
      </c>
      <c r="DA87" t="str">
        <f>IF(NOT(ISERROR(HLOOKUP(Standings!DA$3,Entries!$C72:$K72,1,FALSE))),"x",IF(NOT(ISERROR(HLOOKUP(Standings!DA$3,Entries!$L72:$L72,1,FALSE))),"S",""))</f>
        <v/>
      </c>
      <c r="DB87" t="str">
        <f>IF(NOT(ISERROR(HLOOKUP(Standings!DB$3,Entries!$C72:$K72,1,FALSE))),"x",IF(NOT(ISERROR(HLOOKUP(Standings!DB$3,Entries!$L72:$L72,1,FALSE))),"S",""))</f>
        <v/>
      </c>
    </row>
    <row r="88" spans="1:106" x14ac:dyDescent="0.25">
      <c r="B88">
        <v>71</v>
      </c>
      <c r="C88" t="str">
        <f>Entries!B73</f>
        <v>gretameier1</v>
      </c>
      <c r="D88" s="4">
        <f>IF(C88="","",RANK(E88,$E$10:$E$111))</f>
        <v>55</v>
      </c>
      <c r="E88" s="31">
        <f t="shared" si="51"/>
        <v>3</v>
      </c>
      <c r="F88" s="40" t="str">
        <f t="shared" si="99"/>
        <v/>
      </c>
      <c r="G88" s="41" t="str">
        <f t="shared" si="52"/>
        <v/>
      </c>
      <c r="H88" s="41" t="str">
        <f t="shared" si="53"/>
        <v/>
      </c>
      <c r="I88" s="42" t="str">
        <f t="shared" si="54"/>
        <v/>
      </c>
      <c r="J88" s="40" t="str">
        <f t="shared" si="55"/>
        <v/>
      </c>
      <c r="K88" s="41" t="str">
        <f t="shared" si="56"/>
        <v/>
      </c>
      <c r="L88" s="41" t="str">
        <f t="shared" si="57"/>
        <v/>
      </c>
      <c r="M88" s="42" t="str">
        <f t="shared" si="58"/>
        <v/>
      </c>
      <c r="N88" s="43">
        <f t="shared" si="59"/>
        <v>1</v>
      </c>
      <c r="O88" s="41" t="str">
        <f t="shared" si="60"/>
        <v/>
      </c>
      <c r="P88" s="41" t="str">
        <f t="shared" si="61"/>
        <v/>
      </c>
      <c r="Q88" s="42" t="str">
        <f t="shared" si="62"/>
        <v/>
      </c>
      <c r="R88" s="40">
        <f t="shared" si="63"/>
        <v>2</v>
      </c>
      <c r="S88" s="41" t="str">
        <f t="shared" si="64"/>
        <v/>
      </c>
      <c r="T88" s="43" t="str">
        <f t="shared" si="65"/>
        <v/>
      </c>
      <c r="U88" s="42" t="str">
        <f t="shared" si="66"/>
        <v/>
      </c>
      <c r="V88" s="40" t="str">
        <f t="shared" si="67"/>
        <v/>
      </c>
      <c r="W88" s="41" t="str">
        <f t="shared" si="68"/>
        <v/>
      </c>
      <c r="X88" s="41" t="str">
        <f t="shared" si="69"/>
        <v/>
      </c>
      <c r="Y88" s="42" t="str">
        <f t="shared" si="70"/>
        <v/>
      </c>
      <c r="Z88" s="40" t="str">
        <f t="shared" si="71"/>
        <v/>
      </c>
      <c r="AA88" s="41" t="str">
        <f t="shared" si="72"/>
        <v/>
      </c>
      <c r="AB88" s="41">
        <f t="shared" si="73"/>
        <v>0</v>
      </c>
      <c r="AC88" s="42" t="str">
        <f t="shared" si="74"/>
        <v/>
      </c>
      <c r="AD88" s="40" t="str">
        <f t="shared" si="75"/>
        <v/>
      </c>
      <c r="AE88" s="41" t="str">
        <f t="shared" si="76"/>
        <v/>
      </c>
      <c r="AF88" s="41" t="str">
        <f t="shared" si="77"/>
        <v/>
      </c>
      <c r="AG88" s="42" t="str">
        <f t="shared" si="78"/>
        <v/>
      </c>
      <c r="AH88" s="40" t="str">
        <f t="shared" si="79"/>
        <v/>
      </c>
      <c r="AI88" s="41" t="str">
        <f t="shared" si="80"/>
        <v/>
      </c>
      <c r="AJ88" s="41" t="str">
        <f t="shared" si="81"/>
        <v/>
      </c>
      <c r="AK88" s="42" t="str">
        <f t="shared" si="82"/>
        <v/>
      </c>
      <c r="AL88" s="40" t="str">
        <f t="shared" si="83"/>
        <v/>
      </c>
      <c r="AM88" s="41" t="str">
        <f t="shared" si="84"/>
        <v/>
      </c>
      <c r="AN88" s="41" t="str">
        <f t="shared" si="85"/>
        <v/>
      </c>
      <c r="AO88" s="42" t="str">
        <f t="shared" si="86"/>
        <v/>
      </c>
      <c r="AP88" s="40" t="str">
        <f t="shared" si="87"/>
        <v/>
      </c>
      <c r="AQ88" s="41" t="str">
        <f t="shared" si="88"/>
        <v/>
      </c>
      <c r="AR88" s="41" t="str">
        <f t="shared" si="89"/>
        <v/>
      </c>
      <c r="AS88" s="42" t="str">
        <f t="shared" si="90"/>
        <v/>
      </c>
      <c r="AT88" s="40" t="str">
        <f t="shared" si="91"/>
        <v/>
      </c>
      <c r="AU88" s="41" t="str">
        <f t="shared" si="92"/>
        <v/>
      </c>
      <c r="AV88" s="41" t="str">
        <f t="shared" si="93"/>
        <v/>
      </c>
      <c r="AW88" s="42" t="str">
        <f t="shared" si="94"/>
        <v/>
      </c>
      <c r="AX88" s="40" t="str">
        <f t="shared" si="95"/>
        <v/>
      </c>
      <c r="AY88" s="41">
        <f t="shared" si="96"/>
        <v>0</v>
      </c>
      <c r="AZ88" s="41" t="str">
        <f t="shared" si="97"/>
        <v/>
      </c>
      <c r="BA88" s="42" t="str">
        <f t="shared" si="98"/>
        <v/>
      </c>
      <c r="BB88" s="37" t="s">
        <v>106</v>
      </c>
      <c r="BC88" s="21"/>
      <c r="BD88" s="21"/>
      <c r="BG88" t="str">
        <f>IF(NOT(ISERROR(HLOOKUP(Standings!BG$3,Entries!$C73:$K73,1,FALSE))),"x",IF(NOT(ISERROR(HLOOKUP(Standings!BG$3,Entries!$L73:$L73,1,FALSE))),"S",""))</f>
        <v/>
      </c>
      <c r="BH88" t="str">
        <f>IF(NOT(ISERROR(HLOOKUP(Standings!BH$3,Entries!$C73:$K73,1,FALSE))),"x",IF(NOT(ISERROR(HLOOKUP(Standings!BH$3,Entries!$L73:$L73,1,FALSE))),"S",""))</f>
        <v/>
      </c>
      <c r="BI88" t="str">
        <f>IF(NOT(ISERROR(HLOOKUP(Standings!BI$3,Entries!$C73:$K73,1,FALSE))),"x",IF(NOT(ISERROR(HLOOKUP(Standings!BI$3,Entries!$L73:$L73,1,FALSE))),"S",""))</f>
        <v/>
      </c>
      <c r="BJ88" t="str">
        <f>IF(NOT(ISERROR(HLOOKUP(Standings!BJ$3,Entries!$C73:$K73,1,FALSE))),"x",IF(NOT(ISERROR(HLOOKUP(Standings!BJ$3,Entries!$L73:$L73,1,FALSE))),"S",""))</f>
        <v/>
      </c>
      <c r="BK88" t="str">
        <f>IF(NOT(ISERROR(HLOOKUP(Standings!BK$3,Entries!$C73:$K73,1,FALSE))),"x",IF(NOT(ISERROR(HLOOKUP(Standings!BK$3,Entries!$L73:$L73,1,FALSE))),"S",""))</f>
        <v/>
      </c>
      <c r="BL88" t="str">
        <f>IF(NOT(ISERROR(HLOOKUP(Standings!BL$3,Entries!$C73:$K73,1,FALSE))),"x",IF(NOT(ISERROR(HLOOKUP(Standings!BL$3,Entries!$L73:$L73,1,FALSE))),"S",""))</f>
        <v/>
      </c>
      <c r="BM88" t="str">
        <f>IF(NOT(ISERROR(HLOOKUP(Standings!BM$3,Entries!$C73:$K73,1,FALSE))),"x",IF(NOT(ISERROR(HLOOKUP(Standings!BM$3,Entries!$L73:$L73,1,FALSE))),"S",""))</f>
        <v/>
      </c>
      <c r="BN88" t="str">
        <f>IF(NOT(ISERROR(HLOOKUP(Standings!BN$3,Entries!$C73:$K73,1,FALSE))),"x",IF(NOT(ISERROR(HLOOKUP(Standings!BN$3,Entries!$L73:$L73,1,FALSE))),"S",""))</f>
        <v/>
      </c>
      <c r="BO88" t="str">
        <f>IF(NOT(ISERROR(HLOOKUP(Standings!BO$3,Entries!$C73:$K73,1,FALSE))),"x",IF(NOT(ISERROR(HLOOKUP(Standings!BO$3,Entries!$L73:$L73,1,FALSE))),"S",""))</f>
        <v>x</v>
      </c>
      <c r="BP88" t="str">
        <f>IF(NOT(ISERROR(HLOOKUP(Standings!BP$3,Entries!$C73:$K73,1,FALSE))),"x",IF(NOT(ISERROR(HLOOKUP(Standings!BP$3,Entries!$L73:$L73,1,FALSE))),"S",""))</f>
        <v/>
      </c>
      <c r="BQ88" t="str">
        <f>IF(NOT(ISERROR(HLOOKUP(Standings!BQ$3,Entries!$C73:$K73,1,FALSE))),"x",IF(NOT(ISERROR(HLOOKUP(Standings!BQ$3,Entries!$L73:$L73,1,FALSE))),"S",""))</f>
        <v/>
      </c>
      <c r="BR88" t="str">
        <f>IF(NOT(ISERROR(HLOOKUP(Standings!BR$3,Entries!$C73:$K73,1,FALSE))),"x",IF(NOT(ISERROR(HLOOKUP(Standings!BR$3,Entries!$L73:$L73,1,FALSE))),"S",""))</f>
        <v/>
      </c>
      <c r="BS88" t="str">
        <f>IF(NOT(ISERROR(HLOOKUP(Standings!BS$3,Entries!$C73:$K73,1,FALSE))),"x",IF(NOT(ISERROR(HLOOKUP(Standings!BS$3,Entries!$L73:$L73,1,FALSE))),"S",""))</f>
        <v>x</v>
      </c>
      <c r="BT88" t="str">
        <f>IF(NOT(ISERROR(HLOOKUP(Standings!BT$3,Entries!$C73:$K73,1,FALSE))),"x",IF(NOT(ISERROR(HLOOKUP(Standings!BT$3,Entries!$L73:$L73,1,FALSE))),"S",""))</f>
        <v/>
      </c>
      <c r="BU88" t="str">
        <f>IF(NOT(ISERROR(HLOOKUP(Standings!BU$3,Entries!$C73:$K73,1,FALSE))),"x",IF(NOT(ISERROR(HLOOKUP(Standings!BU$3,Entries!$L73:$L73,1,FALSE))),"S",""))</f>
        <v/>
      </c>
      <c r="BV88" t="str">
        <f>IF(NOT(ISERROR(HLOOKUP(Standings!BV$3,Entries!$C73:$K73,1,FALSE))),"x",IF(NOT(ISERROR(HLOOKUP(Standings!BV$3,Entries!$L73:$L73,1,FALSE))),"S",""))</f>
        <v/>
      </c>
      <c r="BW88" t="str">
        <f>IF(NOT(ISERROR(HLOOKUP(Standings!BW$3,Entries!$C73:$K73,1,FALSE))),"x",IF(NOT(ISERROR(HLOOKUP(Standings!BW$3,Entries!$L73:$L73,1,FALSE))),"S",""))</f>
        <v/>
      </c>
      <c r="BX88" t="str">
        <f>IF(NOT(ISERROR(HLOOKUP(Standings!BX$3,Entries!$C73:$K73,1,FALSE))),"x",IF(NOT(ISERROR(HLOOKUP(Standings!BX$3,Entries!$L73:$L73,1,FALSE))),"S",""))</f>
        <v/>
      </c>
      <c r="BY88" t="str">
        <f>IF(NOT(ISERROR(HLOOKUP(Standings!BY$3,Entries!$C73:$K73,1,FALSE))),"x",IF(NOT(ISERROR(HLOOKUP(Standings!BY$3,Entries!$L73:$L73,1,FALSE))),"S",""))</f>
        <v/>
      </c>
      <c r="BZ88" t="str">
        <f>IF(NOT(ISERROR(HLOOKUP(Standings!BZ$3,Entries!$C73:$K73,1,FALSE))),"x",IF(NOT(ISERROR(HLOOKUP(Standings!BZ$3,Entries!$L73:$L73,1,FALSE))),"S",""))</f>
        <v/>
      </c>
      <c r="CA88" t="str">
        <f>IF(NOT(ISERROR(HLOOKUP(Standings!CA$3,Entries!$C73:$K73,1,FALSE))),"x",IF(NOT(ISERROR(HLOOKUP(Standings!CA$3,Entries!$L73:$L73,1,FALSE))),"S",""))</f>
        <v/>
      </c>
      <c r="CB88" t="str">
        <f>IF(NOT(ISERROR(HLOOKUP(Standings!CB$3,Entries!$C73:$K73,1,FALSE))),"x",IF(NOT(ISERROR(HLOOKUP(Standings!CB$3,Entries!$L73:$L73,1,FALSE))),"S",""))</f>
        <v/>
      </c>
      <c r="CC88" t="str">
        <f>IF(NOT(ISERROR(HLOOKUP(Standings!CC$3,Entries!$C73:$K73,1,FALSE))),"x",IF(NOT(ISERROR(HLOOKUP(Standings!CC$3,Entries!$L73:$L73,1,FALSE))),"S",""))</f>
        <v>x</v>
      </c>
      <c r="CD88" t="str">
        <f>IF(NOT(ISERROR(HLOOKUP(Standings!CD$3,Entries!$C73:$K73,1,FALSE))),"x",IF(NOT(ISERROR(HLOOKUP(Standings!CD$3,Entries!$L73:$L73,1,FALSE))),"S",""))</f>
        <v/>
      </c>
      <c r="CE88" t="str">
        <f>IF(NOT(ISERROR(HLOOKUP(Standings!CE$3,Entries!$C73:$K73,1,FALSE))),"x",IF(NOT(ISERROR(HLOOKUP(Standings!CE$3,Entries!$L73:$L73,1,FALSE))),"S",""))</f>
        <v/>
      </c>
      <c r="CF88" t="str">
        <f>IF(NOT(ISERROR(HLOOKUP(Standings!CF$3,Entries!$C73:$K73,1,FALSE))),"x",IF(NOT(ISERROR(HLOOKUP(Standings!CF$3,Entries!$L73:$L73,1,FALSE))),"S",""))</f>
        <v/>
      </c>
      <c r="CG88" t="str">
        <f>IF(NOT(ISERROR(HLOOKUP(Standings!CG$3,Entries!$C73:$K73,1,FALSE))),"x",IF(NOT(ISERROR(HLOOKUP(Standings!CG$3,Entries!$L73:$L73,1,FALSE))),"S",""))</f>
        <v/>
      </c>
      <c r="CH88" t="str">
        <f>IF(NOT(ISERROR(HLOOKUP(Standings!CH$3,Entries!$C73:$K73,1,FALSE))),"x",IF(NOT(ISERROR(HLOOKUP(Standings!CH$3,Entries!$L73:$L73,1,FALSE))),"S",""))</f>
        <v/>
      </c>
      <c r="CI88" t="str">
        <f>IF(NOT(ISERROR(HLOOKUP(Standings!CI$3,Entries!$C73:$K73,1,FALSE))),"x",IF(NOT(ISERROR(HLOOKUP(Standings!CI$3,Entries!$L73:$L73,1,FALSE))),"S",""))</f>
        <v/>
      </c>
      <c r="CJ88" t="str">
        <f>IF(NOT(ISERROR(HLOOKUP(Standings!CJ$3,Entries!$C73:$K73,1,FALSE))),"x",IF(NOT(ISERROR(HLOOKUP(Standings!CJ$3,Entries!$L73:$L73,1,FALSE))),"S",""))</f>
        <v/>
      </c>
      <c r="CK88" t="str">
        <f>IF(NOT(ISERROR(HLOOKUP(Standings!CK$3,Entries!$C73:$K73,1,FALSE))),"x",IF(NOT(ISERROR(HLOOKUP(Standings!CK$3,Entries!$L73:$L73,1,FALSE))),"S",""))</f>
        <v/>
      </c>
      <c r="CL88" t="str">
        <f>IF(NOT(ISERROR(HLOOKUP(Standings!CL$3,Entries!$C73:$K73,1,FALSE))),"x",IF(NOT(ISERROR(HLOOKUP(Standings!CL$3,Entries!$L73:$L73,1,FALSE))),"S",""))</f>
        <v/>
      </c>
      <c r="CM88" t="str">
        <f>IF(NOT(ISERROR(HLOOKUP(Standings!CM$3,Entries!$C73:$K73,1,FALSE))),"x",IF(NOT(ISERROR(HLOOKUP(Standings!CM$3,Entries!$L73:$L73,1,FALSE))),"S",""))</f>
        <v/>
      </c>
      <c r="CN88" t="str">
        <f>IF(NOT(ISERROR(HLOOKUP(Standings!CN$3,Entries!$C73:$K73,1,FALSE))),"x",IF(NOT(ISERROR(HLOOKUP(Standings!CN$3,Entries!$L73:$L73,1,FALSE))),"S",""))</f>
        <v/>
      </c>
      <c r="CO88" t="str">
        <f>IF(NOT(ISERROR(HLOOKUP(Standings!CO$3,Entries!$C73:$K73,1,FALSE))),"x",IF(NOT(ISERROR(HLOOKUP(Standings!CO$3,Entries!$L73:$L73,1,FALSE))),"S",""))</f>
        <v/>
      </c>
      <c r="CP88" t="str">
        <f>IF(NOT(ISERROR(HLOOKUP(Standings!CP$3,Entries!$C73:$K73,1,FALSE))),"x",IF(NOT(ISERROR(HLOOKUP(Standings!CP$3,Entries!$L73:$L73,1,FALSE))),"S",""))</f>
        <v/>
      </c>
      <c r="CQ88" t="str">
        <f>IF(NOT(ISERROR(HLOOKUP(Standings!CQ$3,Entries!$C73:$K73,1,FALSE))),"x",IF(NOT(ISERROR(HLOOKUP(Standings!CQ$3,Entries!$L73:$L73,1,FALSE))),"S",""))</f>
        <v/>
      </c>
      <c r="CR88" t="str">
        <f>IF(NOT(ISERROR(HLOOKUP(Standings!CR$3,Entries!$C73:$K73,1,FALSE))),"x",IF(NOT(ISERROR(HLOOKUP(Standings!CR$3,Entries!$L73:$L73,1,FALSE))),"S",""))</f>
        <v/>
      </c>
      <c r="CS88" t="str">
        <f>IF(NOT(ISERROR(HLOOKUP(Standings!CS$3,Entries!$C73:$K73,1,FALSE))),"x",IF(NOT(ISERROR(HLOOKUP(Standings!CS$3,Entries!$L73:$L73,1,FALSE))),"S",""))</f>
        <v/>
      </c>
      <c r="CT88" t="str">
        <f>IF(NOT(ISERROR(HLOOKUP(Standings!CT$3,Entries!$C73:$K73,1,FALSE))),"x",IF(NOT(ISERROR(HLOOKUP(Standings!CT$3,Entries!$L73:$L73,1,FALSE))),"S",""))</f>
        <v/>
      </c>
      <c r="CU88" t="str">
        <f>IF(NOT(ISERROR(HLOOKUP(Standings!CU$3,Entries!$C73:$K73,1,FALSE))),"x",IF(NOT(ISERROR(HLOOKUP(Standings!CU$3,Entries!$L73:$L73,1,FALSE))),"S",""))</f>
        <v/>
      </c>
      <c r="CV88" t="str">
        <f>IF(NOT(ISERROR(HLOOKUP(Standings!CV$3,Entries!$C73:$K73,1,FALSE))),"x",IF(NOT(ISERROR(HLOOKUP(Standings!CV$3,Entries!$L73:$L73,1,FALSE))),"S",""))</f>
        <v/>
      </c>
      <c r="CW88" t="str">
        <f>IF(NOT(ISERROR(HLOOKUP(Standings!CW$3,Entries!$C73:$K73,1,FALSE))),"x",IF(NOT(ISERROR(HLOOKUP(Standings!CW$3,Entries!$L73:$L73,1,FALSE))),"S",""))</f>
        <v/>
      </c>
      <c r="CX88" t="str">
        <f>IF(NOT(ISERROR(HLOOKUP(Standings!CX$3,Entries!$C73:$K73,1,FALSE))),"x",IF(NOT(ISERROR(HLOOKUP(Standings!CX$3,Entries!$L73:$L73,1,FALSE))),"S",""))</f>
        <v/>
      </c>
      <c r="CY88" t="str">
        <f>IF(NOT(ISERROR(HLOOKUP(Standings!CY$3,Entries!$C73:$K73,1,FALSE))),"x",IF(NOT(ISERROR(HLOOKUP(Standings!CY$3,Entries!$L73:$L73,1,FALSE))),"S",""))</f>
        <v/>
      </c>
      <c r="CZ88" t="str">
        <f>IF(NOT(ISERROR(HLOOKUP(Standings!CZ$3,Entries!$C73:$K73,1,FALSE))),"x",IF(NOT(ISERROR(HLOOKUP(Standings!CZ$3,Entries!$L73:$L73,1,FALSE))),"S",""))</f>
        <v>x</v>
      </c>
      <c r="DA88" t="str">
        <f>IF(NOT(ISERROR(HLOOKUP(Standings!DA$3,Entries!$C73:$K73,1,FALSE))),"x",IF(NOT(ISERROR(HLOOKUP(Standings!DA$3,Entries!$L73:$L73,1,FALSE))),"S",""))</f>
        <v/>
      </c>
      <c r="DB88" t="str">
        <f>IF(NOT(ISERROR(HLOOKUP(Standings!DB$3,Entries!$C73:$K73,1,FALSE))),"x",IF(NOT(ISERROR(HLOOKUP(Standings!DB$3,Entries!$L73:$L73,1,FALSE))),"S",""))</f>
        <v/>
      </c>
    </row>
    <row r="89" spans="1:106" x14ac:dyDescent="0.25">
      <c r="A89" s="18"/>
      <c r="B89">
        <v>26</v>
      </c>
      <c r="C89" t="str">
        <f>Entries!B74</f>
        <v>Schultzy1</v>
      </c>
      <c r="D89" s="4">
        <f>IF(C89="","",RANK(E89,$E$10:$E$111))</f>
        <v>32</v>
      </c>
      <c r="E89" s="31">
        <f t="shared" si="51"/>
        <v>4</v>
      </c>
      <c r="F89" s="40" t="str">
        <f t="shared" si="99"/>
        <v/>
      </c>
      <c r="G89" s="41" t="str">
        <f t="shared" si="52"/>
        <v/>
      </c>
      <c r="H89" s="41" t="str">
        <f t="shared" si="53"/>
        <v/>
      </c>
      <c r="I89" s="42" t="str">
        <f t="shared" si="54"/>
        <v/>
      </c>
      <c r="J89" s="40" t="str">
        <f t="shared" si="55"/>
        <v/>
      </c>
      <c r="K89" s="41" t="str">
        <f t="shared" si="56"/>
        <v/>
      </c>
      <c r="L89" s="41" t="str">
        <f t="shared" si="57"/>
        <v/>
      </c>
      <c r="M89" s="42" t="str">
        <f t="shared" si="58"/>
        <v/>
      </c>
      <c r="N89" s="43">
        <f t="shared" si="59"/>
        <v>1</v>
      </c>
      <c r="O89" s="41" t="str">
        <f t="shared" si="60"/>
        <v/>
      </c>
      <c r="P89" s="41" t="str">
        <f t="shared" si="61"/>
        <v/>
      </c>
      <c r="Q89" s="42" t="str">
        <f t="shared" si="62"/>
        <v/>
      </c>
      <c r="R89" s="40" t="str">
        <f t="shared" si="63"/>
        <v/>
      </c>
      <c r="S89" s="41" t="str">
        <f t="shared" si="64"/>
        <v/>
      </c>
      <c r="T89" s="43">
        <f t="shared" si="65"/>
        <v>2</v>
      </c>
      <c r="U89" s="42" t="str">
        <f t="shared" si="66"/>
        <v/>
      </c>
      <c r="V89" s="40">
        <f t="shared" si="67"/>
        <v>-2.0000100000000001</v>
      </c>
      <c r="W89" s="41" t="str">
        <f t="shared" si="68"/>
        <v/>
      </c>
      <c r="X89" s="41" t="str">
        <f t="shared" si="69"/>
        <v/>
      </c>
      <c r="Y89" s="42" t="str">
        <f t="shared" si="70"/>
        <v/>
      </c>
      <c r="Z89" s="40" t="str">
        <f t="shared" si="71"/>
        <v/>
      </c>
      <c r="AA89" s="41" t="str">
        <f t="shared" si="72"/>
        <v/>
      </c>
      <c r="AB89" s="41" t="str">
        <f t="shared" si="73"/>
        <v/>
      </c>
      <c r="AC89" s="42" t="str">
        <f t="shared" si="74"/>
        <v/>
      </c>
      <c r="AD89" s="40" t="str">
        <f t="shared" si="75"/>
        <v/>
      </c>
      <c r="AE89" s="41">
        <f t="shared" si="76"/>
        <v>1</v>
      </c>
      <c r="AF89" s="41" t="str">
        <f t="shared" si="77"/>
        <v/>
      </c>
      <c r="AG89" s="42">
        <f t="shared" si="78"/>
        <v>1</v>
      </c>
      <c r="AH89" s="40">
        <f t="shared" si="79"/>
        <v>1</v>
      </c>
      <c r="AI89" s="41" t="str">
        <f t="shared" si="80"/>
        <v/>
      </c>
      <c r="AJ89" s="41" t="str">
        <f t="shared" si="81"/>
        <v/>
      </c>
      <c r="AK89" s="42" t="str">
        <f t="shared" si="82"/>
        <v/>
      </c>
      <c r="AL89" s="40" t="str">
        <f t="shared" si="83"/>
        <v/>
      </c>
      <c r="AM89" s="41" t="str">
        <f t="shared" si="84"/>
        <v/>
      </c>
      <c r="AN89" s="41" t="str">
        <f t="shared" si="85"/>
        <v/>
      </c>
      <c r="AO89" s="42" t="str">
        <f t="shared" si="86"/>
        <v/>
      </c>
      <c r="AP89" s="40" t="str">
        <f t="shared" si="87"/>
        <v/>
      </c>
      <c r="AQ89" s="41" t="str">
        <f t="shared" si="88"/>
        <v/>
      </c>
      <c r="AR89" s="41" t="str">
        <f t="shared" si="89"/>
        <v/>
      </c>
      <c r="AS89" s="42" t="str">
        <f t="shared" si="90"/>
        <v/>
      </c>
      <c r="AT89" s="40" t="str">
        <f t="shared" si="91"/>
        <v/>
      </c>
      <c r="AU89" s="41" t="str">
        <f t="shared" si="92"/>
        <v/>
      </c>
      <c r="AV89" s="41" t="str">
        <f t="shared" si="93"/>
        <v/>
      </c>
      <c r="AW89" s="42" t="str">
        <f t="shared" si="94"/>
        <v/>
      </c>
      <c r="AX89" s="40" t="str">
        <f t="shared" si="95"/>
        <v/>
      </c>
      <c r="AY89" s="41" t="str">
        <f t="shared" si="96"/>
        <v/>
      </c>
      <c r="AZ89" s="41" t="str">
        <f t="shared" si="97"/>
        <v/>
      </c>
      <c r="BA89" s="42" t="str">
        <f t="shared" si="98"/>
        <v/>
      </c>
      <c r="BB89" s="37" t="s">
        <v>106</v>
      </c>
      <c r="BC89" s="21"/>
      <c r="BD89" s="21"/>
      <c r="BG89" t="str">
        <f>IF(NOT(ISERROR(HLOOKUP(Standings!BG$3,Entries!$C74:$K74,1,FALSE))),"x",IF(NOT(ISERROR(HLOOKUP(Standings!BG$3,Entries!$L74:$L74,1,FALSE))),"S",""))</f>
        <v/>
      </c>
      <c r="BH89" t="str">
        <f>IF(NOT(ISERROR(HLOOKUP(Standings!BH$3,Entries!$C74:$K74,1,FALSE))),"x",IF(NOT(ISERROR(HLOOKUP(Standings!BH$3,Entries!$L74:$L74,1,FALSE))),"S",""))</f>
        <v/>
      </c>
      <c r="BI89" t="str">
        <f>IF(NOT(ISERROR(HLOOKUP(Standings!BI$3,Entries!$C74:$K74,1,FALSE))),"x",IF(NOT(ISERROR(HLOOKUP(Standings!BI$3,Entries!$L74:$L74,1,FALSE))),"S",""))</f>
        <v/>
      </c>
      <c r="BJ89" t="str">
        <f>IF(NOT(ISERROR(HLOOKUP(Standings!BJ$3,Entries!$C74:$K74,1,FALSE))),"x",IF(NOT(ISERROR(HLOOKUP(Standings!BJ$3,Entries!$L74:$L74,1,FALSE))),"S",""))</f>
        <v/>
      </c>
      <c r="BK89" t="str">
        <f>IF(NOT(ISERROR(HLOOKUP(Standings!BK$3,Entries!$C74:$K74,1,FALSE))),"x",IF(NOT(ISERROR(HLOOKUP(Standings!BK$3,Entries!$L74:$L74,1,FALSE))),"S",""))</f>
        <v/>
      </c>
      <c r="BL89" t="str">
        <f>IF(NOT(ISERROR(HLOOKUP(Standings!BL$3,Entries!$C74:$K74,1,FALSE))),"x",IF(NOT(ISERROR(HLOOKUP(Standings!BL$3,Entries!$L74:$L74,1,FALSE))),"S",""))</f>
        <v/>
      </c>
      <c r="BM89" t="str">
        <f>IF(NOT(ISERROR(HLOOKUP(Standings!BM$3,Entries!$C74:$K74,1,FALSE))),"x",IF(NOT(ISERROR(HLOOKUP(Standings!BM$3,Entries!$L74:$L74,1,FALSE))),"S",""))</f>
        <v/>
      </c>
      <c r="BN89" t="str">
        <f>IF(NOT(ISERROR(HLOOKUP(Standings!BN$3,Entries!$C74:$K74,1,FALSE))),"x",IF(NOT(ISERROR(HLOOKUP(Standings!BN$3,Entries!$L74:$L74,1,FALSE))),"S",""))</f>
        <v/>
      </c>
      <c r="BO89" t="str">
        <f>IF(NOT(ISERROR(HLOOKUP(Standings!BO$3,Entries!$C74:$K74,1,FALSE))),"x",IF(NOT(ISERROR(HLOOKUP(Standings!BO$3,Entries!$L74:$L74,1,FALSE))),"S",""))</f>
        <v>x</v>
      </c>
      <c r="BP89" t="str">
        <f>IF(NOT(ISERROR(HLOOKUP(Standings!BP$3,Entries!$C74:$K74,1,FALSE))),"x",IF(NOT(ISERROR(HLOOKUP(Standings!BP$3,Entries!$L74:$L74,1,FALSE))),"S",""))</f>
        <v/>
      </c>
      <c r="BQ89" t="str">
        <f>IF(NOT(ISERROR(HLOOKUP(Standings!BQ$3,Entries!$C74:$K74,1,FALSE))),"x",IF(NOT(ISERROR(HLOOKUP(Standings!BQ$3,Entries!$L74:$L74,1,FALSE))),"S",""))</f>
        <v/>
      </c>
      <c r="BR89" t="str">
        <f>IF(NOT(ISERROR(HLOOKUP(Standings!BR$3,Entries!$C74:$K74,1,FALSE))),"x",IF(NOT(ISERROR(HLOOKUP(Standings!BR$3,Entries!$L74:$L74,1,FALSE))),"S",""))</f>
        <v/>
      </c>
      <c r="BS89" t="str">
        <f>IF(NOT(ISERROR(HLOOKUP(Standings!BS$3,Entries!$C74:$K74,1,FALSE))),"x",IF(NOT(ISERROR(HLOOKUP(Standings!BS$3,Entries!$L74:$L74,1,FALSE))),"S",""))</f>
        <v/>
      </c>
      <c r="BT89" t="str">
        <f>IF(NOT(ISERROR(HLOOKUP(Standings!BT$3,Entries!$C74:$K74,1,FALSE))),"x",IF(NOT(ISERROR(HLOOKUP(Standings!BT$3,Entries!$L74:$L74,1,FALSE))),"S",""))</f>
        <v/>
      </c>
      <c r="BU89" t="str">
        <f>IF(NOT(ISERROR(HLOOKUP(Standings!BU$3,Entries!$C74:$K74,1,FALSE))),"x",IF(NOT(ISERROR(HLOOKUP(Standings!BU$3,Entries!$L74:$L74,1,FALSE))),"S",""))</f>
        <v>x</v>
      </c>
      <c r="BV89" t="str">
        <f>IF(NOT(ISERROR(HLOOKUP(Standings!BV$3,Entries!$C74:$K74,1,FALSE))),"x",IF(NOT(ISERROR(HLOOKUP(Standings!BV$3,Entries!$L74:$L74,1,FALSE))),"S",""))</f>
        <v/>
      </c>
      <c r="BW89" t="str">
        <f>IF(NOT(ISERROR(HLOOKUP(Standings!BW$3,Entries!$C74:$K74,1,FALSE))),"x",IF(NOT(ISERROR(HLOOKUP(Standings!BW$3,Entries!$L74:$L74,1,FALSE))),"S",""))</f>
        <v>S</v>
      </c>
      <c r="BX89" t="str">
        <f>IF(NOT(ISERROR(HLOOKUP(Standings!BX$3,Entries!$C74:$K74,1,FALSE))),"x",IF(NOT(ISERROR(HLOOKUP(Standings!BX$3,Entries!$L74:$L74,1,FALSE))),"S",""))</f>
        <v/>
      </c>
      <c r="BY89" t="str">
        <f>IF(NOT(ISERROR(HLOOKUP(Standings!BY$3,Entries!$C74:$K74,1,FALSE))),"x",IF(NOT(ISERROR(HLOOKUP(Standings!BY$3,Entries!$L74:$L74,1,FALSE))),"S",""))</f>
        <v/>
      </c>
      <c r="BZ89" t="str">
        <f>IF(NOT(ISERROR(HLOOKUP(Standings!BZ$3,Entries!$C74:$K74,1,FALSE))),"x",IF(NOT(ISERROR(HLOOKUP(Standings!BZ$3,Entries!$L74:$L74,1,FALSE))),"S",""))</f>
        <v/>
      </c>
      <c r="CA89" t="str">
        <f>IF(NOT(ISERROR(HLOOKUP(Standings!CA$3,Entries!$C74:$K74,1,FALSE))),"x",IF(NOT(ISERROR(HLOOKUP(Standings!CA$3,Entries!$L74:$L74,1,FALSE))),"S",""))</f>
        <v/>
      </c>
      <c r="CB89" t="str">
        <f>IF(NOT(ISERROR(HLOOKUP(Standings!CB$3,Entries!$C74:$K74,1,FALSE))),"x",IF(NOT(ISERROR(HLOOKUP(Standings!CB$3,Entries!$L74:$L74,1,FALSE))),"S",""))</f>
        <v/>
      </c>
      <c r="CC89" t="str">
        <f>IF(NOT(ISERROR(HLOOKUP(Standings!CC$3,Entries!$C74:$K74,1,FALSE))),"x",IF(NOT(ISERROR(HLOOKUP(Standings!CC$3,Entries!$L74:$L74,1,FALSE))),"S",""))</f>
        <v/>
      </c>
      <c r="CD89" t="str">
        <f>IF(NOT(ISERROR(HLOOKUP(Standings!CD$3,Entries!$C74:$K74,1,FALSE))),"x",IF(NOT(ISERROR(HLOOKUP(Standings!CD$3,Entries!$L74:$L74,1,FALSE))),"S",""))</f>
        <v/>
      </c>
      <c r="CE89" t="str">
        <f>IF(NOT(ISERROR(HLOOKUP(Standings!CE$3,Entries!$C74:$K74,1,FALSE))),"x",IF(NOT(ISERROR(HLOOKUP(Standings!CE$3,Entries!$L74:$L74,1,FALSE))),"S",""))</f>
        <v/>
      </c>
      <c r="CF89" t="str">
        <f>IF(NOT(ISERROR(HLOOKUP(Standings!CF$3,Entries!$C74:$K74,1,FALSE))),"x",IF(NOT(ISERROR(HLOOKUP(Standings!CF$3,Entries!$L74:$L74,1,FALSE))),"S",""))</f>
        <v>x</v>
      </c>
      <c r="CG89" t="str">
        <f>IF(NOT(ISERROR(HLOOKUP(Standings!CG$3,Entries!$C74:$K74,1,FALSE))),"x",IF(NOT(ISERROR(HLOOKUP(Standings!CG$3,Entries!$L74:$L74,1,FALSE))),"S",""))</f>
        <v/>
      </c>
      <c r="CH89" t="str">
        <f>IF(NOT(ISERROR(HLOOKUP(Standings!CH$3,Entries!$C74:$K74,1,FALSE))),"x",IF(NOT(ISERROR(HLOOKUP(Standings!CH$3,Entries!$L74:$L74,1,FALSE))),"S",""))</f>
        <v>x</v>
      </c>
      <c r="CI89" t="str">
        <f>IF(NOT(ISERROR(HLOOKUP(Standings!CI$3,Entries!$C74:$K74,1,FALSE))),"x",IF(NOT(ISERROR(HLOOKUP(Standings!CI$3,Entries!$L74:$L74,1,FALSE))),"S",""))</f>
        <v>x</v>
      </c>
      <c r="CJ89" t="str">
        <f>IF(NOT(ISERROR(HLOOKUP(Standings!CJ$3,Entries!$C74:$K74,1,FALSE))),"x",IF(NOT(ISERROR(HLOOKUP(Standings!CJ$3,Entries!$L74:$L74,1,FALSE))),"S",""))</f>
        <v/>
      </c>
      <c r="CK89" t="str">
        <f>IF(NOT(ISERROR(HLOOKUP(Standings!CK$3,Entries!$C74:$K74,1,FALSE))),"x",IF(NOT(ISERROR(HLOOKUP(Standings!CK$3,Entries!$L74:$L74,1,FALSE))),"S",""))</f>
        <v/>
      </c>
      <c r="CL89" t="str">
        <f>IF(NOT(ISERROR(HLOOKUP(Standings!CL$3,Entries!$C74:$K74,1,FALSE))),"x",IF(NOT(ISERROR(HLOOKUP(Standings!CL$3,Entries!$L74:$L74,1,FALSE))),"S",""))</f>
        <v/>
      </c>
      <c r="CM89" t="str">
        <f>IF(NOT(ISERROR(HLOOKUP(Standings!CM$3,Entries!$C74:$K74,1,FALSE))),"x",IF(NOT(ISERROR(HLOOKUP(Standings!CM$3,Entries!$L74:$L74,1,FALSE))),"S",""))</f>
        <v/>
      </c>
      <c r="CN89" t="str">
        <f>IF(NOT(ISERROR(HLOOKUP(Standings!CN$3,Entries!$C74:$K74,1,FALSE))),"x",IF(NOT(ISERROR(HLOOKUP(Standings!CN$3,Entries!$L74:$L74,1,FALSE))),"S",""))</f>
        <v/>
      </c>
      <c r="CO89" t="str">
        <f>IF(NOT(ISERROR(HLOOKUP(Standings!CO$3,Entries!$C74:$K74,1,FALSE))),"x",IF(NOT(ISERROR(HLOOKUP(Standings!CO$3,Entries!$L74:$L74,1,FALSE))),"S",""))</f>
        <v/>
      </c>
      <c r="CP89" t="str">
        <f>IF(NOT(ISERROR(HLOOKUP(Standings!CP$3,Entries!$C74:$K74,1,FALSE))),"x",IF(NOT(ISERROR(HLOOKUP(Standings!CP$3,Entries!$L74:$L74,1,FALSE))),"S",""))</f>
        <v/>
      </c>
      <c r="CQ89" t="str">
        <f>IF(NOT(ISERROR(HLOOKUP(Standings!CQ$3,Entries!$C74:$K74,1,FALSE))),"x",IF(NOT(ISERROR(HLOOKUP(Standings!CQ$3,Entries!$L74:$L74,1,FALSE))),"S",""))</f>
        <v/>
      </c>
      <c r="CR89" t="str">
        <f>IF(NOT(ISERROR(HLOOKUP(Standings!CR$3,Entries!$C74:$K74,1,FALSE))),"x",IF(NOT(ISERROR(HLOOKUP(Standings!CR$3,Entries!$L74:$L74,1,FALSE))),"S",""))</f>
        <v/>
      </c>
      <c r="CS89" t="str">
        <f>IF(NOT(ISERROR(HLOOKUP(Standings!CS$3,Entries!$C74:$K74,1,FALSE))),"x",IF(NOT(ISERROR(HLOOKUP(Standings!CS$3,Entries!$L74:$L74,1,FALSE))),"S",""))</f>
        <v/>
      </c>
      <c r="CT89" t="str">
        <f>IF(NOT(ISERROR(HLOOKUP(Standings!CT$3,Entries!$C74:$K74,1,FALSE))),"x",IF(NOT(ISERROR(HLOOKUP(Standings!CT$3,Entries!$L74:$L74,1,FALSE))),"S",""))</f>
        <v/>
      </c>
      <c r="CU89" t="str">
        <f>IF(NOT(ISERROR(HLOOKUP(Standings!CU$3,Entries!$C74:$K74,1,FALSE))),"x",IF(NOT(ISERROR(HLOOKUP(Standings!CU$3,Entries!$L74:$L74,1,FALSE))),"S",""))</f>
        <v/>
      </c>
      <c r="CV89" t="str">
        <f>IF(NOT(ISERROR(HLOOKUP(Standings!CV$3,Entries!$C74:$K74,1,FALSE))),"x",IF(NOT(ISERROR(HLOOKUP(Standings!CV$3,Entries!$L74:$L74,1,FALSE))),"S",""))</f>
        <v/>
      </c>
      <c r="CW89" t="str">
        <f>IF(NOT(ISERROR(HLOOKUP(Standings!CW$3,Entries!$C74:$K74,1,FALSE))),"x",IF(NOT(ISERROR(HLOOKUP(Standings!CW$3,Entries!$L74:$L74,1,FALSE))),"S",""))</f>
        <v/>
      </c>
      <c r="CX89" t="str">
        <f>IF(NOT(ISERROR(HLOOKUP(Standings!CX$3,Entries!$C74:$K74,1,FALSE))),"x",IF(NOT(ISERROR(HLOOKUP(Standings!CX$3,Entries!$L74:$L74,1,FALSE))),"S",""))</f>
        <v/>
      </c>
      <c r="CY89" t="str">
        <f>IF(NOT(ISERROR(HLOOKUP(Standings!CY$3,Entries!$C74:$K74,1,FALSE))),"x",IF(NOT(ISERROR(HLOOKUP(Standings!CY$3,Entries!$L74:$L74,1,FALSE))),"S",""))</f>
        <v/>
      </c>
      <c r="CZ89" t="str">
        <f>IF(NOT(ISERROR(HLOOKUP(Standings!CZ$3,Entries!$C74:$K74,1,FALSE))),"x",IF(NOT(ISERROR(HLOOKUP(Standings!CZ$3,Entries!$L74:$L74,1,FALSE))),"S",""))</f>
        <v/>
      </c>
      <c r="DA89" t="str">
        <f>IF(NOT(ISERROR(HLOOKUP(Standings!DA$3,Entries!$C74:$K74,1,FALSE))),"x",IF(NOT(ISERROR(HLOOKUP(Standings!DA$3,Entries!$L74:$L74,1,FALSE))),"S",""))</f>
        <v/>
      </c>
      <c r="DB89" t="str">
        <f>IF(NOT(ISERROR(HLOOKUP(Standings!DB$3,Entries!$C74:$K74,1,FALSE))),"x",IF(NOT(ISERROR(HLOOKUP(Standings!DB$3,Entries!$L74:$L74,1,FALSE))),"S",""))</f>
        <v/>
      </c>
    </row>
    <row r="90" spans="1:106" x14ac:dyDescent="0.25">
      <c r="A90" s="18"/>
      <c r="B90">
        <v>26</v>
      </c>
      <c r="C90" t="str">
        <f>Entries!B75</f>
        <v>Schultzy2</v>
      </c>
      <c r="D90" s="4">
        <f>IF(C90="","",RANK(E90,$E$10:$E$111))</f>
        <v>71</v>
      </c>
      <c r="E90" s="31">
        <f t="shared" ref="E90:E99" si="100">IF(C90="","",ROUND(SUM(F90:AK90),0))</f>
        <v>2</v>
      </c>
      <c r="F90" s="40" t="str">
        <f t="shared" ref="F90:F99" si="101">IF(BG90="","",IF(BG90="x",F$6,0)+IF(BG90="S",-F$6-0.00001,0))</f>
        <v/>
      </c>
      <c r="G90" s="41" t="str">
        <f t="shared" ref="G90:G99" si="102">IF(BH90="","",IF(BH90="x",G$6,0)+IF(BH90="S",-G$6-0.00001,0))</f>
        <v/>
      </c>
      <c r="H90" s="41" t="str">
        <f t="shared" ref="H90:H99" si="103">IF(BI90="","",IF(BI90="x",H$6,0)+IF(BI90="S",-H$6-0.00001,0))</f>
        <v/>
      </c>
      <c r="I90" s="42" t="str">
        <f t="shared" ref="I90:I99" si="104">IF(BJ90="","",IF(BJ90="x",I$6,0)+IF(BJ90="S",-I$6-0.00001,0))</f>
        <v/>
      </c>
      <c r="J90" s="40" t="str">
        <f t="shared" ref="J90:J99" si="105">IF(BK90="","",IF(BK90="x",J$6,0)+IF(BK90="S",-J$6-0.00001,0))</f>
        <v/>
      </c>
      <c r="K90" s="41" t="str">
        <f t="shared" ref="K90:K99" si="106">IF(BL90="","",IF(BL90="x",K$6,0)+IF(BL90="S",-K$6-0.00001,0))</f>
        <v/>
      </c>
      <c r="L90" s="41" t="str">
        <f t="shared" ref="L90:L99" si="107">IF(BM90="","",IF(BM90="x",L$6,0)+IF(BM90="S",-L$6-0.00001,0))</f>
        <v/>
      </c>
      <c r="M90" s="42" t="str">
        <f t="shared" ref="M90:M99" si="108">IF(BN90="","",IF(BN90="x",M$6,0)+IF(BN90="S",-M$6-0.00001,0))</f>
        <v/>
      </c>
      <c r="N90" s="43" t="str">
        <f t="shared" ref="N90:N99" si="109">IF(BO90="","",IF(BO90="x",N$6,0)+IF(BO90="S",-N$6-0.00001,0))</f>
        <v/>
      </c>
      <c r="O90" s="41" t="str">
        <f t="shared" ref="O90:O99" si="110">IF(BP90="","",IF(BP90="x",O$6,0)+IF(BP90="S",-O$6-0.00001,0))</f>
        <v/>
      </c>
      <c r="P90" s="41" t="str">
        <f t="shared" ref="P90:P99" si="111">IF(BQ90="","",IF(BQ90="x",P$6,0)+IF(BQ90="S",-P$6-0.00001,0))</f>
        <v/>
      </c>
      <c r="Q90" s="42" t="str">
        <f t="shared" ref="Q90:Q99" si="112">IF(BR90="","",IF(BR90="x",Q$6,0)+IF(BR90="S",-Q$6-0.00001,0))</f>
        <v/>
      </c>
      <c r="R90" s="40" t="str">
        <f t="shared" ref="R90:R99" si="113">IF(BS90="","",IF(BS90="x",R$6,0)+IF(BS90="S",-R$6-0.00001,0))</f>
        <v/>
      </c>
      <c r="S90" s="41" t="str">
        <f t="shared" ref="S90:S99" si="114">IF(BT90="","",IF(BT90="x",S$6,0)+IF(BT90="S",-S$6-0.00001,0))</f>
        <v/>
      </c>
      <c r="T90" s="43" t="str">
        <f t="shared" ref="T90:T99" si="115">IF(BU90="","",IF(BU90="x",T$6,0)+IF(BU90="S",-T$6-0.00001,0))</f>
        <v/>
      </c>
      <c r="U90" s="42" t="str">
        <f t="shared" ref="U90:U99" si="116">IF(BV90="","",IF(BV90="x",U$6,0)+IF(BV90="S",-U$6-0.00001,0))</f>
        <v/>
      </c>
      <c r="V90" s="40" t="str">
        <f t="shared" ref="V90:V99" si="117">IF(BW90="","",IF(BW90="x",V$6,0)+IF(BW90="S",-V$6-0.00001,0))</f>
        <v/>
      </c>
      <c r="W90" s="41" t="str">
        <f t="shared" ref="W90:W99" si="118">IF(BX90="","",IF(BX90="x",W$6,0)+IF(BX90="S",-W$6-0.00001,0))</f>
        <v/>
      </c>
      <c r="X90" s="41" t="str">
        <f t="shared" ref="X90:X99" si="119">IF(BY90="","",IF(BY90="x",X$6,0)+IF(BY90="S",-X$6-0.00001,0))</f>
        <v/>
      </c>
      <c r="Y90" s="42" t="str">
        <f t="shared" ref="Y90:Y99" si="120">IF(BZ90="","",IF(BZ90="x",Y$6,0)+IF(BZ90="S",-Y$6-0.00001,0))</f>
        <v/>
      </c>
      <c r="Z90" s="40">
        <f t="shared" ref="Z90:Z99" si="121">IF(CA90="","",IF(CA90="x",Z$6,0)+IF(CA90="S",-Z$6-0.00001,0))</f>
        <v>1</v>
      </c>
      <c r="AA90" s="41" t="str">
        <f t="shared" ref="AA90:AA99" si="122">IF(CB90="","",IF(CB90="x",AA$6,0)+IF(CB90="S",-AA$6-0.00001,0))</f>
        <v/>
      </c>
      <c r="AB90" s="41" t="str">
        <f t="shared" ref="AB90:AB99" si="123">IF(CC90="","",IF(CC90="x",AB$6,0)+IF(CC90="S",-AB$6-0.00001,0))</f>
        <v/>
      </c>
      <c r="AC90" s="42" t="str">
        <f t="shared" ref="AC90:AC99" si="124">IF(CD90="","",IF(CD90="x",AC$6,0)+IF(CD90="S",-AC$6-0.00001,0))</f>
        <v/>
      </c>
      <c r="AD90" s="40">
        <f t="shared" ref="AD90:AD99" si="125">IF(CE90="","",IF(CE90="x",AD$6,0)+IF(CE90="S",-AD$6-0.00001,0))</f>
        <v>1</v>
      </c>
      <c r="AE90" s="41" t="str">
        <f t="shared" ref="AE90:AE99" si="126">IF(CF90="","",IF(CF90="x",AE$6,0)+IF(CF90="S",-AE$6-0.00001,0))</f>
        <v/>
      </c>
      <c r="AF90" s="41" t="str">
        <f t="shared" ref="AF90:AF99" si="127">IF(CG90="","",IF(CG90="x",AF$6,0)+IF(CG90="S",-AF$6-0.00001,0))</f>
        <v/>
      </c>
      <c r="AG90" s="42" t="str">
        <f t="shared" ref="AG90:AG99" si="128">IF(CH90="","",IF(CH90="x",AG$6,0)+IF(CH90="S",-AG$6-0.00001,0))</f>
        <v/>
      </c>
      <c r="AH90" s="40" t="str">
        <f t="shared" ref="AH90:AH99" si="129">IF(CI90="","",IF(CI90="x",AH$6,0)+IF(CI90="S",-AH$6-0.00001,0))</f>
        <v/>
      </c>
      <c r="AI90" s="41" t="str">
        <f t="shared" ref="AI90:AI99" si="130">IF(CJ90="","",IF(CJ90="x",AI$6,0)+IF(CJ90="S",-AI$6-0.00001,0))</f>
        <v/>
      </c>
      <c r="AJ90" s="41" t="str">
        <f t="shared" ref="AJ90:AJ99" si="131">IF(CK90="","",IF(CK90="x",AJ$6,0)+IF(CK90="S",-AJ$6-0.00001,0))</f>
        <v/>
      </c>
      <c r="AK90" s="42" t="str">
        <f t="shared" ref="AK90:AK99" si="132">IF(CL90="","",IF(CL90="x",AK$6,0)+IF(CL90="S",-AK$6-0.00001,0))</f>
        <v/>
      </c>
      <c r="AL90" s="40" t="str">
        <f t="shared" ref="AL90:AL99" si="133">IF(CM90="","",IF(CM90="x",AL$6,0)+IF(CM90="S",-AL$6-0.00001,0))</f>
        <v/>
      </c>
      <c r="AM90" s="41" t="str">
        <f t="shared" ref="AM90:AM99" si="134">IF(CN90="","",IF(CN90="x",AM$6,0)+IF(CN90="S",-AM$6-0.00001,0))</f>
        <v/>
      </c>
      <c r="AN90" s="41" t="str">
        <f t="shared" ref="AN90:AN99" si="135">IF(CO90="","",IF(CO90="x",AN$6,0)+IF(CO90="S",-AN$6-0.00001,0))</f>
        <v/>
      </c>
      <c r="AO90" s="42" t="str">
        <f t="shared" ref="AO90:AO99" si="136">IF(CP90="","",IF(CP90="x",AO$6,0)+IF(CP90="S",-AO$6-0.00001,0))</f>
        <v/>
      </c>
      <c r="AP90" s="40">
        <f t="shared" ref="AP90:AP99" si="137">IF(CQ90="","",IF(CQ90="x",AP$6,0)+IF(CQ90="S",-AP$6-0.00001,0))</f>
        <v>0</v>
      </c>
      <c r="AQ90" s="41" t="str">
        <f t="shared" ref="AQ90:AQ99" si="138">IF(CR90="","",IF(CR90="x",AQ$6,0)+IF(CR90="S",-AQ$6-0.00001,0))</f>
        <v/>
      </c>
      <c r="AR90" s="41" t="str">
        <f t="shared" ref="AR90:AR99" si="139">IF(CS90="","",IF(CS90="x",AR$6,0)+IF(CS90="S",-AR$6-0.00001,0))</f>
        <v/>
      </c>
      <c r="AS90" s="42" t="str">
        <f t="shared" ref="AS90:AS99" si="140">IF(CT90="","",IF(CT90="x",AS$6,0)+IF(CT90="S",-AS$6-0.00001,0))</f>
        <v/>
      </c>
      <c r="AT90" s="40" t="str">
        <f t="shared" ref="AT90:AT99" si="141">IF(CU90="","",IF(CU90="x",AT$6,0)+IF(CU90="S",-AT$6-0.00001,0))</f>
        <v/>
      </c>
      <c r="AU90" s="41" t="str">
        <f t="shared" ref="AU90:AU99" si="142">IF(CV90="","",IF(CV90="x",AU$6,0)+IF(CV90="S",-AU$6-0.00001,0))</f>
        <v/>
      </c>
      <c r="AV90" s="41">
        <f t="shared" ref="AV90:AV99" si="143">IF(CW90="","",IF(CW90="x",AV$6,0)+IF(CW90="S",-AV$6-0.00001,0))</f>
        <v>-1.0000000000000001E-5</v>
      </c>
      <c r="AW90" s="42" t="str">
        <f t="shared" ref="AW90:AW99" si="144">IF(CX90="","",IF(CX90="x",AW$6,0)+IF(CX90="S",-AW$6-0.00001,0))</f>
        <v/>
      </c>
      <c r="AX90" s="40" t="str">
        <f t="shared" ref="AX90:AX99" si="145">IF(CY90="","",IF(CY90="x",AX$6,0)+IF(CY90="S",-AX$6-0.00001,0))</f>
        <v/>
      </c>
      <c r="AY90" s="41" t="str">
        <f t="shared" ref="AY90:AY99" si="146">IF(CZ90="","",IF(CZ90="x",AY$6,0)+IF(CZ90="S",-AY$6-0.00001,0))</f>
        <v/>
      </c>
      <c r="AZ90" s="41" t="str">
        <f t="shared" ref="AZ90:AZ99" si="147">IF(DA90="","",IF(DA90="x",AZ$6,0)+IF(DA90="S",-AZ$6-0.00001,0))</f>
        <v/>
      </c>
      <c r="BA90" s="42" t="str">
        <f t="shared" ref="BA90:BA99" si="148">IF(DB90="","",IF(DB90="x",BA$6,0)+IF(DB90="S",-BA$6-0.00001,0))</f>
        <v/>
      </c>
      <c r="BB90" s="37" t="s">
        <v>106</v>
      </c>
      <c r="BC90" s="21"/>
      <c r="BD90" s="21"/>
      <c r="BG90" t="str">
        <f>IF(NOT(ISERROR(HLOOKUP(Standings!BG$3,Entries!$C75:$K75,1,FALSE))),"x",IF(NOT(ISERROR(HLOOKUP(Standings!BG$3,Entries!$L75:$L75,1,FALSE))),"S",""))</f>
        <v/>
      </c>
      <c r="BH90" t="str">
        <f>IF(NOT(ISERROR(HLOOKUP(Standings!BH$3,Entries!$C75:$K75,1,FALSE))),"x",IF(NOT(ISERROR(HLOOKUP(Standings!BH$3,Entries!$L75:$L75,1,FALSE))),"S",""))</f>
        <v/>
      </c>
      <c r="BI90" t="str">
        <f>IF(NOT(ISERROR(HLOOKUP(Standings!BI$3,Entries!$C75:$K75,1,FALSE))),"x",IF(NOT(ISERROR(HLOOKUP(Standings!BI$3,Entries!$L75:$L75,1,FALSE))),"S",""))</f>
        <v/>
      </c>
      <c r="BJ90" t="str">
        <f>IF(NOT(ISERROR(HLOOKUP(Standings!BJ$3,Entries!$C75:$K75,1,FALSE))),"x",IF(NOT(ISERROR(HLOOKUP(Standings!BJ$3,Entries!$L75:$L75,1,FALSE))),"S",""))</f>
        <v/>
      </c>
      <c r="BK90" t="str">
        <f>IF(NOT(ISERROR(HLOOKUP(Standings!BK$3,Entries!$C75:$K75,1,FALSE))),"x",IF(NOT(ISERROR(HLOOKUP(Standings!BK$3,Entries!$L75:$L75,1,FALSE))),"S",""))</f>
        <v/>
      </c>
      <c r="BL90" t="str">
        <f>IF(NOT(ISERROR(HLOOKUP(Standings!BL$3,Entries!$C75:$K75,1,FALSE))),"x",IF(NOT(ISERROR(HLOOKUP(Standings!BL$3,Entries!$L75:$L75,1,FALSE))),"S",""))</f>
        <v/>
      </c>
      <c r="BM90" t="str">
        <f>IF(NOT(ISERROR(HLOOKUP(Standings!BM$3,Entries!$C75:$K75,1,FALSE))),"x",IF(NOT(ISERROR(HLOOKUP(Standings!BM$3,Entries!$L75:$L75,1,FALSE))),"S",""))</f>
        <v/>
      </c>
      <c r="BN90" t="str">
        <f>IF(NOT(ISERROR(HLOOKUP(Standings!BN$3,Entries!$C75:$K75,1,FALSE))),"x",IF(NOT(ISERROR(HLOOKUP(Standings!BN$3,Entries!$L75:$L75,1,FALSE))),"S",""))</f>
        <v/>
      </c>
      <c r="BO90" t="str">
        <f>IF(NOT(ISERROR(HLOOKUP(Standings!BO$3,Entries!$C75:$K75,1,FALSE))),"x",IF(NOT(ISERROR(HLOOKUP(Standings!BO$3,Entries!$L75:$L75,1,FALSE))),"S",""))</f>
        <v/>
      </c>
      <c r="BP90" t="str">
        <f>IF(NOT(ISERROR(HLOOKUP(Standings!BP$3,Entries!$C75:$K75,1,FALSE))),"x",IF(NOT(ISERROR(HLOOKUP(Standings!BP$3,Entries!$L75:$L75,1,FALSE))),"S",""))</f>
        <v/>
      </c>
      <c r="BQ90" t="str">
        <f>IF(NOT(ISERROR(HLOOKUP(Standings!BQ$3,Entries!$C75:$K75,1,FALSE))),"x",IF(NOT(ISERROR(HLOOKUP(Standings!BQ$3,Entries!$L75:$L75,1,FALSE))),"S",""))</f>
        <v/>
      </c>
      <c r="BR90" t="str">
        <f>IF(NOT(ISERROR(HLOOKUP(Standings!BR$3,Entries!$C75:$K75,1,FALSE))),"x",IF(NOT(ISERROR(HLOOKUP(Standings!BR$3,Entries!$L75:$L75,1,FALSE))),"S",""))</f>
        <v/>
      </c>
      <c r="BS90" t="str">
        <f>IF(NOT(ISERROR(HLOOKUP(Standings!BS$3,Entries!$C75:$K75,1,FALSE))),"x",IF(NOT(ISERROR(HLOOKUP(Standings!BS$3,Entries!$L75:$L75,1,FALSE))),"S",""))</f>
        <v/>
      </c>
      <c r="BT90" t="str">
        <f>IF(NOT(ISERROR(HLOOKUP(Standings!BT$3,Entries!$C75:$K75,1,FALSE))),"x",IF(NOT(ISERROR(HLOOKUP(Standings!BT$3,Entries!$L75:$L75,1,FALSE))),"S",""))</f>
        <v/>
      </c>
      <c r="BU90" t="str">
        <f>IF(NOT(ISERROR(HLOOKUP(Standings!BU$3,Entries!$C75:$K75,1,FALSE))),"x",IF(NOT(ISERROR(HLOOKUP(Standings!BU$3,Entries!$L75:$L75,1,FALSE))),"S",""))</f>
        <v/>
      </c>
      <c r="BV90" t="str">
        <f>IF(NOT(ISERROR(HLOOKUP(Standings!BV$3,Entries!$C75:$K75,1,FALSE))),"x",IF(NOT(ISERROR(HLOOKUP(Standings!BV$3,Entries!$L75:$L75,1,FALSE))),"S",""))</f>
        <v/>
      </c>
      <c r="BW90" t="str">
        <f>IF(NOT(ISERROR(HLOOKUP(Standings!BW$3,Entries!$C75:$K75,1,FALSE))),"x",IF(NOT(ISERROR(HLOOKUP(Standings!BW$3,Entries!$L75:$L75,1,FALSE))),"S",""))</f>
        <v/>
      </c>
      <c r="BX90" t="str">
        <f>IF(NOT(ISERROR(HLOOKUP(Standings!BX$3,Entries!$C75:$K75,1,FALSE))),"x",IF(NOT(ISERROR(HLOOKUP(Standings!BX$3,Entries!$L75:$L75,1,FALSE))),"S",""))</f>
        <v/>
      </c>
      <c r="BY90" t="str">
        <f>IF(NOT(ISERROR(HLOOKUP(Standings!BY$3,Entries!$C75:$K75,1,FALSE))),"x",IF(NOT(ISERROR(HLOOKUP(Standings!BY$3,Entries!$L75:$L75,1,FALSE))),"S",""))</f>
        <v/>
      </c>
      <c r="BZ90" t="str">
        <f>IF(NOT(ISERROR(HLOOKUP(Standings!BZ$3,Entries!$C75:$K75,1,FALSE))),"x",IF(NOT(ISERROR(HLOOKUP(Standings!BZ$3,Entries!$L75:$L75,1,FALSE))),"S",""))</f>
        <v/>
      </c>
      <c r="CA90" t="str">
        <f>IF(NOT(ISERROR(HLOOKUP(Standings!CA$3,Entries!$C75:$K75,1,FALSE))),"x",IF(NOT(ISERROR(HLOOKUP(Standings!CA$3,Entries!$L75:$L75,1,FALSE))),"S",""))</f>
        <v>x</v>
      </c>
      <c r="CB90" t="str">
        <f>IF(NOT(ISERROR(HLOOKUP(Standings!CB$3,Entries!$C75:$K75,1,FALSE))),"x",IF(NOT(ISERROR(HLOOKUP(Standings!CB$3,Entries!$L75:$L75,1,FALSE))),"S",""))</f>
        <v/>
      </c>
      <c r="CC90" t="str">
        <f>IF(NOT(ISERROR(HLOOKUP(Standings!CC$3,Entries!$C75:$K75,1,FALSE))),"x",IF(NOT(ISERROR(HLOOKUP(Standings!CC$3,Entries!$L75:$L75,1,FALSE))),"S",""))</f>
        <v/>
      </c>
      <c r="CD90" t="str">
        <f>IF(NOT(ISERROR(HLOOKUP(Standings!CD$3,Entries!$C75:$K75,1,FALSE))),"x",IF(NOT(ISERROR(HLOOKUP(Standings!CD$3,Entries!$L75:$L75,1,FALSE))),"S",""))</f>
        <v/>
      </c>
      <c r="CE90" t="str">
        <f>IF(NOT(ISERROR(HLOOKUP(Standings!CE$3,Entries!$C75:$K75,1,FALSE))),"x",IF(NOT(ISERROR(HLOOKUP(Standings!CE$3,Entries!$L75:$L75,1,FALSE))),"S",""))</f>
        <v>x</v>
      </c>
      <c r="CF90" t="str">
        <f>IF(NOT(ISERROR(HLOOKUP(Standings!CF$3,Entries!$C75:$K75,1,FALSE))),"x",IF(NOT(ISERROR(HLOOKUP(Standings!CF$3,Entries!$L75:$L75,1,FALSE))),"S",""))</f>
        <v/>
      </c>
      <c r="CG90" t="str">
        <f>IF(NOT(ISERROR(HLOOKUP(Standings!CG$3,Entries!$C75:$K75,1,FALSE))),"x",IF(NOT(ISERROR(HLOOKUP(Standings!CG$3,Entries!$L75:$L75,1,FALSE))),"S",""))</f>
        <v/>
      </c>
      <c r="CH90" t="str">
        <f>IF(NOT(ISERROR(HLOOKUP(Standings!CH$3,Entries!$C75:$K75,1,FALSE))),"x",IF(NOT(ISERROR(HLOOKUP(Standings!CH$3,Entries!$L75:$L75,1,FALSE))),"S",""))</f>
        <v/>
      </c>
      <c r="CI90" t="str">
        <f>IF(NOT(ISERROR(HLOOKUP(Standings!CI$3,Entries!$C75:$K75,1,FALSE))),"x",IF(NOT(ISERROR(HLOOKUP(Standings!CI$3,Entries!$L75:$L75,1,FALSE))),"S",""))</f>
        <v/>
      </c>
      <c r="CJ90" t="str">
        <f>IF(NOT(ISERROR(HLOOKUP(Standings!CJ$3,Entries!$C75:$K75,1,FALSE))),"x",IF(NOT(ISERROR(HLOOKUP(Standings!CJ$3,Entries!$L75:$L75,1,FALSE))),"S",""))</f>
        <v/>
      </c>
      <c r="CK90" t="str">
        <f>IF(NOT(ISERROR(HLOOKUP(Standings!CK$3,Entries!$C75:$K75,1,FALSE))),"x",IF(NOT(ISERROR(HLOOKUP(Standings!CK$3,Entries!$L75:$L75,1,FALSE))),"S",""))</f>
        <v/>
      </c>
      <c r="CL90" t="str">
        <f>IF(NOT(ISERROR(HLOOKUP(Standings!CL$3,Entries!$C75:$K75,1,FALSE))),"x",IF(NOT(ISERROR(HLOOKUP(Standings!CL$3,Entries!$L75:$L75,1,FALSE))),"S",""))</f>
        <v/>
      </c>
      <c r="CM90" t="str">
        <f>IF(NOT(ISERROR(HLOOKUP(Standings!CM$3,Entries!$C75:$K75,1,FALSE))),"x",IF(NOT(ISERROR(HLOOKUP(Standings!CM$3,Entries!$L75:$L75,1,FALSE))),"S",""))</f>
        <v/>
      </c>
      <c r="CN90" t="str">
        <f>IF(NOT(ISERROR(HLOOKUP(Standings!CN$3,Entries!$C75:$K75,1,FALSE))),"x",IF(NOT(ISERROR(HLOOKUP(Standings!CN$3,Entries!$L75:$L75,1,FALSE))),"S",""))</f>
        <v/>
      </c>
      <c r="CO90" t="str">
        <f>IF(NOT(ISERROR(HLOOKUP(Standings!CO$3,Entries!$C75:$K75,1,FALSE))),"x",IF(NOT(ISERROR(HLOOKUP(Standings!CO$3,Entries!$L75:$L75,1,FALSE))),"S",""))</f>
        <v/>
      </c>
      <c r="CP90" t="str">
        <f>IF(NOT(ISERROR(HLOOKUP(Standings!CP$3,Entries!$C75:$K75,1,FALSE))),"x",IF(NOT(ISERROR(HLOOKUP(Standings!CP$3,Entries!$L75:$L75,1,FALSE))),"S",""))</f>
        <v/>
      </c>
      <c r="CQ90" t="str">
        <f>IF(NOT(ISERROR(HLOOKUP(Standings!CQ$3,Entries!$C75:$K75,1,FALSE))),"x",IF(NOT(ISERROR(HLOOKUP(Standings!CQ$3,Entries!$L75:$L75,1,FALSE))),"S",""))</f>
        <v>x</v>
      </c>
      <c r="CR90" t="str">
        <f>IF(NOT(ISERROR(HLOOKUP(Standings!CR$3,Entries!$C75:$K75,1,FALSE))),"x",IF(NOT(ISERROR(HLOOKUP(Standings!CR$3,Entries!$L75:$L75,1,FALSE))),"S",""))</f>
        <v/>
      </c>
      <c r="CS90" t="str">
        <f>IF(NOT(ISERROR(HLOOKUP(Standings!CS$3,Entries!$C75:$K75,1,FALSE))),"x",IF(NOT(ISERROR(HLOOKUP(Standings!CS$3,Entries!$L75:$L75,1,FALSE))),"S",""))</f>
        <v/>
      </c>
      <c r="CT90" t="str">
        <f>IF(NOT(ISERROR(HLOOKUP(Standings!CT$3,Entries!$C75:$K75,1,FALSE))),"x",IF(NOT(ISERROR(HLOOKUP(Standings!CT$3,Entries!$L75:$L75,1,FALSE))),"S",""))</f>
        <v/>
      </c>
      <c r="CU90" t="str">
        <f>IF(NOT(ISERROR(HLOOKUP(Standings!CU$3,Entries!$C75:$K75,1,FALSE))),"x",IF(NOT(ISERROR(HLOOKUP(Standings!CU$3,Entries!$L75:$L75,1,FALSE))),"S",""))</f>
        <v/>
      </c>
      <c r="CV90" t="str">
        <f>IF(NOT(ISERROR(HLOOKUP(Standings!CV$3,Entries!$C75:$K75,1,FALSE))),"x",IF(NOT(ISERROR(HLOOKUP(Standings!CV$3,Entries!$L75:$L75,1,FALSE))),"S",""))</f>
        <v/>
      </c>
      <c r="CW90" t="str">
        <f>IF(NOT(ISERROR(HLOOKUP(Standings!CW$3,Entries!$C75:$K75,1,FALSE))),"x",IF(NOT(ISERROR(HLOOKUP(Standings!CW$3,Entries!$L75:$L75,1,FALSE))),"S",""))</f>
        <v>S</v>
      </c>
      <c r="CX90" t="str">
        <f>IF(NOT(ISERROR(HLOOKUP(Standings!CX$3,Entries!$C75:$K75,1,FALSE))),"x",IF(NOT(ISERROR(HLOOKUP(Standings!CX$3,Entries!$L75:$L75,1,FALSE))),"S",""))</f>
        <v/>
      </c>
      <c r="CY90" t="str">
        <f>IF(NOT(ISERROR(HLOOKUP(Standings!CY$3,Entries!$C75:$K75,1,FALSE))),"x",IF(NOT(ISERROR(HLOOKUP(Standings!CY$3,Entries!$L75:$L75,1,FALSE))),"S",""))</f>
        <v/>
      </c>
      <c r="CZ90" t="str">
        <f>IF(NOT(ISERROR(HLOOKUP(Standings!CZ$3,Entries!$C75:$K75,1,FALSE))),"x",IF(NOT(ISERROR(HLOOKUP(Standings!CZ$3,Entries!$L75:$L75,1,FALSE))),"S",""))</f>
        <v/>
      </c>
      <c r="DA90" t="str">
        <f>IF(NOT(ISERROR(HLOOKUP(Standings!DA$3,Entries!$C75:$K75,1,FALSE))),"x",IF(NOT(ISERROR(HLOOKUP(Standings!DA$3,Entries!$L75:$L75,1,FALSE))),"S",""))</f>
        <v/>
      </c>
      <c r="DB90" t="str">
        <f>IF(NOT(ISERROR(HLOOKUP(Standings!DB$3,Entries!$C75:$K75,1,FALSE))),"x",IF(NOT(ISERROR(HLOOKUP(Standings!DB$3,Entries!$L75:$L75,1,FALSE))),"S",""))</f>
        <v/>
      </c>
    </row>
    <row r="91" spans="1:106" x14ac:dyDescent="0.25">
      <c r="A91" s="18"/>
      <c r="B91">
        <v>26</v>
      </c>
      <c r="C91" t="str">
        <f>Entries!B77</f>
        <v>Craig Miller 1</v>
      </c>
      <c r="D91" s="4">
        <f>IF(C91="","",RANK(E91,$E$10:$E$111))</f>
        <v>71</v>
      </c>
      <c r="E91" s="31">
        <f t="shared" si="100"/>
        <v>2</v>
      </c>
      <c r="F91" s="40" t="str">
        <f t="shared" si="101"/>
        <v/>
      </c>
      <c r="G91" s="41" t="str">
        <f t="shared" si="102"/>
        <v/>
      </c>
      <c r="H91" s="41" t="str">
        <f t="shared" si="103"/>
        <v/>
      </c>
      <c r="I91" s="42" t="str">
        <f t="shared" si="104"/>
        <v/>
      </c>
      <c r="J91" s="40" t="str">
        <f t="shared" si="105"/>
        <v/>
      </c>
      <c r="K91" s="41" t="str">
        <f t="shared" si="106"/>
        <v/>
      </c>
      <c r="L91" s="41" t="str">
        <f t="shared" si="107"/>
        <v/>
      </c>
      <c r="M91" s="42" t="str">
        <f t="shared" si="108"/>
        <v/>
      </c>
      <c r="N91" s="43" t="str">
        <f t="shared" si="109"/>
        <v/>
      </c>
      <c r="O91" s="41" t="str">
        <f t="shared" si="110"/>
        <v/>
      </c>
      <c r="P91" s="41" t="str">
        <f t="shared" si="111"/>
        <v/>
      </c>
      <c r="Q91" s="42" t="str">
        <f t="shared" si="112"/>
        <v/>
      </c>
      <c r="R91" s="40" t="str">
        <f t="shared" si="113"/>
        <v/>
      </c>
      <c r="S91" s="41" t="str">
        <f t="shared" si="114"/>
        <v/>
      </c>
      <c r="T91" s="43" t="str">
        <f t="shared" si="115"/>
        <v/>
      </c>
      <c r="U91" s="42" t="str">
        <f t="shared" si="116"/>
        <v/>
      </c>
      <c r="V91" s="40" t="str">
        <f t="shared" si="117"/>
        <v/>
      </c>
      <c r="W91" s="41" t="str">
        <f t="shared" si="118"/>
        <v/>
      </c>
      <c r="X91" s="41" t="str">
        <f t="shared" si="119"/>
        <v/>
      </c>
      <c r="Y91" s="42" t="str">
        <f t="shared" si="120"/>
        <v/>
      </c>
      <c r="Z91" s="40" t="str">
        <f t="shared" si="121"/>
        <v/>
      </c>
      <c r="AA91" s="41">
        <f t="shared" si="122"/>
        <v>1</v>
      </c>
      <c r="AB91" s="41" t="str">
        <f t="shared" si="123"/>
        <v/>
      </c>
      <c r="AC91" s="42" t="str">
        <f t="shared" si="124"/>
        <v/>
      </c>
      <c r="AD91" s="40" t="str">
        <f t="shared" si="125"/>
        <v/>
      </c>
      <c r="AE91" s="41" t="str">
        <f t="shared" si="126"/>
        <v/>
      </c>
      <c r="AF91" s="41" t="str">
        <f t="shared" si="127"/>
        <v/>
      </c>
      <c r="AG91" s="42" t="str">
        <f t="shared" si="128"/>
        <v/>
      </c>
      <c r="AH91" s="40">
        <f t="shared" si="129"/>
        <v>1</v>
      </c>
      <c r="AI91" s="41" t="str">
        <f t="shared" si="130"/>
        <v/>
      </c>
      <c r="AJ91" s="41" t="str">
        <f t="shared" si="131"/>
        <v/>
      </c>
      <c r="AK91" s="42" t="str">
        <f t="shared" si="132"/>
        <v/>
      </c>
      <c r="AL91" s="40" t="str">
        <f t="shared" si="133"/>
        <v/>
      </c>
      <c r="AM91" s="41">
        <f t="shared" si="134"/>
        <v>0</v>
      </c>
      <c r="AN91" s="41" t="str">
        <f t="shared" si="135"/>
        <v/>
      </c>
      <c r="AO91" s="42" t="str">
        <f t="shared" si="136"/>
        <v/>
      </c>
      <c r="AP91" s="40" t="str">
        <f t="shared" si="137"/>
        <v/>
      </c>
      <c r="AQ91" s="41" t="str">
        <f t="shared" si="138"/>
        <v/>
      </c>
      <c r="AR91" s="41" t="str">
        <f t="shared" si="139"/>
        <v/>
      </c>
      <c r="AS91" s="42">
        <f t="shared" si="140"/>
        <v>-1.0000000000000001E-5</v>
      </c>
      <c r="AT91" s="40" t="str">
        <f t="shared" si="141"/>
        <v/>
      </c>
      <c r="AU91" s="41" t="str">
        <f t="shared" si="142"/>
        <v/>
      </c>
      <c r="AV91" s="41" t="str">
        <f t="shared" si="143"/>
        <v/>
      </c>
      <c r="AW91" s="42" t="str">
        <f t="shared" si="144"/>
        <v/>
      </c>
      <c r="AX91" s="40" t="str">
        <f t="shared" si="145"/>
        <v/>
      </c>
      <c r="AY91" s="41" t="str">
        <f t="shared" si="146"/>
        <v/>
      </c>
      <c r="AZ91" s="41" t="str">
        <f t="shared" si="147"/>
        <v/>
      </c>
      <c r="BA91" s="42" t="str">
        <f t="shared" si="148"/>
        <v/>
      </c>
      <c r="BB91" s="37" t="s">
        <v>106</v>
      </c>
      <c r="BC91" s="21"/>
      <c r="BD91" s="21"/>
      <c r="BG91" t="str">
        <f>IF(NOT(ISERROR(HLOOKUP(Standings!BG$3,Entries!$C77:$K77,1,FALSE))),"x",IF(NOT(ISERROR(HLOOKUP(Standings!BG$3,Entries!$L77:$L77,1,FALSE))),"S",""))</f>
        <v/>
      </c>
      <c r="BH91" t="str">
        <f>IF(NOT(ISERROR(HLOOKUP(Standings!BH$3,Entries!$C77:$K77,1,FALSE))),"x",IF(NOT(ISERROR(HLOOKUP(Standings!BH$3,Entries!$L77:$L77,1,FALSE))),"S",""))</f>
        <v/>
      </c>
      <c r="BI91" t="str">
        <f>IF(NOT(ISERROR(HLOOKUP(Standings!BI$3,Entries!$C77:$K77,1,FALSE))),"x",IF(NOT(ISERROR(HLOOKUP(Standings!BI$3,Entries!$L77:$L77,1,FALSE))),"S",""))</f>
        <v/>
      </c>
      <c r="BJ91" t="str">
        <f>IF(NOT(ISERROR(HLOOKUP(Standings!BJ$3,Entries!$C77:$K77,1,FALSE))),"x",IF(NOT(ISERROR(HLOOKUP(Standings!BJ$3,Entries!$L77:$L77,1,FALSE))),"S",""))</f>
        <v/>
      </c>
      <c r="BK91" t="str">
        <f>IF(NOT(ISERROR(HLOOKUP(Standings!BK$3,Entries!$C77:$K77,1,FALSE))),"x",IF(NOT(ISERROR(HLOOKUP(Standings!BK$3,Entries!$L77:$L77,1,FALSE))),"S",""))</f>
        <v/>
      </c>
      <c r="BL91" t="str">
        <f>IF(NOT(ISERROR(HLOOKUP(Standings!BL$3,Entries!$C77:$K77,1,FALSE))),"x",IF(NOT(ISERROR(HLOOKUP(Standings!BL$3,Entries!$L77:$L77,1,FALSE))),"S",""))</f>
        <v/>
      </c>
      <c r="BM91" t="str">
        <f>IF(NOT(ISERROR(HLOOKUP(Standings!BM$3,Entries!$C77:$K77,1,FALSE))),"x",IF(NOT(ISERROR(HLOOKUP(Standings!BM$3,Entries!$L77:$L77,1,FALSE))),"S",""))</f>
        <v/>
      </c>
      <c r="BN91" t="str">
        <f>IF(NOT(ISERROR(HLOOKUP(Standings!BN$3,Entries!$C77:$K77,1,FALSE))),"x",IF(NOT(ISERROR(HLOOKUP(Standings!BN$3,Entries!$L77:$L77,1,FALSE))),"S",""))</f>
        <v/>
      </c>
      <c r="BO91" t="str">
        <f>IF(NOT(ISERROR(HLOOKUP(Standings!BO$3,Entries!$C77:$K77,1,FALSE))),"x",IF(NOT(ISERROR(HLOOKUP(Standings!BO$3,Entries!$L77:$L77,1,FALSE))),"S",""))</f>
        <v/>
      </c>
      <c r="BP91" t="str">
        <f>IF(NOT(ISERROR(HLOOKUP(Standings!BP$3,Entries!$C77:$K77,1,FALSE))),"x",IF(NOT(ISERROR(HLOOKUP(Standings!BP$3,Entries!$L77:$L77,1,FALSE))),"S",""))</f>
        <v/>
      </c>
      <c r="BQ91" t="str">
        <f>IF(NOT(ISERROR(HLOOKUP(Standings!BQ$3,Entries!$C77:$K77,1,FALSE))),"x",IF(NOT(ISERROR(HLOOKUP(Standings!BQ$3,Entries!$L77:$L77,1,FALSE))),"S",""))</f>
        <v/>
      </c>
      <c r="BR91" t="str">
        <f>IF(NOT(ISERROR(HLOOKUP(Standings!BR$3,Entries!$C77:$K77,1,FALSE))),"x",IF(NOT(ISERROR(HLOOKUP(Standings!BR$3,Entries!$L77:$L77,1,FALSE))),"S",""))</f>
        <v/>
      </c>
      <c r="BS91" t="str">
        <f>IF(NOT(ISERROR(HLOOKUP(Standings!BS$3,Entries!$C77:$K77,1,FALSE))),"x",IF(NOT(ISERROR(HLOOKUP(Standings!BS$3,Entries!$L77:$L77,1,FALSE))),"S",""))</f>
        <v/>
      </c>
      <c r="BT91" t="str">
        <f>IF(NOT(ISERROR(HLOOKUP(Standings!BT$3,Entries!$C77:$K77,1,FALSE))),"x",IF(NOT(ISERROR(HLOOKUP(Standings!BT$3,Entries!$L77:$L77,1,FALSE))),"S",""))</f>
        <v/>
      </c>
      <c r="BU91" t="str">
        <f>IF(NOT(ISERROR(HLOOKUP(Standings!BU$3,Entries!$C77:$K77,1,FALSE))),"x",IF(NOT(ISERROR(HLOOKUP(Standings!BU$3,Entries!$L77:$L77,1,FALSE))),"S",""))</f>
        <v/>
      </c>
      <c r="BV91" t="str">
        <f>IF(NOT(ISERROR(HLOOKUP(Standings!BV$3,Entries!$C77:$K77,1,FALSE))),"x",IF(NOT(ISERROR(HLOOKUP(Standings!BV$3,Entries!$L77:$L77,1,FALSE))),"S",""))</f>
        <v/>
      </c>
      <c r="BW91" t="str">
        <f>IF(NOT(ISERROR(HLOOKUP(Standings!BW$3,Entries!$C77:$K77,1,FALSE))),"x",IF(NOT(ISERROR(HLOOKUP(Standings!BW$3,Entries!$L77:$L77,1,FALSE))),"S",""))</f>
        <v/>
      </c>
      <c r="BX91" t="str">
        <f>IF(NOT(ISERROR(HLOOKUP(Standings!BX$3,Entries!$C77:$K77,1,FALSE))),"x",IF(NOT(ISERROR(HLOOKUP(Standings!BX$3,Entries!$L77:$L77,1,FALSE))),"S",""))</f>
        <v/>
      </c>
      <c r="BY91" t="str">
        <f>IF(NOT(ISERROR(HLOOKUP(Standings!BY$3,Entries!$C77:$K77,1,FALSE))),"x",IF(NOT(ISERROR(HLOOKUP(Standings!BY$3,Entries!$L77:$L77,1,FALSE))),"S",""))</f>
        <v/>
      </c>
      <c r="BZ91" t="str">
        <f>IF(NOT(ISERROR(HLOOKUP(Standings!BZ$3,Entries!$C77:$K77,1,FALSE))),"x",IF(NOT(ISERROR(HLOOKUP(Standings!BZ$3,Entries!$L77:$L77,1,FALSE))),"S",""))</f>
        <v/>
      </c>
      <c r="CA91" t="str">
        <f>IF(NOT(ISERROR(HLOOKUP(Standings!CA$3,Entries!$C77:$K77,1,FALSE))),"x",IF(NOT(ISERROR(HLOOKUP(Standings!CA$3,Entries!$L77:$L77,1,FALSE))),"S",""))</f>
        <v/>
      </c>
      <c r="CB91" t="str">
        <f>IF(NOT(ISERROR(HLOOKUP(Standings!CB$3,Entries!$C77:$K77,1,FALSE))),"x",IF(NOT(ISERROR(HLOOKUP(Standings!CB$3,Entries!$L77:$L77,1,FALSE))),"S",""))</f>
        <v>x</v>
      </c>
      <c r="CC91" t="str">
        <f>IF(NOT(ISERROR(HLOOKUP(Standings!CC$3,Entries!$C77:$K77,1,FALSE))),"x",IF(NOT(ISERROR(HLOOKUP(Standings!CC$3,Entries!$L77:$L77,1,FALSE))),"S",""))</f>
        <v/>
      </c>
      <c r="CD91" t="str">
        <f>IF(NOT(ISERROR(HLOOKUP(Standings!CD$3,Entries!$C77:$K77,1,FALSE))),"x",IF(NOT(ISERROR(HLOOKUP(Standings!CD$3,Entries!$L77:$L77,1,FALSE))),"S",""))</f>
        <v/>
      </c>
      <c r="CE91" t="str">
        <f>IF(NOT(ISERROR(HLOOKUP(Standings!CE$3,Entries!$C77:$K77,1,FALSE))),"x",IF(NOT(ISERROR(HLOOKUP(Standings!CE$3,Entries!$L77:$L77,1,FALSE))),"S",""))</f>
        <v/>
      </c>
      <c r="CF91" t="str">
        <f>IF(NOT(ISERROR(HLOOKUP(Standings!CF$3,Entries!$C77:$K77,1,FALSE))),"x",IF(NOT(ISERROR(HLOOKUP(Standings!CF$3,Entries!$L77:$L77,1,FALSE))),"S",""))</f>
        <v/>
      </c>
      <c r="CG91" t="str">
        <f>IF(NOT(ISERROR(HLOOKUP(Standings!CG$3,Entries!$C77:$K77,1,FALSE))),"x",IF(NOT(ISERROR(HLOOKUP(Standings!CG$3,Entries!$L77:$L77,1,FALSE))),"S",""))</f>
        <v/>
      </c>
      <c r="CH91" t="str">
        <f>IF(NOT(ISERROR(HLOOKUP(Standings!CH$3,Entries!$C77:$K77,1,FALSE))),"x",IF(NOT(ISERROR(HLOOKUP(Standings!CH$3,Entries!$L77:$L77,1,FALSE))),"S",""))</f>
        <v/>
      </c>
      <c r="CI91" t="str">
        <f>IF(NOT(ISERROR(HLOOKUP(Standings!CI$3,Entries!$C77:$K77,1,FALSE))),"x",IF(NOT(ISERROR(HLOOKUP(Standings!CI$3,Entries!$L77:$L77,1,FALSE))),"S",""))</f>
        <v>x</v>
      </c>
      <c r="CJ91" t="str">
        <f>IF(NOT(ISERROR(HLOOKUP(Standings!CJ$3,Entries!$C77:$K77,1,FALSE))),"x",IF(NOT(ISERROR(HLOOKUP(Standings!CJ$3,Entries!$L77:$L77,1,FALSE))),"S",""))</f>
        <v/>
      </c>
      <c r="CK91" t="str">
        <f>IF(NOT(ISERROR(HLOOKUP(Standings!CK$3,Entries!$C77:$K77,1,FALSE))),"x",IF(NOT(ISERROR(HLOOKUP(Standings!CK$3,Entries!$L77:$L77,1,FALSE))),"S",""))</f>
        <v/>
      </c>
      <c r="CL91" t="str">
        <f>IF(NOT(ISERROR(HLOOKUP(Standings!CL$3,Entries!$C77:$K77,1,FALSE))),"x",IF(NOT(ISERROR(HLOOKUP(Standings!CL$3,Entries!$L77:$L77,1,FALSE))),"S",""))</f>
        <v/>
      </c>
      <c r="CM91" t="str">
        <f>IF(NOT(ISERROR(HLOOKUP(Standings!CM$3,Entries!$C77:$K77,1,FALSE))),"x",IF(NOT(ISERROR(HLOOKUP(Standings!CM$3,Entries!$L77:$L77,1,FALSE))),"S",""))</f>
        <v/>
      </c>
      <c r="CN91" t="str">
        <f>IF(NOT(ISERROR(HLOOKUP(Standings!CN$3,Entries!$C77:$K77,1,FALSE))),"x",IF(NOT(ISERROR(HLOOKUP(Standings!CN$3,Entries!$L77:$L77,1,FALSE))),"S",""))</f>
        <v>x</v>
      </c>
      <c r="CO91" t="str">
        <f>IF(NOT(ISERROR(HLOOKUP(Standings!CO$3,Entries!$C77:$K77,1,FALSE))),"x",IF(NOT(ISERROR(HLOOKUP(Standings!CO$3,Entries!$L77:$L77,1,FALSE))),"S",""))</f>
        <v/>
      </c>
      <c r="CP91" t="str">
        <f>IF(NOT(ISERROR(HLOOKUP(Standings!CP$3,Entries!$C77:$K77,1,FALSE))),"x",IF(NOT(ISERROR(HLOOKUP(Standings!CP$3,Entries!$L77:$L77,1,FALSE))),"S",""))</f>
        <v/>
      </c>
      <c r="CQ91" t="str">
        <f>IF(NOT(ISERROR(HLOOKUP(Standings!CQ$3,Entries!$C77:$K77,1,FALSE))),"x",IF(NOT(ISERROR(HLOOKUP(Standings!CQ$3,Entries!$L77:$L77,1,FALSE))),"S",""))</f>
        <v/>
      </c>
      <c r="CR91" t="str">
        <f>IF(NOT(ISERROR(HLOOKUP(Standings!CR$3,Entries!$C77:$K77,1,FALSE))),"x",IF(NOT(ISERROR(HLOOKUP(Standings!CR$3,Entries!$L77:$L77,1,FALSE))),"S",""))</f>
        <v/>
      </c>
      <c r="CS91" t="str">
        <f>IF(NOT(ISERROR(HLOOKUP(Standings!CS$3,Entries!$C77:$K77,1,FALSE))),"x",IF(NOT(ISERROR(HLOOKUP(Standings!CS$3,Entries!$L77:$L77,1,FALSE))),"S",""))</f>
        <v/>
      </c>
      <c r="CT91" t="str">
        <f>IF(NOT(ISERROR(HLOOKUP(Standings!CT$3,Entries!$C77:$K77,1,FALSE))),"x",IF(NOT(ISERROR(HLOOKUP(Standings!CT$3,Entries!$L77:$L77,1,FALSE))),"S",""))</f>
        <v>S</v>
      </c>
      <c r="CU91" t="str">
        <f>IF(NOT(ISERROR(HLOOKUP(Standings!CU$3,Entries!$C77:$K77,1,FALSE))),"x",IF(NOT(ISERROR(HLOOKUP(Standings!CU$3,Entries!$L77:$L77,1,FALSE))),"S",""))</f>
        <v/>
      </c>
      <c r="CV91" t="str">
        <f>IF(NOT(ISERROR(HLOOKUP(Standings!CV$3,Entries!$C77:$K77,1,FALSE))),"x",IF(NOT(ISERROR(HLOOKUP(Standings!CV$3,Entries!$L77:$L77,1,FALSE))),"S",""))</f>
        <v/>
      </c>
      <c r="CW91" t="str">
        <f>IF(NOT(ISERROR(HLOOKUP(Standings!CW$3,Entries!$C77:$K77,1,FALSE))),"x",IF(NOT(ISERROR(HLOOKUP(Standings!CW$3,Entries!$L77:$L77,1,FALSE))),"S",""))</f>
        <v/>
      </c>
      <c r="CX91" t="str">
        <f>IF(NOT(ISERROR(HLOOKUP(Standings!CX$3,Entries!$C77:$K77,1,FALSE))),"x",IF(NOT(ISERROR(HLOOKUP(Standings!CX$3,Entries!$L77:$L77,1,FALSE))),"S",""))</f>
        <v/>
      </c>
      <c r="CY91" t="str">
        <f>IF(NOT(ISERROR(HLOOKUP(Standings!CY$3,Entries!$C77:$K77,1,FALSE))),"x",IF(NOT(ISERROR(HLOOKUP(Standings!CY$3,Entries!$L77:$L77,1,FALSE))),"S",""))</f>
        <v/>
      </c>
      <c r="CZ91" t="str">
        <f>IF(NOT(ISERROR(HLOOKUP(Standings!CZ$3,Entries!$C77:$K77,1,FALSE))),"x",IF(NOT(ISERROR(HLOOKUP(Standings!CZ$3,Entries!$L77:$L77,1,FALSE))),"S",""))</f>
        <v/>
      </c>
      <c r="DA91" t="str">
        <f>IF(NOT(ISERROR(HLOOKUP(Standings!DA$3,Entries!$C77:$K77,1,FALSE))),"x",IF(NOT(ISERROR(HLOOKUP(Standings!DA$3,Entries!$L77:$L77,1,FALSE))),"S",""))</f>
        <v/>
      </c>
      <c r="DB91" t="str">
        <f>IF(NOT(ISERROR(HLOOKUP(Standings!DB$3,Entries!$C77:$K77,1,FALSE))),"x",IF(NOT(ISERROR(HLOOKUP(Standings!DB$3,Entries!$L77:$L77,1,FALSE))),"S",""))</f>
        <v/>
      </c>
    </row>
    <row r="92" spans="1:106" x14ac:dyDescent="0.25">
      <c r="A92" s="18"/>
      <c r="B92">
        <v>26</v>
      </c>
      <c r="C92" t="str">
        <f>Entries!B79</f>
        <v>Dane Miller</v>
      </c>
      <c r="D92" s="4">
        <f>IF(C92="","",RANK(E92,$E$10:$E$111))</f>
        <v>55</v>
      </c>
      <c r="E92" s="31">
        <f t="shared" si="100"/>
        <v>3</v>
      </c>
      <c r="F92" s="40" t="str">
        <f t="shared" si="101"/>
        <v/>
      </c>
      <c r="G92" s="41" t="str">
        <f t="shared" si="102"/>
        <v/>
      </c>
      <c r="H92" s="41" t="str">
        <f t="shared" si="103"/>
        <v/>
      </c>
      <c r="I92" s="42" t="str">
        <f t="shared" si="104"/>
        <v/>
      </c>
      <c r="J92" s="40" t="str">
        <f t="shared" si="105"/>
        <v/>
      </c>
      <c r="K92" s="41" t="str">
        <f t="shared" si="106"/>
        <v/>
      </c>
      <c r="L92" s="41" t="str">
        <f t="shared" si="107"/>
        <v/>
      </c>
      <c r="M92" s="42" t="str">
        <f t="shared" si="108"/>
        <v/>
      </c>
      <c r="N92" s="43" t="str">
        <f t="shared" si="109"/>
        <v/>
      </c>
      <c r="O92" s="41" t="str">
        <f t="shared" si="110"/>
        <v/>
      </c>
      <c r="P92" s="41" t="str">
        <f t="shared" si="111"/>
        <v/>
      </c>
      <c r="Q92" s="42" t="str">
        <f t="shared" si="112"/>
        <v/>
      </c>
      <c r="R92" s="40" t="str">
        <f t="shared" si="113"/>
        <v/>
      </c>
      <c r="S92" s="41" t="str">
        <f t="shared" si="114"/>
        <v/>
      </c>
      <c r="T92" s="43" t="str">
        <f t="shared" si="115"/>
        <v/>
      </c>
      <c r="U92" s="42" t="str">
        <f t="shared" si="116"/>
        <v/>
      </c>
      <c r="V92" s="40">
        <f t="shared" si="117"/>
        <v>2</v>
      </c>
      <c r="W92" s="41" t="str">
        <f t="shared" si="118"/>
        <v/>
      </c>
      <c r="X92" s="41" t="str">
        <f t="shared" si="119"/>
        <v/>
      </c>
      <c r="Y92" s="42" t="str">
        <f t="shared" si="120"/>
        <v/>
      </c>
      <c r="Z92" s="40">
        <f t="shared" si="121"/>
        <v>1</v>
      </c>
      <c r="AA92" s="41" t="str">
        <f t="shared" si="122"/>
        <v/>
      </c>
      <c r="AB92" s="41" t="str">
        <f t="shared" si="123"/>
        <v/>
      </c>
      <c r="AC92" s="42" t="str">
        <f t="shared" si="124"/>
        <v/>
      </c>
      <c r="AD92" s="40" t="str">
        <f t="shared" si="125"/>
        <v/>
      </c>
      <c r="AE92" s="41" t="str">
        <f t="shared" si="126"/>
        <v/>
      </c>
      <c r="AF92" s="41" t="str">
        <f t="shared" si="127"/>
        <v/>
      </c>
      <c r="AG92" s="42" t="str">
        <f t="shared" si="128"/>
        <v/>
      </c>
      <c r="AH92" s="40" t="str">
        <f t="shared" si="129"/>
        <v/>
      </c>
      <c r="AI92" s="41" t="str">
        <f t="shared" si="130"/>
        <v/>
      </c>
      <c r="AJ92" s="41" t="str">
        <f t="shared" si="131"/>
        <v/>
      </c>
      <c r="AK92" s="42" t="str">
        <f t="shared" si="132"/>
        <v/>
      </c>
      <c r="AL92" s="40" t="str">
        <f t="shared" si="133"/>
        <v/>
      </c>
      <c r="AM92" s="41">
        <f t="shared" si="134"/>
        <v>-1.0000000000000001E-5</v>
      </c>
      <c r="AN92" s="41" t="str">
        <f t="shared" si="135"/>
        <v/>
      </c>
      <c r="AO92" s="42" t="str">
        <f t="shared" si="136"/>
        <v/>
      </c>
      <c r="AP92" s="40" t="str">
        <f t="shared" si="137"/>
        <v/>
      </c>
      <c r="AQ92" s="41">
        <f t="shared" si="138"/>
        <v>0</v>
      </c>
      <c r="AR92" s="41" t="str">
        <f t="shared" si="139"/>
        <v/>
      </c>
      <c r="AS92" s="42" t="str">
        <f t="shared" si="140"/>
        <v/>
      </c>
      <c r="AT92" s="40" t="str">
        <f t="shared" si="141"/>
        <v/>
      </c>
      <c r="AU92" s="41" t="str">
        <f t="shared" si="142"/>
        <v/>
      </c>
      <c r="AV92" s="41">
        <f t="shared" si="143"/>
        <v>0</v>
      </c>
      <c r="AW92" s="42" t="str">
        <f t="shared" si="144"/>
        <v/>
      </c>
      <c r="AX92" s="40" t="str">
        <f t="shared" si="145"/>
        <v/>
      </c>
      <c r="AY92" s="41" t="str">
        <f t="shared" si="146"/>
        <v/>
      </c>
      <c r="AZ92" s="41" t="str">
        <f t="shared" si="147"/>
        <v/>
      </c>
      <c r="BA92" s="42" t="str">
        <f t="shared" si="148"/>
        <v/>
      </c>
      <c r="BB92" s="37" t="s">
        <v>106</v>
      </c>
      <c r="BC92" s="21"/>
      <c r="BD92" s="21"/>
      <c r="BG92" t="str">
        <f>IF(NOT(ISERROR(HLOOKUP(Standings!BG$3,Entries!$C79:$K79,1,FALSE))),"x",IF(NOT(ISERROR(HLOOKUP(Standings!BG$3,Entries!$L79:$L79,1,FALSE))),"S",""))</f>
        <v/>
      </c>
      <c r="BH92" t="str">
        <f>IF(NOT(ISERROR(HLOOKUP(Standings!BH$3,Entries!$C79:$K79,1,FALSE))),"x",IF(NOT(ISERROR(HLOOKUP(Standings!BH$3,Entries!$L79:$L79,1,FALSE))),"S",""))</f>
        <v/>
      </c>
      <c r="BI92" t="str">
        <f>IF(NOT(ISERROR(HLOOKUP(Standings!BI$3,Entries!$C79:$K79,1,FALSE))),"x",IF(NOT(ISERROR(HLOOKUP(Standings!BI$3,Entries!$L79:$L79,1,FALSE))),"S",""))</f>
        <v/>
      </c>
      <c r="BJ92" t="str">
        <f>IF(NOT(ISERROR(HLOOKUP(Standings!BJ$3,Entries!$C79:$K79,1,FALSE))),"x",IF(NOT(ISERROR(HLOOKUP(Standings!BJ$3,Entries!$L79:$L79,1,FALSE))),"S",""))</f>
        <v/>
      </c>
      <c r="BK92" t="str">
        <f>IF(NOT(ISERROR(HLOOKUP(Standings!BK$3,Entries!$C79:$K79,1,FALSE))),"x",IF(NOT(ISERROR(HLOOKUP(Standings!BK$3,Entries!$L79:$L79,1,FALSE))),"S",""))</f>
        <v/>
      </c>
      <c r="BL92" t="str">
        <f>IF(NOT(ISERROR(HLOOKUP(Standings!BL$3,Entries!$C79:$K79,1,FALSE))),"x",IF(NOT(ISERROR(HLOOKUP(Standings!BL$3,Entries!$L79:$L79,1,FALSE))),"S",""))</f>
        <v/>
      </c>
      <c r="BM92" t="str">
        <f>IF(NOT(ISERROR(HLOOKUP(Standings!BM$3,Entries!$C79:$K79,1,FALSE))),"x",IF(NOT(ISERROR(HLOOKUP(Standings!BM$3,Entries!$L79:$L79,1,FALSE))),"S",""))</f>
        <v/>
      </c>
      <c r="BN92" t="str">
        <f>IF(NOT(ISERROR(HLOOKUP(Standings!BN$3,Entries!$C79:$K79,1,FALSE))),"x",IF(NOT(ISERROR(HLOOKUP(Standings!BN$3,Entries!$L79:$L79,1,FALSE))),"S",""))</f>
        <v/>
      </c>
      <c r="BO92" t="str">
        <f>IF(NOT(ISERROR(HLOOKUP(Standings!BO$3,Entries!$C79:$K79,1,FALSE))),"x",IF(NOT(ISERROR(HLOOKUP(Standings!BO$3,Entries!$L79:$L79,1,FALSE))),"S",""))</f>
        <v/>
      </c>
      <c r="BP92" t="str">
        <f>IF(NOT(ISERROR(HLOOKUP(Standings!BP$3,Entries!$C79:$K79,1,FALSE))),"x",IF(NOT(ISERROR(HLOOKUP(Standings!BP$3,Entries!$L79:$L79,1,FALSE))),"S",""))</f>
        <v/>
      </c>
      <c r="BQ92" t="str">
        <f>IF(NOT(ISERROR(HLOOKUP(Standings!BQ$3,Entries!$C79:$K79,1,FALSE))),"x",IF(NOT(ISERROR(HLOOKUP(Standings!BQ$3,Entries!$L79:$L79,1,FALSE))),"S",""))</f>
        <v/>
      </c>
      <c r="BR92" t="str">
        <f>IF(NOT(ISERROR(HLOOKUP(Standings!BR$3,Entries!$C79:$K79,1,FALSE))),"x",IF(NOT(ISERROR(HLOOKUP(Standings!BR$3,Entries!$L79:$L79,1,FALSE))),"S",""))</f>
        <v/>
      </c>
      <c r="BS92" t="str">
        <f>IF(NOT(ISERROR(HLOOKUP(Standings!BS$3,Entries!$C79:$K79,1,FALSE))),"x",IF(NOT(ISERROR(HLOOKUP(Standings!BS$3,Entries!$L79:$L79,1,FALSE))),"S",""))</f>
        <v/>
      </c>
      <c r="BT92" t="str">
        <f>IF(NOT(ISERROR(HLOOKUP(Standings!BT$3,Entries!$C79:$K79,1,FALSE))),"x",IF(NOT(ISERROR(HLOOKUP(Standings!BT$3,Entries!$L79:$L79,1,FALSE))),"S",""))</f>
        <v/>
      </c>
      <c r="BU92" t="str">
        <f>IF(NOT(ISERROR(HLOOKUP(Standings!BU$3,Entries!$C79:$K79,1,FALSE))),"x",IF(NOT(ISERROR(HLOOKUP(Standings!BU$3,Entries!$L79:$L79,1,FALSE))),"S",""))</f>
        <v/>
      </c>
      <c r="BV92" t="str">
        <f>IF(NOT(ISERROR(HLOOKUP(Standings!BV$3,Entries!$C79:$K79,1,FALSE))),"x",IF(NOT(ISERROR(HLOOKUP(Standings!BV$3,Entries!$L79:$L79,1,FALSE))),"S",""))</f>
        <v/>
      </c>
      <c r="BW92" t="str">
        <f>IF(NOT(ISERROR(HLOOKUP(Standings!BW$3,Entries!$C79:$K79,1,FALSE))),"x",IF(NOT(ISERROR(HLOOKUP(Standings!BW$3,Entries!$L79:$L79,1,FALSE))),"S",""))</f>
        <v>x</v>
      </c>
      <c r="BX92" t="str">
        <f>IF(NOT(ISERROR(HLOOKUP(Standings!BX$3,Entries!$C79:$K79,1,FALSE))),"x",IF(NOT(ISERROR(HLOOKUP(Standings!BX$3,Entries!$L79:$L79,1,FALSE))),"S",""))</f>
        <v/>
      </c>
      <c r="BY92" t="str">
        <f>IF(NOT(ISERROR(HLOOKUP(Standings!BY$3,Entries!$C79:$K79,1,FALSE))),"x",IF(NOT(ISERROR(HLOOKUP(Standings!BY$3,Entries!$L79:$L79,1,FALSE))),"S",""))</f>
        <v/>
      </c>
      <c r="BZ92" t="str">
        <f>IF(NOT(ISERROR(HLOOKUP(Standings!BZ$3,Entries!$C79:$K79,1,FALSE))),"x",IF(NOT(ISERROR(HLOOKUP(Standings!BZ$3,Entries!$L79:$L79,1,FALSE))),"S",""))</f>
        <v/>
      </c>
      <c r="CA92" t="str">
        <f>IF(NOT(ISERROR(HLOOKUP(Standings!CA$3,Entries!$C79:$K79,1,FALSE))),"x",IF(NOT(ISERROR(HLOOKUP(Standings!CA$3,Entries!$L79:$L79,1,FALSE))),"S",""))</f>
        <v>x</v>
      </c>
      <c r="CB92" t="str">
        <f>IF(NOT(ISERROR(HLOOKUP(Standings!CB$3,Entries!$C79:$K79,1,FALSE))),"x",IF(NOT(ISERROR(HLOOKUP(Standings!CB$3,Entries!$L79:$L79,1,FALSE))),"S",""))</f>
        <v/>
      </c>
      <c r="CC92" t="str">
        <f>IF(NOT(ISERROR(HLOOKUP(Standings!CC$3,Entries!$C79:$K79,1,FALSE))),"x",IF(NOT(ISERROR(HLOOKUP(Standings!CC$3,Entries!$L79:$L79,1,FALSE))),"S",""))</f>
        <v/>
      </c>
      <c r="CD92" t="str">
        <f>IF(NOT(ISERROR(HLOOKUP(Standings!CD$3,Entries!$C79:$K79,1,FALSE))),"x",IF(NOT(ISERROR(HLOOKUP(Standings!CD$3,Entries!$L79:$L79,1,FALSE))),"S",""))</f>
        <v/>
      </c>
      <c r="CE92" t="str">
        <f>IF(NOT(ISERROR(HLOOKUP(Standings!CE$3,Entries!$C79:$K79,1,FALSE))),"x",IF(NOT(ISERROR(HLOOKUP(Standings!CE$3,Entries!$L79:$L79,1,FALSE))),"S",""))</f>
        <v/>
      </c>
      <c r="CF92" t="str">
        <f>IF(NOT(ISERROR(HLOOKUP(Standings!CF$3,Entries!$C79:$K79,1,FALSE))),"x",IF(NOT(ISERROR(HLOOKUP(Standings!CF$3,Entries!$L79:$L79,1,FALSE))),"S",""))</f>
        <v/>
      </c>
      <c r="CG92" t="str">
        <f>IF(NOT(ISERROR(HLOOKUP(Standings!CG$3,Entries!$C79:$K79,1,FALSE))),"x",IF(NOT(ISERROR(HLOOKUP(Standings!CG$3,Entries!$L79:$L79,1,FALSE))),"S",""))</f>
        <v/>
      </c>
      <c r="CH92" t="str">
        <f>IF(NOT(ISERROR(HLOOKUP(Standings!CH$3,Entries!$C79:$K79,1,FALSE))),"x",IF(NOT(ISERROR(HLOOKUP(Standings!CH$3,Entries!$L79:$L79,1,FALSE))),"S",""))</f>
        <v/>
      </c>
      <c r="CI92" t="str">
        <f>IF(NOT(ISERROR(HLOOKUP(Standings!CI$3,Entries!$C79:$K79,1,FALSE))),"x",IF(NOT(ISERROR(HLOOKUP(Standings!CI$3,Entries!$L79:$L79,1,FALSE))),"S",""))</f>
        <v/>
      </c>
      <c r="CJ92" t="str">
        <f>IF(NOT(ISERROR(HLOOKUP(Standings!CJ$3,Entries!$C79:$K79,1,FALSE))),"x",IF(NOT(ISERROR(HLOOKUP(Standings!CJ$3,Entries!$L79:$L79,1,FALSE))),"S",""))</f>
        <v/>
      </c>
      <c r="CK92" t="str">
        <f>IF(NOT(ISERROR(HLOOKUP(Standings!CK$3,Entries!$C79:$K79,1,FALSE))),"x",IF(NOT(ISERROR(HLOOKUP(Standings!CK$3,Entries!$L79:$L79,1,FALSE))),"S",""))</f>
        <v/>
      </c>
      <c r="CL92" t="str">
        <f>IF(NOT(ISERROR(HLOOKUP(Standings!CL$3,Entries!$C79:$K79,1,FALSE))),"x",IF(NOT(ISERROR(HLOOKUP(Standings!CL$3,Entries!$L79:$L79,1,FALSE))),"S",""))</f>
        <v/>
      </c>
      <c r="CM92" t="str">
        <f>IF(NOT(ISERROR(HLOOKUP(Standings!CM$3,Entries!$C79:$K79,1,FALSE))),"x",IF(NOT(ISERROR(HLOOKUP(Standings!CM$3,Entries!$L79:$L79,1,FALSE))),"S",""))</f>
        <v/>
      </c>
      <c r="CN92" t="str">
        <f>IF(NOT(ISERROR(HLOOKUP(Standings!CN$3,Entries!$C79:$K79,1,FALSE))),"x",IF(NOT(ISERROR(HLOOKUP(Standings!CN$3,Entries!$L79:$L79,1,FALSE))),"S",""))</f>
        <v>S</v>
      </c>
      <c r="CO92" t="str">
        <f>IF(NOT(ISERROR(HLOOKUP(Standings!CO$3,Entries!$C79:$K79,1,FALSE))),"x",IF(NOT(ISERROR(HLOOKUP(Standings!CO$3,Entries!$L79:$L79,1,FALSE))),"S",""))</f>
        <v/>
      </c>
      <c r="CP92" t="str">
        <f>IF(NOT(ISERROR(HLOOKUP(Standings!CP$3,Entries!$C79:$K79,1,FALSE))),"x",IF(NOT(ISERROR(HLOOKUP(Standings!CP$3,Entries!$L79:$L79,1,FALSE))),"S",""))</f>
        <v/>
      </c>
      <c r="CQ92" t="str">
        <f>IF(NOT(ISERROR(HLOOKUP(Standings!CQ$3,Entries!$C79:$K79,1,FALSE))),"x",IF(NOT(ISERROR(HLOOKUP(Standings!CQ$3,Entries!$L79:$L79,1,FALSE))),"S",""))</f>
        <v/>
      </c>
      <c r="CR92" t="str">
        <f>IF(NOT(ISERROR(HLOOKUP(Standings!CR$3,Entries!$C79:$K79,1,FALSE))),"x",IF(NOT(ISERROR(HLOOKUP(Standings!CR$3,Entries!$L79:$L79,1,FALSE))),"S",""))</f>
        <v>x</v>
      </c>
      <c r="CS92" t="str">
        <f>IF(NOT(ISERROR(HLOOKUP(Standings!CS$3,Entries!$C79:$K79,1,FALSE))),"x",IF(NOT(ISERROR(HLOOKUP(Standings!CS$3,Entries!$L79:$L79,1,FALSE))),"S",""))</f>
        <v/>
      </c>
      <c r="CT92" t="str">
        <f>IF(NOT(ISERROR(HLOOKUP(Standings!CT$3,Entries!$C79:$K79,1,FALSE))),"x",IF(NOT(ISERROR(HLOOKUP(Standings!CT$3,Entries!$L79:$L79,1,FALSE))),"S",""))</f>
        <v/>
      </c>
      <c r="CU92" t="str">
        <f>IF(NOT(ISERROR(HLOOKUP(Standings!CU$3,Entries!$C79:$K79,1,FALSE))),"x",IF(NOT(ISERROR(HLOOKUP(Standings!CU$3,Entries!$L79:$L79,1,FALSE))),"S",""))</f>
        <v/>
      </c>
      <c r="CV92" t="str">
        <f>IF(NOT(ISERROR(HLOOKUP(Standings!CV$3,Entries!$C79:$K79,1,FALSE))),"x",IF(NOT(ISERROR(HLOOKUP(Standings!CV$3,Entries!$L79:$L79,1,FALSE))),"S",""))</f>
        <v/>
      </c>
      <c r="CW92" t="str">
        <f>IF(NOT(ISERROR(HLOOKUP(Standings!CW$3,Entries!$C79:$K79,1,FALSE))),"x",IF(NOT(ISERROR(HLOOKUP(Standings!CW$3,Entries!$L79:$L79,1,FALSE))),"S",""))</f>
        <v>x</v>
      </c>
      <c r="CX92" t="str">
        <f>IF(NOT(ISERROR(HLOOKUP(Standings!CX$3,Entries!$C79:$K79,1,FALSE))),"x",IF(NOT(ISERROR(HLOOKUP(Standings!CX$3,Entries!$L79:$L79,1,FALSE))),"S",""))</f>
        <v/>
      </c>
      <c r="CY92" t="str">
        <f>IF(NOT(ISERROR(HLOOKUP(Standings!CY$3,Entries!$C79:$K79,1,FALSE))),"x",IF(NOT(ISERROR(HLOOKUP(Standings!CY$3,Entries!$L79:$L79,1,FALSE))),"S",""))</f>
        <v/>
      </c>
      <c r="CZ92" t="str">
        <f>IF(NOT(ISERROR(HLOOKUP(Standings!CZ$3,Entries!$C79:$K79,1,FALSE))),"x",IF(NOT(ISERROR(HLOOKUP(Standings!CZ$3,Entries!$L79:$L79,1,FALSE))),"S",""))</f>
        <v/>
      </c>
      <c r="DA92" t="str">
        <f>IF(NOT(ISERROR(HLOOKUP(Standings!DA$3,Entries!$C79:$K79,1,FALSE))),"x",IF(NOT(ISERROR(HLOOKUP(Standings!DA$3,Entries!$L79:$L79,1,FALSE))),"S",""))</f>
        <v/>
      </c>
      <c r="DB92" t="str">
        <f>IF(NOT(ISERROR(HLOOKUP(Standings!DB$3,Entries!$C79:$K79,1,FALSE))),"x",IF(NOT(ISERROR(HLOOKUP(Standings!DB$3,Entries!$L79:$L79,1,FALSE))),"S",""))</f>
        <v/>
      </c>
    </row>
    <row r="93" spans="1:106" x14ac:dyDescent="0.25">
      <c r="A93" s="18"/>
      <c r="B93">
        <v>26</v>
      </c>
      <c r="C93" t="str">
        <f>Entries!B80</f>
        <v>DC</v>
      </c>
      <c r="D93" s="4">
        <f>IF(C93="","",RANK(E93,$E$10:$E$111))</f>
        <v>55</v>
      </c>
      <c r="E93" s="31">
        <f t="shared" si="100"/>
        <v>3</v>
      </c>
      <c r="F93" s="40" t="str">
        <f t="shared" si="101"/>
        <v/>
      </c>
      <c r="G93" s="41" t="str">
        <f t="shared" si="102"/>
        <v/>
      </c>
      <c r="H93" s="41" t="str">
        <f t="shared" si="103"/>
        <v/>
      </c>
      <c r="I93" s="42" t="str">
        <f t="shared" si="104"/>
        <v/>
      </c>
      <c r="J93" s="40" t="str">
        <f t="shared" si="105"/>
        <v/>
      </c>
      <c r="K93" s="41" t="str">
        <f t="shared" si="106"/>
        <v/>
      </c>
      <c r="L93" s="41" t="str">
        <f t="shared" si="107"/>
        <v/>
      </c>
      <c r="M93" s="42" t="str">
        <f t="shared" si="108"/>
        <v/>
      </c>
      <c r="N93" s="43" t="str">
        <f t="shared" si="109"/>
        <v/>
      </c>
      <c r="O93" s="41" t="str">
        <f t="shared" si="110"/>
        <v/>
      </c>
      <c r="P93" s="41" t="str">
        <f t="shared" si="111"/>
        <v/>
      </c>
      <c r="Q93" s="42" t="str">
        <f t="shared" si="112"/>
        <v/>
      </c>
      <c r="R93" s="40" t="str">
        <f t="shared" si="113"/>
        <v/>
      </c>
      <c r="S93" s="41">
        <f t="shared" si="114"/>
        <v>0</v>
      </c>
      <c r="T93" s="43" t="str">
        <f t="shared" si="115"/>
        <v/>
      </c>
      <c r="U93" s="42" t="str">
        <f t="shared" si="116"/>
        <v/>
      </c>
      <c r="V93" s="40" t="str">
        <f t="shared" si="117"/>
        <v/>
      </c>
      <c r="W93" s="41" t="str">
        <f t="shared" si="118"/>
        <v/>
      </c>
      <c r="X93" s="41" t="str">
        <f t="shared" si="119"/>
        <v/>
      </c>
      <c r="Y93" s="42">
        <f t="shared" si="120"/>
        <v>0</v>
      </c>
      <c r="Z93" s="40" t="str">
        <f t="shared" si="121"/>
        <v/>
      </c>
      <c r="AA93" s="41">
        <f t="shared" si="122"/>
        <v>1</v>
      </c>
      <c r="AB93" s="41" t="str">
        <f t="shared" si="123"/>
        <v/>
      </c>
      <c r="AC93" s="42" t="str">
        <f t="shared" si="124"/>
        <v/>
      </c>
      <c r="AD93" s="40" t="str">
        <f t="shared" si="125"/>
        <v/>
      </c>
      <c r="AE93" s="41" t="str">
        <f t="shared" si="126"/>
        <v/>
      </c>
      <c r="AF93" s="41" t="str">
        <f t="shared" si="127"/>
        <v/>
      </c>
      <c r="AG93" s="42">
        <f t="shared" si="128"/>
        <v>1</v>
      </c>
      <c r="AH93" s="40" t="str">
        <f t="shared" si="129"/>
        <v/>
      </c>
      <c r="AI93" s="41" t="str">
        <f t="shared" si="130"/>
        <v/>
      </c>
      <c r="AJ93" s="41" t="str">
        <f t="shared" si="131"/>
        <v/>
      </c>
      <c r="AK93" s="42">
        <f t="shared" si="132"/>
        <v>1</v>
      </c>
      <c r="AL93" s="40" t="str">
        <f t="shared" si="133"/>
        <v/>
      </c>
      <c r="AM93" s="41" t="str">
        <f t="shared" si="134"/>
        <v/>
      </c>
      <c r="AN93" s="41">
        <f t="shared" si="135"/>
        <v>0</v>
      </c>
      <c r="AO93" s="42" t="str">
        <f t="shared" si="136"/>
        <v/>
      </c>
      <c r="AP93" s="40">
        <f t="shared" si="137"/>
        <v>0</v>
      </c>
      <c r="AQ93" s="41" t="str">
        <f t="shared" si="138"/>
        <v/>
      </c>
      <c r="AR93" s="41" t="str">
        <f t="shared" si="139"/>
        <v/>
      </c>
      <c r="AS93" s="42" t="str">
        <f t="shared" si="140"/>
        <v/>
      </c>
      <c r="AT93" s="40" t="str">
        <f t="shared" si="141"/>
        <v/>
      </c>
      <c r="AU93" s="41" t="str">
        <f t="shared" si="142"/>
        <v/>
      </c>
      <c r="AV93" s="41" t="str">
        <f t="shared" si="143"/>
        <v/>
      </c>
      <c r="AW93" s="42">
        <f t="shared" si="144"/>
        <v>0</v>
      </c>
      <c r="AX93" s="40">
        <f t="shared" si="145"/>
        <v>-1.0000000000000001E-5</v>
      </c>
      <c r="AY93" s="41" t="str">
        <f t="shared" si="146"/>
        <v/>
      </c>
      <c r="AZ93" s="41" t="str">
        <f t="shared" si="147"/>
        <v/>
      </c>
      <c r="BA93" s="42" t="str">
        <f t="shared" si="148"/>
        <v/>
      </c>
      <c r="BB93" s="37" t="s">
        <v>106</v>
      </c>
      <c r="BC93" s="21"/>
      <c r="BD93" s="21"/>
      <c r="BG93" t="str">
        <f>IF(NOT(ISERROR(HLOOKUP(Standings!BG$3,Entries!$C80:$K80,1,FALSE))),"x",IF(NOT(ISERROR(HLOOKUP(Standings!BG$3,Entries!$L80:$L80,1,FALSE))),"S",""))</f>
        <v/>
      </c>
      <c r="BH93" t="str">
        <f>IF(NOT(ISERROR(HLOOKUP(Standings!BH$3,Entries!$C80:$K80,1,FALSE))),"x",IF(NOT(ISERROR(HLOOKUP(Standings!BH$3,Entries!$L80:$L80,1,FALSE))),"S",""))</f>
        <v/>
      </c>
      <c r="BI93" t="str">
        <f>IF(NOT(ISERROR(HLOOKUP(Standings!BI$3,Entries!$C80:$K80,1,FALSE))),"x",IF(NOT(ISERROR(HLOOKUP(Standings!BI$3,Entries!$L80:$L80,1,FALSE))),"S",""))</f>
        <v/>
      </c>
      <c r="BJ93" t="str">
        <f>IF(NOT(ISERROR(HLOOKUP(Standings!BJ$3,Entries!$C80:$K80,1,FALSE))),"x",IF(NOT(ISERROR(HLOOKUP(Standings!BJ$3,Entries!$L80:$L80,1,FALSE))),"S",""))</f>
        <v/>
      </c>
      <c r="BK93" t="str">
        <f>IF(NOT(ISERROR(HLOOKUP(Standings!BK$3,Entries!$C80:$K80,1,FALSE))),"x",IF(NOT(ISERROR(HLOOKUP(Standings!BK$3,Entries!$L80:$L80,1,FALSE))),"S",""))</f>
        <v/>
      </c>
      <c r="BL93" t="str">
        <f>IF(NOT(ISERROR(HLOOKUP(Standings!BL$3,Entries!$C80:$K80,1,FALSE))),"x",IF(NOT(ISERROR(HLOOKUP(Standings!BL$3,Entries!$L80:$L80,1,FALSE))),"S",""))</f>
        <v/>
      </c>
      <c r="BM93" t="str">
        <f>IF(NOT(ISERROR(HLOOKUP(Standings!BM$3,Entries!$C80:$K80,1,FALSE))),"x",IF(NOT(ISERROR(HLOOKUP(Standings!BM$3,Entries!$L80:$L80,1,FALSE))),"S",""))</f>
        <v/>
      </c>
      <c r="BN93" t="str">
        <f>IF(NOT(ISERROR(HLOOKUP(Standings!BN$3,Entries!$C80:$K80,1,FALSE))),"x",IF(NOT(ISERROR(HLOOKUP(Standings!BN$3,Entries!$L80:$L80,1,FALSE))),"S",""))</f>
        <v/>
      </c>
      <c r="BO93" t="str">
        <f>IF(NOT(ISERROR(HLOOKUP(Standings!BO$3,Entries!$C80:$K80,1,FALSE))),"x",IF(NOT(ISERROR(HLOOKUP(Standings!BO$3,Entries!$L80:$L80,1,FALSE))),"S",""))</f>
        <v/>
      </c>
      <c r="BP93" t="str">
        <f>IF(NOT(ISERROR(HLOOKUP(Standings!BP$3,Entries!$C80:$K80,1,FALSE))),"x",IF(NOT(ISERROR(HLOOKUP(Standings!BP$3,Entries!$L80:$L80,1,FALSE))),"S",""))</f>
        <v/>
      </c>
      <c r="BQ93" t="str">
        <f>IF(NOT(ISERROR(HLOOKUP(Standings!BQ$3,Entries!$C80:$K80,1,FALSE))),"x",IF(NOT(ISERROR(HLOOKUP(Standings!BQ$3,Entries!$L80:$L80,1,FALSE))),"S",""))</f>
        <v/>
      </c>
      <c r="BR93" t="str">
        <f>IF(NOT(ISERROR(HLOOKUP(Standings!BR$3,Entries!$C80:$K80,1,FALSE))),"x",IF(NOT(ISERROR(HLOOKUP(Standings!BR$3,Entries!$L80:$L80,1,FALSE))),"S",""))</f>
        <v/>
      </c>
      <c r="BS93" t="str">
        <f>IF(NOT(ISERROR(HLOOKUP(Standings!BS$3,Entries!$C80:$K80,1,FALSE))),"x",IF(NOT(ISERROR(HLOOKUP(Standings!BS$3,Entries!$L80:$L80,1,FALSE))),"S",""))</f>
        <v/>
      </c>
      <c r="BT93" t="str">
        <f>IF(NOT(ISERROR(HLOOKUP(Standings!BT$3,Entries!$C80:$K80,1,FALSE))),"x",IF(NOT(ISERROR(HLOOKUP(Standings!BT$3,Entries!$L80:$L80,1,FALSE))),"S",""))</f>
        <v>x</v>
      </c>
      <c r="BU93" t="str">
        <f>IF(NOT(ISERROR(HLOOKUP(Standings!BU$3,Entries!$C80:$K80,1,FALSE))),"x",IF(NOT(ISERROR(HLOOKUP(Standings!BU$3,Entries!$L80:$L80,1,FALSE))),"S",""))</f>
        <v/>
      </c>
      <c r="BV93" t="str">
        <f>IF(NOT(ISERROR(HLOOKUP(Standings!BV$3,Entries!$C80:$K80,1,FALSE))),"x",IF(NOT(ISERROR(HLOOKUP(Standings!BV$3,Entries!$L80:$L80,1,FALSE))),"S",""))</f>
        <v/>
      </c>
      <c r="BW93" t="str">
        <f>IF(NOT(ISERROR(HLOOKUP(Standings!BW$3,Entries!$C80:$K80,1,FALSE))),"x",IF(NOT(ISERROR(HLOOKUP(Standings!BW$3,Entries!$L80:$L80,1,FALSE))),"S",""))</f>
        <v/>
      </c>
      <c r="BX93" t="str">
        <f>IF(NOT(ISERROR(HLOOKUP(Standings!BX$3,Entries!$C80:$K80,1,FALSE))),"x",IF(NOT(ISERROR(HLOOKUP(Standings!BX$3,Entries!$L80:$L80,1,FALSE))),"S",""))</f>
        <v/>
      </c>
      <c r="BY93" t="str">
        <f>IF(NOT(ISERROR(HLOOKUP(Standings!BY$3,Entries!$C80:$K80,1,FALSE))),"x",IF(NOT(ISERROR(HLOOKUP(Standings!BY$3,Entries!$L80:$L80,1,FALSE))),"S",""))</f>
        <v/>
      </c>
      <c r="BZ93" t="str">
        <f>IF(NOT(ISERROR(HLOOKUP(Standings!BZ$3,Entries!$C80:$K80,1,FALSE))),"x",IF(NOT(ISERROR(HLOOKUP(Standings!BZ$3,Entries!$L80:$L80,1,FALSE))),"S",""))</f>
        <v>x</v>
      </c>
      <c r="CA93" t="str">
        <f>IF(NOT(ISERROR(HLOOKUP(Standings!CA$3,Entries!$C80:$K80,1,FALSE))),"x",IF(NOT(ISERROR(HLOOKUP(Standings!CA$3,Entries!$L80:$L80,1,FALSE))),"S",""))</f>
        <v/>
      </c>
      <c r="CB93" t="str">
        <f>IF(NOT(ISERROR(HLOOKUP(Standings!CB$3,Entries!$C80:$K80,1,FALSE))),"x",IF(NOT(ISERROR(HLOOKUP(Standings!CB$3,Entries!$L80:$L80,1,FALSE))),"S",""))</f>
        <v>x</v>
      </c>
      <c r="CC93" t="str">
        <f>IF(NOT(ISERROR(HLOOKUP(Standings!CC$3,Entries!$C80:$K80,1,FALSE))),"x",IF(NOT(ISERROR(HLOOKUP(Standings!CC$3,Entries!$L80:$L80,1,FALSE))),"S",""))</f>
        <v/>
      </c>
      <c r="CD93" t="str">
        <f>IF(NOT(ISERROR(HLOOKUP(Standings!CD$3,Entries!$C80:$K80,1,FALSE))),"x",IF(NOT(ISERROR(HLOOKUP(Standings!CD$3,Entries!$L80:$L80,1,FALSE))),"S",""))</f>
        <v/>
      </c>
      <c r="CE93" t="str">
        <f>IF(NOT(ISERROR(HLOOKUP(Standings!CE$3,Entries!$C80:$K80,1,FALSE))),"x",IF(NOT(ISERROR(HLOOKUP(Standings!CE$3,Entries!$L80:$L80,1,FALSE))),"S",""))</f>
        <v/>
      </c>
      <c r="CF93" t="str">
        <f>IF(NOT(ISERROR(HLOOKUP(Standings!CF$3,Entries!$C80:$K80,1,FALSE))),"x",IF(NOT(ISERROR(HLOOKUP(Standings!CF$3,Entries!$L80:$L80,1,FALSE))),"S",""))</f>
        <v/>
      </c>
      <c r="CG93" t="str">
        <f>IF(NOT(ISERROR(HLOOKUP(Standings!CG$3,Entries!$C80:$K80,1,FALSE))),"x",IF(NOT(ISERROR(HLOOKUP(Standings!CG$3,Entries!$L80:$L80,1,FALSE))),"S",""))</f>
        <v/>
      </c>
      <c r="CH93" t="str">
        <f>IF(NOT(ISERROR(HLOOKUP(Standings!CH$3,Entries!$C80:$K80,1,FALSE))),"x",IF(NOT(ISERROR(HLOOKUP(Standings!CH$3,Entries!$L80:$L80,1,FALSE))),"S",""))</f>
        <v>x</v>
      </c>
      <c r="CI93" t="str">
        <f>IF(NOT(ISERROR(HLOOKUP(Standings!CI$3,Entries!$C80:$K80,1,FALSE))),"x",IF(NOT(ISERROR(HLOOKUP(Standings!CI$3,Entries!$L80:$L80,1,FALSE))),"S",""))</f>
        <v/>
      </c>
      <c r="CJ93" t="str">
        <f>IF(NOT(ISERROR(HLOOKUP(Standings!CJ$3,Entries!$C80:$K80,1,FALSE))),"x",IF(NOT(ISERROR(HLOOKUP(Standings!CJ$3,Entries!$L80:$L80,1,FALSE))),"S",""))</f>
        <v/>
      </c>
      <c r="CK93" t="str">
        <f>IF(NOT(ISERROR(HLOOKUP(Standings!CK$3,Entries!$C80:$K80,1,FALSE))),"x",IF(NOT(ISERROR(HLOOKUP(Standings!CK$3,Entries!$L80:$L80,1,FALSE))),"S",""))</f>
        <v/>
      </c>
      <c r="CL93" t="str">
        <f>IF(NOT(ISERROR(HLOOKUP(Standings!CL$3,Entries!$C80:$K80,1,FALSE))),"x",IF(NOT(ISERROR(HLOOKUP(Standings!CL$3,Entries!$L80:$L80,1,FALSE))),"S",""))</f>
        <v>x</v>
      </c>
      <c r="CM93" t="str">
        <f>IF(NOT(ISERROR(HLOOKUP(Standings!CM$3,Entries!$C80:$K80,1,FALSE))),"x",IF(NOT(ISERROR(HLOOKUP(Standings!CM$3,Entries!$L80:$L80,1,FALSE))),"S",""))</f>
        <v/>
      </c>
      <c r="CN93" t="str">
        <f>IF(NOT(ISERROR(HLOOKUP(Standings!CN$3,Entries!$C80:$K80,1,FALSE))),"x",IF(NOT(ISERROR(HLOOKUP(Standings!CN$3,Entries!$L80:$L80,1,FALSE))),"S",""))</f>
        <v/>
      </c>
      <c r="CO93" t="str">
        <f>IF(NOT(ISERROR(HLOOKUP(Standings!CO$3,Entries!$C80:$K80,1,FALSE))),"x",IF(NOT(ISERROR(HLOOKUP(Standings!CO$3,Entries!$L80:$L80,1,FALSE))),"S",""))</f>
        <v>x</v>
      </c>
      <c r="CP93" t="str">
        <f>IF(NOT(ISERROR(HLOOKUP(Standings!CP$3,Entries!$C80:$K80,1,FALSE))),"x",IF(NOT(ISERROR(HLOOKUP(Standings!CP$3,Entries!$L80:$L80,1,FALSE))),"S",""))</f>
        <v/>
      </c>
      <c r="CQ93" t="str">
        <f>IF(NOT(ISERROR(HLOOKUP(Standings!CQ$3,Entries!$C80:$K80,1,FALSE))),"x",IF(NOT(ISERROR(HLOOKUP(Standings!CQ$3,Entries!$L80:$L80,1,FALSE))),"S",""))</f>
        <v>x</v>
      </c>
      <c r="CR93" t="str">
        <f>IF(NOT(ISERROR(HLOOKUP(Standings!CR$3,Entries!$C80:$K80,1,FALSE))),"x",IF(NOT(ISERROR(HLOOKUP(Standings!CR$3,Entries!$L80:$L80,1,FALSE))),"S",""))</f>
        <v/>
      </c>
      <c r="CS93" t="str">
        <f>IF(NOT(ISERROR(HLOOKUP(Standings!CS$3,Entries!$C80:$K80,1,FALSE))),"x",IF(NOT(ISERROR(HLOOKUP(Standings!CS$3,Entries!$L80:$L80,1,FALSE))),"S",""))</f>
        <v/>
      </c>
      <c r="CT93" t="str">
        <f>IF(NOT(ISERROR(HLOOKUP(Standings!CT$3,Entries!$C80:$K80,1,FALSE))),"x",IF(NOT(ISERROR(HLOOKUP(Standings!CT$3,Entries!$L80:$L80,1,FALSE))),"S",""))</f>
        <v/>
      </c>
      <c r="CU93" t="str">
        <f>IF(NOT(ISERROR(HLOOKUP(Standings!CU$3,Entries!$C80:$K80,1,FALSE))),"x",IF(NOT(ISERROR(HLOOKUP(Standings!CU$3,Entries!$L80:$L80,1,FALSE))),"S",""))</f>
        <v/>
      </c>
      <c r="CV93" t="str">
        <f>IF(NOT(ISERROR(HLOOKUP(Standings!CV$3,Entries!$C80:$K80,1,FALSE))),"x",IF(NOT(ISERROR(HLOOKUP(Standings!CV$3,Entries!$L80:$L80,1,FALSE))),"S",""))</f>
        <v/>
      </c>
      <c r="CW93" t="str">
        <f>IF(NOT(ISERROR(HLOOKUP(Standings!CW$3,Entries!$C80:$K80,1,FALSE))),"x",IF(NOT(ISERROR(HLOOKUP(Standings!CW$3,Entries!$L80:$L80,1,FALSE))),"S",""))</f>
        <v/>
      </c>
      <c r="CX93" t="str">
        <f>IF(NOT(ISERROR(HLOOKUP(Standings!CX$3,Entries!$C80:$K80,1,FALSE))),"x",IF(NOT(ISERROR(HLOOKUP(Standings!CX$3,Entries!$L80:$L80,1,FALSE))),"S",""))</f>
        <v>x</v>
      </c>
      <c r="CY93" t="str">
        <f>IF(NOT(ISERROR(HLOOKUP(Standings!CY$3,Entries!$C80:$K80,1,FALSE))),"x",IF(NOT(ISERROR(HLOOKUP(Standings!CY$3,Entries!$L80:$L80,1,FALSE))),"S",""))</f>
        <v>S</v>
      </c>
      <c r="CZ93" t="str">
        <f>IF(NOT(ISERROR(HLOOKUP(Standings!CZ$3,Entries!$C80:$K80,1,FALSE))),"x",IF(NOT(ISERROR(HLOOKUP(Standings!CZ$3,Entries!$L80:$L80,1,FALSE))),"S",""))</f>
        <v/>
      </c>
      <c r="DA93" t="str">
        <f>IF(NOT(ISERROR(HLOOKUP(Standings!DA$3,Entries!$C80:$K80,1,FALSE))),"x",IF(NOT(ISERROR(HLOOKUP(Standings!DA$3,Entries!$L80:$L80,1,FALSE))),"S",""))</f>
        <v/>
      </c>
      <c r="DB93" t="str">
        <f>IF(NOT(ISERROR(HLOOKUP(Standings!DB$3,Entries!$C80:$K80,1,FALSE))),"x",IF(NOT(ISERROR(HLOOKUP(Standings!DB$3,Entries!$L80:$L80,1,FALSE))),"S",""))</f>
        <v/>
      </c>
    </row>
    <row r="94" spans="1:106" x14ac:dyDescent="0.25">
      <c r="A94" s="18"/>
      <c r="B94">
        <v>26</v>
      </c>
      <c r="C94" t="str">
        <f>Entries!B81</f>
        <v>MatthewLeners</v>
      </c>
      <c r="D94" s="4">
        <f>IF(C94="","",RANK(E94,$E$10:$E$111))</f>
        <v>32</v>
      </c>
      <c r="E94" s="31">
        <f t="shared" si="100"/>
        <v>4</v>
      </c>
      <c r="F94" s="40" t="str">
        <f t="shared" si="101"/>
        <v/>
      </c>
      <c r="G94" s="41" t="str">
        <f t="shared" si="102"/>
        <v/>
      </c>
      <c r="H94" s="41" t="str">
        <f t="shared" si="103"/>
        <v/>
      </c>
      <c r="I94" s="42" t="str">
        <f t="shared" si="104"/>
        <v/>
      </c>
      <c r="J94" s="40" t="str">
        <f t="shared" si="105"/>
        <v/>
      </c>
      <c r="K94" s="41" t="str">
        <f t="shared" si="106"/>
        <v/>
      </c>
      <c r="L94" s="41" t="str">
        <f t="shared" si="107"/>
        <v/>
      </c>
      <c r="M94" s="42" t="str">
        <f t="shared" si="108"/>
        <v/>
      </c>
      <c r="N94" s="43" t="str">
        <f t="shared" si="109"/>
        <v/>
      </c>
      <c r="O94" s="41" t="str">
        <f t="shared" si="110"/>
        <v/>
      </c>
      <c r="P94" s="41" t="str">
        <f t="shared" si="111"/>
        <v/>
      </c>
      <c r="Q94" s="42" t="str">
        <f t="shared" si="112"/>
        <v/>
      </c>
      <c r="R94" s="40">
        <f t="shared" si="113"/>
        <v>2</v>
      </c>
      <c r="S94" s="41" t="str">
        <f t="shared" si="114"/>
        <v/>
      </c>
      <c r="T94" s="43" t="str">
        <f t="shared" si="115"/>
        <v/>
      </c>
      <c r="U94" s="42" t="str">
        <f t="shared" si="116"/>
        <v/>
      </c>
      <c r="V94" s="40">
        <f t="shared" si="117"/>
        <v>2</v>
      </c>
      <c r="W94" s="41" t="str">
        <f t="shared" si="118"/>
        <v/>
      </c>
      <c r="X94" s="41" t="str">
        <f t="shared" si="119"/>
        <v/>
      </c>
      <c r="Y94" s="42" t="str">
        <f t="shared" si="120"/>
        <v/>
      </c>
      <c r="Z94" s="40" t="str">
        <f t="shared" si="121"/>
        <v/>
      </c>
      <c r="AA94" s="41" t="str">
        <f t="shared" si="122"/>
        <v/>
      </c>
      <c r="AB94" s="41" t="str">
        <f t="shared" si="123"/>
        <v/>
      </c>
      <c r="AC94" s="42" t="str">
        <f t="shared" si="124"/>
        <v/>
      </c>
      <c r="AD94" s="40" t="str">
        <f t="shared" si="125"/>
        <v/>
      </c>
      <c r="AE94" s="41" t="str">
        <f t="shared" si="126"/>
        <v/>
      </c>
      <c r="AF94" s="41" t="str">
        <f t="shared" si="127"/>
        <v/>
      </c>
      <c r="AG94" s="42" t="str">
        <f t="shared" si="128"/>
        <v/>
      </c>
      <c r="AH94" s="40" t="str">
        <f t="shared" si="129"/>
        <v/>
      </c>
      <c r="AI94" s="41" t="str">
        <f t="shared" si="130"/>
        <v/>
      </c>
      <c r="AJ94" s="41" t="str">
        <f t="shared" si="131"/>
        <v/>
      </c>
      <c r="AK94" s="42" t="str">
        <f t="shared" si="132"/>
        <v/>
      </c>
      <c r="AL94" s="40">
        <f t="shared" si="133"/>
        <v>0</v>
      </c>
      <c r="AM94" s="41" t="str">
        <f t="shared" si="134"/>
        <v/>
      </c>
      <c r="AN94" s="41" t="str">
        <f t="shared" si="135"/>
        <v/>
      </c>
      <c r="AO94" s="42" t="str">
        <f t="shared" si="136"/>
        <v/>
      </c>
      <c r="AP94" s="40" t="str">
        <f t="shared" si="137"/>
        <v/>
      </c>
      <c r="AQ94" s="41">
        <f t="shared" si="138"/>
        <v>0</v>
      </c>
      <c r="AR94" s="41" t="str">
        <f t="shared" si="139"/>
        <v/>
      </c>
      <c r="AS94" s="42" t="str">
        <f t="shared" si="140"/>
        <v/>
      </c>
      <c r="AT94" s="40" t="str">
        <f t="shared" si="141"/>
        <v/>
      </c>
      <c r="AU94" s="41" t="str">
        <f t="shared" si="142"/>
        <v/>
      </c>
      <c r="AV94" s="41" t="str">
        <f t="shared" si="143"/>
        <v/>
      </c>
      <c r="AW94" s="42" t="str">
        <f t="shared" si="144"/>
        <v/>
      </c>
      <c r="AX94" s="40">
        <f t="shared" si="145"/>
        <v>-1.0000000000000001E-5</v>
      </c>
      <c r="AY94" s="41">
        <f t="shared" si="146"/>
        <v>0</v>
      </c>
      <c r="AZ94" s="41" t="str">
        <f t="shared" si="147"/>
        <v/>
      </c>
      <c r="BA94" s="42" t="str">
        <f t="shared" si="148"/>
        <v/>
      </c>
      <c r="BB94" s="37" t="s">
        <v>106</v>
      </c>
      <c r="BC94" s="21"/>
      <c r="BD94" s="21"/>
      <c r="BG94" t="str">
        <f>IF(NOT(ISERROR(HLOOKUP(Standings!BG$3,Entries!$C81:$K81,1,FALSE))),"x",IF(NOT(ISERROR(HLOOKUP(Standings!BG$3,Entries!$L81:$L81,1,FALSE))),"S",""))</f>
        <v/>
      </c>
      <c r="BH94" t="str">
        <f>IF(NOT(ISERROR(HLOOKUP(Standings!BH$3,Entries!$C81:$K81,1,FALSE))),"x",IF(NOT(ISERROR(HLOOKUP(Standings!BH$3,Entries!$L81:$L81,1,FALSE))),"S",""))</f>
        <v/>
      </c>
      <c r="BI94" t="str">
        <f>IF(NOT(ISERROR(HLOOKUP(Standings!BI$3,Entries!$C81:$K81,1,FALSE))),"x",IF(NOT(ISERROR(HLOOKUP(Standings!BI$3,Entries!$L81:$L81,1,FALSE))),"S",""))</f>
        <v/>
      </c>
      <c r="BJ94" t="str">
        <f>IF(NOT(ISERROR(HLOOKUP(Standings!BJ$3,Entries!$C81:$K81,1,FALSE))),"x",IF(NOT(ISERROR(HLOOKUP(Standings!BJ$3,Entries!$L81:$L81,1,FALSE))),"S",""))</f>
        <v/>
      </c>
      <c r="BK94" t="str">
        <f>IF(NOT(ISERROR(HLOOKUP(Standings!BK$3,Entries!$C81:$K81,1,FALSE))),"x",IF(NOT(ISERROR(HLOOKUP(Standings!BK$3,Entries!$L81:$L81,1,FALSE))),"S",""))</f>
        <v/>
      </c>
      <c r="BL94" t="str">
        <f>IF(NOT(ISERROR(HLOOKUP(Standings!BL$3,Entries!$C81:$K81,1,FALSE))),"x",IF(NOT(ISERROR(HLOOKUP(Standings!BL$3,Entries!$L81:$L81,1,FALSE))),"S",""))</f>
        <v/>
      </c>
      <c r="BM94" t="str">
        <f>IF(NOT(ISERROR(HLOOKUP(Standings!BM$3,Entries!$C81:$K81,1,FALSE))),"x",IF(NOT(ISERROR(HLOOKUP(Standings!BM$3,Entries!$L81:$L81,1,FALSE))),"S",""))</f>
        <v/>
      </c>
      <c r="BN94" t="str">
        <f>IF(NOT(ISERROR(HLOOKUP(Standings!BN$3,Entries!$C81:$K81,1,FALSE))),"x",IF(NOT(ISERROR(HLOOKUP(Standings!BN$3,Entries!$L81:$L81,1,FALSE))),"S",""))</f>
        <v/>
      </c>
      <c r="BO94" t="str">
        <f>IF(NOT(ISERROR(HLOOKUP(Standings!BO$3,Entries!$C81:$K81,1,FALSE))),"x",IF(NOT(ISERROR(HLOOKUP(Standings!BO$3,Entries!$L81:$L81,1,FALSE))),"S",""))</f>
        <v/>
      </c>
      <c r="BP94" t="str">
        <f>IF(NOT(ISERROR(HLOOKUP(Standings!BP$3,Entries!$C81:$K81,1,FALSE))),"x",IF(NOT(ISERROR(HLOOKUP(Standings!BP$3,Entries!$L81:$L81,1,FALSE))),"S",""))</f>
        <v/>
      </c>
      <c r="BQ94" t="str">
        <f>IF(NOT(ISERROR(HLOOKUP(Standings!BQ$3,Entries!$C81:$K81,1,FALSE))),"x",IF(NOT(ISERROR(HLOOKUP(Standings!BQ$3,Entries!$L81:$L81,1,FALSE))),"S",""))</f>
        <v/>
      </c>
      <c r="BR94" t="str">
        <f>IF(NOT(ISERROR(HLOOKUP(Standings!BR$3,Entries!$C81:$K81,1,FALSE))),"x",IF(NOT(ISERROR(HLOOKUP(Standings!BR$3,Entries!$L81:$L81,1,FALSE))),"S",""))</f>
        <v/>
      </c>
      <c r="BS94" t="str">
        <f>IF(NOT(ISERROR(HLOOKUP(Standings!BS$3,Entries!$C81:$K81,1,FALSE))),"x",IF(NOT(ISERROR(HLOOKUP(Standings!BS$3,Entries!$L81:$L81,1,FALSE))),"S",""))</f>
        <v>x</v>
      </c>
      <c r="BT94" t="str">
        <f>IF(NOT(ISERROR(HLOOKUP(Standings!BT$3,Entries!$C81:$K81,1,FALSE))),"x",IF(NOT(ISERROR(HLOOKUP(Standings!BT$3,Entries!$L81:$L81,1,FALSE))),"S",""))</f>
        <v/>
      </c>
      <c r="BU94" t="str">
        <f>IF(NOT(ISERROR(HLOOKUP(Standings!BU$3,Entries!$C81:$K81,1,FALSE))),"x",IF(NOT(ISERROR(HLOOKUP(Standings!BU$3,Entries!$L81:$L81,1,FALSE))),"S",""))</f>
        <v/>
      </c>
      <c r="BV94" t="str">
        <f>IF(NOT(ISERROR(HLOOKUP(Standings!BV$3,Entries!$C81:$K81,1,FALSE))),"x",IF(NOT(ISERROR(HLOOKUP(Standings!BV$3,Entries!$L81:$L81,1,FALSE))),"S",""))</f>
        <v/>
      </c>
      <c r="BW94" t="str">
        <f>IF(NOT(ISERROR(HLOOKUP(Standings!BW$3,Entries!$C81:$K81,1,FALSE))),"x",IF(NOT(ISERROR(HLOOKUP(Standings!BW$3,Entries!$L81:$L81,1,FALSE))),"S",""))</f>
        <v>x</v>
      </c>
      <c r="BX94" t="str">
        <f>IF(NOT(ISERROR(HLOOKUP(Standings!BX$3,Entries!$C81:$K81,1,FALSE))),"x",IF(NOT(ISERROR(HLOOKUP(Standings!BX$3,Entries!$L81:$L81,1,FALSE))),"S",""))</f>
        <v/>
      </c>
      <c r="BY94" t="str">
        <f>IF(NOT(ISERROR(HLOOKUP(Standings!BY$3,Entries!$C81:$K81,1,FALSE))),"x",IF(NOT(ISERROR(HLOOKUP(Standings!BY$3,Entries!$L81:$L81,1,FALSE))),"S",""))</f>
        <v/>
      </c>
      <c r="BZ94" t="str">
        <f>IF(NOT(ISERROR(HLOOKUP(Standings!BZ$3,Entries!$C81:$K81,1,FALSE))),"x",IF(NOT(ISERROR(HLOOKUP(Standings!BZ$3,Entries!$L81:$L81,1,FALSE))),"S",""))</f>
        <v/>
      </c>
      <c r="CA94" t="str">
        <f>IF(NOT(ISERROR(HLOOKUP(Standings!CA$3,Entries!$C81:$K81,1,FALSE))),"x",IF(NOT(ISERROR(HLOOKUP(Standings!CA$3,Entries!$L81:$L81,1,FALSE))),"S",""))</f>
        <v/>
      </c>
      <c r="CB94" t="str">
        <f>IF(NOT(ISERROR(HLOOKUP(Standings!CB$3,Entries!$C81:$K81,1,FALSE))),"x",IF(NOT(ISERROR(HLOOKUP(Standings!CB$3,Entries!$L81:$L81,1,FALSE))),"S",""))</f>
        <v/>
      </c>
      <c r="CC94" t="str">
        <f>IF(NOT(ISERROR(HLOOKUP(Standings!CC$3,Entries!$C81:$K81,1,FALSE))),"x",IF(NOT(ISERROR(HLOOKUP(Standings!CC$3,Entries!$L81:$L81,1,FALSE))),"S",""))</f>
        <v/>
      </c>
      <c r="CD94" t="str">
        <f>IF(NOT(ISERROR(HLOOKUP(Standings!CD$3,Entries!$C81:$K81,1,FALSE))),"x",IF(NOT(ISERROR(HLOOKUP(Standings!CD$3,Entries!$L81:$L81,1,FALSE))),"S",""))</f>
        <v/>
      </c>
      <c r="CE94" t="str">
        <f>IF(NOT(ISERROR(HLOOKUP(Standings!CE$3,Entries!$C81:$K81,1,FALSE))),"x",IF(NOT(ISERROR(HLOOKUP(Standings!CE$3,Entries!$L81:$L81,1,FALSE))),"S",""))</f>
        <v/>
      </c>
      <c r="CF94" t="str">
        <f>IF(NOT(ISERROR(HLOOKUP(Standings!CF$3,Entries!$C81:$K81,1,FALSE))),"x",IF(NOT(ISERROR(HLOOKUP(Standings!CF$3,Entries!$L81:$L81,1,FALSE))),"S",""))</f>
        <v/>
      </c>
      <c r="CG94" t="str">
        <f>IF(NOT(ISERROR(HLOOKUP(Standings!CG$3,Entries!$C81:$K81,1,FALSE))),"x",IF(NOT(ISERROR(HLOOKUP(Standings!CG$3,Entries!$L81:$L81,1,FALSE))),"S",""))</f>
        <v/>
      </c>
      <c r="CH94" t="str">
        <f>IF(NOT(ISERROR(HLOOKUP(Standings!CH$3,Entries!$C81:$K81,1,FALSE))),"x",IF(NOT(ISERROR(HLOOKUP(Standings!CH$3,Entries!$L81:$L81,1,FALSE))),"S",""))</f>
        <v/>
      </c>
      <c r="CI94" t="str">
        <f>IF(NOT(ISERROR(HLOOKUP(Standings!CI$3,Entries!$C81:$K81,1,FALSE))),"x",IF(NOT(ISERROR(HLOOKUP(Standings!CI$3,Entries!$L81:$L81,1,FALSE))),"S",""))</f>
        <v/>
      </c>
      <c r="CJ94" t="str">
        <f>IF(NOT(ISERROR(HLOOKUP(Standings!CJ$3,Entries!$C81:$K81,1,FALSE))),"x",IF(NOT(ISERROR(HLOOKUP(Standings!CJ$3,Entries!$L81:$L81,1,FALSE))),"S",""))</f>
        <v/>
      </c>
      <c r="CK94" t="str">
        <f>IF(NOT(ISERROR(HLOOKUP(Standings!CK$3,Entries!$C81:$K81,1,FALSE))),"x",IF(NOT(ISERROR(HLOOKUP(Standings!CK$3,Entries!$L81:$L81,1,FALSE))),"S",""))</f>
        <v/>
      </c>
      <c r="CL94" t="str">
        <f>IF(NOT(ISERROR(HLOOKUP(Standings!CL$3,Entries!$C81:$K81,1,FALSE))),"x",IF(NOT(ISERROR(HLOOKUP(Standings!CL$3,Entries!$L81:$L81,1,FALSE))),"S",""))</f>
        <v/>
      </c>
      <c r="CM94" t="str">
        <f>IF(NOT(ISERROR(HLOOKUP(Standings!CM$3,Entries!$C81:$K81,1,FALSE))),"x",IF(NOT(ISERROR(HLOOKUP(Standings!CM$3,Entries!$L81:$L81,1,FALSE))),"S",""))</f>
        <v>x</v>
      </c>
      <c r="CN94" t="str">
        <f>IF(NOT(ISERROR(HLOOKUP(Standings!CN$3,Entries!$C81:$K81,1,FALSE))),"x",IF(NOT(ISERROR(HLOOKUP(Standings!CN$3,Entries!$L81:$L81,1,FALSE))),"S",""))</f>
        <v/>
      </c>
      <c r="CO94" t="str">
        <f>IF(NOT(ISERROR(HLOOKUP(Standings!CO$3,Entries!$C81:$K81,1,FALSE))),"x",IF(NOT(ISERROR(HLOOKUP(Standings!CO$3,Entries!$L81:$L81,1,FALSE))),"S",""))</f>
        <v/>
      </c>
      <c r="CP94" t="str">
        <f>IF(NOT(ISERROR(HLOOKUP(Standings!CP$3,Entries!$C81:$K81,1,FALSE))),"x",IF(NOT(ISERROR(HLOOKUP(Standings!CP$3,Entries!$L81:$L81,1,FALSE))),"S",""))</f>
        <v/>
      </c>
      <c r="CQ94" t="str">
        <f>IF(NOT(ISERROR(HLOOKUP(Standings!CQ$3,Entries!$C81:$K81,1,FALSE))),"x",IF(NOT(ISERROR(HLOOKUP(Standings!CQ$3,Entries!$L81:$L81,1,FALSE))),"S",""))</f>
        <v/>
      </c>
      <c r="CR94" t="str">
        <f>IF(NOT(ISERROR(HLOOKUP(Standings!CR$3,Entries!$C81:$K81,1,FALSE))),"x",IF(NOT(ISERROR(HLOOKUP(Standings!CR$3,Entries!$L81:$L81,1,FALSE))),"S",""))</f>
        <v>x</v>
      </c>
      <c r="CS94" t="str">
        <f>IF(NOT(ISERROR(HLOOKUP(Standings!CS$3,Entries!$C81:$K81,1,FALSE))),"x",IF(NOT(ISERROR(HLOOKUP(Standings!CS$3,Entries!$L81:$L81,1,FALSE))),"S",""))</f>
        <v/>
      </c>
      <c r="CT94" t="str">
        <f>IF(NOT(ISERROR(HLOOKUP(Standings!CT$3,Entries!$C81:$K81,1,FALSE))),"x",IF(NOT(ISERROR(HLOOKUP(Standings!CT$3,Entries!$L81:$L81,1,FALSE))),"S",""))</f>
        <v/>
      </c>
      <c r="CU94" t="str">
        <f>IF(NOT(ISERROR(HLOOKUP(Standings!CU$3,Entries!$C81:$K81,1,FALSE))),"x",IF(NOT(ISERROR(HLOOKUP(Standings!CU$3,Entries!$L81:$L81,1,FALSE))),"S",""))</f>
        <v/>
      </c>
      <c r="CV94" t="str">
        <f>IF(NOT(ISERROR(HLOOKUP(Standings!CV$3,Entries!$C81:$K81,1,FALSE))),"x",IF(NOT(ISERROR(HLOOKUP(Standings!CV$3,Entries!$L81:$L81,1,FALSE))),"S",""))</f>
        <v/>
      </c>
      <c r="CW94" t="str">
        <f>IF(NOT(ISERROR(HLOOKUP(Standings!CW$3,Entries!$C81:$K81,1,FALSE))),"x",IF(NOT(ISERROR(HLOOKUP(Standings!CW$3,Entries!$L81:$L81,1,FALSE))),"S",""))</f>
        <v/>
      </c>
      <c r="CX94" t="str">
        <f>IF(NOT(ISERROR(HLOOKUP(Standings!CX$3,Entries!$C81:$K81,1,FALSE))),"x",IF(NOT(ISERROR(HLOOKUP(Standings!CX$3,Entries!$L81:$L81,1,FALSE))),"S",""))</f>
        <v/>
      </c>
      <c r="CY94" t="str">
        <f>IF(NOT(ISERROR(HLOOKUP(Standings!CY$3,Entries!$C81:$K81,1,FALSE))),"x",IF(NOT(ISERROR(HLOOKUP(Standings!CY$3,Entries!$L81:$L81,1,FALSE))),"S",""))</f>
        <v>S</v>
      </c>
      <c r="CZ94" t="str">
        <f>IF(NOT(ISERROR(HLOOKUP(Standings!CZ$3,Entries!$C81:$K81,1,FALSE))),"x",IF(NOT(ISERROR(HLOOKUP(Standings!CZ$3,Entries!$L81:$L81,1,FALSE))),"S",""))</f>
        <v>x</v>
      </c>
      <c r="DA94" t="str">
        <f>IF(NOT(ISERROR(HLOOKUP(Standings!DA$3,Entries!$C81:$K81,1,FALSE))),"x",IF(NOT(ISERROR(HLOOKUP(Standings!DA$3,Entries!$L81:$L81,1,FALSE))),"S",""))</f>
        <v/>
      </c>
      <c r="DB94" t="str">
        <f>IF(NOT(ISERROR(HLOOKUP(Standings!DB$3,Entries!$C81:$K81,1,FALSE))),"x",IF(NOT(ISERROR(HLOOKUP(Standings!DB$3,Entries!$L81:$L81,1,FALSE))),"S",""))</f>
        <v/>
      </c>
    </row>
    <row r="95" spans="1:106" x14ac:dyDescent="0.25">
      <c r="A95" s="18"/>
      <c r="B95">
        <v>26</v>
      </c>
      <c r="C95" t="str">
        <f>Entries!B82</f>
        <v>reidschaefer1</v>
      </c>
      <c r="D95" s="4">
        <f>IF(C95="","",RANK(E95,$E$10:$E$111))</f>
        <v>55</v>
      </c>
      <c r="E95" s="31">
        <f t="shared" si="100"/>
        <v>3</v>
      </c>
      <c r="F95" s="40" t="str">
        <f t="shared" si="101"/>
        <v/>
      </c>
      <c r="G95" s="41" t="str">
        <f t="shared" si="102"/>
        <v/>
      </c>
      <c r="H95" s="41" t="str">
        <f t="shared" si="103"/>
        <v/>
      </c>
      <c r="I95" s="42" t="str">
        <f t="shared" si="104"/>
        <v/>
      </c>
      <c r="J95" s="40" t="str">
        <f t="shared" si="105"/>
        <v/>
      </c>
      <c r="K95" s="41" t="str">
        <f t="shared" si="106"/>
        <v/>
      </c>
      <c r="L95" s="41" t="str">
        <f t="shared" si="107"/>
        <v/>
      </c>
      <c r="M95" s="42" t="str">
        <f t="shared" si="108"/>
        <v/>
      </c>
      <c r="N95" s="43">
        <f t="shared" si="109"/>
        <v>1</v>
      </c>
      <c r="O95" s="41">
        <f t="shared" si="110"/>
        <v>1</v>
      </c>
      <c r="P95" s="41" t="str">
        <f t="shared" si="111"/>
        <v/>
      </c>
      <c r="Q95" s="42" t="str">
        <f t="shared" si="112"/>
        <v/>
      </c>
      <c r="R95" s="40" t="str">
        <f t="shared" si="113"/>
        <v/>
      </c>
      <c r="S95" s="41" t="str">
        <f t="shared" si="114"/>
        <v/>
      </c>
      <c r="T95" s="43" t="str">
        <f t="shared" si="115"/>
        <v/>
      </c>
      <c r="U95" s="42" t="str">
        <f t="shared" si="116"/>
        <v/>
      </c>
      <c r="V95" s="40" t="str">
        <f t="shared" si="117"/>
        <v/>
      </c>
      <c r="W95" s="41" t="str">
        <f t="shared" si="118"/>
        <v/>
      </c>
      <c r="X95" s="41" t="str">
        <f t="shared" si="119"/>
        <v/>
      </c>
      <c r="Y95" s="42" t="str">
        <f t="shared" si="120"/>
        <v/>
      </c>
      <c r="Z95" s="40">
        <f t="shared" si="121"/>
        <v>1</v>
      </c>
      <c r="AA95" s="41" t="str">
        <f t="shared" si="122"/>
        <v/>
      </c>
      <c r="AB95" s="41" t="str">
        <f t="shared" si="123"/>
        <v/>
      </c>
      <c r="AC95" s="42" t="str">
        <f t="shared" si="124"/>
        <v/>
      </c>
      <c r="AD95" s="40" t="str">
        <f t="shared" si="125"/>
        <v/>
      </c>
      <c r="AE95" s="41" t="str">
        <f t="shared" si="126"/>
        <v/>
      </c>
      <c r="AF95" s="41">
        <f t="shared" si="127"/>
        <v>1</v>
      </c>
      <c r="AG95" s="42" t="str">
        <f t="shared" si="128"/>
        <v/>
      </c>
      <c r="AH95" s="40">
        <f t="shared" si="129"/>
        <v>-1.0000100000000001</v>
      </c>
      <c r="AI95" s="41" t="str">
        <f t="shared" si="130"/>
        <v/>
      </c>
      <c r="AJ95" s="41" t="str">
        <f t="shared" si="131"/>
        <v/>
      </c>
      <c r="AK95" s="42" t="str">
        <f t="shared" si="132"/>
        <v/>
      </c>
      <c r="AL95" s="40" t="str">
        <f t="shared" si="133"/>
        <v/>
      </c>
      <c r="AM95" s="41" t="str">
        <f t="shared" si="134"/>
        <v/>
      </c>
      <c r="AN95" s="41" t="str">
        <f t="shared" si="135"/>
        <v/>
      </c>
      <c r="AO95" s="42" t="str">
        <f t="shared" si="136"/>
        <v/>
      </c>
      <c r="AP95" s="40">
        <f t="shared" si="137"/>
        <v>0</v>
      </c>
      <c r="AQ95" s="41" t="str">
        <f t="shared" si="138"/>
        <v/>
      </c>
      <c r="AR95" s="41" t="str">
        <f t="shared" si="139"/>
        <v/>
      </c>
      <c r="AS95" s="42" t="str">
        <f t="shared" si="140"/>
        <v/>
      </c>
      <c r="AT95" s="40" t="str">
        <f t="shared" si="141"/>
        <v/>
      </c>
      <c r="AU95" s="41" t="str">
        <f t="shared" si="142"/>
        <v/>
      </c>
      <c r="AV95" s="41" t="str">
        <f t="shared" si="143"/>
        <v/>
      </c>
      <c r="AW95" s="42" t="str">
        <f t="shared" si="144"/>
        <v/>
      </c>
      <c r="AX95" s="40" t="str">
        <f t="shared" si="145"/>
        <v/>
      </c>
      <c r="AY95" s="41" t="str">
        <f t="shared" si="146"/>
        <v/>
      </c>
      <c r="AZ95" s="41" t="str">
        <f t="shared" si="147"/>
        <v/>
      </c>
      <c r="BA95" s="42" t="str">
        <f t="shared" si="148"/>
        <v/>
      </c>
      <c r="BB95" s="37" t="s">
        <v>106</v>
      </c>
      <c r="BC95" s="21"/>
      <c r="BD95" s="21"/>
      <c r="BG95" t="str">
        <f>IF(NOT(ISERROR(HLOOKUP(Standings!BG$3,Entries!$C82:$K82,1,FALSE))),"x",IF(NOT(ISERROR(HLOOKUP(Standings!BG$3,Entries!$L82:$L82,1,FALSE))),"S",""))</f>
        <v/>
      </c>
      <c r="BH95" t="str">
        <f>IF(NOT(ISERROR(HLOOKUP(Standings!BH$3,Entries!$C82:$K82,1,FALSE))),"x",IF(NOT(ISERROR(HLOOKUP(Standings!BH$3,Entries!$L82:$L82,1,FALSE))),"S",""))</f>
        <v/>
      </c>
      <c r="BI95" t="str">
        <f>IF(NOT(ISERROR(HLOOKUP(Standings!BI$3,Entries!$C82:$K82,1,FALSE))),"x",IF(NOT(ISERROR(HLOOKUP(Standings!BI$3,Entries!$L82:$L82,1,FALSE))),"S",""))</f>
        <v/>
      </c>
      <c r="BJ95" t="str">
        <f>IF(NOT(ISERROR(HLOOKUP(Standings!BJ$3,Entries!$C82:$K82,1,FALSE))),"x",IF(NOT(ISERROR(HLOOKUP(Standings!BJ$3,Entries!$L82:$L82,1,FALSE))),"S",""))</f>
        <v/>
      </c>
      <c r="BK95" t="str">
        <f>IF(NOT(ISERROR(HLOOKUP(Standings!BK$3,Entries!$C82:$K82,1,FALSE))),"x",IF(NOT(ISERROR(HLOOKUP(Standings!BK$3,Entries!$L82:$L82,1,FALSE))),"S",""))</f>
        <v/>
      </c>
      <c r="BL95" t="str">
        <f>IF(NOT(ISERROR(HLOOKUP(Standings!BL$3,Entries!$C82:$K82,1,FALSE))),"x",IF(NOT(ISERROR(HLOOKUP(Standings!BL$3,Entries!$L82:$L82,1,FALSE))),"S",""))</f>
        <v/>
      </c>
      <c r="BM95" t="str">
        <f>IF(NOT(ISERROR(HLOOKUP(Standings!BM$3,Entries!$C82:$K82,1,FALSE))),"x",IF(NOT(ISERROR(HLOOKUP(Standings!BM$3,Entries!$L82:$L82,1,FALSE))),"S",""))</f>
        <v/>
      </c>
      <c r="BN95" t="str">
        <f>IF(NOT(ISERROR(HLOOKUP(Standings!BN$3,Entries!$C82:$K82,1,FALSE))),"x",IF(NOT(ISERROR(HLOOKUP(Standings!BN$3,Entries!$L82:$L82,1,FALSE))),"S",""))</f>
        <v/>
      </c>
      <c r="BO95" t="str">
        <f>IF(NOT(ISERROR(HLOOKUP(Standings!BO$3,Entries!$C82:$K82,1,FALSE))),"x",IF(NOT(ISERROR(HLOOKUP(Standings!BO$3,Entries!$L82:$L82,1,FALSE))),"S",""))</f>
        <v>x</v>
      </c>
      <c r="BP95" t="str">
        <f>IF(NOT(ISERROR(HLOOKUP(Standings!BP$3,Entries!$C82:$K82,1,FALSE))),"x",IF(NOT(ISERROR(HLOOKUP(Standings!BP$3,Entries!$L82:$L82,1,FALSE))),"S",""))</f>
        <v>x</v>
      </c>
      <c r="BQ95" t="str">
        <f>IF(NOT(ISERROR(HLOOKUP(Standings!BQ$3,Entries!$C82:$K82,1,FALSE))),"x",IF(NOT(ISERROR(HLOOKUP(Standings!BQ$3,Entries!$L82:$L82,1,FALSE))),"S",""))</f>
        <v/>
      </c>
      <c r="BR95" t="str">
        <f>IF(NOT(ISERROR(HLOOKUP(Standings!BR$3,Entries!$C82:$K82,1,FALSE))),"x",IF(NOT(ISERROR(HLOOKUP(Standings!BR$3,Entries!$L82:$L82,1,FALSE))),"S",""))</f>
        <v/>
      </c>
      <c r="BS95" t="str">
        <f>IF(NOT(ISERROR(HLOOKUP(Standings!BS$3,Entries!$C82:$K82,1,FALSE))),"x",IF(NOT(ISERROR(HLOOKUP(Standings!BS$3,Entries!$L82:$L82,1,FALSE))),"S",""))</f>
        <v/>
      </c>
      <c r="BT95" t="str">
        <f>IF(NOT(ISERROR(HLOOKUP(Standings!BT$3,Entries!$C82:$K82,1,FALSE))),"x",IF(NOT(ISERROR(HLOOKUP(Standings!BT$3,Entries!$L82:$L82,1,FALSE))),"S",""))</f>
        <v/>
      </c>
      <c r="BU95" t="str">
        <f>IF(NOT(ISERROR(HLOOKUP(Standings!BU$3,Entries!$C82:$K82,1,FALSE))),"x",IF(NOT(ISERROR(HLOOKUP(Standings!BU$3,Entries!$L82:$L82,1,FALSE))),"S",""))</f>
        <v/>
      </c>
      <c r="BV95" t="str">
        <f>IF(NOT(ISERROR(HLOOKUP(Standings!BV$3,Entries!$C82:$K82,1,FALSE))),"x",IF(NOT(ISERROR(HLOOKUP(Standings!BV$3,Entries!$L82:$L82,1,FALSE))),"S",""))</f>
        <v/>
      </c>
      <c r="BW95" t="str">
        <f>IF(NOT(ISERROR(HLOOKUP(Standings!BW$3,Entries!$C82:$K82,1,FALSE))),"x",IF(NOT(ISERROR(HLOOKUP(Standings!BW$3,Entries!$L82:$L82,1,FALSE))),"S",""))</f>
        <v/>
      </c>
      <c r="BX95" t="str">
        <f>IF(NOT(ISERROR(HLOOKUP(Standings!BX$3,Entries!$C82:$K82,1,FALSE))),"x",IF(NOT(ISERROR(HLOOKUP(Standings!BX$3,Entries!$L82:$L82,1,FALSE))),"S",""))</f>
        <v/>
      </c>
      <c r="BY95" t="str">
        <f>IF(NOT(ISERROR(HLOOKUP(Standings!BY$3,Entries!$C82:$K82,1,FALSE))),"x",IF(NOT(ISERROR(HLOOKUP(Standings!BY$3,Entries!$L82:$L82,1,FALSE))),"S",""))</f>
        <v/>
      </c>
      <c r="BZ95" t="str">
        <f>IF(NOT(ISERROR(HLOOKUP(Standings!BZ$3,Entries!$C82:$K82,1,FALSE))),"x",IF(NOT(ISERROR(HLOOKUP(Standings!BZ$3,Entries!$L82:$L82,1,FALSE))),"S",""))</f>
        <v/>
      </c>
      <c r="CA95" t="str">
        <f>IF(NOT(ISERROR(HLOOKUP(Standings!CA$3,Entries!$C82:$K82,1,FALSE))),"x",IF(NOT(ISERROR(HLOOKUP(Standings!CA$3,Entries!$L82:$L82,1,FALSE))),"S",""))</f>
        <v>x</v>
      </c>
      <c r="CB95" t="str">
        <f>IF(NOT(ISERROR(HLOOKUP(Standings!CB$3,Entries!$C82:$K82,1,FALSE))),"x",IF(NOT(ISERROR(HLOOKUP(Standings!CB$3,Entries!$L82:$L82,1,FALSE))),"S",""))</f>
        <v/>
      </c>
      <c r="CC95" t="str">
        <f>IF(NOT(ISERROR(HLOOKUP(Standings!CC$3,Entries!$C82:$K82,1,FALSE))),"x",IF(NOT(ISERROR(HLOOKUP(Standings!CC$3,Entries!$L82:$L82,1,FALSE))),"S",""))</f>
        <v/>
      </c>
      <c r="CD95" t="str">
        <f>IF(NOT(ISERROR(HLOOKUP(Standings!CD$3,Entries!$C82:$K82,1,FALSE))),"x",IF(NOT(ISERROR(HLOOKUP(Standings!CD$3,Entries!$L82:$L82,1,FALSE))),"S",""))</f>
        <v/>
      </c>
      <c r="CE95" t="str">
        <f>IF(NOT(ISERROR(HLOOKUP(Standings!CE$3,Entries!$C82:$K82,1,FALSE))),"x",IF(NOT(ISERROR(HLOOKUP(Standings!CE$3,Entries!$L82:$L82,1,FALSE))),"S",""))</f>
        <v/>
      </c>
      <c r="CF95" t="str">
        <f>IF(NOT(ISERROR(HLOOKUP(Standings!CF$3,Entries!$C82:$K82,1,FALSE))),"x",IF(NOT(ISERROR(HLOOKUP(Standings!CF$3,Entries!$L82:$L82,1,FALSE))),"S",""))</f>
        <v/>
      </c>
      <c r="CG95" t="str">
        <f>IF(NOT(ISERROR(HLOOKUP(Standings!CG$3,Entries!$C82:$K82,1,FALSE))),"x",IF(NOT(ISERROR(HLOOKUP(Standings!CG$3,Entries!$L82:$L82,1,FALSE))),"S",""))</f>
        <v>x</v>
      </c>
      <c r="CH95" t="str">
        <f>IF(NOT(ISERROR(HLOOKUP(Standings!CH$3,Entries!$C82:$K82,1,FALSE))),"x",IF(NOT(ISERROR(HLOOKUP(Standings!CH$3,Entries!$L82:$L82,1,FALSE))),"S",""))</f>
        <v/>
      </c>
      <c r="CI95" t="str">
        <f>IF(NOT(ISERROR(HLOOKUP(Standings!CI$3,Entries!$C82:$K82,1,FALSE))),"x",IF(NOT(ISERROR(HLOOKUP(Standings!CI$3,Entries!$L82:$L82,1,FALSE))),"S",""))</f>
        <v>S</v>
      </c>
      <c r="CJ95" t="str">
        <f>IF(NOT(ISERROR(HLOOKUP(Standings!CJ$3,Entries!$C82:$K82,1,FALSE))),"x",IF(NOT(ISERROR(HLOOKUP(Standings!CJ$3,Entries!$L82:$L82,1,FALSE))),"S",""))</f>
        <v/>
      </c>
      <c r="CK95" t="str">
        <f>IF(NOT(ISERROR(HLOOKUP(Standings!CK$3,Entries!$C82:$K82,1,FALSE))),"x",IF(NOT(ISERROR(HLOOKUP(Standings!CK$3,Entries!$L82:$L82,1,FALSE))),"S",""))</f>
        <v/>
      </c>
      <c r="CL95" t="str">
        <f>IF(NOT(ISERROR(HLOOKUP(Standings!CL$3,Entries!$C82:$K82,1,FALSE))),"x",IF(NOT(ISERROR(HLOOKUP(Standings!CL$3,Entries!$L82:$L82,1,FALSE))),"S",""))</f>
        <v/>
      </c>
      <c r="CM95" t="str">
        <f>IF(NOT(ISERROR(HLOOKUP(Standings!CM$3,Entries!$C82:$K82,1,FALSE))),"x",IF(NOT(ISERROR(HLOOKUP(Standings!CM$3,Entries!$L82:$L82,1,FALSE))),"S",""))</f>
        <v/>
      </c>
      <c r="CN95" t="str">
        <f>IF(NOT(ISERROR(HLOOKUP(Standings!CN$3,Entries!$C82:$K82,1,FALSE))),"x",IF(NOT(ISERROR(HLOOKUP(Standings!CN$3,Entries!$L82:$L82,1,FALSE))),"S",""))</f>
        <v/>
      </c>
      <c r="CO95" t="str">
        <f>IF(NOT(ISERROR(HLOOKUP(Standings!CO$3,Entries!$C82:$K82,1,FALSE))),"x",IF(NOT(ISERROR(HLOOKUP(Standings!CO$3,Entries!$L82:$L82,1,FALSE))),"S",""))</f>
        <v/>
      </c>
      <c r="CP95" t="str">
        <f>IF(NOT(ISERROR(HLOOKUP(Standings!CP$3,Entries!$C82:$K82,1,FALSE))),"x",IF(NOT(ISERROR(HLOOKUP(Standings!CP$3,Entries!$L82:$L82,1,FALSE))),"S",""))</f>
        <v/>
      </c>
      <c r="CQ95" t="str">
        <f>IF(NOT(ISERROR(HLOOKUP(Standings!CQ$3,Entries!$C82:$K82,1,FALSE))),"x",IF(NOT(ISERROR(HLOOKUP(Standings!CQ$3,Entries!$L82:$L82,1,FALSE))),"S",""))</f>
        <v>x</v>
      </c>
      <c r="CR95" t="str">
        <f>IF(NOT(ISERROR(HLOOKUP(Standings!CR$3,Entries!$C82:$K82,1,FALSE))),"x",IF(NOT(ISERROR(HLOOKUP(Standings!CR$3,Entries!$L82:$L82,1,FALSE))),"S",""))</f>
        <v/>
      </c>
      <c r="CS95" t="str">
        <f>IF(NOT(ISERROR(HLOOKUP(Standings!CS$3,Entries!$C82:$K82,1,FALSE))),"x",IF(NOT(ISERROR(HLOOKUP(Standings!CS$3,Entries!$L82:$L82,1,FALSE))),"S",""))</f>
        <v/>
      </c>
      <c r="CT95" t="str">
        <f>IF(NOT(ISERROR(HLOOKUP(Standings!CT$3,Entries!$C82:$K82,1,FALSE))),"x",IF(NOT(ISERROR(HLOOKUP(Standings!CT$3,Entries!$L82:$L82,1,FALSE))),"S",""))</f>
        <v/>
      </c>
      <c r="CU95" t="str">
        <f>IF(NOT(ISERROR(HLOOKUP(Standings!CU$3,Entries!$C82:$K82,1,FALSE))),"x",IF(NOT(ISERROR(HLOOKUP(Standings!CU$3,Entries!$L82:$L82,1,FALSE))),"S",""))</f>
        <v/>
      </c>
      <c r="CV95" t="str">
        <f>IF(NOT(ISERROR(HLOOKUP(Standings!CV$3,Entries!$C82:$K82,1,FALSE))),"x",IF(NOT(ISERROR(HLOOKUP(Standings!CV$3,Entries!$L82:$L82,1,FALSE))),"S",""))</f>
        <v/>
      </c>
      <c r="CW95" t="str">
        <f>IF(NOT(ISERROR(HLOOKUP(Standings!CW$3,Entries!$C82:$K82,1,FALSE))),"x",IF(NOT(ISERROR(HLOOKUP(Standings!CW$3,Entries!$L82:$L82,1,FALSE))),"S",""))</f>
        <v/>
      </c>
      <c r="CX95" t="str">
        <f>IF(NOT(ISERROR(HLOOKUP(Standings!CX$3,Entries!$C82:$K82,1,FALSE))),"x",IF(NOT(ISERROR(HLOOKUP(Standings!CX$3,Entries!$L82:$L82,1,FALSE))),"S",""))</f>
        <v/>
      </c>
      <c r="CY95" t="str">
        <f>IF(NOT(ISERROR(HLOOKUP(Standings!CY$3,Entries!$C82:$K82,1,FALSE))),"x",IF(NOT(ISERROR(HLOOKUP(Standings!CY$3,Entries!$L82:$L82,1,FALSE))),"S",""))</f>
        <v/>
      </c>
      <c r="CZ95" t="str">
        <f>IF(NOT(ISERROR(HLOOKUP(Standings!CZ$3,Entries!$C82:$K82,1,FALSE))),"x",IF(NOT(ISERROR(HLOOKUP(Standings!CZ$3,Entries!$L82:$L82,1,FALSE))),"S",""))</f>
        <v/>
      </c>
      <c r="DA95" t="str">
        <f>IF(NOT(ISERROR(HLOOKUP(Standings!DA$3,Entries!$C82:$K82,1,FALSE))),"x",IF(NOT(ISERROR(HLOOKUP(Standings!DA$3,Entries!$L82:$L82,1,FALSE))),"S",""))</f>
        <v/>
      </c>
      <c r="DB95" t="str">
        <f>IF(NOT(ISERROR(HLOOKUP(Standings!DB$3,Entries!$C82:$K82,1,FALSE))),"x",IF(NOT(ISERROR(HLOOKUP(Standings!DB$3,Entries!$L82:$L82,1,FALSE))),"S",""))</f>
        <v/>
      </c>
    </row>
    <row r="96" spans="1:106" x14ac:dyDescent="0.25">
      <c r="A96" s="18"/>
      <c r="B96">
        <v>26</v>
      </c>
      <c r="C96" t="str">
        <f>Entries!B84</f>
        <v>sarahschaefer</v>
      </c>
      <c r="D96" s="4">
        <f>IF(C96="","",RANK(E96,$E$10:$E$111))</f>
        <v>32</v>
      </c>
      <c r="E96" s="31">
        <f t="shared" si="100"/>
        <v>4</v>
      </c>
      <c r="F96" s="40" t="str">
        <f t="shared" si="101"/>
        <v/>
      </c>
      <c r="G96" s="41" t="str">
        <f t="shared" si="102"/>
        <v/>
      </c>
      <c r="H96" s="41" t="str">
        <f t="shared" si="103"/>
        <v/>
      </c>
      <c r="I96" s="42" t="str">
        <f t="shared" si="104"/>
        <v/>
      </c>
      <c r="J96" s="40" t="str">
        <f t="shared" si="105"/>
        <v/>
      </c>
      <c r="K96" s="41" t="str">
        <f t="shared" si="106"/>
        <v/>
      </c>
      <c r="L96" s="41" t="str">
        <f t="shared" si="107"/>
        <v/>
      </c>
      <c r="M96" s="42" t="str">
        <f t="shared" si="108"/>
        <v/>
      </c>
      <c r="N96" s="43" t="str">
        <f t="shared" si="109"/>
        <v/>
      </c>
      <c r="O96" s="41" t="str">
        <f t="shared" si="110"/>
        <v/>
      </c>
      <c r="P96" s="41" t="str">
        <f t="shared" si="111"/>
        <v/>
      </c>
      <c r="Q96" s="42">
        <f t="shared" si="112"/>
        <v>2</v>
      </c>
      <c r="R96" s="40" t="str">
        <f t="shared" si="113"/>
        <v/>
      </c>
      <c r="S96" s="41" t="str">
        <f t="shared" si="114"/>
        <v/>
      </c>
      <c r="T96" s="43" t="str">
        <f t="shared" si="115"/>
        <v/>
      </c>
      <c r="U96" s="42" t="str">
        <f t="shared" si="116"/>
        <v/>
      </c>
      <c r="V96" s="40" t="str">
        <f t="shared" si="117"/>
        <v/>
      </c>
      <c r="W96" s="41" t="str">
        <f t="shared" si="118"/>
        <v/>
      </c>
      <c r="X96" s="41" t="str">
        <f t="shared" si="119"/>
        <v/>
      </c>
      <c r="Y96" s="42">
        <f t="shared" si="120"/>
        <v>0</v>
      </c>
      <c r="Z96" s="40" t="str">
        <f t="shared" si="121"/>
        <v/>
      </c>
      <c r="AA96" s="41">
        <f t="shared" si="122"/>
        <v>1</v>
      </c>
      <c r="AB96" s="41" t="str">
        <f t="shared" si="123"/>
        <v/>
      </c>
      <c r="AC96" s="42" t="str">
        <f t="shared" si="124"/>
        <v/>
      </c>
      <c r="AD96" s="40">
        <f t="shared" si="125"/>
        <v>1</v>
      </c>
      <c r="AE96" s="41" t="str">
        <f t="shared" si="126"/>
        <v/>
      </c>
      <c r="AF96" s="41" t="str">
        <f t="shared" si="127"/>
        <v/>
      </c>
      <c r="AG96" s="42" t="str">
        <f t="shared" si="128"/>
        <v/>
      </c>
      <c r="AH96" s="40">
        <f t="shared" si="129"/>
        <v>-1.0000100000000001</v>
      </c>
      <c r="AI96" s="41" t="str">
        <f t="shared" si="130"/>
        <v/>
      </c>
      <c r="AJ96" s="41" t="str">
        <f t="shared" si="131"/>
        <v/>
      </c>
      <c r="AK96" s="42">
        <f t="shared" si="132"/>
        <v>1</v>
      </c>
      <c r="AL96" s="40" t="str">
        <f t="shared" si="133"/>
        <v/>
      </c>
      <c r="AM96" s="41" t="str">
        <f t="shared" si="134"/>
        <v/>
      </c>
      <c r="AN96" s="41">
        <f t="shared" si="135"/>
        <v>0</v>
      </c>
      <c r="AO96" s="42" t="str">
        <f t="shared" si="136"/>
        <v/>
      </c>
      <c r="AP96" s="40" t="str">
        <f t="shared" si="137"/>
        <v/>
      </c>
      <c r="AQ96" s="41" t="str">
        <f t="shared" si="138"/>
        <v/>
      </c>
      <c r="AR96" s="41">
        <f t="shared" si="139"/>
        <v>0</v>
      </c>
      <c r="AS96" s="42" t="str">
        <f t="shared" si="140"/>
        <v/>
      </c>
      <c r="AT96" s="40" t="str">
        <f t="shared" si="141"/>
        <v/>
      </c>
      <c r="AU96" s="41" t="str">
        <f t="shared" si="142"/>
        <v/>
      </c>
      <c r="AV96" s="41">
        <f t="shared" si="143"/>
        <v>0</v>
      </c>
      <c r="AW96" s="42" t="str">
        <f t="shared" si="144"/>
        <v/>
      </c>
      <c r="AX96" s="40" t="str">
        <f t="shared" si="145"/>
        <v/>
      </c>
      <c r="AY96" s="41" t="str">
        <f t="shared" si="146"/>
        <v/>
      </c>
      <c r="AZ96" s="41" t="str">
        <f t="shared" si="147"/>
        <v/>
      </c>
      <c r="BA96" s="42" t="str">
        <f t="shared" si="148"/>
        <v/>
      </c>
      <c r="BB96" s="37" t="s">
        <v>106</v>
      </c>
      <c r="BC96" s="21"/>
      <c r="BD96" s="21"/>
      <c r="BG96" t="str">
        <f>IF(NOT(ISERROR(HLOOKUP(Standings!BG$3,Entries!$C84:$K84,1,FALSE))),"x",IF(NOT(ISERROR(HLOOKUP(Standings!BG$3,Entries!$L84:$L84,1,FALSE))),"S",""))</f>
        <v/>
      </c>
      <c r="BH96" t="str">
        <f>IF(NOT(ISERROR(HLOOKUP(Standings!BH$3,Entries!$C84:$K84,1,FALSE))),"x",IF(NOT(ISERROR(HLOOKUP(Standings!BH$3,Entries!$L84:$L84,1,FALSE))),"S",""))</f>
        <v/>
      </c>
      <c r="BI96" t="str">
        <f>IF(NOT(ISERROR(HLOOKUP(Standings!BI$3,Entries!$C84:$K84,1,FALSE))),"x",IF(NOT(ISERROR(HLOOKUP(Standings!BI$3,Entries!$L84:$L84,1,FALSE))),"S",""))</f>
        <v/>
      </c>
      <c r="BJ96" t="str">
        <f>IF(NOT(ISERROR(HLOOKUP(Standings!BJ$3,Entries!$C84:$K84,1,FALSE))),"x",IF(NOT(ISERROR(HLOOKUP(Standings!BJ$3,Entries!$L84:$L84,1,FALSE))),"S",""))</f>
        <v/>
      </c>
      <c r="BK96" t="str">
        <f>IF(NOT(ISERROR(HLOOKUP(Standings!BK$3,Entries!$C84:$K84,1,FALSE))),"x",IF(NOT(ISERROR(HLOOKUP(Standings!BK$3,Entries!$L84:$L84,1,FALSE))),"S",""))</f>
        <v/>
      </c>
      <c r="BL96" t="str">
        <f>IF(NOT(ISERROR(HLOOKUP(Standings!BL$3,Entries!$C84:$K84,1,FALSE))),"x",IF(NOT(ISERROR(HLOOKUP(Standings!BL$3,Entries!$L84:$L84,1,FALSE))),"S",""))</f>
        <v/>
      </c>
      <c r="BM96" t="str">
        <f>IF(NOT(ISERROR(HLOOKUP(Standings!BM$3,Entries!$C84:$K84,1,FALSE))),"x",IF(NOT(ISERROR(HLOOKUP(Standings!BM$3,Entries!$L84:$L84,1,FALSE))),"S",""))</f>
        <v/>
      </c>
      <c r="BN96" t="str">
        <f>IF(NOT(ISERROR(HLOOKUP(Standings!BN$3,Entries!$C84:$K84,1,FALSE))),"x",IF(NOT(ISERROR(HLOOKUP(Standings!BN$3,Entries!$L84:$L84,1,FALSE))),"S",""))</f>
        <v/>
      </c>
      <c r="BO96" t="str">
        <f>IF(NOT(ISERROR(HLOOKUP(Standings!BO$3,Entries!$C84:$K84,1,FALSE))),"x",IF(NOT(ISERROR(HLOOKUP(Standings!BO$3,Entries!$L84:$L84,1,FALSE))),"S",""))</f>
        <v/>
      </c>
      <c r="BP96" t="str">
        <f>IF(NOT(ISERROR(HLOOKUP(Standings!BP$3,Entries!$C84:$K84,1,FALSE))),"x",IF(NOT(ISERROR(HLOOKUP(Standings!BP$3,Entries!$L84:$L84,1,FALSE))),"S",""))</f>
        <v/>
      </c>
      <c r="BQ96" t="str">
        <f>IF(NOT(ISERROR(HLOOKUP(Standings!BQ$3,Entries!$C84:$K84,1,FALSE))),"x",IF(NOT(ISERROR(HLOOKUP(Standings!BQ$3,Entries!$L84:$L84,1,FALSE))),"S",""))</f>
        <v/>
      </c>
      <c r="BR96" t="str">
        <f>IF(NOT(ISERROR(HLOOKUP(Standings!BR$3,Entries!$C84:$K84,1,FALSE))),"x",IF(NOT(ISERROR(HLOOKUP(Standings!BR$3,Entries!$L84:$L84,1,FALSE))),"S",""))</f>
        <v>x</v>
      </c>
      <c r="BS96" t="str">
        <f>IF(NOT(ISERROR(HLOOKUP(Standings!BS$3,Entries!$C84:$K84,1,FALSE))),"x",IF(NOT(ISERROR(HLOOKUP(Standings!BS$3,Entries!$L84:$L84,1,FALSE))),"S",""))</f>
        <v/>
      </c>
      <c r="BT96" t="str">
        <f>IF(NOT(ISERROR(HLOOKUP(Standings!BT$3,Entries!$C84:$K84,1,FALSE))),"x",IF(NOT(ISERROR(HLOOKUP(Standings!BT$3,Entries!$L84:$L84,1,FALSE))),"S",""))</f>
        <v/>
      </c>
      <c r="BU96" t="str">
        <f>IF(NOT(ISERROR(HLOOKUP(Standings!BU$3,Entries!$C84:$K84,1,FALSE))),"x",IF(NOT(ISERROR(HLOOKUP(Standings!BU$3,Entries!$L84:$L84,1,FALSE))),"S",""))</f>
        <v/>
      </c>
      <c r="BV96" t="str">
        <f>IF(NOT(ISERROR(HLOOKUP(Standings!BV$3,Entries!$C84:$K84,1,FALSE))),"x",IF(NOT(ISERROR(HLOOKUP(Standings!BV$3,Entries!$L84:$L84,1,FALSE))),"S",""))</f>
        <v/>
      </c>
      <c r="BW96" t="str">
        <f>IF(NOT(ISERROR(HLOOKUP(Standings!BW$3,Entries!$C84:$K84,1,FALSE))),"x",IF(NOT(ISERROR(HLOOKUP(Standings!BW$3,Entries!$L84:$L84,1,FALSE))),"S",""))</f>
        <v/>
      </c>
      <c r="BX96" t="str">
        <f>IF(NOT(ISERROR(HLOOKUP(Standings!BX$3,Entries!$C84:$K84,1,FALSE))),"x",IF(NOT(ISERROR(HLOOKUP(Standings!BX$3,Entries!$L84:$L84,1,FALSE))),"S",""))</f>
        <v/>
      </c>
      <c r="BY96" t="str">
        <f>IF(NOT(ISERROR(HLOOKUP(Standings!BY$3,Entries!$C84:$K84,1,FALSE))),"x",IF(NOT(ISERROR(HLOOKUP(Standings!BY$3,Entries!$L84:$L84,1,FALSE))),"S",""))</f>
        <v/>
      </c>
      <c r="BZ96" t="str">
        <f>IF(NOT(ISERROR(HLOOKUP(Standings!BZ$3,Entries!$C84:$K84,1,FALSE))),"x",IF(NOT(ISERROR(HLOOKUP(Standings!BZ$3,Entries!$L84:$L84,1,FALSE))),"S",""))</f>
        <v>x</v>
      </c>
      <c r="CA96" t="str">
        <f>IF(NOT(ISERROR(HLOOKUP(Standings!CA$3,Entries!$C84:$K84,1,FALSE))),"x",IF(NOT(ISERROR(HLOOKUP(Standings!CA$3,Entries!$L84:$L84,1,FALSE))),"S",""))</f>
        <v/>
      </c>
      <c r="CB96" t="str">
        <f>IF(NOT(ISERROR(HLOOKUP(Standings!CB$3,Entries!$C84:$K84,1,FALSE))),"x",IF(NOT(ISERROR(HLOOKUP(Standings!CB$3,Entries!$L84:$L84,1,FALSE))),"S",""))</f>
        <v>x</v>
      </c>
      <c r="CC96" t="str">
        <f>IF(NOT(ISERROR(HLOOKUP(Standings!CC$3,Entries!$C84:$K84,1,FALSE))),"x",IF(NOT(ISERROR(HLOOKUP(Standings!CC$3,Entries!$L84:$L84,1,FALSE))),"S",""))</f>
        <v/>
      </c>
      <c r="CD96" t="str">
        <f>IF(NOT(ISERROR(HLOOKUP(Standings!CD$3,Entries!$C84:$K84,1,FALSE))),"x",IF(NOT(ISERROR(HLOOKUP(Standings!CD$3,Entries!$L84:$L84,1,FALSE))),"S",""))</f>
        <v/>
      </c>
      <c r="CE96" t="str">
        <f>IF(NOT(ISERROR(HLOOKUP(Standings!CE$3,Entries!$C84:$K84,1,FALSE))),"x",IF(NOT(ISERROR(HLOOKUP(Standings!CE$3,Entries!$L84:$L84,1,FALSE))),"S",""))</f>
        <v>x</v>
      </c>
      <c r="CF96" t="str">
        <f>IF(NOT(ISERROR(HLOOKUP(Standings!CF$3,Entries!$C84:$K84,1,FALSE))),"x",IF(NOT(ISERROR(HLOOKUP(Standings!CF$3,Entries!$L84:$L84,1,FALSE))),"S",""))</f>
        <v/>
      </c>
      <c r="CG96" t="str">
        <f>IF(NOT(ISERROR(HLOOKUP(Standings!CG$3,Entries!$C84:$K84,1,FALSE))),"x",IF(NOT(ISERROR(HLOOKUP(Standings!CG$3,Entries!$L84:$L84,1,FALSE))),"S",""))</f>
        <v/>
      </c>
      <c r="CH96" t="str">
        <f>IF(NOT(ISERROR(HLOOKUP(Standings!CH$3,Entries!$C84:$K84,1,FALSE))),"x",IF(NOT(ISERROR(HLOOKUP(Standings!CH$3,Entries!$L84:$L84,1,FALSE))),"S",""))</f>
        <v/>
      </c>
      <c r="CI96" t="str">
        <f>IF(NOT(ISERROR(HLOOKUP(Standings!CI$3,Entries!$C84:$K84,1,FALSE))),"x",IF(NOT(ISERROR(HLOOKUP(Standings!CI$3,Entries!$L84:$L84,1,FALSE))),"S",""))</f>
        <v>S</v>
      </c>
      <c r="CJ96" t="str">
        <f>IF(NOT(ISERROR(HLOOKUP(Standings!CJ$3,Entries!$C84:$K84,1,FALSE))),"x",IF(NOT(ISERROR(HLOOKUP(Standings!CJ$3,Entries!$L84:$L84,1,FALSE))),"S",""))</f>
        <v/>
      </c>
      <c r="CK96" t="str">
        <f>IF(NOT(ISERROR(HLOOKUP(Standings!CK$3,Entries!$C84:$K84,1,FALSE))),"x",IF(NOT(ISERROR(HLOOKUP(Standings!CK$3,Entries!$L84:$L84,1,FALSE))),"S",""))</f>
        <v/>
      </c>
      <c r="CL96" t="str">
        <f>IF(NOT(ISERROR(HLOOKUP(Standings!CL$3,Entries!$C84:$K84,1,FALSE))),"x",IF(NOT(ISERROR(HLOOKUP(Standings!CL$3,Entries!$L84:$L84,1,FALSE))),"S",""))</f>
        <v>x</v>
      </c>
      <c r="CM96" t="str">
        <f>IF(NOT(ISERROR(HLOOKUP(Standings!CM$3,Entries!$C84:$K84,1,FALSE))),"x",IF(NOT(ISERROR(HLOOKUP(Standings!CM$3,Entries!$L84:$L84,1,FALSE))),"S",""))</f>
        <v/>
      </c>
      <c r="CN96" t="str">
        <f>IF(NOT(ISERROR(HLOOKUP(Standings!CN$3,Entries!$C84:$K84,1,FALSE))),"x",IF(NOT(ISERROR(HLOOKUP(Standings!CN$3,Entries!$L84:$L84,1,FALSE))),"S",""))</f>
        <v/>
      </c>
      <c r="CO96" t="str">
        <f>IF(NOT(ISERROR(HLOOKUP(Standings!CO$3,Entries!$C84:$K84,1,FALSE))),"x",IF(NOT(ISERROR(HLOOKUP(Standings!CO$3,Entries!$L84:$L84,1,FALSE))),"S",""))</f>
        <v>x</v>
      </c>
      <c r="CP96" t="str">
        <f>IF(NOT(ISERROR(HLOOKUP(Standings!CP$3,Entries!$C84:$K84,1,FALSE))),"x",IF(NOT(ISERROR(HLOOKUP(Standings!CP$3,Entries!$L84:$L84,1,FALSE))),"S",""))</f>
        <v/>
      </c>
      <c r="CQ96" t="str">
        <f>IF(NOT(ISERROR(HLOOKUP(Standings!CQ$3,Entries!$C84:$K84,1,FALSE))),"x",IF(NOT(ISERROR(HLOOKUP(Standings!CQ$3,Entries!$L84:$L84,1,FALSE))),"S",""))</f>
        <v/>
      </c>
      <c r="CR96" t="str">
        <f>IF(NOT(ISERROR(HLOOKUP(Standings!CR$3,Entries!$C84:$K84,1,FALSE))),"x",IF(NOT(ISERROR(HLOOKUP(Standings!CR$3,Entries!$L84:$L84,1,FALSE))),"S",""))</f>
        <v/>
      </c>
      <c r="CS96" t="str">
        <f>IF(NOT(ISERROR(HLOOKUP(Standings!CS$3,Entries!$C84:$K84,1,FALSE))),"x",IF(NOT(ISERROR(HLOOKUP(Standings!CS$3,Entries!$L84:$L84,1,FALSE))),"S",""))</f>
        <v>x</v>
      </c>
      <c r="CT96" t="str">
        <f>IF(NOT(ISERROR(HLOOKUP(Standings!CT$3,Entries!$C84:$K84,1,FALSE))),"x",IF(NOT(ISERROR(HLOOKUP(Standings!CT$3,Entries!$L84:$L84,1,FALSE))),"S",""))</f>
        <v/>
      </c>
      <c r="CU96" t="str">
        <f>IF(NOT(ISERROR(HLOOKUP(Standings!CU$3,Entries!$C84:$K84,1,FALSE))),"x",IF(NOT(ISERROR(HLOOKUP(Standings!CU$3,Entries!$L84:$L84,1,FALSE))),"S",""))</f>
        <v/>
      </c>
      <c r="CV96" t="str">
        <f>IF(NOT(ISERROR(HLOOKUP(Standings!CV$3,Entries!$C84:$K84,1,FALSE))),"x",IF(NOT(ISERROR(HLOOKUP(Standings!CV$3,Entries!$L84:$L84,1,FALSE))),"S",""))</f>
        <v/>
      </c>
      <c r="CW96" t="str">
        <f>IF(NOT(ISERROR(HLOOKUP(Standings!CW$3,Entries!$C84:$K84,1,FALSE))),"x",IF(NOT(ISERROR(HLOOKUP(Standings!CW$3,Entries!$L84:$L84,1,FALSE))),"S",""))</f>
        <v>x</v>
      </c>
      <c r="CX96" t="str">
        <f>IF(NOT(ISERROR(HLOOKUP(Standings!CX$3,Entries!$C84:$K84,1,FALSE))),"x",IF(NOT(ISERROR(HLOOKUP(Standings!CX$3,Entries!$L84:$L84,1,FALSE))),"S",""))</f>
        <v/>
      </c>
      <c r="CY96" t="str">
        <f>IF(NOT(ISERROR(HLOOKUP(Standings!CY$3,Entries!$C84:$K84,1,FALSE))),"x",IF(NOT(ISERROR(HLOOKUP(Standings!CY$3,Entries!$L84:$L84,1,FALSE))),"S",""))</f>
        <v/>
      </c>
      <c r="CZ96" t="str">
        <f>IF(NOT(ISERROR(HLOOKUP(Standings!CZ$3,Entries!$C84:$K84,1,FALSE))),"x",IF(NOT(ISERROR(HLOOKUP(Standings!CZ$3,Entries!$L84:$L84,1,FALSE))),"S",""))</f>
        <v/>
      </c>
      <c r="DA96" t="str">
        <f>IF(NOT(ISERROR(HLOOKUP(Standings!DA$3,Entries!$C84:$K84,1,FALSE))),"x",IF(NOT(ISERROR(HLOOKUP(Standings!DA$3,Entries!$L84:$L84,1,FALSE))),"S",""))</f>
        <v/>
      </c>
      <c r="DB96" t="str">
        <f>IF(NOT(ISERROR(HLOOKUP(Standings!DB$3,Entries!$C84:$K84,1,FALSE))),"x",IF(NOT(ISERROR(HLOOKUP(Standings!DB$3,Entries!$L84:$L84,1,FALSE))),"S",""))</f>
        <v/>
      </c>
    </row>
    <row r="97" spans="1:106" x14ac:dyDescent="0.25">
      <c r="A97" s="18"/>
      <c r="B97">
        <v>26</v>
      </c>
      <c r="C97" t="str">
        <f>Entries!B85</f>
        <v>KenOlson1</v>
      </c>
      <c r="D97" s="4">
        <f>IF(C97="","",RANK(E97,$E$10:$E$111))</f>
        <v>32</v>
      </c>
      <c r="E97" s="31">
        <f t="shared" si="100"/>
        <v>4</v>
      </c>
      <c r="F97" s="40" t="str">
        <f t="shared" si="101"/>
        <v/>
      </c>
      <c r="G97" s="41" t="str">
        <f t="shared" si="102"/>
        <v/>
      </c>
      <c r="H97" s="41">
        <f t="shared" si="103"/>
        <v>2</v>
      </c>
      <c r="I97" s="42" t="str">
        <f t="shared" si="104"/>
        <v/>
      </c>
      <c r="J97" s="40" t="str">
        <f t="shared" si="105"/>
        <v/>
      </c>
      <c r="K97" s="41" t="str">
        <f t="shared" si="106"/>
        <v/>
      </c>
      <c r="L97" s="41" t="str">
        <f t="shared" si="107"/>
        <v/>
      </c>
      <c r="M97" s="42" t="str">
        <f t="shared" si="108"/>
        <v/>
      </c>
      <c r="N97" s="43" t="str">
        <f t="shared" si="109"/>
        <v/>
      </c>
      <c r="O97" s="41">
        <f t="shared" si="110"/>
        <v>1</v>
      </c>
      <c r="P97" s="41" t="str">
        <f t="shared" si="111"/>
        <v/>
      </c>
      <c r="Q97" s="42" t="str">
        <f t="shared" si="112"/>
        <v/>
      </c>
      <c r="R97" s="40" t="str">
        <f t="shared" si="113"/>
        <v/>
      </c>
      <c r="S97" s="41" t="str">
        <f t="shared" si="114"/>
        <v/>
      </c>
      <c r="T97" s="43" t="str">
        <f t="shared" si="115"/>
        <v/>
      </c>
      <c r="U97" s="42" t="str">
        <f t="shared" si="116"/>
        <v/>
      </c>
      <c r="V97" s="40" t="str">
        <f t="shared" si="117"/>
        <v/>
      </c>
      <c r="W97" s="41" t="str">
        <f t="shared" si="118"/>
        <v/>
      </c>
      <c r="X97" s="41" t="str">
        <f t="shared" si="119"/>
        <v/>
      </c>
      <c r="Y97" s="42" t="str">
        <f t="shared" si="120"/>
        <v/>
      </c>
      <c r="Z97" s="40">
        <f t="shared" si="121"/>
        <v>1</v>
      </c>
      <c r="AA97" s="41" t="str">
        <f t="shared" si="122"/>
        <v/>
      </c>
      <c r="AB97" s="41" t="str">
        <f t="shared" si="123"/>
        <v/>
      </c>
      <c r="AC97" s="42" t="str">
        <f t="shared" si="124"/>
        <v/>
      </c>
      <c r="AD97" s="40" t="str">
        <f t="shared" si="125"/>
        <v/>
      </c>
      <c r="AE97" s="41" t="str">
        <f t="shared" si="126"/>
        <v/>
      </c>
      <c r="AF97" s="41" t="str">
        <f t="shared" si="127"/>
        <v/>
      </c>
      <c r="AG97" s="42" t="str">
        <f t="shared" si="128"/>
        <v/>
      </c>
      <c r="AH97" s="40" t="str">
        <f t="shared" si="129"/>
        <v/>
      </c>
      <c r="AI97" s="41" t="str">
        <f t="shared" si="130"/>
        <v/>
      </c>
      <c r="AJ97" s="41" t="str">
        <f t="shared" si="131"/>
        <v/>
      </c>
      <c r="AK97" s="42" t="str">
        <f t="shared" si="132"/>
        <v/>
      </c>
      <c r="AL97" s="40" t="str">
        <f t="shared" si="133"/>
        <v/>
      </c>
      <c r="AM97" s="41">
        <f t="shared" si="134"/>
        <v>0</v>
      </c>
      <c r="AN97" s="41">
        <f t="shared" si="135"/>
        <v>-1.0000000000000001E-5</v>
      </c>
      <c r="AO97" s="42" t="str">
        <f t="shared" si="136"/>
        <v/>
      </c>
      <c r="AP97" s="40" t="str">
        <f t="shared" si="137"/>
        <v/>
      </c>
      <c r="AQ97" s="41" t="str">
        <f t="shared" si="138"/>
        <v/>
      </c>
      <c r="AR97" s="41" t="str">
        <f t="shared" si="139"/>
        <v/>
      </c>
      <c r="AS97" s="42" t="str">
        <f t="shared" si="140"/>
        <v/>
      </c>
      <c r="AT97" s="40">
        <f t="shared" si="141"/>
        <v>0</v>
      </c>
      <c r="AU97" s="41" t="str">
        <f t="shared" si="142"/>
        <v/>
      </c>
      <c r="AV97" s="41" t="str">
        <f t="shared" si="143"/>
        <v/>
      </c>
      <c r="AW97" s="42" t="str">
        <f t="shared" si="144"/>
        <v/>
      </c>
      <c r="AX97" s="40" t="str">
        <f t="shared" si="145"/>
        <v/>
      </c>
      <c r="AY97" s="41" t="str">
        <f t="shared" si="146"/>
        <v/>
      </c>
      <c r="AZ97" s="41" t="str">
        <f t="shared" si="147"/>
        <v/>
      </c>
      <c r="BA97" s="42" t="str">
        <f t="shared" si="148"/>
        <v/>
      </c>
      <c r="BB97" s="37" t="s">
        <v>106</v>
      </c>
      <c r="BC97" s="21"/>
      <c r="BD97" s="21"/>
      <c r="BG97" t="str">
        <f>IF(NOT(ISERROR(HLOOKUP(Standings!BG$3,Entries!$C85:$K85,1,FALSE))),"x",IF(NOT(ISERROR(HLOOKUP(Standings!BG$3,Entries!$L85:$L85,1,FALSE))),"S",""))</f>
        <v/>
      </c>
      <c r="BH97" t="str">
        <f>IF(NOT(ISERROR(HLOOKUP(Standings!BH$3,Entries!$C85:$K85,1,FALSE))),"x",IF(NOT(ISERROR(HLOOKUP(Standings!BH$3,Entries!$L85:$L85,1,FALSE))),"S",""))</f>
        <v/>
      </c>
      <c r="BI97" t="str">
        <f>IF(NOT(ISERROR(HLOOKUP(Standings!BI$3,Entries!$C85:$K85,1,FALSE))),"x",IF(NOT(ISERROR(HLOOKUP(Standings!BI$3,Entries!$L85:$L85,1,FALSE))),"S",""))</f>
        <v>x</v>
      </c>
      <c r="BJ97" t="str">
        <f>IF(NOT(ISERROR(HLOOKUP(Standings!BJ$3,Entries!$C85:$K85,1,FALSE))),"x",IF(NOT(ISERROR(HLOOKUP(Standings!BJ$3,Entries!$L85:$L85,1,FALSE))),"S",""))</f>
        <v/>
      </c>
      <c r="BK97" t="str">
        <f>IF(NOT(ISERROR(HLOOKUP(Standings!BK$3,Entries!$C85:$K85,1,FALSE))),"x",IF(NOT(ISERROR(HLOOKUP(Standings!BK$3,Entries!$L85:$L85,1,FALSE))),"S",""))</f>
        <v/>
      </c>
      <c r="BL97" t="str">
        <f>IF(NOT(ISERROR(HLOOKUP(Standings!BL$3,Entries!$C85:$K85,1,FALSE))),"x",IF(NOT(ISERROR(HLOOKUP(Standings!BL$3,Entries!$L85:$L85,1,FALSE))),"S",""))</f>
        <v/>
      </c>
      <c r="BM97" t="str">
        <f>IF(NOT(ISERROR(HLOOKUP(Standings!BM$3,Entries!$C85:$K85,1,FALSE))),"x",IF(NOT(ISERROR(HLOOKUP(Standings!BM$3,Entries!$L85:$L85,1,FALSE))),"S",""))</f>
        <v/>
      </c>
      <c r="BN97" t="str">
        <f>IF(NOT(ISERROR(HLOOKUP(Standings!BN$3,Entries!$C85:$K85,1,FALSE))),"x",IF(NOT(ISERROR(HLOOKUP(Standings!BN$3,Entries!$L85:$L85,1,FALSE))),"S",""))</f>
        <v/>
      </c>
      <c r="BO97" t="str">
        <f>IF(NOT(ISERROR(HLOOKUP(Standings!BO$3,Entries!$C85:$K85,1,FALSE))),"x",IF(NOT(ISERROR(HLOOKUP(Standings!BO$3,Entries!$L85:$L85,1,FALSE))),"S",""))</f>
        <v/>
      </c>
      <c r="BP97" t="str">
        <f>IF(NOT(ISERROR(HLOOKUP(Standings!BP$3,Entries!$C85:$K85,1,FALSE))),"x",IF(NOT(ISERROR(HLOOKUP(Standings!BP$3,Entries!$L85:$L85,1,FALSE))),"S",""))</f>
        <v>x</v>
      </c>
      <c r="BQ97" t="str">
        <f>IF(NOT(ISERROR(HLOOKUP(Standings!BQ$3,Entries!$C85:$K85,1,FALSE))),"x",IF(NOT(ISERROR(HLOOKUP(Standings!BQ$3,Entries!$L85:$L85,1,FALSE))),"S",""))</f>
        <v/>
      </c>
      <c r="BR97" t="str">
        <f>IF(NOT(ISERROR(HLOOKUP(Standings!BR$3,Entries!$C85:$K85,1,FALSE))),"x",IF(NOT(ISERROR(HLOOKUP(Standings!BR$3,Entries!$L85:$L85,1,FALSE))),"S",""))</f>
        <v/>
      </c>
      <c r="BS97" t="str">
        <f>IF(NOT(ISERROR(HLOOKUP(Standings!BS$3,Entries!$C85:$K85,1,FALSE))),"x",IF(NOT(ISERROR(HLOOKUP(Standings!BS$3,Entries!$L85:$L85,1,FALSE))),"S",""))</f>
        <v/>
      </c>
      <c r="BT97" t="str">
        <f>IF(NOT(ISERROR(HLOOKUP(Standings!BT$3,Entries!$C85:$K85,1,FALSE))),"x",IF(NOT(ISERROR(HLOOKUP(Standings!BT$3,Entries!$L85:$L85,1,FALSE))),"S",""))</f>
        <v/>
      </c>
      <c r="BU97" t="str">
        <f>IF(NOT(ISERROR(HLOOKUP(Standings!BU$3,Entries!$C85:$K85,1,FALSE))),"x",IF(NOT(ISERROR(HLOOKUP(Standings!BU$3,Entries!$L85:$L85,1,FALSE))),"S",""))</f>
        <v/>
      </c>
      <c r="BV97" t="str">
        <f>IF(NOT(ISERROR(HLOOKUP(Standings!BV$3,Entries!$C85:$K85,1,FALSE))),"x",IF(NOT(ISERROR(HLOOKUP(Standings!BV$3,Entries!$L85:$L85,1,FALSE))),"S",""))</f>
        <v/>
      </c>
      <c r="BW97" t="str">
        <f>IF(NOT(ISERROR(HLOOKUP(Standings!BW$3,Entries!$C85:$K85,1,FALSE))),"x",IF(NOT(ISERROR(HLOOKUP(Standings!BW$3,Entries!$L85:$L85,1,FALSE))),"S",""))</f>
        <v/>
      </c>
      <c r="BX97" t="str">
        <f>IF(NOT(ISERROR(HLOOKUP(Standings!BX$3,Entries!$C85:$K85,1,FALSE))),"x",IF(NOT(ISERROR(HLOOKUP(Standings!BX$3,Entries!$L85:$L85,1,FALSE))),"S",""))</f>
        <v/>
      </c>
      <c r="BY97" t="str">
        <f>IF(NOT(ISERROR(HLOOKUP(Standings!BY$3,Entries!$C85:$K85,1,FALSE))),"x",IF(NOT(ISERROR(HLOOKUP(Standings!BY$3,Entries!$L85:$L85,1,FALSE))),"S",""))</f>
        <v/>
      </c>
      <c r="BZ97" t="str">
        <f>IF(NOT(ISERROR(HLOOKUP(Standings!BZ$3,Entries!$C85:$K85,1,FALSE))),"x",IF(NOT(ISERROR(HLOOKUP(Standings!BZ$3,Entries!$L85:$L85,1,FALSE))),"S",""))</f>
        <v/>
      </c>
      <c r="CA97" t="str">
        <f>IF(NOT(ISERROR(HLOOKUP(Standings!CA$3,Entries!$C85:$K85,1,FALSE))),"x",IF(NOT(ISERROR(HLOOKUP(Standings!CA$3,Entries!$L85:$L85,1,FALSE))),"S",""))</f>
        <v>x</v>
      </c>
      <c r="CB97" t="str">
        <f>IF(NOT(ISERROR(HLOOKUP(Standings!CB$3,Entries!$C85:$K85,1,FALSE))),"x",IF(NOT(ISERROR(HLOOKUP(Standings!CB$3,Entries!$L85:$L85,1,FALSE))),"S",""))</f>
        <v/>
      </c>
      <c r="CC97" t="str">
        <f>IF(NOT(ISERROR(HLOOKUP(Standings!CC$3,Entries!$C85:$K85,1,FALSE))),"x",IF(NOT(ISERROR(HLOOKUP(Standings!CC$3,Entries!$L85:$L85,1,FALSE))),"S",""))</f>
        <v/>
      </c>
      <c r="CD97" t="str">
        <f>IF(NOT(ISERROR(HLOOKUP(Standings!CD$3,Entries!$C85:$K85,1,FALSE))),"x",IF(NOT(ISERROR(HLOOKUP(Standings!CD$3,Entries!$L85:$L85,1,FALSE))),"S",""))</f>
        <v/>
      </c>
      <c r="CE97" t="str">
        <f>IF(NOT(ISERROR(HLOOKUP(Standings!CE$3,Entries!$C85:$K85,1,FALSE))),"x",IF(NOT(ISERROR(HLOOKUP(Standings!CE$3,Entries!$L85:$L85,1,FALSE))),"S",""))</f>
        <v/>
      </c>
      <c r="CF97" t="str">
        <f>IF(NOT(ISERROR(HLOOKUP(Standings!CF$3,Entries!$C85:$K85,1,FALSE))),"x",IF(NOT(ISERROR(HLOOKUP(Standings!CF$3,Entries!$L85:$L85,1,FALSE))),"S",""))</f>
        <v/>
      </c>
      <c r="CG97" t="str">
        <f>IF(NOT(ISERROR(HLOOKUP(Standings!CG$3,Entries!$C85:$K85,1,FALSE))),"x",IF(NOT(ISERROR(HLOOKUP(Standings!CG$3,Entries!$L85:$L85,1,FALSE))),"S",""))</f>
        <v/>
      </c>
      <c r="CH97" t="str">
        <f>IF(NOT(ISERROR(HLOOKUP(Standings!CH$3,Entries!$C85:$K85,1,FALSE))),"x",IF(NOT(ISERROR(HLOOKUP(Standings!CH$3,Entries!$L85:$L85,1,FALSE))),"S",""))</f>
        <v/>
      </c>
      <c r="CI97" t="str">
        <f>IF(NOT(ISERROR(HLOOKUP(Standings!CI$3,Entries!$C85:$K85,1,FALSE))),"x",IF(NOT(ISERROR(HLOOKUP(Standings!CI$3,Entries!$L85:$L85,1,FALSE))),"S",""))</f>
        <v/>
      </c>
      <c r="CJ97" t="str">
        <f>IF(NOT(ISERROR(HLOOKUP(Standings!CJ$3,Entries!$C85:$K85,1,FALSE))),"x",IF(NOT(ISERROR(HLOOKUP(Standings!CJ$3,Entries!$L85:$L85,1,FALSE))),"S",""))</f>
        <v/>
      </c>
      <c r="CK97" t="str">
        <f>IF(NOT(ISERROR(HLOOKUP(Standings!CK$3,Entries!$C85:$K85,1,FALSE))),"x",IF(NOT(ISERROR(HLOOKUP(Standings!CK$3,Entries!$L85:$L85,1,FALSE))),"S",""))</f>
        <v/>
      </c>
      <c r="CL97" t="str">
        <f>IF(NOT(ISERROR(HLOOKUP(Standings!CL$3,Entries!$C85:$K85,1,FALSE))),"x",IF(NOT(ISERROR(HLOOKUP(Standings!CL$3,Entries!$L85:$L85,1,FALSE))),"S",""))</f>
        <v/>
      </c>
      <c r="CM97" t="str">
        <f>IF(NOT(ISERROR(HLOOKUP(Standings!CM$3,Entries!$C85:$K85,1,FALSE))),"x",IF(NOT(ISERROR(HLOOKUP(Standings!CM$3,Entries!$L85:$L85,1,FALSE))),"S",""))</f>
        <v/>
      </c>
      <c r="CN97" t="str">
        <f>IF(NOT(ISERROR(HLOOKUP(Standings!CN$3,Entries!$C85:$K85,1,FALSE))),"x",IF(NOT(ISERROR(HLOOKUP(Standings!CN$3,Entries!$L85:$L85,1,FALSE))),"S",""))</f>
        <v>x</v>
      </c>
      <c r="CO97" t="str">
        <f>IF(NOT(ISERROR(HLOOKUP(Standings!CO$3,Entries!$C85:$K85,1,FALSE))),"x",IF(NOT(ISERROR(HLOOKUP(Standings!CO$3,Entries!$L85:$L85,1,FALSE))),"S",""))</f>
        <v>S</v>
      </c>
      <c r="CP97" t="str">
        <f>IF(NOT(ISERROR(HLOOKUP(Standings!CP$3,Entries!$C85:$K85,1,FALSE))),"x",IF(NOT(ISERROR(HLOOKUP(Standings!CP$3,Entries!$L85:$L85,1,FALSE))),"S",""))</f>
        <v/>
      </c>
      <c r="CQ97" t="str">
        <f>IF(NOT(ISERROR(HLOOKUP(Standings!CQ$3,Entries!$C85:$K85,1,FALSE))),"x",IF(NOT(ISERROR(HLOOKUP(Standings!CQ$3,Entries!$L85:$L85,1,FALSE))),"S",""))</f>
        <v/>
      </c>
      <c r="CR97" t="str">
        <f>IF(NOT(ISERROR(HLOOKUP(Standings!CR$3,Entries!$C85:$K85,1,FALSE))),"x",IF(NOT(ISERROR(HLOOKUP(Standings!CR$3,Entries!$L85:$L85,1,FALSE))),"S",""))</f>
        <v/>
      </c>
      <c r="CS97" t="str">
        <f>IF(NOT(ISERROR(HLOOKUP(Standings!CS$3,Entries!$C85:$K85,1,FALSE))),"x",IF(NOT(ISERROR(HLOOKUP(Standings!CS$3,Entries!$L85:$L85,1,FALSE))),"S",""))</f>
        <v/>
      </c>
      <c r="CT97" t="str">
        <f>IF(NOT(ISERROR(HLOOKUP(Standings!CT$3,Entries!$C85:$K85,1,FALSE))),"x",IF(NOT(ISERROR(HLOOKUP(Standings!CT$3,Entries!$L85:$L85,1,FALSE))),"S",""))</f>
        <v/>
      </c>
      <c r="CU97" t="str">
        <f>IF(NOT(ISERROR(HLOOKUP(Standings!CU$3,Entries!$C85:$K85,1,FALSE))),"x",IF(NOT(ISERROR(HLOOKUP(Standings!CU$3,Entries!$L85:$L85,1,FALSE))),"S",""))</f>
        <v>x</v>
      </c>
      <c r="CV97" t="str">
        <f>IF(NOT(ISERROR(HLOOKUP(Standings!CV$3,Entries!$C85:$K85,1,FALSE))),"x",IF(NOT(ISERROR(HLOOKUP(Standings!CV$3,Entries!$L85:$L85,1,FALSE))),"S",""))</f>
        <v/>
      </c>
      <c r="CW97" t="str">
        <f>IF(NOT(ISERROR(HLOOKUP(Standings!CW$3,Entries!$C85:$K85,1,FALSE))),"x",IF(NOT(ISERROR(HLOOKUP(Standings!CW$3,Entries!$L85:$L85,1,FALSE))),"S",""))</f>
        <v/>
      </c>
      <c r="CX97" t="str">
        <f>IF(NOT(ISERROR(HLOOKUP(Standings!CX$3,Entries!$C85:$K85,1,FALSE))),"x",IF(NOT(ISERROR(HLOOKUP(Standings!CX$3,Entries!$L85:$L85,1,FALSE))),"S",""))</f>
        <v/>
      </c>
      <c r="CY97" t="str">
        <f>IF(NOT(ISERROR(HLOOKUP(Standings!CY$3,Entries!$C85:$K85,1,FALSE))),"x",IF(NOT(ISERROR(HLOOKUP(Standings!CY$3,Entries!$L85:$L85,1,FALSE))),"S",""))</f>
        <v/>
      </c>
      <c r="CZ97" t="str">
        <f>IF(NOT(ISERROR(HLOOKUP(Standings!CZ$3,Entries!$C85:$K85,1,FALSE))),"x",IF(NOT(ISERROR(HLOOKUP(Standings!CZ$3,Entries!$L85:$L85,1,FALSE))),"S",""))</f>
        <v/>
      </c>
      <c r="DA97" t="str">
        <f>IF(NOT(ISERROR(HLOOKUP(Standings!DA$3,Entries!$C85:$K85,1,FALSE))),"x",IF(NOT(ISERROR(HLOOKUP(Standings!DA$3,Entries!$L85:$L85,1,FALSE))),"S",""))</f>
        <v/>
      </c>
      <c r="DB97" t="str">
        <f>IF(NOT(ISERROR(HLOOKUP(Standings!DB$3,Entries!$C85:$K85,1,FALSE))),"x",IF(NOT(ISERROR(HLOOKUP(Standings!DB$3,Entries!$L85:$L85,1,FALSE))),"S",""))</f>
        <v/>
      </c>
    </row>
    <row r="98" spans="1:106" x14ac:dyDescent="0.25">
      <c r="A98" s="18"/>
      <c r="B98">
        <v>26</v>
      </c>
      <c r="C98" t="str">
        <f>Entries!B86</f>
        <v>KenOlson2</v>
      </c>
      <c r="D98" s="4">
        <f>IF(C98="","",RANK(E98,$E$10:$E$111))</f>
        <v>97</v>
      </c>
      <c r="E98" s="31">
        <f t="shared" si="100"/>
        <v>-1</v>
      </c>
      <c r="F98" s="40" t="str">
        <f t="shared" si="101"/>
        <v/>
      </c>
      <c r="G98" s="41" t="str">
        <f t="shared" si="102"/>
        <v/>
      </c>
      <c r="H98" s="41" t="str">
        <f t="shared" si="103"/>
        <v/>
      </c>
      <c r="I98" s="42" t="str">
        <f t="shared" si="104"/>
        <v/>
      </c>
      <c r="J98" s="40" t="str">
        <f t="shared" si="105"/>
        <v/>
      </c>
      <c r="K98" s="41" t="str">
        <f t="shared" si="106"/>
        <v/>
      </c>
      <c r="L98" s="41" t="str">
        <f t="shared" si="107"/>
        <v/>
      </c>
      <c r="M98" s="42" t="str">
        <f t="shared" si="108"/>
        <v/>
      </c>
      <c r="N98" s="43" t="str">
        <f t="shared" si="109"/>
        <v/>
      </c>
      <c r="O98" s="41" t="str">
        <f t="shared" si="110"/>
        <v/>
      </c>
      <c r="P98" s="41" t="str">
        <f t="shared" si="111"/>
        <v/>
      </c>
      <c r="Q98" s="42" t="str">
        <f t="shared" si="112"/>
        <v/>
      </c>
      <c r="R98" s="40" t="str">
        <f t="shared" si="113"/>
        <v/>
      </c>
      <c r="S98" s="41" t="str">
        <f t="shared" si="114"/>
        <v/>
      </c>
      <c r="T98" s="43" t="str">
        <f t="shared" si="115"/>
        <v/>
      </c>
      <c r="U98" s="42">
        <f t="shared" si="116"/>
        <v>0</v>
      </c>
      <c r="V98" s="40" t="str">
        <f t="shared" si="117"/>
        <v/>
      </c>
      <c r="W98" s="41" t="str">
        <f t="shared" si="118"/>
        <v/>
      </c>
      <c r="X98" s="41" t="str">
        <f t="shared" si="119"/>
        <v/>
      </c>
      <c r="Y98" s="42" t="str">
        <f t="shared" si="120"/>
        <v/>
      </c>
      <c r="Z98" s="40">
        <f t="shared" si="121"/>
        <v>-1.0000100000000001</v>
      </c>
      <c r="AA98" s="41" t="str">
        <f t="shared" si="122"/>
        <v/>
      </c>
      <c r="AB98" s="41" t="str">
        <f t="shared" si="123"/>
        <v/>
      </c>
      <c r="AC98" s="42" t="str">
        <f t="shared" si="124"/>
        <v/>
      </c>
      <c r="AD98" s="40" t="str">
        <f t="shared" si="125"/>
        <v/>
      </c>
      <c r="AE98" s="41" t="str">
        <f t="shared" si="126"/>
        <v/>
      </c>
      <c r="AF98" s="41" t="str">
        <f t="shared" si="127"/>
        <v/>
      </c>
      <c r="AG98" s="42" t="str">
        <f t="shared" si="128"/>
        <v/>
      </c>
      <c r="AH98" s="40" t="str">
        <f t="shared" si="129"/>
        <v/>
      </c>
      <c r="AI98" s="41" t="str">
        <f t="shared" si="130"/>
        <v/>
      </c>
      <c r="AJ98" s="41" t="str">
        <f t="shared" si="131"/>
        <v/>
      </c>
      <c r="AK98" s="42" t="str">
        <f t="shared" si="132"/>
        <v/>
      </c>
      <c r="AL98" s="40" t="str">
        <f t="shared" si="133"/>
        <v/>
      </c>
      <c r="AM98" s="41">
        <f t="shared" si="134"/>
        <v>0</v>
      </c>
      <c r="AN98" s="41" t="str">
        <f t="shared" si="135"/>
        <v/>
      </c>
      <c r="AO98" s="42" t="str">
        <f t="shared" si="136"/>
        <v/>
      </c>
      <c r="AP98" s="40">
        <f t="shared" si="137"/>
        <v>0</v>
      </c>
      <c r="AQ98" s="41" t="str">
        <f t="shared" si="138"/>
        <v/>
      </c>
      <c r="AR98" s="41" t="str">
        <f t="shared" si="139"/>
        <v/>
      </c>
      <c r="AS98" s="42" t="str">
        <f t="shared" si="140"/>
        <v/>
      </c>
      <c r="AT98" s="40">
        <f t="shared" si="141"/>
        <v>0</v>
      </c>
      <c r="AU98" s="41" t="str">
        <f t="shared" si="142"/>
        <v/>
      </c>
      <c r="AV98" s="41" t="str">
        <f t="shared" si="143"/>
        <v/>
      </c>
      <c r="AW98" s="42" t="str">
        <f t="shared" si="144"/>
        <v/>
      </c>
      <c r="AX98" s="40" t="str">
        <f t="shared" si="145"/>
        <v/>
      </c>
      <c r="AY98" s="41" t="str">
        <f t="shared" si="146"/>
        <v/>
      </c>
      <c r="AZ98" s="41" t="str">
        <f t="shared" si="147"/>
        <v/>
      </c>
      <c r="BA98" s="42" t="str">
        <f t="shared" si="148"/>
        <v/>
      </c>
      <c r="BB98" s="37" t="s">
        <v>106</v>
      </c>
      <c r="BC98" s="21"/>
      <c r="BD98" s="21"/>
      <c r="BG98" t="str">
        <f>IF(NOT(ISERROR(HLOOKUP(Standings!BG$3,Entries!$C86:$K86,1,FALSE))),"x",IF(NOT(ISERROR(HLOOKUP(Standings!BG$3,Entries!$L86:$L86,1,FALSE))),"S",""))</f>
        <v/>
      </c>
      <c r="BH98" t="str">
        <f>IF(NOT(ISERROR(HLOOKUP(Standings!BH$3,Entries!$C86:$K86,1,FALSE))),"x",IF(NOT(ISERROR(HLOOKUP(Standings!BH$3,Entries!$L86:$L86,1,FALSE))),"S",""))</f>
        <v/>
      </c>
      <c r="BI98" t="str">
        <f>IF(NOT(ISERROR(HLOOKUP(Standings!BI$3,Entries!$C86:$K86,1,FALSE))),"x",IF(NOT(ISERROR(HLOOKUP(Standings!BI$3,Entries!$L86:$L86,1,FALSE))),"S",""))</f>
        <v/>
      </c>
      <c r="BJ98" t="str">
        <f>IF(NOT(ISERROR(HLOOKUP(Standings!BJ$3,Entries!$C86:$K86,1,FALSE))),"x",IF(NOT(ISERROR(HLOOKUP(Standings!BJ$3,Entries!$L86:$L86,1,FALSE))),"S",""))</f>
        <v/>
      </c>
      <c r="BK98" t="str">
        <f>IF(NOT(ISERROR(HLOOKUP(Standings!BK$3,Entries!$C86:$K86,1,FALSE))),"x",IF(NOT(ISERROR(HLOOKUP(Standings!BK$3,Entries!$L86:$L86,1,FALSE))),"S",""))</f>
        <v/>
      </c>
      <c r="BL98" t="str">
        <f>IF(NOT(ISERROR(HLOOKUP(Standings!BL$3,Entries!$C86:$K86,1,FALSE))),"x",IF(NOT(ISERROR(HLOOKUP(Standings!BL$3,Entries!$L86:$L86,1,FALSE))),"S",""))</f>
        <v/>
      </c>
      <c r="BM98" t="str">
        <f>IF(NOT(ISERROR(HLOOKUP(Standings!BM$3,Entries!$C86:$K86,1,FALSE))),"x",IF(NOT(ISERROR(HLOOKUP(Standings!BM$3,Entries!$L86:$L86,1,FALSE))),"S",""))</f>
        <v/>
      </c>
      <c r="BN98" t="str">
        <f>IF(NOT(ISERROR(HLOOKUP(Standings!BN$3,Entries!$C86:$K86,1,FALSE))),"x",IF(NOT(ISERROR(HLOOKUP(Standings!BN$3,Entries!$L86:$L86,1,FALSE))),"S",""))</f>
        <v/>
      </c>
      <c r="BO98" t="str">
        <f>IF(NOT(ISERROR(HLOOKUP(Standings!BO$3,Entries!$C86:$K86,1,FALSE))),"x",IF(NOT(ISERROR(HLOOKUP(Standings!BO$3,Entries!$L86:$L86,1,FALSE))),"S",""))</f>
        <v/>
      </c>
      <c r="BP98" t="str">
        <f>IF(NOT(ISERROR(HLOOKUP(Standings!BP$3,Entries!$C86:$K86,1,FALSE))),"x",IF(NOT(ISERROR(HLOOKUP(Standings!BP$3,Entries!$L86:$L86,1,FALSE))),"S",""))</f>
        <v/>
      </c>
      <c r="BQ98" t="str">
        <f>IF(NOT(ISERROR(HLOOKUP(Standings!BQ$3,Entries!$C86:$K86,1,FALSE))),"x",IF(NOT(ISERROR(HLOOKUP(Standings!BQ$3,Entries!$L86:$L86,1,FALSE))),"S",""))</f>
        <v/>
      </c>
      <c r="BR98" t="str">
        <f>IF(NOT(ISERROR(HLOOKUP(Standings!BR$3,Entries!$C86:$K86,1,FALSE))),"x",IF(NOT(ISERROR(HLOOKUP(Standings!BR$3,Entries!$L86:$L86,1,FALSE))),"S",""))</f>
        <v/>
      </c>
      <c r="BS98" t="str">
        <f>IF(NOT(ISERROR(HLOOKUP(Standings!BS$3,Entries!$C86:$K86,1,FALSE))),"x",IF(NOT(ISERROR(HLOOKUP(Standings!BS$3,Entries!$L86:$L86,1,FALSE))),"S",""))</f>
        <v/>
      </c>
      <c r="BT98" t="str">
        <f>IF(NOT(ISERROR(HLOOKUP(Standings!BT$3,Entries!$C86:$K86,1,FALSE))),"x",IF(NOT(ISERROR(HLOOKUP(Standings!BT$3,Entries!$L86:$L86,1,FALSE))),"S",""))</f>
        <v/>
      </c>
      <c r="BU98" t="str">
        <f>IF(NOT(ISERROR(HLOOKUP(Standings!BU$3,Entries!$C86:$K86,1,FALSE))),"x",IF(NOT(ISERROR(HLOOKUP(Standings!BU$3,Entries!$L86:$L86,1,FALSE))),"S",""))</f>
        <v/>
      </c>
      <c r="BV98" t="str">
        <f>IF(NOT(ISERROR(HLOOKUP(Standings!BV$3,Entries!$C86:$K86,1,FALSE))),"x",IF(NOT(ISERROR(HLOOKUP(Standings!BV$3,Entries!$L86:$L86,1,FALSE))),"S",""))</f>
        <v>x</v>
      </c>
      <c r="BW98" t="str">
        <f>IF(NOT(ISERROR(HLOOKUP(Standings!BW$3,Entries!$C86:$K86,1,FALSE))),"x",IF(NOT(ISERROR(HLOOKUP(Standings!BW$3,Entries!$L86:$L86,1,FALSE))),"S",""))</f>
        <v/>
      </c>
      <c r="BX98" t="str">
        <f>IF(NOT(ISERROR(HLOOKUP(Standings!BX$3,Entries!$C86:$K86,1,FALSE))),"x",IF(NOT(ISERROR(HLOOKUP(Standings!BX$3,Entries!$L86:$L86,1,FALSE))),"S",""))</f>
        <v/>
      </c>
      <c r="BY98" t="str">
        <f>IF(NOT(ISERROR(HLOOKUP(Standings!BY$3,Entries!$C86:$K86,1,FALSE))),"x",IF(NOT(ISERROR(HLOOKUP(Standings!BY$3,Entries!$L86:$L86,1,FALSE))),"S",""))</f>
        <v/>
      </c>
      <c r="BZ98" t="str">
        <f>IF(NOT(ISERROR(HLOOKUP(Standings!BZ$3,Entries!$C86:$K86,1,FALSE))),"x",IF(NOT(ISERROR(HLOOKUP(Standings!BZ$3,Entries!$L86:$L86,1,FALSE))),"S",""))</f>
        <v/>
      </c>
      <c r="CA98" t="str">
        <f>IF(NOT(ISERROR(HLOOKUP(Standings!CA$3,Entries!$C86:$K86,1,FALSE))),"x",IF(NOT(ISERROR(HLOOKUP(Standings!CA$3,Entries!$L86:$L86,1,FALSE))),"S",""))</f>
        <v>S</v>
      </c>
      <c r="CB98" t="str">
        <f>IF(NOT(ISERROR(HLOOKUP(Standings!CB$3,Entries!$C86:$K86,1,FALSE))),"x",IF(NOT(ISERROR(HLOOKUP(Standings!CB$3,Entries!$L86:$L86,1,FALSE))),"S",""))</f>
        <v/>
      </c>
      <c r="CC98" t="str">
        <f>IF(NOT(ISERROR(HLOOKUP(Standings!CC$3,Entries!$C86:$K86,1,FALSE))),"x",IF(NOT(ISERROR(HLOOKUP(Standings!CC$3,Entries!$L86:$L86,1,FALSE))),"S",""))</f>
        <v/>
      </c>
      <c r="CD98" t="str">
        <f>IF(NOT(ISERROR(HLOOKUP(Standings!CD$3,Entries!$C86:$K86,1,FALSE))),"x",IF(NOT(ISERROR(HLOOKUP(Standings!CD$3,Entries!$L86:$L86,1,FALSE))),"S",""))</f>
        <v/>
      </c>
      <c r="CE98" t="str">
        <f>IF(NOT(ISERROR(HLOOKUP(Standings!CE$3,Entries!$C86:$K86,1,FALSE))),"x",IF(NOT(ISERROR(HLOOKUP(Standings!CE$3,Entries!$L86:$L86,1,FALSE))),"S",""))</f>
        <v/>
      </c>
      <c r="CF98" t="str">
        <f>IF(NOT(ISERROR(HLOOKUP(Standings!CF$3,Entries!$C86:$K86,1,FALSE))),"x",IF(NOT(ISERROR(HLOOKUP(Standings!CF$3,Entries!$L86:$L86,1,FALSE))),"S",""))</f>
        <v/>
      </c>
      <c r="CG98" t="str">
        <f>IF(NOT(ISERROR(HLOOKUP(Standings!CG$3,Entries!$C86:$K86,1,FALSE))),"x",IF(NOT(ISERROR(HLOOKUP(Standings!CG$3,Entries!$L86:$L86,1,FALSE))),"S",""))</f>
        <v/>
      </c>
      <c r="CH98" t="str">
        <f>IF(NOT(ISERROR(HLOOKUP(Standings!CH$3,Entries!$C86:$K86,1,FALSE))),"x",IF(NOT(ISERROR(HLOOKUP(Standings!CH$3,Entries!$L86:$L86,1,FALSE))),"S",""))</f>
        <v/>
      </c>
      <c r="CI98" t="str">
        <f>IF(NOT(ISERROR(HLOOKUP(Standings!CI$3,Entries!$C86:$K86,1,FALSE))),"x",IF(NOT(ISERROR(HLOOKUP(Standings!CI$3,Entries!$L86:$L86,1,FALSE))),"S",""))</f>
        <v/>
      </c>
      <c r="CJ98" t="str">
        <f>IF(NOT(ISERROR(HLOOKUP(Standings!CJ$3,Entries!$C86:$K86,1,FALSE))),"x",IF(NOT(ISERROR(HLOOKUP(Standings!CJ$3,Entries!$L86:$L86,1,FALSE))),"S",""))</f>
        <v/>
      </c>
      <c r="CK98" t="str">
        <f>IF(NOT(ISERROR(HLOOKUP(Standings!CK$3,Entries!$C86:$K86,1,FALSE))),"x",IF(NOT(ISERROR(HLOOKUP(Standings!CK$3,Entries!$L86:$L86,1,FALSE))),"S",""))</f>
        <v/>
      </c>
      <c r="CL98" t="str">
        <f>IF(NOT(ISERROR(HLOOKUP(Standings!CL$3,Entries!$C86:$K86,1,FALSE))),"x",IF(NOT(ISERROR(HLOOKUP(Standings!CL$3,Entries!$L86:$L86,1,FALSE))),"S",""))</f>
        <v/>
      </c>
      <c r="CM98" t="str">
        <f>IF(NOT(ISERROR(HLOOKUP(Standings!CM$3,Entries!$C86:$K86,1,FALSE))),"x",IF(NOT(ISERROR(HLOOKUP(Standings!CM$3,Entries!$L86:$L86,1,FALSE))),"S",""))</f>
        <v/>
      </c>
      <c r="CN98" t="str">
        <f>IF(NOT(ISERROR(HLOOKUP(Standings!CN$3,Entries!$C86:$K86,1,FALSE))),"x",IF(NOT(ISERROR(HLOOKUP(Standings!CN$3,Entries!$L86:$L86,1,FALSE))),"S",""))</f>
        <v>x</v>
      </c>
      <c r="CO98" t="str">
        <f>IF(NOT(ISERROR(HLOOKUP(Standings!CO$3,Entries!$C86:$K86,1,FALSE))),"x",IF(NOT(ISERROR(HLOOKUP(Standings!CO$3,Entries!$L86:$L86,1,FALSE))),"S",""))</f>
        <v/>
      </c>
      <c r="CP98" t="str">
        <f>IF(NOT(ISERROR(HLOOKUP(Standings!CP$3,Entries!$C86:$K86,1,FALSE))),"x",IF(NOT(ISERROR(HLOOKUP(Standings!CP$3,Entries!$L86:$L86,1,FALSE))),"S",""))</f>
        <v/>
      </c>
      <c r="CQ98" t="str">
        <f>IF(NOT(ISERROR(HLOOKUP(Standings!CQ$3,Entries!$C86:$K86,1,FALSE))),"x",IF(NOT(ISERROR(HLOOKUP(Standings!CQ$3,Entries!$L86:$L86,1,FALSE))),"S",""))</f>
        <v>x</v>
      </c>
      <c r="CR98" t="str">
        <f>IF(NOT(ISERROR(HLOOKUP(Standings!CR$3,Entries!$C86:$K86,1,FALSE))),"x",IF(NOT(ISERROR(HLOOKUP(Standings!CR$3,Entries!$L86:$L86,1,FALSE))),"S",""))</f>
        <v/>
      </c>
      <c r="CS98" t="str">
        <f>IF(NOT(ISERROR(HLOOKUP(Standings!CS$3,Entries!$C86:$K86,1,FALSE))),"x",IF(NOT(ISERROR(HLOOKUP(Standings!CS$3,Entries!$L86:$L86,1,FALSE))),"S",""))</f>
        <v/>
      </c>
      <c r="CT98" t="str">
        <f>IF(NOT(ISERROR(HLOOKUP(Standings!CT$3,Entries!$C86:$K86,1,FALSE))),"x",IF(NOT(ISERROR(HLOOKUP(Standings!CT$3,Entries!$L86:$L86,1,FALSE))),"S",""))</f>
        <v/>
      </c>
      <c r="CU98" t="str">
        <f>IF(NOT(ISERROR(HLOOKUP(Standings!CU$3,Entries!$C86:$K86,1,FALSE))),"x",IF(NOT(ISERROR(HLOOKUP(Standings!CU$3,Entries!$L86:$L86,1,FALSE))),"S",""))</f>
        <v>x</v>
      </c>
      <c r="CV98" t="str">
        <f>IF(NOT(ISERROR(HLOOKUP(Standings!CV$3,Entries!$C86:$K86,1,FALSE))),"x",IF(NOT(ISERROR(HLOOKUP(Standings!CV$3,Entries!$L86:$L86,1,FALSE))),"S",""))</f>
        <v/>
      </c>
      <c r="CW98" t="str">
        <f>IF(NOT(ISERROR(HLOOKUP(Standings!CW$3,Entries!$C86:$K86,1,FALSE))),"x",IF(NOT(ISERROR(HLOOKUP(Standings!CW$3,Entries!$L86:$L86,1,FALSE))),"S",""))</f>
        <v/>
      </c>
      <c r="CX98" t="str">
        <f>IF(NOT(ISERROR(HLOOKUP(Standings!CX$3,Entries!$C86:$K86,1,FALSE))),"x",IF(NOT(ISERROR(HLOOKUP(Standings!CX$3,Entries!$L86:$L86,1,FALSE))),"S",""))</f>
        <v/>
      </c>
      <c r="CY98" t="str">
        <f>IF(NOT(ISERROR(HLOOKUP(Standings!CY$3,Entries!$C86:$K86,1,FALSE))),"x",IF(NOT(ISERROR(HLOOKUP(Standings!CY$3,Entries!$L86:$L86,1,FALSE))),"S",""))</f>
        <v/>
      </c>
      <c r="CZ98" t="str">
        <f>IF(NOT(ISERROR(HLOOKUP(Standings!CZ$3,Entries!$C86:$K86,1,FALSE))),"x",IF(NOT(ISERROR(HLOOKUP(Standings!CZ$3,Entries!$L86:$L86,1,FALSE))),"S",""))</f>
        <v/>
      </c>
      <c r="DA98" t="str">
        <f>IF(NOT(ISERROR(HLOOKUP(Standings!DA$3,Entries!$C86:$K86,1,FALSE))),"x",IF(NOT(ISERROR(HLOOKUP(Standings!DA$3,Entries!$L86:$L86,1,FALSE))),"S",""))</f>
        <v/>
      </c>
      <c r="DB98" t="str">
        <f>IF(NOT(ISERROR(HLOOKUP(Standings!DB$3,Entries!$C86:$K86,1,FALSE))),"x",IF(NOT(ISERROR(HLOOKUP(Standings!DB$3,Entries!$L86:$L86,1,FALSE))),"S",""))</f>
        <v/>
      </c>
    </row>
    <row r="99" spans="1:106" x14ac:dyDescent="0.25">
      <c r="A99" s="18"/>
      <c r="B99">
        <v>26</v>
      </c>
      <c r="C99" t="str">
        <f>Entries!B87</f>
        <v>KenOlson3</v>
      </c>
      <c r="D99" s="4">
        <f>IF(C99="","",RANK(E99,$E$10:$E$111))</f>
        <v>89</v>
      </c>
      <c r="E99" s="31">
        <f t="shared" si="100"/>
        <v>0</v>
      </c>
      <c r="F99" s="40" t="str">
        <f t="shared" si="101"/>
        <v/>
      </c>
      <c r="G99" s="41" t="str">
        <f t="shared" si="102"/>
        <v/>
      </c>
      <c r="H99" s="41" t="str">
        <f t="shared" si="103"/>
        <v/>
      </c>
      <c r="I99" s="42" t="str">
        <f t="shared" si="104"/>
        <v/>
      </c>
      <c r="J99" s="40" t="str">
        <f t="shared" si="105"/>
        <v/>
      </c>
      <c r="K99" s="41" t="str">
        <f t="shared" si="106"/>
        <v/>
      </c>
      <c r="L99" s="41" t="str">
        <f t="shared" si="107"/>
        <v/>
      </c>
      <c r="M99" s="42" t="str">
        <f t="shared" si="108"/>
        <v/>
      </c>
      <c r="N99" s="43">
        <f t="shared" si="109"/>
        <v>-1.0000100000000001</v>
      </c>
      <c r="O99" s="41" t="str">
        <f t="shared" si="110"/>
        <v/>
      </c>
      <c r="P99" s="41" t="str">
        <f t="shared" si="111"/>
        <v/>
      </c>
      <c r="Q99" s="42" t="str">
        <f t="shared" si="112"/>
        <v/>
      </c>
      <c r="R99" s="40" t="str">
        <f t="shared" si="113"/>
        <v/>
      </c>
      <c r="S99" s="41" t="str">
        <f t="shared" si="114"/>
        <v/>
      </c>
      <c r="T99" s="43" t="str">
        <f t="shared" si="115"/>
        <v/>
      </c>
      <c r="U99" s="42" t="str">
        <f t="shared" si="116"/>
        <v/>
      </c>
      <c r="V99" s="40" t="str">
        <f t="shared" si="117"/>
        <v/>
      </c>
      <c r="W99" s="41" t="str">
        <f t="shared" si="118"/>
        <v/>
      </c>
      <c r="X99" s="41" t="str">
        <f t="shared" si="119"/>
        <v/>
      </c>
      <c r="Y99" s="42" t="str">
        <f t="shared" si="120"/>
        <v/>
      </c>
      <c r="Z99" s="40" t="str">
        <f t="shared" si="121"/>
        <v/>
      </c>
      <c r="AA99" s="41" t="str">
        <f t="shared" si="122"/>
        <v/>
      </c>
      <c r="AB99" s="41" t="str">
        <f t="shared" si="123"/>
        <v/>
      </c>
      <c r="AC99" s="42" t="str">
        <f t="shared" si="124"/>
        <v/>
      </c>
      <c r="AD99" s="40" t="str">
        <f t="shared" si="125"/>
        <v/>
      </c>
      <c r="AE99" s="41" t="str">
        <f t="shared" si="126"/>
        <v/>
      </c>
      <c r="AF99" s="41" t="str">
        <f t="shared" si="127"/>
        <v/>
      </c>
      <c r="AG99" s="42" t="str">
        <f t="shared" si="128"/>
        <v/>
      </c>
      <c r="AH99" s="40">
        <f t="shared" si="129"/>
        <v>1</v>
      </c>
      <c r="AI99" s="41" t="str">
        <f t="shared" si="130"/>
        <v/>
      </c>
      <c r="AJ99" s="41" t="str">
        <f t="shared" si="131"/>
        <v/>
      </c>
      <c r="AK99" s="42" t="str">
        <f t="shared" si="132"/>
        <v/>
      </c>
      <c r="AL99" s="40">
        <f t="shared" si="133"/>
        <v>0</v>
      </c>
      <c r="AM99" s="41" t="str">
        <f t="shared" si="134"/>
        <v/>
      </c>
      <c r="AN99" s="41" t="str">
        <f t="shared" si="135"/>
        <v/>
      </c>
      <c r="AO99" s="42" t="str">
        <f t="shared" si="136"/>
        <v/>
      </c>
      <c r="AP99" s="40" t="str">
        <f t="shared" si="137"/>
        <v/>
      </c>
      <c r="AQ99" s="41" t="str">
        <f t="shared" si="138"/>
        <v/>
      </c>
      <c r="AR99" s="41" t="str">
        <f t="shared" si="139"/>
        <v/>
      </c>
      <c r="AS99" s="42" t="str">
        <f t="shared" si="140"/>
        <v/>
      </c>
      <c r="AT99" s="40" t="str">
        <f t="shared" si="141"/>
        <v/>
      </c>
      <c r="AU99" s="41" t="str">
        <f t="shared" si="142"/>
        <v/>
      </c>
      <c r="AV99" s="41" t="str">
        <f t="shared" si="143"/>
        <v/>
      </c>
      <c r="AW99" s="42" t="str">
        <f t="shared" si="144"/>
        <v/>
      </c>
      <c r="AX99" s="40" t="str">
        <f t="shared" si="145"/>
        <v/>
      </c>
      <c r="AY99" s="41">
        <f t="shared" si="146"/>
        <v>0</v>
      </c>
      <c r="AZ99" s="41" t="str">
        <f t="shared" si="147"/>
        <v/>
      </c>
      <c r="BA99" s="42" t="str">
        <f t="shared" si="148"/>
        <v/>
      </c>
      <c r="BB99" s="37" t="s">
        <v>106</v>
      </c>
      <c r="BC99" s="21"/>
      <c r="BD99" s="21"/>
      <c r="BG99" t="str">
        <f>IF(NOT(ISERROR(HLOOKUP(Standings!BG$3,Entries!$C87:$K87,1,FALSE))),"x",IF(NOT(ISERROR(HLOOKUP(Standings!BG$3,Entries!$L87:$L87,1,FALSE))),"S",""))</f>
        <v/>
      </c>
      <c r="BH99" t="str">
        <f>IF(NOT(ISERROR(HLOOKUP(Standings!BH$3,Entries!$C87:$K87,1,FALSE))),"x",IF(NOT(ISERROR(HLOOKUP(Standings!BH$3,Entries!$L87:$L87,1,FALSE))),"S",""))</f>
        <v/>
      </c>
      <c r="BI99" t="str">
        <f>IF(NOT(ISERROR(HLOOKUP(Standings!BI$3,Entries!$C87:$K87,1,FALSE))),"x",IF(NOT(ISERROR(HLOOKUP(Standings!BI$3,Entries!$L87:$L87,1,FALSE))),"S",""))</f>
        <v/>
      </c>
      <c r="BJ99" t="str">
        <f>IF(NOT(ISERROR(HLOOKUP(Standings!BJ$3,Entries!$C87:$K87,1,FALSE))),"x",IF(NOT(ISERROR(HLOOKUP(Standings!BJ$3,Entries!$L87:$L87,1,FALSE))),"S",""))</f>
        <v/>
      </c>
      <c r="BK99" t="str">
        <f>IF(NOT(ISERROR(HLOOKUP(Standings!BK$3,Entries!$C87:$K87,1,FALSE))),"x",IF(NOT(ISERROR(HLOOKUP(Standings!BK$3,Entries!$L87:$L87,1,FALSE))),"S",""))</f>
        <v/>
      </c>
      <c r="BL99" t="str">
        <f>IF(NOT(ISERROR(HLOOKUP(Standings!BL$3,Entries!$C87:$K87,1,FALSE))),"x",IF(NOT(ISERROR(HLOOKUP(Standings!BL$3,Entries!$L87:$L87,1,FALSE))),"S",""))</f>
        <v/>
      </c>
      <c r="BM99" t="str">
        <f>IF(NOT(ISERROR(HLOOKUP(Standings!BM$3,Entries!$C87:$K87,1,FALSE))),"x",IF(NOT(ISERROR(HLOOKUP(Standings!BM$3,Entries!$L87:$L87,1,FALSE))),"S",""))</f>
        <v/>
      </c>
      <c r="BN99" t="str">
        <f>IF(NOT(ISERROR(HLOOKUP(Standings!BN$3,Entries!$C87:$K87,1,FALSE))),"x",IF(NOT(ISERROR(HLOOKUP(Standings!BN$3,Entries!$L87:$L87,1,FALSE))),"S",""))</f>
        <v/>
      </c>
      <c r="BO99" t="str">
        <f>IF(NOT(ISERROR(HLOOKUP(Standings!BO$3,Entries!$C87:$K87,1,FALSE))),"x",IF(NOT(ISERROR(HLOOKUP(Standings!BO$3,Entries!$L87:$L87,1,FALSE))),"S",""))</f>
        <v>S</v>
      </c>
      <c r="BP99" t="str">
        <f>IF(NOT(ISERROR(HLOOKUP(Standings!BP$3,Entries!$C87:$K87,1,FALSE))),"x",IF(NOT(ISERROR(HLOOKUP(Standings!BP$3,Entries!$L87:$L87,1,FALSE))),"S",""))</f>
        <v/>
      </c>
      <c r="BQ99" t="str">
        <f>IF(NOT(ISERROR(HLOOKUP(Standings!BQ$3,Entries!$C87:$K87,1,FALSE))),"x",IF(NOT(ISERROR(HLOOKUP(Standings!BQ$3,Entries!$L87:$L87,1,FALSE))),"S",""))</f>
        <v/>
      </c>
      <c r="BR99" t="str">
        <f>IF(NOT(ISERROR(HLOOKUP(Standings!BR$3,Entries!$C87:$K87,1,FALSE))),"x",IF(NOT(ISERROR(HLOOKUP(Standings!BR$3,Entries!$L87:$L87,1,FALSE))),"S",""))</f>
        <v/>
      </c>
      <c r="BS99" t="str">
        <f>IF(NOT(ISERROR(HLOOKUP(Standings!BS$3,Entries!$C87:$K87,1,FALSE))),"x",IF(NOT(ISERROR(HLOOKUP(Standings!BS$3,Entries!$L87:$L87,1,FALSE))),"S",""))</f>
        <v/>
      </c>
      <c r="BT99" t="str">
        <f>IF(NOT(ISERROR(HLOOKUP(Standings!BT$3,Entries!$C87:$K87,1,FALSE))),"x",IF(NOT(ISERROR(HLOOKUP(Standings!BT$3,Entries!$L87:$L87,1,FALSE))),"S",""))</f>
        <v/>
      </c>
      <c r="BU99" t="str">
        <f>IF(NOT(ISERROR(HLOOKUP(Standings!BU$3,Entries!$C87:$K87,1,FALSE))),"x",IF(NOT(ISERROR(HLOOKUP(Standings!BU$3,Entries!$L87:$L87,1,FALSE))),"S",""))</f>
        <v/>
      </c>
      <c r="BV99" t="str">
        <f>IF(NOT(ISERROR(HLOOKUP(Standings!BV$3,Entries!$C87:$K87,1,FALSE))),"x",IF(NOT(ISERROR(HLOOKUP(Standings!BV$3,Entries!$L87:$L87,1,FALSE))),"S",""))</f>
        <v/>
      </c>
      <c r="BW99" t="str">
        <f>IF(NOT(ISERROR(HLOOKUP(Standings!BW$3,Entries!$C87:$K87,1,FALSE))),"x",IF(NOT(ISERROR(HLOOKUP(Standings!BW$3,Entries!$L87:$L87,1,FALSE))),"S",""))</f>
        <v/>
      </c>
      <c r="BX99" t="str">
        <f>IF(NOT(ISERROR(HLOOKUP(Standings!BX$3,Entries!$C87:$K87,1,FALSE))),"x",IF(NOT(ISERROR(HLOOKUP(Standings!BX$3,Entries!$L87:$L87,1,FALSE))),"S",""))</f>
        <v/>
      </c>
      <c r="BY99" t="str">
        <f>IF(NOT(ISERROR(HLOOKUP(Standings!BY$3,Entries!$C87:$K87,1,FALSE))),"x",IF(NOT(ISERROR(HLOOKUP(Standings!BY$3,Entries!$L87:$L87,1,FALSE))),"S",""))</f>
        <v/>
      </c>
      <c r="BZ99" t="str">
        <f>IF(NOT(ISERROR(HLOOKUP(Standings!BZ$3,Entries!$C87:$K87,1,FALSE))),"x",IF(NOT(ISERROR(HLOOKUP(Standings!BZ$3,Entries!$L87:$L87,1,FALSE))),"S",""))</f>
        <v/>
      </c>
      <c r="CA99" t="str">
        <f>IF(NOT(ISERROR(HLOOKUP(Standings!CA$3,Entries!$C87:$K87,1,FALSE))),"x",IF(NOT(ISERROR(HLOOKUP(Standings!CA$3,Entries!$L87:$L87,1,FALSE))),"S",""))</f>
        <v/>
      </c>
      <c r="CB99" t="str">
        <f>IF(NOT(ISERROR(HLOOKUP(Standings!CB$3,Entries!$C87:$K87,1,FALSE))),"x",IF(NOT(ISERROR(HLOOKUP(Standings!CB$3,Entries!$L87:$L87,1,FALSE))),"S",""))</f>
        <v/>
      </c>
      <c r="CC99" t="str">
        <f>IF(NOT(ISERROR(HLOOKUP(Standings!CC$3,Entries!$C87:$K87,1,FALSE))),"x",IF(NOT(ISERROR(HLOOKUP(Standings!CC$3,Entries!$L87:$L87,1,FALSE))),"S",""))</f>
        <v/>
      </c>
      <c r="CD99" t="str">
        <f>IF(NOT(ISERROR(HLOOKUP(Standings!CD$3,Entries!$C87:$K87,1,FALSE))),"x",IF(NOT(ISERROR(HLOOKUP(Standings!CD$3,Entries!$L87:$L87,1,FALSE))),"S",""))</f>
        <v/>
      </c>
      <c r="CE99" t="str">
        <f>IF(NOT(ISERROR(HLOOKUP(Standings!CE$3,Entries!$C87:$K87,1,FALSE))),"x",IF(NOT(ISERROR(HLOOKUP(Standings!CE$3,Entries!$L87:$L87,1,FALSE))),"S",""))</f>
        <v/>
      </c>
      <c r="CF99" t="str">
        <f>IF(NOT(ISERROR(HLOOKUP(Standings!CF$3,Entries!$C87:$K87,1,FALSE))),"x",IF(NOT(ISERROR(HLOOKUP(Standings!CF$3,Entries!$L87:$L87,1,FALSE))),"S",""))</f>
        <v/>
      </c>
      <c r="CG99" t="str">
        <f>IF(NOT(ISERROR(HLOOKUP(Standings!CG$3,Entries!$C87:$K87,1,FALSE))),"x",IF(NOT(ISERROR(HLOOKUP(Standings!CG$3,Entries!$L87:$L87,1,FALSE))),"S",""))</f>
        <v/>
      </c>
      <c r="CH99" t="str">
        <f>IF(NOT(ISERROR(HLOOKUP(Standings!CH$3,Entries!$C87:$K87,1,FALSE))),"x",IF(NOT(ISERROR(HLOOKUP(Standings!CH$3,Entries!$L87:$L87,1,FALSE))),"S",""))</f>
        <v/>
      </c>
      <c r="CI99" t="str">
        <f>IF(NOT(ISERROR(HLOOKUP(Standings!CI$3,Entries!$C87:$K87,1,FALSE))),"x",IF(NOT(ISERROR(HLOOKUP(Standings!CI$3,Entries!$L87:$L87,1,FALSE))),"S",""))</f>
        <v>x</v>
      </c>
      <c r="CJ99" t="str">
        <f>IF(NOT(ISERROR(HLOOKUP(Standings!CJ$3,Entries!$C87:$K87,1,FALSE))),"x",IF(NOT(ISERROR(HLOOKUP(Standings!CJ$3,Entries!$L87:$L87,1,FALSE))),"S",""))</f>
        <v/>
      </c>
      <c r="CK99" t="str">
        <f>IF(NOT(ISERROR(HLOOKUP(Standings!CK$3,Entries!$C87:$K87,1,FALSE))),"x",IF(NOT(ISERROR(HLOOKUP(Standings!CK$3,Entries!$L87:$L87,1,FALSE))),"S",""))</f>
        <v/>
      </c>
      <c r="CL99" t="str">
        <f>IF(NOT(ISERROR(HLOOKUP(Standings!CL$3,Entries!$C87:$K87,1,FALSE))),"x",IF(NOT(ISERROR(HLOOKUP(Standings!CL$3,Entries!$L87:$L87,1,FALSE))),"S",""))</f>
        <v/>
      </c>
      <c r="CM99" t="str">
        <f>IF(NOT(ISERROR(HLOOKUP(Standings!CM$3,Entries!$C87:$K87,1,FALSE))),"x",IF(NOT(ISERROR(HLOOKUP(Standings!CM$3,Entries!$L87:$L87,1,FALSE))),"S",""))</f>
        <v>x</v>
      </c>
      <c r="CN99" t="str">
        <f>IF(NOT(ISERROR(HLOOKUP(Standings!CN$3,Entries!$C87:$K87,1,FALSE))),"x",IF(NOT(ISERROR(HLOOKUP(Standings!CN$3,Entries!$L87:$L87,1,FALSE))),"S",""))</f>
        <v/>
      </c>
      <c r="CO99" t="str">
        <f>IF(NOT(ISERROR(HLOOKUP(Standings!CO$3,Entries!$C87:$K87,1,FALSE))),"x",IF(NOT(ISERROR(HLOOKUP(Standings!CO$3,Entries!$L87:$L87,1,FALSE))),"S",""))</f>
        <v/>
      </c>
      <c r="CP99" t="str">
        <f>IF(NOT(ISERROR(HLOOKUP(Standings!CP$3,Entries!$C87:$K87,1,FALSE))),"x",IF(NOT(ISERROR(HLOOKUP(Standings!CP$3,Entries!$L87:$L87,1,FALSE))),"S",""))</f>
        <v/>
      </c>
      <c r="CQ99" t="str">
        <f>IF(NOT(ISERROR(HLOOKUP(Standings!CQ$3,Entries!$C87:$K87,1,FALSE))),"x",IF(NOT(ISERROR(HLOOKUP(Standings!CQ$3,Entries!$L87:$L87,1,FALSE))),"S",""))</f>
        <v/>
      </c>
      <c r="CR99" t="str">
        <f>IF(NOT(ISERROR(HLOOKUP(Standings!CR$3,Entries!$C87:$K87,1,FALSE))),"x",IF(NOT(ISERROR(HLOOKUP(Standings!CR$3,Entries!$L87:$L87,1,FALSE))),"S",""))</f>
        <v/>
      </c>
      <c r="CS99" t="str">
        <f>IF(NOT(ISERROR(HLOOKUP(Standings!CS$3,Entries!$C87:$K87,1,FALSE))),"x",IF(NOT(ISERROR(HLOOKUP(Standings!CS$3,Entries!$L87:$L87,1,FALSE))),"S",""))</f>
        <v/>
      </c>
      <c r="CT99" t="str">
        <f>IF(NOT(ISERROR(HLOOKUP(Standings!CT$3,Entries!$C87:$K87,1,FALSE))),"x",IF(NOT(ISERROR(HLOOKUP(Standings!CT$3,Entries!$L87:$L87,1,FALSE))),"S",""))</f>
        <v/>
      </c>
      <c r="CU99" t="str">
        <f>IF(NOT(ISERROR(HLOOKUP(Standings!CU$3,Entries!$C87:$K87,1,FALSE))),"x",IF(NOT(ISERROR(HLOOKUP(Standings!CU$3,Entries!$L87:$L87,1,FALSE))),"S",""))</f>
        <v/>
      </c>
      <c r="CV99" t="str">
        <f>IF(NOT(ISERROR(HLOOKUP(Standings!CV$3,Entries!$C87:$K87,1,FALSE))),"x",IF(NOT(ISERROR(HLOOKUP(Standings!CV$3,Entries!$L87:$L87,1,FALSE))),"S",""))</f>
        <v/>
      </c>
      <c r="CW99" t="str">
        <f>IF(NOT(ISERROR(HLOOKUP(Standings!CW$3,Entries!$C87:$K87,1,FALSE))),"x",IF(NOT(ISERROR(HLOOKUP(Standings!CW$3,Entries!$L87:$L87,1,FALSE))),"S",""))</f>
        <v/>
      </c>
      <c r="CX99" t="str">
        <f>IF(NOT(ISERROR(HLOOKUP(Standings!CX$3,Entries!$C87:$K87,1,FALSE))),"x",IF(NOT(ISERROR(HLOOKUP(Standings!CX$3,Entries!$L87:$L87,1,FALSE))),"S",""))</f>
        <v/>
      </c>
      <c r="CY99" t="str">
        <f>IF(NOT(ISERROR(HLOOKUP(Standings!CY$3,Entries!$C87:$K87,1,FALSE))),"x",IF(NOT(ISERROR(HLOOKUP(Standings!CY$3,Entries!$L87:$L87,1,FALSE))),"S",""))</f>
        <v/>
      </c>
      <c r="CZ99" t="str">
        <f>IF(NOT(ISERROR(HLOOKUP(Standings!CZ$3,Entries!$C87:$K87,1,FALSE))),"x",IF(NOT(ISERROR(HLOOKUP(Standings!CZ$3,Entries!$L87:$L87,1,FALSE))),"S",""))</f>
        <v>x</v>
      </c>
      <c r="DA99" t="str">
        <f>IF(NOT(ISERROR(HLOOKUP(Standings!DA$3,Entries!$C87:$K87,1,FALSE))),"x",IF(NOT(ISERROR(HLOOKUP(Standings!DA$3,Entries!$L87:$L87,1,FALSE))),"S",""))</f>
        <v/>
      </c>
      <c r="DB99" t="str">
        <f>IF(NOT(ISERROR(HLOOKUP(Standings!DB$3,Entries!$C87:$K87,1,FALSE))),"x",IF(NOT(ISERROR(HLOOKUP(Standings!DB$3,Entries!$L87:$L87,1,FALSE))),"S",""))</f>
        <v/>
      </c>
    </row>
    <row r="100" spans="1:106" x14ac:dyDescent="0.25">
      <c r="A100" s="18"/>
      <c r="B100">
        <v>26</v>
      </c>
      <c r="C100" t="str">
        <f>Entries!B88</f>
        <v>Horth</v>
      </c>
      <c r="D100" s="4">
        <f>IF(C100="","",RANK(E100,$E$10:$E$111))</f>
        <v>32</v>
      </c>
      <c r="E100" s="31">
        <f t="shared" ref="E100:E104" si="149">IF(C100="","",ROUND(SUM(F100:AK100),0))</f>
        <v>4</v>
      </c>
      <c r="F100" s="40" t="str">
        <f t="shared" ref="F100:F104" si="150">IF(BG100="","",IF(BG100="x",F$6,0)+IF(BG100="S",-F$6-0.00001,0))</f>
        <v/>
      </c>
      <c r="G100" s="41">
        <f t="shared" ref="G100:G104" si="151">IF(BH100="","",IF(BH100="x",G$6,0)+IF(BH100="S",-G$6-0.00001,0))</f>
        <v>-1.0000000000000001E-5</v>
      </c>
      <c r="H100" s="41" t="str">
        <f t="shared" ref="H100:H104" si="152">IF(BI100="","",IF(BI100="x",H$6,0)+IF(BI100="S",-H$6-0.00001,0))</f>
        <v/>
      </c>
      <c r="I100" s="42" t="str">
        <f t="shared" ref="I100:I104" si="153">IF(BJ100="","",IF(BJ100="x",I$6,0)+IF(BJ100="S",-I$6-0.00001,0))</f>
        <v/>
      </c>
      <c r="J100" s="40">
        <f t="shared" ref="J100:J104" si="154">IF(BK100="","",IF(BK100="x",J$6,0)+IF(BK100="S",-J$6-0.00001,0))</f>
        <v>1</v>
      </c>
      <c r="K100" s="41" t="str">
        <f t="shared" ref="K100:K104" si="155">IF(BL100="","",IF(BL100="x",K$6,0)+IF(BL100="S",-K$6-0.00001,0))</f>
        <v/>
      </c>
      <c r="L100" s="41" t="str">
        <f t="shared" ref="L100:L104" si="156">IF(BM100="","",IF(BM100="x",L$6,0)+IF(BM100="S",-L$6-0.00001,0))</f>
        <v/>
      </c>
      <c r="M100" s="42" t="str">
        <f t="shared" ref="M100:M104" si="157">IF(BN100="","",IF(BN100="x",M$6,0)+IF(BN100="S",-M$6-0.00001,0))</f>
        <v/>
      </c>
      <c r="N100" s="43" t="str">
        <f t="shared" ref="N100:N104" si="158">IF(BO100="","",IF(BO100="x",N$6,0)+IF(BO100="S",-N$6-0.00001,0))</f>
        <v/>
      </c>
      <c r="O100" s="41" t="str">
        <f t="shared" ref="O100:O104" si="159">IF(BP100="","",IF(BP100="x",O$6,0)+IF(BP100="S",-O$6-0.00001,0))</f>
        <v/>
      </c>
      <c r="P100" s="41" t="str">
        <f t="shared" ref="P100:P104" si="160">IF(BQ100="","",IF(BQ100="x",P$6,0)+IF(BQ100="S",-P$6-0.00001,0))</f>
        <v/>
      </c>
      <c r="Q100" s="42" t="str">
        <f t="shared" ref="Q100:Q104" si="161">IF(BR100="","",IF(BR100="x",Q$6,0)+IF(BR100="S",-Q$6-0.00001,0))</f>
        <v/>
      </c>
      <c r="R100" s="40">
        <f t="shared" ref="R100:R104" si="162">IF(BS100="","",IF(BS100="x",R$6,0)+IF(BS100="S",-R$6-0.00001,0))</f>
        <v>2</v>
      </c>
      <c r="S100" s="41" t="str">
        <f t="shared" ref="S100:S104" si="163">IF(BT100="","",IF(BT100="x",S$6,0)+IF(BT100="S",-S$6-0.00001,0))</f>
        <v/>
      </c>
      <c r="T100" s="43" t="str">
        <f t="shared" ref="T100:T104" si="164">IF(BU100="","",IF(BU100="x",T$6,0)+IF(BU100="S",-T$6-0.00001,0))</f>
        <v/>
      </c>
      <c r="U100" s="42" t="str">
        <f t="shared" ref="U100:U104" si="165">IF(BV100="","",IF(BV100="x",U$6,0)+IF(BV100="S",-U$6-0.00001,0))</f>
        <v/>
      </c>
      <c r="V100" s="40" t="str">
        <f t="shared" ref="V100:V104" si="166">IF(BW100="","",IF(BW100="x",V$6,0)+IF(BW100="S",-V$6-0.00001,0))</f>
        <v/>
      </c>
      <c r="W100" s="41" t="str">
        <f t="shared" ref="W100:W104" si="167">IF(BX100="","",IF(BX100="x",W$6,0)+IF(BX100="S",-W$6-0.00001,0))</f>
        <v/>
      </c>
      <c r="X100" s="41" t="str">
        <f t="shared" ref="X100:X104" si="168">IF(BY100="","",IF(BY100="x",X$6,0)+IF(BY100="S",-X$6-0.00001,0))</f>
        <v/>
      </c>
      <c r="Y100" s="42" t="str">
        <f t="shared" ref="Y100:Y104" si="169">IF(BZ100="","",IF(BZ100="x",Y$6,0)+IF(BZ100="S",-Y$6-0.00001,0))</f>
        <v/>
      </c>
      <c r="Z100" s="40" t="str">
        <f t="shared" ref="Z100:Z104" si="170">IF(CA100="","",IF(CA100="x",Z$6,0)+IF(CA100="S",-Z$6-0.00001,0))</f>
        <v/>
      </c>
      <c r="AA100" s="41" t="str">
        <f t="shared" ref="AA100:AA104" si="171">IF(CB100="","",IF(CB100="x",AA$6,0)+IF(CB100="S",-AA$6-0.00001,0))</f>
        <v/>
      </c>
      <c r="AB100" s="41" t="str">
        <f t="shared" ref="AB100:AB104" si="172">IF(CC100="","",IF(CC100="x",AB$6,0)+IF(CC100="S",-AB$6-0.00001,0))</f>
        <v/>
      </c>
      <c r="AC100" s="42" t="str">
        <f t="shared" ref="AC100:AC104" si="173">IF(CD100="","",IF(CD100="x",AC$6,0)+IF(CD100="S",-AC$6-0.00001,0))</f>
        <v/>
      </c>
      <c r="AD100" s="40" t="str">
        <f t="shared" ref="AD100:AD104" si="174">IF(CE100="","",IF(CE100="x",AD$6,0)+IF(CE100="S",-AD$6-0.00001,0))</f>
        <v/>
      </c>
      <c r="AE100" s="41" t="str">
        <f t="shared" ref="AE100:AE104" si="175">IF(CF100="","",IF(CF100="x",AE$6,0)+IF(CF100="S",-AE$6-0.00001,0))</f>
        <v/>
      </c>
      <c r="AF100" s="41" t="str">
        <f t="shared" ref="AF100:AF104" si="176">IF(CG100="","",IF(CG100="x",AF$6,0)+IF(CG100="S",-AF$6-0.00001,0))</f>
        <v/>
      </c>
      <c r="AG100" s="42">
        <f t="shared" ref="AG100:AG104" si="177">IF(CH100="","",IF(CH100="x",AG$6,0)+IF(CH100="S",-AG$6-0.00001,0))</f>
        <v>1</v>
      </c>
      <c r="AH100" s="40" t="str">
        <f t="shared" ref="AH100:AH104" si="178">IF(CI100="","",IF(CI100="x",AH$6,0)+IF(CI100="S",-AH$6-0.00001,0))</f>
        <v/>
      </c>
      <c r="AI100" s="41" t="str">
        <f t="shared" ref="AI100:AI104" si="179">IF(CJ100="","",IF(CJ100="x",AI$6,0)+IF(CJ100="S",-AI$6-0.00001,0))</f>
        <v/>
      </c>
      <c r="AJ100" s="41" t="str">
        <f t="shared" ref="AJ100:AJ104" si="180">IF(CK100="","",IF(CK100="x",AJ$6,0)+IF(CK100="S",-AJ$6-0.00001,0))</f>
        <v/>
      </c>
      <c r="AK100" s="42" t="str">
        <f t="shared" ref="AK100:AK104" si="181">IF(CL100="","",IF(CL100="x",AK$6,0)+IF(CL100="S",-AK$6-0.00001,0))</f>
        <v/>
      </c>
      <c r="AL100" s="40" t="str">
        <f t="shared" ref="AL100:AL104" si="182">IF(CM100="","",IF(CM100="x",AL$6,0)+IF(CM100="S",-AL$6-0.00001,0))</f>
        <v/>
      </c>
      <c r="AM100" s="41" t="str">
        <f t="shared" ref="AM100:AM104" si="183">IF(CN100="","",IF(CN100="x",AM$6,0)+IF(CN100="S",-AM$6-0.00001,0))</f>
        <v/>
      </c>
      <c r="AN100" s="41" t="str">
        <f t="shared" ref="AN100:AN104" si="184">IF(CO100="","",IF(CO100="x",AN$6,0)+IF(CO100="S",-AN$6-0.00001,0))</f>
        <v/>
      </c>
      <c r="AO100" s="42" t="str">
        <f t="shared" ref="AO100:AO104" si="185">IF(CP100="","",IF(CP100="x",AO$6,0)+IF(CP100="S",-AO$6-0.00001,0))</f>
        <v/>
      </c>
      <c r="AP100" s="40" t="str">
        <f t="shared" ref="AP100:AP104" si="186">IF(CQ100="","",IF(CQ100="x",AP$6,0)+IF(CQ100="S",-AP$6-0.00001,0))</f>
        <v/>
      </c>
      <c r="AQ100" s="41" t="str">
        <f t="shared" ref="AQ100:AQ104" si="187">IF(CR100="","",IF(CR100="x",AQ$6,0)+IF(CR100="S",-AQ$6-0.00001,0))</f>
        <v/>
      </c>
      <c r="AR100" s="41" t="str">
        <f t="shared" ref="AR100:AR104" si="188">IF(CS100="","",IF(CS100="x",AR$6,0)+IF(CS100="S",-AR$6-0.00001,0))</f>
        <v/>
      </c>
      <c r="AS100" s="42" t="str">
        <f t="shared" ref="AS100:AS104" si="189">IF(CT100="","",IF(CT100="x",AS$6,0)+IF(CT100="S",-AS$6-0.00001,0))</f>
        <v/>
      </c>
      <c r="AT100" s="40" t="str">
        <f t="shared" ref="AT100:AT104" si="190">IF(CU100="","",IF(CU100="x",AT$6,0)+IF(CU100="S",-AT$6-0.00001,0))</f>
        <v/>
      </c>
      <c r="AU100" s="41" t="str">
        <f t="shared" ref="AU100:AU104" si="191">IF(CV100="","",IF(CV100="x",AU$6,0)+IF(CV100="S",-AU$6-0.00001,0))</f>
        <v/>
      </c>
      <c r="AV100" s="41" t="str">
        <f t="shared" ref="AV100:AV104" si="192">IF(CW100="","",IF(CW100="x",AV$6,0)+IF(CW100="S",-AV$6-0.00001,0))</f>
        <v/>
      </c>
      <c r="AW100" s="42" t="str">
        <f t="shared" ref="AW100:AW104" si="193">IF(CX100="","",IF(CX100="x",AW$6,0)+IF(CX100="S",-AW$6-0.00001,0))</f>
        <v/>
      </c>
      <c r="AX100" s="40">
        <f t="shared" ref="AX100:AX104" si="194">IF(CY100="","",IF(CY100="x",AX$6,0)+IF(CY100="S",-AX$6-0.00001,0))</f>
        <v>0</v>
      </c>
      <c r="AY100" s="41" t="str">
        <f t="shared" ref="AY100:AY104" si="195">IF(CZ100="","",IF(CZ100="x",AY$6,0)+IF(CZ100="S",-AY$6-0.00001,0))</f>
        <v/>
      </c>
      <c r="AZ100" s="41" t="str">
        <f t="shared" ref="AZ100:AZ104" si="196">IF(DA100="","",IF(DA100="x",AZ$6,0)+IF(DA100="S",-AZ$6-0.00001,0))</f>
        <v/>
      </c>
      <c r="BA100" s="42" t="str">
        <f t="shared" ref="BA100:BA104" si="197">IF(DB100="","",IF(DB100="x",BA$6,0)+IF(DB100="S",-BA$6-0.00001,0))</f>
        <v/>
      </c>
      <c r="BB100" s="37" t="s">
        <v>106</v>
      </c>
      <c r="BC100" s="21"/>
      <c r="BD100" s="21"/>
      <c r="BG100" t="str">
        <f>IF(NOT(ISERROR(HLOOKUP(Standings!BG$3,Entries!$C88:$K88,1,FALSE))),"x",IF(NOT(ISERROR(HLOOKUP(Standings!BG$3,Entries!$L88:$L88,1,FALSE))),"S",""))</f>
        <v/>
      </c>
      <c r="BH100" t="str">
        <f>IF(NOT(ISERROR(HLOOKUP(Standings!BH$3,Entries!$C88:$K88,1,FALSE))),"x",IF(NOT(ISERROR(HLOOKUP(Standings!BH$3,Entries!$L88:$L88,1,FALSE))),"S",""))</f>
        <v>S</v>
      </c>
      <c r="BI100" t="str">
        <f>IF(NOT(ISERROR(HLOOKUP(Standings!BI$3,Entries!$C88:$K88,1,FALSE))),"x",IF(NOT(ISERROR(HLOOKUP(Standings!BI$3,Entries!$L88:$L88,1,FALSE))),"S",""))</f>
        <v/>
      </c>
      <c r="BJ100" t="str">
        <f>IF(NOT(ISERROR(HLOOKUP(Standings!BJ$3,Entries!$C88:$K88,1,FALSE))),"x",IF(NOT(ISERROR(HLOOKUP(Standings!BJ$3,Entries!$L88:$L88,1,FALSE))),"S",""))</f>
        <v/>
      </c>
      <c r="BK100" t="str">
        <f>IF(NOT(ISERROR(HLOOKUP(Standings!BK$3,Entries!$C88:$K88,1,FALSE))),"x",IF(NOT(ISERROR(HLOOKUP(Standings!BK$3,Entries!$L88:$L88,1,FALSE))),"S",""))</f>
        <v>x</v>
      </c>
      <c r="BL100" t="str">
        <f>IF(NOT(ISERROR(HLOOKUP(Standings!BL$3,Entries!$C88:$K88,1,FALSE))),"x",IF(NOT(ISERROR(HLOOKUP(Standings!BL$3,Entries!$L88:$L88,1,FALSE))),"S",""))</f>
        <v/>
      </c>
      <c r="BM100" t="str">
        <f>IF(NOT(ISERROR(HLOOKUP(Standings!BM$3,Entries!$C88:$K88,1,FALSE))),"x",IF(NOT(ISERROR(HLOOKUP(Standings!BM$3,Entries!$L88:$L88,1,FALSE))),"S",""))</f>
        <v/>
      </c>
      <c r="BN100" t="str">
        <f>IF(NOT(ISERROR(HLOOKUP(Standings!BN$3,Entries!$C88:$K88,1,FALSE))),"x",IF(NOT(ISERROR(HLOOKUP(Standings!BN$3,Entries!$L88:$L88,1,FALSE))),"S",""))</f>
        <v/>
      </c>
      <c r="BO100" t="str">
        <f>IF(NOT(ISERROR(HLOOKUP(Standings!BO$3,Entries!$C88:$K88,1,FALSE))),"x",IF(NOT(ISERROR(HLOOKUP(Standings!BO$3,Entries!$L88:$L88,1,FALSE))),"S",""))</f>
        <v/>
      </c>
      <c r="BP100" t="str">
        <f>IF(NOT(ISERROR(HLOOKUP(Standings!BP$3,Entries!$C88:$K88,1,FALSE))),"x",IF(NOT(ISERROR(HLOOKUP(Standings!BP$3,Entries!$L88:$L88,1,FALSE))),"S",""))</f>
        <v/>
      </c>
      <c r="BQ100" t="str">
        <f>IF(NOT(ISERROR(HLOOKUP(Standings!BQ$3,Entries!$C88:$K88,1,FALSE))),"x",IF(NOT(ISERROR(HLOOKUP(Standings!BQ$3,Entries!$L88:$L88,1,FALSE))),"S",""))</f>
        <v/>
      </c>
      <c r="BR100" t="str">
        <f>IF(NOT(ISERROR(HLOOKUP(Standings!BR$3,Entries!$C88:$K88,1,FALSE))),"x",IF(NOT(ISERROR(HLOOKUP(Standings!BR$3,Entries!$L88:$L88,1,FALSE))),"S",""))</f>
        <v/>
      </c>
      <c r="BS100" t="str">
        <f>IF(NOT(ISERROR(HLOOKUP(Standings!BS$3,Entries!$C88:$K88,1,FALSE))),"x",IF(NOT(ISERROR(HLOOKUP(Standings!BS$3,Entries!$L88:$L88,1,FALSE))),"S",""))</f>
        <v>x</v>
      </c>
      <c r="BT100" t="str">
        <f>IF(NOT(ISERROR(HLOOKUP(Standings!BT$3,Entries!$C88:$K88,1,FALSE))),"x",IF(NOT(ISERROR(HLOOKUP(Standings!BT$3,Entries!$L88:$L88,1,FALSE))),"S",""))</f>
        <v/>
      </c>
      <c r="BU100" t="str">
        <f>IF(NOT(ISERROR(HLOOKUP(Standings!BU$3,Entries!$C88:$K88,1,FALSE))),"x",IF(NOT(ISERROR(HLOOKUP(Standings!BU$3,Entries!$L88:$L88,1,FALSE))),"S",""))</f>
        <v/>
      </c>
      <c r="BV100" t="str">
        <f>IF(NOT(ISERROR(HLOOKUP(Standings!BV$3,Entries!$C88:$K88,1,FALSE))),"x",IF(NOT(ISERROR(HLOOKUP(Standings!BV$3,Entries!$L88:$L88,1,FALSE))),"S",""))</f>
        <v/>
      </c>
      <c r="BW100" t="str">
        <f>IF(NOT(ISERROR(HLOOKUP(Standings!BW$3,Entries!$C88:$K88,1,FALSE))),"x",IF(NOT(ISERROR(HLOOKUP(Standings!BW$3,Entries!$L88:$L88,1,FALSE))),"S",""))</f>
        <v/>
      </c>
      <c r="BX100" t="str">
        <f>IF(NOT(ISERROR(HLOOKUP(Standings!BX$3,Entries!$C88:$K88,1,FALSE))),"x",IF(NOT(ISERROR(HLOOKUP(Standings!BX$3,Entries!$L88:$L88,1,FALSE))),"S",""))</f>
        <v/>
      </c>
      <c r="BY100" t="str">
        <f>IF(NOT(ISERROR(HLOOKUP(Standings!BY$3,Entries!$C88:$K88,1,FALSE))),"x",IF(NOT(ISERROR(HLOOKUP(Standings!BY$3,Entries!$L88:$L88,1,FALSE))),"S",""))</f>
        <v/>
      </c>
      <c r="BZ100" t="str">
        <f>IF(NOT(ISERROR(HLOOKUP(Standings!BZ$3,Entries!$C88:$K88,1,FALSE))),"x",IF(NOT(ISERROR(HLOOKUP(Standings!BZ$3,Entries!$L88:$L88,1,FALSE))),"S",""))</f>
        <v/>
      </c>
      <c r="CA100" t="str">
        <f>IF(NOT(ISERROR(HLOOKUP(Standings!CA$3,Entries!$C88:$K88,1,FALSE))),"x",IF(NOT(ISERROR(HLOOKUP(Standings!CA$3,Entries!$L88:$L88,1,FALSE))),"S",""))</f>
        <v/>
      </c>
      <c r="CB100" t="str">
        <f>IF(NOT(ISERROR(HLOOKUP(Standings!CB$3,Entries!$C88:$K88,1,FALSE))),"x",IF(NOT(ISERROR(HLOOKUP(Standings!CB$3,Entries!$L88:$L88,1,FALSE))),"S",""))</f>
        <v/>
      </c>
      <c r="CC100" t="str">
        <f>IF(NOT(ISERROR(HLOOKUP(Standings!CC$3,Entries!$C88:$K88,1,FALSE))),"x",IF(NOT(ISERROR(HLOOKUP(Standings!CC$3,Entries!$L88:$L88,1,FALSE))),"S",""))</f>
        <v/>
      </c>
      <c r="CD100" t="str">
        <f>IF(NOT(ISERROR(HLOOKUP(Standings!CD$3,Entries!$C88:$K88,1,FALSE))),"x",IF(NOT(ISERROR(HLOOKUP(Standings!CD$3,Entries!$L88:$L88,1,FALSE))),"S",""))</f>
        <v/>
      </c>
      <c r="CE100" t="str">
        <f>IF(NOT(ISERROR(HLOOKUP(Standings!CE$3,Entries!$C88:$K88,1,FALSE))),"x",IF(NOT(ISERROR(HLOOKUP(Standings!CE$3,Entries!$L88:$L88,1,FALSE))),"S",""))</f>
        <v/>
      </c>
      <c r="CF100" t="str">
        <f>IF(NOT(ISERROR(HLOOKUP(Standings!CF$3,Entries!$C88:$K88,1,FALSE))),"x",IF(NOT(ISERROR(HLOOKUP(Standings!CF$3,Entries!$L88:$L88,1,FALSE))),"S",""))</f>
        <v/>
      </c>
      <c r="CG100" t="str">
        <f>IF(NOT(ISERROR(HLOOKUP(Standings!CG$3,Entries!$C88:$K88,1,FALSE))),"x",IF(NOT(ISERROR(HLOOKUP(Standings!CG$3,Entries!$L88:$L88,1,FALSE))),"S",""))</f>
        <v/>
      </c>
      <c r="CH100" t="str">
        <f>IF(NOT(ISERROR(HLOOKUP(Standings!CH$3,Entries!$C88:$K88,1,FALSE))),"x",IF(NOT(ISERROR(HLOOKUP(Standings!CH$3,Entries!$L88:$L88,1,FALSE))),"S",""))</f>
        <v>x</v>
      </c>
      <c r="CI100" t="str">
        <f>IF(NOT(ISERROR(HLOOKUP(Standings!CI$3,Entries!$C88:$K88,1,FALSE))),"x",IF(NOT(ISERROR(HLOOKUP(Standings!CI$3,Entries!$L88:$L88,1,FALSE))),"S",""))</f>
        <v/>
      </c>
      <c r="CJ100" t="str">
        <f>IF(NOT(ISERROR(HLOOKUP(Standings!CJ$3,Entries!$C88:$K88,1,FALSE))),"x",IF(NOT(ISERROR(HLOOKUP(Standings!CJ$3,Entries!$L88:$L88,1,FALSE))),"S",""))</f>
        <v/>
      </c>
      <c r="CK100" t="str">
        <f>IF(NOT(ISERROR(HLOOKUP(Standings!CK$3,Entries!$C88:$K88,1,FALSE))),"x",IF(NOT(ISERROR(HLOOKUP(Standings!CK$3,Entries!$L88:$L88,1,FALSE))),"S",""))</f>
        <v/>
      </c>
      <c r="CL100" t="str">
        <f>IF(NOT(ISERROR(HLOOKUP(Standings!CL$3,Entries!$C88:$K88,1,FALSE))),"x",IF(NOT(ISERROR(HLOOKUP(Standings!CL$3,Entries!$L88:$L88,1,FALSE))),"S",""))</f>
        <v/>
      </c>
      <c r="CM100" t="str">
        <f>IF(NOT(ISERROR(HLOOKUP(Standings!CM$3,Entries!$C88:$K88,1,FALSE))),"x",IF(NOT(ISERROR(HLOOKUP(Standings!CM$3,Entries!$L88:$L88,1,FALSE))),"S",""))</f>
        <v/>
      </c>
      <c r="CN100" t="str">
        <f>IF(NOT(ISERROR(HLOOKUP(Standings!CN$3,Entries!$C88:$K88,1,FALSE))),"x",IF(NOT(ISERROR(HLOOKUP(Standings!CN$3,Entries!$L88:$L88,1,FALSE))),"S",""))</f>
        <v/>
      </c>
      <c r="CO100" t="str">
        <f>IF(NOT(ISERROR(HLOOKUP(Standings!CO$3,Entries!$C88:$K88,1,FALSE))),"x",IF(NOT(ISERROR(HLOOKUP(Standings!CO$3,Entries!$L88:$L88,1,FALSE))),"S",""))</f>
        <v/>
      </c>
      <c r="CP100" t="str">
        <f>IF(NOT(ISERROR(HLOOKUP(Standings!CP$3,Entries!$C88:$K88,1,FALSE))),"x",IF(NOT(ISERROR(HLOOKUP(Standings!CP$3,Entries!$L88:$L88,1,FALSE))),"S",""))</f>
        <v/>
      </c>
      <c r="CQ100" t="str">
        <f>IF(NOT(ISERROR(HLOOKUP(Standings!CQ$3,Entries!$C88:$K88,1,FALSE))),"x",IF(NOT(ISERROR(HLOOKUP(Standings!CQ$3,Entries!$L88:$L88,1,FALSE))),"S",""))</f>
        <v/>
      </c>
      <c r="CR100" t="str">
        <f>IF(NOT(ISERROR(HLOOKUP(Standings!CR$3,Entries!$C88:$K88,1,FALSE))),"x",IF(NOT(ISERROR(HLOOKUP(Standings!CR$3,Entries!$L88:$L88,1,FALSE))),"S",""))</f>
        <v/>
      </c>
      <c r="CS100" t="str">
        <f>IF(NOT(ISERROR(HLOOKUP(Standings!CS$3,Entries!$C88:$K88,1,FALSE))),"x",IF(NOT(ISERROR(HLOOKUP(Standings!CS$3,Entries!$L88:$L88,1,FALSE))),"S",""))</f>
        <v/>
      </c>
      <c r="CT100" t="str">
        <f>IF(NOT(ISERROR(HLOOKUP(Standings!CT$3,Entries!$C88:$K88,1,FALSE))),"x",IF(NOT(ISERROR(HLOOKUP(Standings!CT$3,Entries!$L88:$L88,1,FALSE))),"S",""))</f>
        <v/>
      </c>
      <c r="CU100" t="str">
        <f>IF(NOT(ISERROR(HLOOKUP(Standings!CU$3,Entries!$C88:$K88,1,FALSE))),"x",IF(NOT(ISERROR(HLOOKUP(Standings!CU$3,Entries!$L88:$L88,1,FALSE))),"S",""))</f>
        <v/>
      </c>
      <c r="CV100" t="str">
        <f>IF(NOT(ISERROR(HLOOKUP(Standings!CV$3,Entries!$C88:$K88,1,FALSE))),"x",IF(NOT(ISERROR(HLOOKUP(Standings!CV$3,Entries!$L88:$L88,1,FALSE))),"S",""))</f>
        <v/>
      </c>
      <c r="CW100" t="str">
        <f>IF(NOT(ISERROR(HLOOKUP(Standings!CW$3,Entries!$C88:$K88,1,FALSE))),"x",IF(NOT(ISERROR(HLOOKUP(Standings!CW$3,Entries!$L88:$L88,1,FALSE))),"S",""))</f>
        <v/>
      </c>
      <c r="CX100" t="str">
        <f>IF(NOT(ISERROR(HLOOKUP(Standings!CX$3,Entries!$C88:$K88,1,FALSE))),"x",IF(NOT(ISERROR(HLOOKUP(Standings!CX$3,Entries!$L88:$L88,1,FALSE))),"S",""))</f>
        <v/>
      </c>
      <c r="CY100" t="str">
        <f>IF(NOT(ISERROR(HLOOKUP(Standings!CY$3,Entries!$C88:$K88,1,FALSE))),"x",IF(NOT(ISERROR(HLOOKUP(Standings!CY$3,Entries!$L88:$L88,1,FALSE))),"S",""))</f>
        <v>x</v>
      </c>
      <c r="CZ100" t="str">
        <f>IF(NOT(ISERROR(HLOOKUP(Standings!CZ$3,Entries!$C88:$K88,1,FALSE))),"x",IF(NOT(ISERROR(HLOOKUP(Standings!CZ$3,Entries!$L88:$L88,1,FALSE))),"S",""))</f>
        <v/>
      </c>
      <c r="DA100" t="str">
        <f>IF(NOT(ISERROR(HLOOKUP(Standings!DA$3,Entries!$C88:$K88,1,FALSE))),"x",IF(NOT(ISERROR(HLOOKUP(Standings!DA$3,Entries!$L88:$L88,1,FALSE))),"S",""))</f>
        <v/>
      </c>
      <c r="DB100" t="str">
        <f>IF(NOT(ISERROR(HLOOKUP(Standings!DB$3,Entries!$C88:$K88,1,FALSE))),"x",IF(NOT(ISERROR(HLOOKUP(Standings!DB$3,Entries!$L88:$L88,1,FALSE))),"S",""))</f>
        <v/>
      </c>
    </row>
    <row r="101" spans="1:106" x14ac:dyDescent="0.25">
      <c r="A101" s="18"/>
      <c r="B101">
        <v>26</v>
      </c>
      <c r="C101" t="str">
        <f>Entries!B89</f>
        <v>MonicaBullock</v>
      </c>
      <c r="D101" s="4">
        <f>IF(C101="","",RANK(E101,$E$10:$E$111))</f>
        <v>81</v>
      </c>
      <c r="E101" s="31">
        <f t="shared" si="149"/>
        <v>1</v>
      </c>
      <c r="F101" s="40" t="str">
        <f t="shared" si="150"/>
        <v/>
      </c>
      <c r="G101" s="41" t="str">
        <f t="shared" si="151"/>
        <v/>
      </c>
      <c r="H101" s="41" t="str">
        <f t="shared" si="152"/>
        <v/>
      </c>
      <c r="I101" s="42" t="str">
        <f t="shared" si="153"/>
        <v/>
      </c>
      <c r="J101" s="40" t="str">
        <f t="shared" si="154"/>
        <v/>
      </c>
      <c r="K101" s="41">
        <f t="shared" si="155"/>
        <v>1</v>
      </c>
      <c r="L101" s="41" t="str">
        <f t="shared" si="156"/>
        <v/>
      </c>
      <c r="M101" s="42" t="str">
        <f t="shared" si="157"/>
        <v/>
      </c>
      <c r="N101" s="43" t="str">
        <f t="shared" si="158"/>
        <v/>
      </c>
      <c r="O101" s="41" t="str">
        <f t="shared" si="159"/>
        <v/>
      </c>
      <c r="P101" s="41" t="str">
        <f t="shared" si="160"/>
        <v/>
      </c>
      <c r="Q101" s="42" t="str">
        <f t="shared" si="161"/>
        <v/>
      </c>
      <c r="R101" s="40" t="str">
        <f t="shared" si="162"/>
        <v/>
      </c>
      <c r="S101" s="41" t="str">
        <f t="shared" si="163"/>
        <v/>
      </c>
      <c r="T101" s="43" t="str">
        <f t="shared" si="164"/>
        <v/>
      </c>
      <c r="U101" s="42" t="str">
        <f t="shared" si="165"/>
        <v/>
      </c>
      <c r="V101" s="40" t="str">
        <f t="shared" si="166"/>
        <v/>
      </c>
      <c r="W101" s="41" t="str">
        <f t="shared" si="167"/>
        <v/>
      </c>
      <c r="X101" s="41" t="str">
        <f t="shared" si="168"/>
        <v/>
      </c>
      <c r="Y101" s="42">
        <f t="shared" si="169"/>
        <v>0</v>
      </c>
      <c r="Z101" s="40" t="str">
        <f t="shared" si="170"/>
        <v/>
      </c>
      <c r="AA101" s="41">
        <f t="shared" si="171"/>
        <v>1</v>
      </c>
      <c r="AB101" s="41" t="str">
        <f t="shared" si="172"/>
        <v/>
      </c>
      <c r="AC101" s="42" t="str">
        <f t="shared" si="173"/>
        <v/>
      </c>
      <c r="AD101" s="40">
        <f t="shared" si="174"/>
        <v>-1.0000100000000001</v>
      </c>
      <c r="AE101" s="41" t="str">
        <f t="shared" si="175"/>
        <v/>
      </c>
      <c r="AF101" s="41" t="str">
        <f t="shared" si="176"/>
        <v/>
      </c>
      <c r="AG101" s="42" t="str">
        <f t="shared" si="177"/>
        <v/>
      </c>
      <c r="AH101" s="40" t="str">
        <f t="shared" si="178"/>
        <v/>
      </c>
      <c r="AI101" s="41" t="str">
        <f t="shared" si="179"/>
        <v/>
      </c>
      <c r="AJ101" s="41" t="str">
        <f t="shared" si="180"/>
        <v/>
      </c>
      <c r="AK101" s="42" t="str">
        <f t="shared" si="181"/>
        <v/>
      </c>
      <c r="AL101" s="40" t="str">
        <f t="shared" si="182"/>
        <v/>
      </c>
      <c r="AM101" s="41" t="str">
        <f t="shared" si="183"/>
        <v/>
      </c>
      <c r="AN101" s="41" t="str">
        <f t="shared" si="184"/>
        <v/>
      </c>
      <c r="AO101" s="42" t="str">
        <f t="shared" si="185"/>
        <v/>
      </c>
      <c r="AP101" s="40" t="str">
        <f t="shared" si="186"/>
        <v/>
      </c>
      <c r="AQ101" s="41" t="str">
        <f t="shared" si="187"/>
        <v/>
      </c>
      <c r="AR101" s="41" t="str">
        <f t="shared" si="188"/>
        <v/>
      </c>
      <c r="AS101" s="42" t="str">
        <f t="shared" si="189"/>
        <v/>
      </c>
      <c r="AT101" s="40">
        <f t="shared" si="190"/>
        <v>0</v>
      </c>
      <c r="AU101" s="41" t="str">
        <f t="shared" si="191"/>
        <v/>
      </c>
      <c r="AV101" s="41">
        <f t="shared" si="192"/>
        <v>0</v>
      </c>
      <c r="AW101" s="42" t="str">
        <f t="shared" si="193"/>
        <v/>
      </c>
      <c r="AX101" s="40" t="str">
        <f t="shared" si="194"/>
        <v/>
      </c>
      <c r="AY101" s="41" t="str">
        <f t="shared" si="195"/>
        <v/>
      </c>
      <c r="AZ101" s="41" t="str">
        <f t="shared" si="196"/>
        <v/>
      </c>
      <c r="BA101" s="42" t="str">
        <f t="shared" si="197"/>
        <v/>
      </c>
      <c r="BB101" s="37" t="s">
        <v>106</v>
      </c>
      <c r="BC101" s="21"/>
      <c r="BD101" s="21"/>
      <c r="BG101" t="str">
        <f>IF(NOT(ISERROR(HLOOKUP(Standings!BG$3,Entries!$C89:$K89,1,FALSE))),"x",IF(NOT(ISERROR(HLOOKUP(Standings!BG$3,Entries!$L89:$L89,1,FALSE))),"S",""))</f>
        <v/>
      </c>
      <c r="BH101" t="str">
        <f>IF(NOT(ISERROR(HLOOKUP(Standings!BH$3,Entries!$C89:$K89,1,FALSE))),"x",IF(NOT(ISERROR(HLOOKUP(Standings!BH$3,Entries!$L89:$L89,1,FALSE))),"S",""))</f>
        <v/>
      </c>
      <c r="BI101" t="str">
        <f>IF(NOT(ISERROR(HLOOKUP(Standings!BI$3,Entries!$C89:$K89,1,FALSE))),"x",IF(NOT(ISERROR(HLOOKUP(Standings!BI$3,Entries!$L89:$L89,1,FALSE))),"S",""))</f>
        <v/>
      </c>
      <c r="BJ101" t="str">
        <f>IF(NOT(ISERROR(HLOOKUP(Standings!BJ$3,Entries!$C89:$K89,1,FALSE))),"x",IF(NOT(ISERROR(HLOOKUP(Standings!BJ$3,Entries!$L89:$L89,1,FALSE))),"S",""))</f>
        <v/>
      </c>
      <c r="BK101" t="str">
        <f>IF(NOT(ISERROR(HLOOKUP(Standings!BK$3,Entries!$C89:$K89,1,FALSE))),"x",IF(NOT(ISERROR(HLOOKUP(Standings!BK$3,Entries!$L89:$L89,1,FALSE))),"S",""))</f>
        <v/>
      </c>
      <c r="BL101" t="str">
        <f>IF(NOT(ISERROR(HLOOKUP(Standings!BL$3,Entries!$C89:$K89,1,FALSE))),"x",IF(NOT(ISERROR(HLOOKUP(Standings!BL$3,Entries!$L89:$L89,1,FALSE))),"S",""))</f>
        <v>x</v>
      </c>
      <c r="BM101" t="str">
        <f>IF(NOT(ISERROR(HLOOKUP(Standings!BM$3,Entries!$C89:$K89,1,FALSE))),"x",IF(NOT(ISERROR(HLOOKUP(Standings!BM$3,Entries!$L89:$L89,1,FALSE))),"S",""))</f>
        <v/>
      </c>
      <c r="BN101" t="str">
        <f>IF(NOT(ISERROR(HLOOKUP(Standings!BN$3,Entries!$C89:$K89,1,FALSE))),"x",IF(NOT(ISERROR(HLOOKUP(Standings!BN$3,Entries!$L89:$L89,1,FALSE))),"S",""))</f>
        <v/>
      </c>
      <c r="BO101" t="str">
        <f>IF(NOT(ISERROR(HLOOKUP(Standings!BO$3,Entries!$C89:$K89,1,FALSE))),"x",IF(NOT(ISERROR(HLOOKUP(Standings!BO$3,Entries!$L89:$L89,1,FALSE))),"S",""))</f>
        <v/>
      </c>
      <c r="BP101" t="str">
        <f>IF(NOT(ISERROR(HLOOKUP(Standings!BP$3,Entries!$C89:$K89,1,FALSE))),"x",IF(NOT(ISERROR(HLOOKUP(Standings!BP$3,Entries!$L89:$L89,1,FALSE))),"S",""))</f>
        <v/>
      </c>
      <c r="BQ101" t="str">
        <f>IF(NOT(ISERROR(HLOOKUP(Standings!BQ$3,Entries!$C89:$K89,1,FALSE))),"x",IF(NOT(ISERROR(HLOOKUP(Standings!BQ$3,Entries!$L89:$L89,1,FALSE))),"S",""))</f>
        <v/>
      </c>
      <c r="BR101" t="str">
        <f>IF(NOT(ISERROR(HLOOKUP(Standings!BR$3,Entries!$C89:$K89,1,FALSE))),"x",IF(NOT(ISERROR(HLOOKUP(Standings!BR$3,Entries!$L89:$L89,1,FALSE))),"S",""))</f>
        <v/>
      </c>
      <c r="BS101" t="str">
        <f>IF(NOT(ISERROR(HLOOKUP(Standings!BS$3,Entries!$C89:$K89,1,FALSE))),"x",IF(NOT(ISERROR(HLOOKUP(Standings!BS$3,Entries!$L89:$L89,1,FALSE))),"S",""))</f>
        <v/>
      </c>
      <c r="BT101" t="str">
        <f>IF(NOT(ISERROR(HLOOKUP(Standings!BT$3,Entries!$C89:$K89,1,FALSE))),"x",IF(NOT(ISERROR(HLOOKUP(Standings!BT$3,Entries!$L89:$L89,1,FALSE))),"S",""))</f>
        <v/>
      </c>
      <c r="BU101" t="str">
        <f>IF(NOT(ISERROR(HLOOKUP(Standings!BU$3,Entries!$C89:$K89,1,FALSE))),"x",IF(NOT(ISERROR(HLOOKUP(Standings!BU$3,Entries!$L89:$L89,1,FALSE))),"S",""))</f>
        <v/>
      </c>
      <c r="BV101" t="str">
        <f>IF(NOT(ISERROR(HLOOKUP(Standings!BV$3,Entries!$C89:$K89,1,FALSE))),"x",IF(NOT(ISERROR(HLOOKUP(Standings!BV$3,Entries!$L89:$L89,1,FALSE))),"S",""))</f>
        <v/>
      </c>
      <c r="BW101" t="str">
        <f>IF(NOT(ISERROR(HLOOKUP(Standings!BW$3,Entries!$C89:$K89,1,FALSE))),"x",IF(NOT(ISERROR(HLOOKUP(Standings!BW$3,Entries!$L89:$L89,1,FALSE))),"S",""))</f>
        <v/>
      </c>
      <c r="BX101" t="str">
        <f>IF(NOT(ISERROR(HLOOKUP(Standings!BX$3,Entries!$C89:$K89,1,FALSE))),"x",IF(NOT(ISERROR(HLOOKUP(Standings!BX$3,Entries!$L89:$L89,1,FALSE))),"S",""))</f>
        <v/>
      </c>
      <c r="BY101" t="str">
        <f>IF(NOT(ISERROR(HLOOKUP(Standings!BY$3,Entries!$C89:$K89,1,FALSE))),"x",IF(NOT(ISERROR(HLOOKUP(Standings!BY$3,Entries!$L89:$L89,1,FALSE))),"S",""))</f>
        <v/>
      </c>
      <c r="BZ101" t="str">
        <f>IF(NOT(ISERROR(HLOOKUP(Standings!BZ$3,Entries!$C89:$K89,1,FALSE))),"x",IF(NOT(ISERROR(HLOOKUP(Standings!BZ$3,Entries!$L89:$L89,1,FALSE))),"S",""))</f>
        <v>x</v>
      </c>
      <c r="CA101" t="str">
        <f>IF(NOT(ISERROR(HLOOKUP(Standings!CA$3,Entries!$C89:$K89,1,FALSE))),"x",IF(NOT(ISERROR(HLOOKUP(Standings!CA$3,Entries!$L89:$L89,1,FALSE))),"S",""))</f>
        <v/>
      </c>
      <c r="CB101" t="str">
        <f>IF(NOT(ISERROR(HLOOKUP(Standings!CB$3,Entries!$C89:$K89,1,FALSE))),"x",IF(NOT(ISERROR(HLOOKUP(Standings!CB$3,Entries!$L89:$L89,1,FALSE))),"S",""))</f>
        <v>x</v>
      </c>
      <c r="CC101" t="str">
        <f>IF(NOT(ISERROR(HLOOKUP(Standings!CC$3,Entries!$C89:$K89,1,FALSE))),"x",IF(NOT(ISERROR(HLOOKUP(Standings!CC$3,Entries!$L89:$L89,1,FALSE))),"S",""))</f>
        <v/>
      </c>
      <c r="CD101" t="str">
        <f>IF(NOT(ISERROR(HLOOKUP(Standings!CD$3,Entries!$C89:$K89,1,FALSE))),"x",IF(NOT(ISERROR(HLOOKUP(Standings!CD$3,Entries!$L89:$L89,1,FALSE))),"S",""))</f>
        <v/>
      </c>
      <c r="CE101" t="str">
        <f>IF(NOT(ISERROR(HLOOKUP(Standings!CE$3,Entries!$C89:$K89,1,FALSE))),"x",IF(NOT(ISERROR(HLOOKUP(Standings!CE$3,Entries!$L89:$L89,1,FALSE))),"S",""))</f>
        <v>S</v>
      </c>
      <c r="CF101" t="str">
        <f>IF(NOT(ISERROR(HLOOKUP(Standings!CF$3,Entries!$C89:$K89,1,FALSE))),"x",IF(NOT(ISERROR(HLOOKUP(Standings!CF$3,Entries!$L89:$L89,1,FALSE))),"S",""))</f>
        <v/>
      </c>
      <c r="CG101" t="str">
        <f>IF(NOT(ISERROR(HLOOKUP(Standings!CG$3,Entries!$C89:$K89,1,FALSE))),"x",IF(NOT(ISERROR(HLOOKUP(Standings!CG$3,Entries!$L89:$L89,1,FALSE))),"S",""))</f>
        <v/>
      </c>
      <c r="CH101" t="str">
        <f>IF(NOT(ISERROR(HLOOKUP(Standings!CH$3,Entries!$C89:$K89,1,FALSE))),"x",IF(NOT(ISERROR(HLOOKUP(Standings!CH$3,Entries!$L89:$L89,1,FALSE))),"S",""))</f>
        <v/>
      </c>
      <c r="CI101" t="str">
        <f>IF(NOT(ISERROR(HLOOKUP(Standings!CI$3,Entries!$C89:$K89,1,FALSE))),"x",IF(NOT(ISERROR(HLOOKUP(Standings!CI$3,Entries!$L89:$L89,1,FALSE))),"S",""))</f>
        <v/>
      </c>
      <c r="CJ101" t="str">
        <f>IF(NOT(ISERROR(HLOOKUP(Standings!CJ$3,Entries!$C89:$K89,1,FALSE))),"x",IF(NOT(ISERROR(HLOOKUP(Standings!CJ$3,Entries!$L89:$L89,1,FALSE))),"S",""))</f>
        <v/>
      </c>
      <c r="CK101" t="str">
        <f>IF(NOT(ISERROR(HLOOKUP(Standings!CK$3,Entries!$C89:$K89,1,FALSE))),"x",IF(NOT(ISERROR(HLOOKUP(Standings!CK$3,Entries!$L89:$L89,1,FALSE))),"S",""))</f>
        <v/>
      </c>
      <c r="CL101" t="str">
        <f>IF(NOT(ISERROR(HLOOKUP(Standings!CL$3,Entries!$C89:$K89,1,FALSE))),"x",IF(NOT(ISERROR(HLOOKUP(Standings!CL$3,Entries!$L89:$L89,1,FALSE))),"S",""))</f>
        <v/>
      </c>
      <c r="CM101" t="str">
        <f>IF(NOT(ISERROR(HLOOKUP(Standings!CM$3,Entries!$C89:$K89,1,FALSE))),"x",IF(NOT(ISERROR(HLOOKUP(Standings!CM$3,Entries!$L89:$L89,1,FALSE))),"S",""))</f>
        <v/>
      </c>
      <c r="CN101" t="str">
        <f>IF(NOT(ISERROR(HLOOKUP(Standings!CN$3,Entries!$C89:$K89,1,FALSE))),"x",IF(NOT(ISERROR(HLOOKUP(Standings!CN$3,Entries!$L89:$L89,1,FALSE))),"S",""))</f>
        <v/>
      </c>
      <c r="CO101" t="str">
        <f>IF(NOT(ISERROR(HLOOKUP(Standings!CO$3,Entries!$C89:$K89,1,FALSE))),"x",IF(NOT(ISERROR(HLOOKUP(Standings!CO$3,Entries!$L89:$L89,1,FALSE))),"S",""))</f>
        <v/>
      </c>
      <c r="CP101" t="str">
        <f>IF(NOT(ISERROR(HLOOKUP(Standings!CP$3,Entries!$C89:$K89,1,FALSE))),"x",IF(NOT(ISERROR(HLOOKUP(Standings!CP$3,Entries!$L89:$L89,1,FALSE))),"S",""))</f>
        <v/>
      </c>
      <c r="CQ101" t="str">
        <f>IF(NOT(ISERROR(HLOOKUP(Standings!CQ$3,Entries!$C89:$K89,1,FALSE))),"x",IF(NOT(ISERROR(HLOOKUP(Standings!CQ$3,Entries!$L89:$L89,1,FALSE))),"S",""))</f>
        <v/>
      </c>
      <c r="CR101" t="str">
        <f>IF(NOT(ISERROR(HLOOKUP(Standings!CR$3,Entries!$C89:$K89,1,FALSE))),"x",IF(NOT(ISERROR(HLOOKUP(Standings!CR$3,Entries!$L89:$L89,1,FALSE))),"S",""))</f>
        <v/>
      </c>
      <c r="CS101" t="str">
        <f>IF(NOT(ISERROR(HLOOKUP(Standings!CS$3,Entries!$C89:$K89,1,FALSE))),"x",IF(NOT(ISERROR(HLOOKUP(Standings!CS$3,Entries!$L89:$L89,1,FALSE))),"S",""))</f>
        <v/>
      </c>
      <c r="CT101" t="str">
        <f>IF(NOT(ISERROR(HLOOKUP(Standings!CT$3,Entries!$C89:$K89,1,FALSE))),"x",IF(NOT(ISERROR(HLOOKUP(Standings!CT$3,Entries!$L89:$L89,1,FALSE))),"S",""))</f>
        <v/>
      </c>
      <c r="CU101" t="str">
        <f>IF(NOT(ISERROR(HLOOKUP(Standings!CU$3,Entries!$C89:$K89,1,FALSE))),"x",IF(NOT(ISERROR(HLOOKUP(Standings!CU$3,Entries!$L89:$L89,1,FALSE))),"S",""))</f>
        <v>x</v>
      </c>
      <c r="CV101" t="str">
        <f>IF(NOT(ISERROR(HLOOKUP(Standings!CV$3,Entries!$C89:$K89,1,FALSE))),"x",IF(NOT(ISERROR(HLOOKUP(Standings!CV$3,Entries!$L89:$L89,1,FALSE))),"S",""))</f>
        <v/>
      </c>
      <c r="CW101" t="str">
        <f>IF(NOT(ISERROR(HLOOKUP(Standings!CW$3,Entries!$C89:$K89,1,FALSE))),"x",IF(NOT(ISERROR(HLOOKUP(Standings!CW$3,Entries!$L89:$L89,1,FALSE))),"S",""))</f>
        <v>x</v>
      </c>
      <c r="CX101" t="str">
        <f>IF(NOT(ISERROR(HLOOKUP(Standings!CX$3,Entries!$C89:$K89,1,FALSE))),"x",IF(NOT(ISERROR(HLOOKUP(Standings!CX$3,Entries!$L89:$L89,1,FALSE))),"S",""))</f>
        <v/>
      </c>
      <c r="CY101" t="str">
        <f>IF(NOT(ISERROR(HLOOKUP(Standings!CY$3,Entries!$C89:$K89,1,FALSE))),"x",IF(NOT(ISERROR(HLOOKUP(Standings!CY$3,Entries!$L89:$L89,1,FALSE))),"S",""))</f>
        <v/>
      </c>
      <c r="CZ101" t="str">
        <f>IF(NOT(ISERROR(HLOOKUP(Standings!CZ$3,Entries!$C89:$K89,1,FALSE))),"x",IF(NOT(ISERROR(HLOOKUP(Standings!CZ$3,Entries!$L89:$L89,1,FALSE))),"S",""))</f>
        <v/>
      </c>
      <c r="DA101" t="str">
        <f>IF(NOT(ISERROR(HLOOKUP(Standings!DA$3,Entries!$C89:$K89,1,FALSE))),"x",IF(NOT(ISERROR(HLOOKUP(Standings!DA$3,Entries!$L89:$L89,1,FALSE))),"S",""))</f>
        <v/>
      </c>
      <c r="DB101" t="str">
        <f>IF(NOT(ISERROR(HLOOKUP(Standings!DB$3,Entries!$C89:$K89,1,FALSE))),"x",IF(NOT(ISERROR(HLOOKUP(Standings!DB$3,Entries!$L89:$L89,1,FALSE))),"S",""))</f>
        <v/>
      </c>
    </row>
    <row r="102" spans="1:106" x14ac:dyDescent="0.25">
      <c r="A102" s="18"/>
      <c r="B102">
        <v>26</v>
      </c>
      <c r="C102" t="str">
        <f>Entries!B90</f>
        <v>mynameisjeff</v>
      </c>
      <c r="D102" s="4">
        <f>IF(C102="","",RANK(E102,$E$10:$E$111))</f>
        <v>71</v>
      </c>
      <c r="E102" s="31">
        <f t="shared" si="149"/>
        <v>2</v>
      </c>
      <c r="F102" s="40" t="str">
        <f t="shared" si="150"/>
        <v/>
      </c>
      <c r="G102" s="41" t="str">
        <f t="shared" si="151"/>
        <v/>
      </c>
      <c r="H102" s="41" t="str">
        <f t="shared" si="152"/>
        <v/>
      </c>
      <c r="I102" s="42" t="str">
        <f t="shared" si="153"/>
        <v/>
      </c>
      <c r="J102" s="40" t="str">
        <f t="shared" si="154"/>
        <v/>
      </c>
      <c r="K102" s="41">
        <f t="shared" si="155"/>
        <v>1</v>
      </c>
      <c r="L102" s="41" t="str">
        <f t="shared" si="156"/>
        <v/>
      </c>
      <c r="M102" s="42" t="str">
        <f t="shared" si="157"/>
        <v/>
      </c>
      <c r="N102" s="43">
        <f t="shared" si="158"/>
        <v>1</v>
      </c>
      <c r="O102" s="41" t="str">
        <f t="shared" si="159"/>
        <v/>
      </c>
      <c r="P102" s="41" t="str">
        <f t="shared" si="160"/>
        <v/>
      </c>
      <c r="Q102" s="42" t="str">
        <f t="shared" si="161"/>
        <v/>
      </c>
      <c r="R102" s="40" t="str">
        <f t="shared" si="162"/>
        <v/>
      </c>
      <c r="S102" s="41" t="str">
        <f t="shared" si="163"/>
        <v/>
      </c>
      <c r="T102" s="43" t="str">
        <f t="shared" si="164"/>
        <v/>
      </c>
      <c r="U102" s="42" t="str">
        <f t="shared" si="165"/>
        <v/>
      </c>
      <c r="V102" s="40" t="str">
        <f t="shared" si="166"/>
        <v/>
      </c>
      <c r="W102" s="41" t="str">
        <f t="shared" si="167"/>
        <v/>
      </c>
      <c r="X102" s="41" t="str">
        <f t="shared" si="168"/>
        <v/>
      </c>
      <c r="Y102" s="42" t="str">
        <f t="shared" si="169"/>
        <v/>
      </c>
      <c r="Z102" s="40" t="str">
        <f t="shared" si="170"/>
        <v/>
      </c>
      <c r="AA102" s="41" t="str">
        <f t="shared" si="171"/>
        <v/>
      </c>
      <c r="AB102" s="41" t="str">
        <f t="shared" si="172"/>
        <v/>
      </c>
      <c r="AC102" s="42" t="str">
        <f t="shared" si="173"/>
        <v/>
      </c>
      <c r="AD102" s="40" t="str">
        <f t="shared" si="174"/>
        <v/>
      </c>
      <c r="AE102" s="41" t="str">
        <f t="shared" si="175"/>
        <v/>
      </c>
      <c r="AF102" s="41" t="str">
        <f t="shared" si="176"/>
        <v/>
      </c>
      <c r="AG102" s="42" t="str">
        <f t="shared" si="177"/>
        <v/>
      </c>
      <c r="AH102" s="40" t="str">
        <f t="shared" si="178"/>
        <v/>
      </c>
      <c r="AI102" s="41" t="str">
        <f t="shared" si="179"/>
        <v/>
      </c>
      <c r="AJ102" s="41" t="str">
        <f t="shared" si="180"/>
        <v/>
      </c>
      <c r="AK102" s="42" t="str">
        <f t="shared" si="181"/>
        <v/>
      </c>
      <c r="AL102" s="40" t="str">
        <f t="shared" si="182"/>
        <v/>
      </c>
      <c r="AM102" s="41" t="str">
        <f t="shared" si="183"/>
        <v/>
      </c>
      <c r="AN102" s="41">
        <f t="shared" si="184"/>
        <v>-1.0000000000000001E-5</v>
      </c>
      <c r="AO102" s="42" t="str">
        <f t="shared" si="185"/>
        <v/>
      </c>
      <c r="AP102" s="40" t="str">
        <f t="shared" si="186"/>
        <v/>
      </c>
      <c r="AQ102" s="41" t="str">
        <f t="shared" si="187"/>
        <v/>
      </c>
      <c r="AR102" s="41" t="str">
        <f t="shared" si="188"/>
        <v/>
      </c>
      <c r="AS102" s="42" t="str">
        <f t="shared" si="189"/>
        <v/>
      </c>
      <c r="AT102" s="40">
        <f t="shared" si="190"/>
        <v>0</v>
      </c>
      <c r="AU102" s="41" t="str">
        <f t="shared" si="191"/>
        <v/>
      </c>
      <c r="AV102" s="41" t="str">
        <f t="shared" si="192"/>
        <v/>
      </c>
      <c r="AW102" s="42" t="str">
        <f t="shared" si="193"/>
        <v/>
      </c>
      <c r="AX102" s="40" t="str">
        <f t="shared" si="194"/>
        <v/>
      </c>
      <c r="AY102" s="41" t="str">
        <f t="shared" si="195"/>
        <v/>
      </c>
      <c r="AZ102" s="41" t="str">
        <f t="shared" si="196"/>
        <v/>
      </c>
      <c r="BA102" s="42" t="str">
        <f t="shared" si="197"/>
        <v/>
      </c>
      <c r="BB102" s="37" t="s">
        <v>106</v>
      </c>
      <c r="BC102" s="21"/>
      <c r="BD102" s="21"/>
      <c r="BG102" t="str">
        <f>IF(NOT(ISERROR(HLOOKUP(Standings!BG$3,Entries!$C90:$K90,1,FALSE))),"x",IF(NOT(ISERROR(HLOOKUP(Standings!BG$3,Entries!$L90:$L90,1,FALSE))),"S",""))</f>
        <v/>
      </c>
      <c r="BH102" t="str">
        <f>IF(NOT(ISERROR(HLOOKUP(Standings!BH$3,Entries!$C90:$K90,1,FALSE))),"x",IF(NOT(ISERROR(HLOOKUP(Standings!BH$3,Entries!$L90:$L90,1,FALSE))),"S",""))</f>
        <v/>
      </c>
      <c r="BI102" t="str">
        <f>IF(NOT(ISERROR(HLOOKUP(Standings!BI$3,Entries!$C90:$K90,1,FALSE))),"x",IF(NOT(ISERROR(HLOOKUP(Standings!BI$3,Entries!$L90:$L90,1,FALSE))),"S",""))</f>
        <v/>
      </c>
      <c r="BJ102" t="str">
        <f>IF(NOT(ISERROR(HLOOKUP(Standings!BJ$3,Entries!$C90:$K90,1,FALSE))),"x",IF(NOT(ISERROR(HLOOKUP(Standings!BJ$3,Entries!$L90:$L90,1,FALSE))),"S",""))</f>
        <v/>
      </c>
      <c r="BK102" t="str">
        <f>IF(NOT(ISERROR(HLOOKUP(Standings!BK$3,Entries!$C90:$K90,1,FALSE))),"x",IF(NOT(ISERROR(HLOOKUP(Standings!BK$3,Entries!$L90:$L90,1,FALSE))),"S",""))</f>
        <v/>
      </c>
      <c r="BL102" t="str">
        <f>IF(NOT(ISERROR(HLOOKUP(Standings!BL$3,Entries!$C90:$K90,1,FALSE))),"x",IF(NOT(ISERROR(HLOOKUP(Standings!BL$3,Entries!$L90:$L90,1,FALSE))),"S",""))</f>
        <v>x</v>
      </c>
      <c r="BM102" t="str">
        <f>IF(NOT(ISERROR(HLOOKUP(Standings!BM$3,Entries!$C90:$K90,1,FALSE))),"x",IF(NOT(ISERROR(HLOOKUP(Standings!BM$3,Entries!$L90:$L90,1,FALSE))),"S",""))</f>
        <v/>
      </c>
      <c r="BN102" t="str">
        <f>IF(NOT(ISERROR(HLOOKUP(Standings!BN$3,Entries!$C90:$K90,1,FALSE))),"x",IF(NOT(ISERROR(HLOOKUP(Standings!BN$3,Entries!$L90:$L90,1,FALSE))),"S",""))</f>
        <v/>
      </c>
      <c r="BO102" t="str">
        <f>IF(NOT(ISERROR(HLOOKUP(Standings!BO$3,Entries!$C90:$K90,1,FALSE))),"x",IF(NOT(ISERROR(HLOOKUP(Standings!BO$3,Entries!$L90:$L90,1,FALSE))),"S",""))</f>
        <v>x</v>
      </c>
      <c r="BP102" t="str">
        <f>IF(NOT(ISERROR(HLOOKUP(Standings!BP$3,Entries!$C90:$K90,1,FALSE))),"x",IF(NOT(ISERROR(HLOOKUP(Standings!BP$3,Entries!$L90:$L90,1,FALSE))),"S",""))</f>
        <v/>
      </c>
      <c r="BQ102" t="str">
        <f>IF(NOT(ISERROR(HLOOKUP(Standings!BQ$3,Entries!$C90:$K90,1,FALSE))),"x",IF(NOT(ISERROR(HLOOKUP(Standings!BQ$3,Entries!$L90:$L90,1,FALSE))),"S",""))</f>
        <v/>
      </c>
      <c r="BR102" t="str">
        <f>IF(NOT(ISERROR(HLOOKUP(Standings!BR$3,Entries!$C90:$K90,1,FALSE))),"x",IF(NOT(ISERROR(HLOOKUP(Standings!BR$3,Entries!$L90:$L90,1,FALSE))),"S",""))</f>
        <v/>
      </c>
      <c r="BS102" t="str">
        <f>IF(NOT(ISERROR(HLOOKUP(Standings!BS$3,Entries!$C90:$K90,1,FALSE))),"x",IF(NOT(ISERROR(HLOOKUP(Standings!BS$3,Entries!$L90:$L90,1,FALSE))),"S",""))</f>
        <v/>
      </c>
      <c r="BT102" t="str">
        <f>IF(NOT(ISERROR(HLOOKUP(Standings!BT$3,Entries!$C90:$K90,1,FALSE))),"x",IF(NOT(ISERROR(HLOOKUP(Standings!BT$3,Entries!$L90:$L90,1,FALSE))),"S",""))</f>
        <v/>
      </c>
      <c r="BU102" t="str">
        <f>IF(NOT(ISERROR(HLOOKUP(Standings!BU$3,Entries!$C90:$K90,1,FALSE))),"x",IF(NOT(ISERROR(HLOOKUP(Standings!BU$3,Entries!$L90:$L90,1,FALSE))),"S",""))</f>
        <v/>
      </c>
      <c r="BV102" t="str">
        <f>IF(NOT(ISERROR(HLOOKUP(Standings!BV$3,Entries!$C90:$K90,1,FALSE))),"x",IF(NOT(ISERROR(HLOOKUP(Standings!BV$3,Entries!$L90:$L90,1,FALSE))),"S",""))</f>
        <v/>
      </c>
      <c r="BW102" t="str">
        <f>IF(NOT(ISERROR(HLOOKUP(Standings!BW$3,Entries!$C90:$K90,1,FALSE))),"x",IF(NOT(ISERROR(HLOOKUP(Standings!BW$3,Entries!$L90:$L90,1,FALSE))),"S",""))</f>
        <v/>
      </c>
      <c r="BX102" t="str">
        <f>IF(NOT(ISERROR(HLOOKUP(Standings!BX$3,Entries!$C90:$K90,1,FALSE))),"x",IF(NOT(ISERROR(HLOOKUP(Standings!BX$3,Entries!$L90:$L90,1,FALSE))),"S",""))</f>
        <v/>
      </c>
      <c r="BY102" t="str">
        <f>IF(NOT(ISERROR(HLOOKUP(Standings!BY$3,Entries!$C90:$K90,1,FALSE))),"x",IF(NOT(ISERROR(HLOOKUP(Standings!BY$3,Entries!$L90:$L90,1,FALSE))),"S",""))</f>
        <v/>
      </c>
      <c r="BZ102" t="str">
        <f>IF(NOT(ISERROR(HLOOKUP(Standings!BZ$3,Entries!$C90:$K90,1,FALSE))),"x",IF(NOT(ISERROR(HLOOKUP(Standings!BZ$3,Entries!$L90:$L90,1,FALSE))),"S",""))</f>
        <v/>
      </c>
      <c r="CA102" t="str">
        <f>IF(NOT(ISERROR(HLOOKUP(Standings!CA$3,Entries!$C90:$K90,1,FALSE))),"x",IF(NOT(ISERROR(HLOOKUP(Standings!CA$3,Entries!$L90:$L90,1,FALSE))),"S",""))</f>
        <v/>
      </c>
      <c r="CB102" t="str">
        <f>IF(NOT(ISERROR(HLOOKUP(Standings!CB$3,Entries!$C90:$K90,1,FALSE))),"x",IF(NOT(ISERROR(HLOOKUP(Standings!CB$3,Entries!$L90:$L90,1,FALSE))),"S",""))</f>
        <v/>
      </c>
      <c r="CC102" t="str">
        <f>IF(NOT(ISERROR(HLOOKUP(Standings!CC$3,Entries!$C90:$K90,1,FALSE))),"x",IF(NOT(ISERROR(HLOOKUP(Standings!CC$3,Entries!$L90:$L90,1,FALSE))),"S",""))</f>
        <v/>
      </c>
      <c r="CD102" t="str">
        <f>IF(NOT(ISERROR(HLOOKUP(Standings!CD$3,Entries!$C90:$K90,1,FALSE))),"x",IF(NOT(ISERROR(HLOOKUP(Standings!CD$3,Entries!$L90:$L90,1,FALSE))),"S",""))</f>
        <v/>
      </c>
      <c r="CE102" t="str">
        <f>IF(NOT(ISERROR(HLOOKUP(Standings!CE$3,Entries!$C90:$K90,1,FALSE))),"x",IF(NOT(ISERROR(HLOOKUP(Standings!CE$3,Entries!$L90:$L90,1,FALSE))),"S",""))</f>
        <v/>
      </c>
      <c r="CF102" t="str">
        <f>IF(NOT(ISERROR(HLOOKUP(Standings!CF$3,Entries!$C90:$K90,1,FALSE))),"x",IF(NOT(ISERROR(HLOOKUP(Standings!CF$3,Entries!$L90:$L90,1,FALSE))),"S",""))</f>
        <v/>
      </c>
      <c r="CG102" t="str">
        <f>IF(NOT(ISERROR(HLOOKUP(Standings!CG$3,Entries!$C90:$K90,1,FALSE))),"x",IF(NOT(ISERROR(HLOOKUP(Standings!CG$3,Entries!$L90:$L90,1,FALSE))),"S",""))</f>
        <v/>
      </c>
      <c r="CH102" t="str">
        <f>IF(NOT(ISERROR(HLOOKUP(Standings!CH$3,Entries!$C90:$K90,1,FALSE))),"x",IF(NOT(ISERROR(HLOOKUP(Standings!CH$3,Entries!$L90:$L90,1,FALSE))),"S",""))</f>
        <v/>
      </c>
      <c r="CI102" t="str">
        <f>IF(NOT(ISERROR(HLOOKUP(Standings!CI$3,Entries!$C90:$K90,1,FALSE))),"x",IF(NOT(ISERROR(HLOOKUP(Standings!CI$3,Entries!$L90:$L90,1,FALSE))),"S",""))</f>
        <v/>
      </c>
      <c r="CJ102" t="str">
        <f>IF(NOT(ISERROR(HLOOKUP(Standings!CJ$3,Entries!$C90:$K90,1,FALSE))),"x",IF(NOT(ISERROR(HLOOKUP(Standings!CJ$3,Entries!$L90:$L90,1,FALSE))),"S",""))</f>
        <v/>
      </c>
      <c r="CK102" t="str">
        <f>IF(NOT(ISERROR(HLOOKUP(Standings!CK$3,Entries!$C90:$K90,1,FALSE))),"x",IF(NOT(ISERROR(HLOOKUP(Standings!CK$3,Entries!$L90:$L90,1,FALSE))),"S",""))</f>
        <v/>
      </c>
      <c r="CL102" t="str">
        <f>IF(NOT(ISERROR(HLOOKUP(Standings!CL$3,Entries!$C90:$K90,1,FALSE))),"x",IF(NOT(ISERROR(HLOOKUP(Standings!CL$3,Entries!$L90:$L90,1,FALSE))),"S",""))</f>
        <v/>
      </c>
      <c r="CM102" t="str">
        <f>IF(NOT(ISERROR(HLOOKUP(Standings!CM$3,Entries!$C90:$K90,1,FALSE))),"x",IF(NOT(ISERROR(HLOOKUP(Standings!CM$3,Entries!$L90:$L90,1,FALSE))),"S",""))</f>
        <v/>
      </c>
      <c r="CN102" t="str">
        <f>IF(NOT(ISERROR(HLOOKUP(Standings!CN$3,Entries!$C90:$K90,1,FALSE))),"x",IF(NOT(ISERROR(HLOOKUP(Standings!CN$3,Entries!$L90:$L90,1,FALSE))),"S",""))</f>
        <v/>
      </c>
      <c r="CO102" t="str">
        <f>IF(NOT(ISERROR(HLOOKUP(Standings!CO$3,Entries!$C90:$K90,1,FALSE))),"x",IF(NOT(ISERROR(HLOOKUP(Standings!CO$3,Entries!$L90:$L90,1,FALSE))),"S",""))</f>
        <v>S</v>
      </c>
      <c r="CP102" t="str">
        <f>IF(NOT(ISERROR(HLOOKUP(Standings!CP$3,Entries!$C90:$K90,1,FALSE))),"x",IF(NOT(ISERROR(HLOOKUP(Standings!CP$3,Entries!$L90:$L90,1,FALSE))),"S",""))</f>
        <v/>
      </c>
      <c r="CQ102" t="str">
        <f>IF(NOT(ISERROR(HLOOKUP(Standings!CQ$3,Entries!$C90:$K90,1,FALSE))),"x",IF(NOT(ISERROR(HLOOKUP(Standings!CQ$3,Entries!$L90:$L90,1,FALSE))),"S",""))</f>
        <v/>
      </c>
      <c r="CR102" t="str">
        <f>IF(NOT(ISERROR(HLOOKUP(Standings!CR$3,Entries!$C90:$K90,1,FALSE))),"x",IF(NOT(ISERROR(HLOOKUP(Standings!CR$3,Entries!$L90:$L90,1,FALSE))),"S",""))</f>
        <v/>
      </c>
      <c r="CS102" t="str">
        <f>IF(NOT(ISERROR(HLOOKUP(Standings!CS$3,Entries!$C90:$K90,1,FALSE))),"x",IF(NOT(ISERROR(HLOOKUP(Standings!CS$3,Entries!$L90:$L90,1,FALSE))),"S",""))</f>
        <v/>
      </c>
      <c r="CT102" t="str">
        <f>IF(NOT(ISERROR(HLOOKUP(Standings!CT$3,Entries!$C90:$K90,1,FALSE))),"x",IF(NOT(ISERROR(HLOOKUP(Standings!CT$3,Entries!$L90:$L90,1,FALSE))),"S",""))</f>
        <v/>
      </c>
      <c r="CU102" t="str">
        <f>IF(NOT(ISERROR(HLOOKUP(Standings!CU$3,Entries!$C90:$K90,1,FALSE))),"x",IF(NOT(ISERROR(HLOOKUP(Standings!CU$3,Entries!$L90:$L90,1,FALSE))),"S",""))</f>
        <v>x</v>
      </c>
      <c r="CV102" t="str">
        <f>IF(NOT(ISERROR(HLOOKUP(Standings!CV$3,Entries!$C90:$K90,1,FALSE))),"x",IF(NOT(ISERROR(HLOOKUP(Standings!CV$3,Entries!$L90:$L90,1,FALSE))),"S",""))</f>
        <v/>
      </c>
      <c r="CW102" t="str">
        <f>IF(NOT(ISERROR(HLOOKUP(Standings!CW$3,Entries!$C90:$K90,1,FALSE))),"x",IF(NOT(ISERROR(HLOOKUP(Standings!CW$3,Entries!$L90:$L90,1,FALSE))),"S",""))</f>
        <v/>
      </c>
      <c r="CX102" t="str">
        <f>IF(NOT(ISERROR(HLOOKUP(Standings!CX$3,Entries!$C90:$K90,1,FALSE))),"x",IF(NOT(ISERROR(HLOOKUP(Standings!CX$3,Entries!$L90:$L90,1,FALSE))),"S",""))</f>
        <v/>
      </c>
      <c r="CY102" t="str">
        <f>IF(NOT(ISERROR(HLOOKUP(Standings!CY$3,Entries!$C90:$K90,1,FALSE))),"x",IF(NOT(ISERROR(HLOOKUP(Standings!CY$3,Entries!$L90:$L90,1,FALSE))),"S",""))</f>
        <v/>
      </c>
      <c r="CZ102" t="str">
        <f>IF(NOT(ISERROR(HLOOKUP(Standings!CZ$3,Entries!$C90:$K90,1,FALSE))),"x",IF(NOT(ISERROR(HLOOKUP(Standings!CZ$3,Entries!$L90:$L90,1,FALSE))),"S",""))</f>
        <v/>
      </c>
      <c r="DA102" t="str">
        <f>IF(NOT(ISERROR(HLOOKUP(Standings!DA$3,Entries!$C90:$K90,1,FALSE))),"x",IF(NOT(ISERROR(HLOOKUP(Standings!DA$3,Entries!$L90:$L90,1,FALSE))),"S",""))</f>
        <v/>
      </c>
      <c r="DB102" t="str">
        <f>IF(NOT(ISERROR(HLOOKUP(Standings!DB$3,Entries!$C90:$K90,1,FALSE))),"x",IF(NOT(ISERROR(HLOOKUP(Standings!DB$3,Entries!$L90:$L90,1,FALSE))),"S",""))</f>
        <v/>
      </c>
    </row>
    <row r="103" spans="1:106" x14ac:dyDescent="0.25">
      <c r="A103" s="18"/>
      <c r="B103">
        <v>26</v>
      </c>
      <c r="C103" t="str">
        <f>Entries!B92</f>
        <v>Vin - 1</v>
      </c>
      <c r="D103" s="4">
        <f>IF(C103="","",RANK(E103,$E$10:$E$111))</f>
        <v>55</v>
      </c>
      <c r="E103" s="31">
        <f t="shared" si="149"/>
        <v>3</v>
      </c>
      <c r="F103" s="40" t="str">
        <f t="shared" si="150"/>
        <v/>
      </c>
      <c r="G103" s="41" t="str">
        <f t="shared" si="151"/>
        <v/>
      </c>
      <c r="H103" s="41" t="str">
        <f t="shared" si="152"/>
        <v/>
      </c>
      <c r="I103" s="42" t="str">
        <f t="shared" si="153"/>
        <v/>
      </c>
      <c r="J103" s="40" t="str">
        <f t="shared" si="154"/>
        <v/>
      </c>
      <c r="K103" s="41">
        <f t="shared" si="155"/>
        <v>1</v>
      </c>
      <c r="L103" s="41" t="str">
        <f t="shared" si="156"/>
        <v/>
      </c>
      <c r="M103" s="42" t="str">
        <f t="shared" si="157"/>
        <v/>
      </c>
      <c r="N103" s="43" t="str">
        <f t="shared" si="158"/>
        <v/>
      </c>
      <c r="O103" s="41">
        <f t="shared" si="159"/>
        <v>1</v>
      </c>
      <c r="P103" s="41" t="str">
        <f t="shared" si="160"/>
        <v/>
      </c>
      <c r="Q103" s="42" t="str">
        <f t="shared" si="161"/>
        <v/>
      </c>
      <c r="R103" s="40" t="str">
        <f t="shared" si="162"/>
        <v/>
      </c>
      <c r="S103" s="41" t="str">
        <f t="shared" si="163"/>
        <v/>
      </c>
      <c r="T103" s="43" t="str">
        <f t="shared" si="164"/>
        <v/>
      </c>
      <c r="U103" s="42">
        <f t="shared" si="165"/>
        <v>0</v>
      </c>
      <c r="V103" s="40" t="str">
        <f t="shared" si="166"/>
        <v/>
      </c>
      <c r="W103" s="41" t="str">
        <f t="shared" si="167"/>
        <v/>
      </c>
      <c r="X103" s="41" t="str">
        <f t="shared" si="168"/>
        <v/>
      </c>
      <c r="Y103" s="42" t="str">
        <f t="shared" si="169"/>
        <v/>
      </c>
      <c r="Z103" s="40" t="str">
        <f t="shared" si="170"/>
        <v/>
      </c>
      <c r="AA103" s="41">
        <f t="shared" si="171"/>
        <v>1</v>
      </c>
      <c r="AB103" s="41" t="str">
        <f t="shared" si="172"/>
        <v/>
      </c>
      <c r="AC103" s="42" t="str">
        <f t="shared" si="173"/>
        <v/>
      </c>
      <c r="AD103" s="40" t="str">
        <f t="shared" si="174"/>
        <v/>
      </c>
      <c r="AE103" s="41" t="str">
        <f t="shared" si="175"/>
        <v/>
      </c>
      <c r="AF103" s="41" t="str">
        <f t="shared" si="176"/>
        <v/>
      </c>
      <c r="AG103" s="42" t="str">
        <f t="shared" si="177"/>
        <v/>
      </c>
      <c r="AH103" s="40" t="str">
        <f t="shared" si="178"/>
        <v/>
      </c>
      <c r="AI103" s="41" t="str">
        <f t="shared" si="179"/>
        <v/>
      </c>
      <c r="AJ103" s="41" t="str">
        <f t="shared" si="180"/>
        <v/>
      </c>
      <c r="AK103" s="42" t="str">
        <f t="shared" si="181"/>
        <v/>
      </c>
      <c r="AL103" s="40" t="str">
        <f t="shared" si="182"/>
        <v/>
      </c>
      <c r="AM103" s="41">
        <f t="shared" si="183"/>
        <v>-1.0000000000000001E-5</v>
      </c>
      <c r="AN103" s="41" t="str">
        <f t="shared" si="184"/>
        <v/>
      </c>
      <c r="AO103" s="42" t="str">
        <f t="shared" si="185"/>
        <v/>
      </c>
      <c r="AP103" s="40" t="str">
        <f t="shared" si="186"/>
        <v/>
      </c>
      <c r="AQ103" s="41" t="str">
        <f t="shared" si="187"/>
        <v/>
      </c>
      <c r="AR103" s="41" t="str">
        <f t="shared" si="188"/>
        <v/>
      </c>
      <c r="AS103" s="42" t="str">
        <f t="shared" si="189"/>
        <v/>
      </c>
      <c r="AT103" s="40" t="str">
        <f t="shared" si="190"/>
        <v/>
      </c>
      <c r="AU103" s="41" t="str">
        <f t="shared" si="191"/>
        <v/>
      </c>
      <c r="AV103" s="41">
        <f t="shared" si="192"/>
        <v>0</v>
      </c>
      <c r="AW103" s="42" t="str">
        <f t="shared" si="193"/>
        <v/>
      </c>
      <c r="AX103" s="40" t="str">
        <f t="shared" si="194"/>
        <v/>
      </c>
      <c r="AY103" s="41" t="str">
        <f t="shared" si="195"/>
        <v/>
      </c>
      <c r="AZ103" s="41" t="str">
        <f t="shared" si="196"/>
        <v/>
      </c>
      <c r="BA103" s="42" t="str">
        <f t="shared" si="197"/>
        <v/>
      </c>
      <c r="BB103" s="37" t="s">
        <v>106</v>
      </c>
      <c r="BC103" s="21"/>
      <c r="BD103" s="21"/>
      <c r="BG103" t="str">
        <f>IF(NOT(ISERROR(HLOOKUP(Standings!BG$3,Entries!$C92:$K92,1,FALSE))),"x",IF(NOT(ISERROR(HLOOKUP(Standings!BG$3,Entries!$L92:$L92,1,FALSE))),"S",""))</f>
        <v/>
      </c>
      <c r="BH103" t="str">
        <f>IF(NOT(ISERROR(HLOOKUP(Standings!BH$3,Entries!$C92:$K92,1,FALSE))),"x",IF(NOT(ISERROR(HLOOKUP(Standings!BH$3,Entries!$L92:$L92,1,FALSE))),"S",""))</f>
        <v/>
      </c>
      <c r="BI103" t="str">
        <f>IF(NOT(ISERROR(HLOOKUP(Standings!BI$3,Entries!$C92:$K92,1,FALSE))),"x",IF(NOT(ISERROR(HLOOKUP(Standings!BI$3,Entries!$L92:$L92,1,FALSE))),"S",""))</f>
        <v/>
      </c>
      <c r="BJ103" t="str">
        <f>IF(NOT(ISERROR(HLOOKUP(Standings!BJ$3,Entries!$C92:$K92,1,FALSE))),"x",IF(NOT(ISERROR(HLOOKUP(Standings!BJ$3,Entries!$L92:$L92,1,FALSE))),"S",""))</f>
        <v/>
      </c>
      <c r="BK103" t="str">
        <f>IF(NOT(ISERROR(HLOOKUP(Standings!BK$3,Entries!$C92:$K92,1,FALSE))),"x",IF(NOT(ISERROR(HLOOKUP(Standings!BK$3,Entries!$L92:$L92,1,FALSE))),"S",""))</f>
        <v/>
      </c>
      <c r="BL103" t="str">
        <f>IF(NOT(ISERROR(HLOOKUP(Standings!BL$3,Entries!$C92:$K92,1,FALSE))),"x",IF(NOT(ISERROR(HLOOKUP(Standings!BL$3,Entries!$L92:$L92,1,FALSE))),"S",""))</f>
        <v>x</v>
      </c>
      <c r="BM103" t="str">
        <f>IF(NOT(ISERROR(HLOOKUP(Standings!BM$3,Entries!$C92:$K92,1,FALSE))),"x",IF(NOT(ISERROR(HLOOKUP(Standings!BM$3,Entries!$L92:$L92,1,FALSE))),"S",""))</f>
        <v/>
      </c>
      <c r="BN103" t="str">
        <f>IF(NOT(ISERROR(HLOOKUP(Standings!BN$3,Entries!$C92:$K92,1,FALSE))),"x",IF(NOT(ISERROR(HLOOKUP(Standings!BN$3,Entries!$L92:$L92,1,FALSE))),"S",""))</f>
        <v/>
      </c>
      <c r="BO103" t="str">
        <f>IF(NOT(ISERROR(HLOOKUP(Standings!BO$3,Entries!$C92:$K92,1,FALSE))),"x",IF(NOT(ISERROR(HLOOKUP(Standings!BO$3,Entries!$L92:$L92,1,FALSE))),"S",""))</f>
        <v/>
      </c>
      <c r="BP103" t="str">
        <f>IF(NOT(ISERROR(HLOOKUP(Standings!BP$3,Entries!$C92:$K92,1,FALSE))),"x",IF(NOT(ISERROR(HLOOKUP(Standings!BP$3,Entries!$L92:$L92,1,FALSE))),"S",""))</f>
        <v>x</v>
      </c>
      <c r="BQ103" t="str">
        <f>IF(NOT(ISERROR(HLOOKUP(Standings!BQ$3,Entries!$C92:$K92,1,FALSE))),"x",IF(NOT(ISERROR(HLOOKUP(Standings!BQ$3,Entries!$L92:$L92,1,FALSE))),"S",""))</f>
        <v/>
      </c>
      <c r="BR103" t="str">
        <f>IF(NOT(ISERROR(HLOOKUP(Standings!BR$3,Entries!$C92:$K92,1,FALSE))),"x",IF(NOT(ISERROR(HLOOKUP(Standings!BR$3,Entries!$L92:$L92,1,FALSE))),"S",""))</f>
        <v/>
      </c>
      <c r="BS103" t="str">
        <f>IF(NOT(ISERROR(HLOOKUP(Standings!BS$3,Entries!$C92:$K92,1,FALSE))),"x",IF(NOT(ISERROR(HLOOKUP(Standings!BS$3,Entries!$L92:$L92,1,FALSE))),"S",""))</f>
        <v/>
      </c>
      <c r="BT103" t="str">
        <f>IF(NOT(ISERROR(HLOOKUP(Standings!BT$3,Entries!$C92:$K92,1,FALSE))),"x",IF(NOT(ISERROR(HLOOKUP(Standings!BT$3,Entries!$L92:$L92,1,FALSE))),"S",""))</f>
        <v/>
      </c>
      <c r="BU103" t="str">
        <f>IF(NOT(ISERROR(HLOOKUP(Standings!BU$3,Entries!$C92:$K92,1,FALSE))),"x",IF(NOT(ISERROR(HLOOKUP(Standings!BU$3,Entries!$L92:$L92,1,FALSE))),"S",""))</f>
        <v/>
      </c>
      <c r="BV103" t="str">
        <f>IF(NOT(ISERROR(HLOOKUP(Standings!BV$3,Entries!$C92:$K92,1,FALSE))),"x",IF(NOT(ISERROR(HLOOKUP(Standings!BV$3,Entries!$L92:$L92,1,FALSE))),"S",""))</f>
        <v>x</v>
      </c>
      <c r="BW103" t="str">
        <f>IF(NOT(ISERROR(HLOOKUP(Standings!BW$3,Entries!$C92:$K92,1,FALSE))),"x",IF(NOT(ISERROR(HLOOKUP(Standings!BW$3,Entries!$L92:$L92,1,FALSE))),"S",""))</f>
        <v/>
      </c>
      <c r="BX103" t="str">
        <f>IF(NOT(ISERROR(HLOOKUP(Standings!BX$3,Entries!$C92:$K92,1,FALSE))),"x",IF(NOT(ISERROR(HLOOKUP(Standings!BX$3,Entries!$L92:$L92,1,FALSE))),"S",""))</f>
        <v/>
      </c>
      <c r="BY103" t="str">
        <f>IF(NOT(ISERROR(HLOOKUP(Standings!BY$3,Entries!$C92:$K92,1,FALSE))),"x",IF(NOT(ISERROR(HLOOKUP(Standings!BY$3,Entries!$L92:$L92,1,FALSE))),"S",""))</f>
        <v/>
      </c>
      <c r="BZ103" t="str">
        <f>IF(NOT(ISERROR(HLOOKUP(Standings!BZ$3,Entries!$C92:$K92,1,FALSE))),"x",IF(NOT(ISERROR(HLOOKUP(Standings!BZ$3,Entries!$L92:$L92,1,FALSE))),"S",""))</f>
        <v/>
      </c>
      <c r="CA103" t="str">
        <f>IF(NOT(ISERROR(HLOOKUP(Standings!CA$3,Entries!$C92:$K92,1,FALSE))),"x",IF(NOT(ISERROR(HLOOKUP(Standings!CA$3,Entries!$L92:$L92,1,FALSE))),"S",""))</f>
        <v/>
      </c>
      <c r="CB103" t="str">
        <f>IF(NOT(ISERROR(HLOOKUP(Standings!CB$3,Entries!$C92:$K92,1,FALSE))),"x",IF(NOT(ISERROR(HLOOKUP(Standings!CB$3,Entries!$L92:$L92,1,FALSE))),"S",""))</f>
        <v>x</v>
      </c>
      <c r="CC103" t="str">
        <f>IF(NOT(ISERROR(HLOOKUP(Standings!CC$3,Entries!$C92:$K92,1,FALSE))),"x",IF(NOT(ISERROR(HLOOKUP(Standings!CC$3,Entries!$L92:$L92,1,FALSE))),"S",""))</f>
        <v/>
      </c>
      <c r="CD103" t="str">
        <f>IF(NOT(ISERROR(HLOOKUP(Standings!CD$3,Entries!$C92:$K92,1,FALSE))),"x",IF(NOT(ISERROR(HLOOKUP(Standings!CD$3,Entries!$L92:$L92,1,FALSE))),"S",""))</f>
        <v/>
      </c>
      <c r="CE103" t="str">
        <f>IF(NOT(ISERROR(HLOOKUP(Standings!CE$3,Entries!$C92:$K92,1,FALSE))),"x",IF(NOT(ISERROR(HLOOKUP(Standings!CE$3,Entries!$L92:$L92,1,FALSE))),"S",""))</f>
        <v/>
      </c>
      <c r="CF103" t="str">
        <f>IF(NOT(ISERROR(HLOOKUP(Standings!CF$3,Entries!$C92:$K92,1,FALSE))),"x",IF(NOT(ISERROR(HLOOKUP(Standings!CF$3,Entries!$L92:$L92,1,FALSE))),"S",""))</f>
        <v/>
      </c>
      <c r="CG103" t="str">
        <f>IF(NOT(ISERROR(HLOOKUP(Standings!CG$3,Entries!$C92:$K92,1,FALSE))),"x",IF(NOT(ISERROR(HLOOKUP(Standings!CG$3,Entries!$L92:$L92,1,FALSE))),"S",""))</f>
        <v/>
      </c>
      <c r="CH103" t="str">
        <f>IF(NOT(ISERROR(HLOOKUP(Standings!CH$3,Entries!$C92:$K92,1,FALSE))),"x",IF(NOT(ISERROR(HLOOKUP(Standings!CH$3,Entries!$L92:$L92,1,FALSE))),"S",""))</f>
        <v/>
      </c>
      <c r="CI103" t="str">
        <f>IF(NOT(ISERROR(HLOOKUP(Standings!CI$3,Entries!$C92:$K92,1,FALSE))),"x",IF(NOT(ISERROR(HLOOKUP(Standings!CI$3,Entries!$L92:$L92,1,FALSE))),"S",""))</f>
        <v/>
      </c>
      <c r="CJ103" t="str">
        <f>IF(NOT(ISERROR(HLOOKUP(Standings!CJ$3,Entries!$C92:$K92,1,FALSE))),"x",IF(NOT(ISERROR(HLOOKUP(Standings!CJ$3,Entries!$L92:$L92,1,FALSE))),"S",""))</f>
        <v/>
      </c>
      <c r="CK103" t="str">
        <f>IF(NOT(ISERROR(HLOOKUP(Standings!CK$3,Entries!$C92:$K92,1,FALSE))),"x",IF(NOT(ISERROR(HLOOKUP(Standings!CK$3,Entries!$L92:$L92,1,FALSE))),"S",""))</f>
        <v/>
      </c>
      <c r="CL103" t="str">
        <f>IF(NOT(ISERROR(HLOOKUP(Standings!CL$3,Entries!$C92:$K92,1,FALSE))),"x",IF(NOT(ISERROR(HLOOKUP(Standings!CL$3,Entries!$L92:$L92,1,FALSE))),"S",""))</f>
        <v/>
      </c>
      <c r="CM103" t="str">
        <f>IF(NOT(ISERROR(HLOOKUP(Standings!CM$3,Entries!$C92:$K92,1,FALSE))),"x",IF(NOT(ISERROR(HLOOKUP(Standings!CM$3,Entries!$L92:$L92,1,FALSE))),"S",""))</f>
        <v/>
      </c>
      <c r="CN103" t="str">
        <f>IF(NOT(ISERROR(HLOOKUP(Standings!CN$3,Entries!$C92:$K92,1,FALSE))),"x",IF(NOT(ISERROR(HLOOKUP(Standings!CN$3,Entries!$L92:$L92,1,FALSE))),"S",""))</f>
        <v>S</v>
      </c>
      <c r="CO103" t="str">
        <f>IF(NOT(ISERROR(HLOOKUP(Standings!CO$3,Entries!$C92:$K92,1,FALSE))),"x",IF(NOT(ISERROR(HLOOKUP(Standings!CO$3,Entries!$L92:$L92,1,FALSE))),"S",""))</f>
        <v/>
      </c>
      <c r="CP103" t="str">
        <f>IF(NOT(ISERROR(HLOOKUP(Standings!CP$3,Entries!$C92:$K92,1,FALSE))),"x",IF(NOT(ISERROR(HLOOKUP(Standings!CP$3,Entries!$L92:$L92,1,FALSE))),"S",""))</f>
        <v/>
      </c>
      <c r="CQ103" t="str">
        <f>IF(NOT(ISERROR(HLOOKUP(Standings!CQ$3,Entries!$C92:$K92,1,FALSE))),"x",IF(NOT(ISERROR(HLOOKUP(Standings!CQ$3,Entries!$L92:$L92,1,FALSE))),"S",""))</f>
        <v/>
      </c>
      <c r="CR103" t="str">
        <f>IF(NOT(ISERROR(HLOOKUP(Standings!CR$3,Entries!$C92:$K92,1,FALSE))),"x",IF(NOT(ISERROR(HLOOKUP(Standings!CR$3,Entries!$L92:$L92,1,FALSE))),"S",""))</f>
        <v/>
      </c>
      <c r="CS103" t="str">
        <f>IF(NOT(ISERROR(HLOOKUP(Standings!CS$3,Entries!$C92:$K92,1,FALSE))),"x",IF(NOT(ISERROR(HLOOKUP(Standings!CS$3,Entries!$L92:$L92,1,FALSE))),"S",""))</f>
        <v/>
      </c>
      <c r="CT103" t="str">
        <f>IF(NOT(ISERROR(HLOOKUP(Standings!CT$3,Entries!$C92:$K92,1,FALSE))),"x",IF(NOT(ISERROR(HLOOKUP(Standings!CT$3,Entries!$L92:$L92,1,FALSE))),"S",""))</f>
        <v/>
      </c>
      <c r="CU103" t="str">
        <f>IF(NOT(ISERROR(HLOOKUP(Standings!CU$3,Entries!$C92:$K92,1,FALSE))),"x",IF(NOT(ISERROR(HLOOKUP(Standings!CU$3,Entries!$L92:$L92,1,FALSE))),"S",""))</f>
        <v/>
      </c>
      <c r="CV103" t="str">
        <f>IF(NOT(ISERROR(HLOOKUP(Standings!CV$3,Entries!$C92:$K92,1,FALSE))),"x",IF(NOT(ISERROR(HLOOKUP(Standings!CV$3,Entries!$L92:$L92,1,FALSE))),"S",""))</f>
        <v/>
      </c>
      <c r="CW103" t="str">
        <f>IF(NOT(ISERROR(HLOOKUP(Standings!CW$3,Entries!$C92:$K92,1,FALSE))),"x",IF(NOT(ISERROR(HLOOKUP(Standings!CW$3,Entries!$L92:$L92,1,FALSE))),"S",""))</f>
        <v>x</v>
      </c>
      <c r="CX103" t="str">
        <f>IF(NOT(ISERROR(HLOOKUP(Standings!CX$3,Entries!$C92:$K92,1,FALSE))),"x",IF(NOT(ISERROR(HLOOKUP(Standings!CX$3,Entries!$L92:$L92,1,FALSE))),"S",""))</f>
        <v/>
      </c>
      <c r="CY103" t="str">
        <f>IF(NOT(ISERROR(HLOOKUP(Standings!CY$3,Entries!$C92:$K92,1,FALSE))),"x",IF(NOT(ISERROR(HLOOKUP(Standings!CY$3,Entries!$L92:$L92,1,FALSE))),"S",""))</f>
        <v/>
      </c>
      <c r="CZ103" t="str">
        <f>IF(NOT(ISERROR(HLOOKUP(Standings!CZ$3,Entries!$C92:$K92,1,FALSE))),"x",IF(NOT(ISERROR(HLOOKUP(Standings!CZ$3,Entries!$L92:$L92,1,FALSE))),"S",""))</f>
        <v/>
      </c>
      <c r="DA103" t="str">
        <f>IF(NOT(ISERROR(HLOOKUP(Standings!DA$3,Entries!$C92:$K92,1,FALSE))),"x",IF(NOT(ISERROR(HLOOKUP(Standings!DA$3,Entries!$L92:$L92,1,FALSE))),"S",""))</f>
        <v/>
      </c>
      <c r="DB103" t="str">
        <f>IF(NOT(ISERROR(HLOOKUP(Standings!DB$3,Entries!$C92:$K92,1,FALSE))),"x",IF(NOT(ISERROR(HLOOKUP(Standings!DB$3,Entries!$L92:$L92,1,FALSE))),"S",""))</f>
        <v/>
      </c>
    </row>
    <row r="104" spans="1:106" x14ac:dyDescent="0.25">
      <c r="A104" s="18"/>
      <c r="B104">
        <v>26</v>
      </c>
      <c r="C104" t="str">
        <f>Entries!B93</f>
        <v>Vin - 2</v>
      </c>
      <c r="D104" s="4">
        <f>IF(C104="","",RANK(E104,$E$10:$E$111))</f>
        <v>55</v>
      </c>
      <c r="E104" s="31">
        <f t="shared" si="149"/>
        <v>3</v>
      </c>
      <c r="F104" s="40" t="str">
        <f t="shared" si="150"/>
        <v/>
      </c>
      <c r="G104" s="41" t="str">
        <f t="shared" si="151"/>
        <v/>
      </c>
      <c r="H104" s="41" t="str">
        <f t="shared" si="152"/>
        <v/>
      </c>
      <c r="I104" s="42" t="str">
        <f t="shared" si="153"/>
        <v/>
      </c>
      <c r="J104" s="40" t="str">
        <f t="shared" si="154"/>
        <v/>
      </c>
      <c r="K104" s="41" t="str">
        <f t="shared" si="155"/>
        <v/>
      </c>
      <c r="L104" s="41" t="str">
        <f t="shared" si="156"/>
        <v/>
      </c>
      <c r="M104" s="42" t="str">
        <f t="shared" si="157"/>
        <v/>
      </c>
      <c r="N104" s="43" t="str">
        <f t="shared" si="158"/>
        <v/>
      </c>
      <c r="O104" s="41" t="str">
        <f t="shared" si="159"/>
        <v/>
      </c>
      <c r="P104" s="41" t="str">
        <f t="shared" si="160"/>
        <v/>
      </c>
      <c r="Q104" s="42" t="str">
        <f t="shared" si="161"/>
        <v/>
      </c>
      <c r="R104" s="40">
        <f t="shared" si="162"/>
        <v>2</v>
      </c>
      <c r="S104" s="41" t="str">
        <f t="shared" si="163"/>
        <v/>
      </c>
      <c r="T104" s="43" t="str">
        <f t="shared" si="164"/>
        <v/>
      </c>
      <c r="U104" s="42" t="str">
        <f t="shared" si="165"/>
        <v/>
      </c>
      <c r="V104" s="40">
        <f t="shared" si="166"/>
        <v>-2.0000100000000001</v>
      </c>
      <c r="W104" s="41" t="str">
        <f t="shared" si="167"/>
        <v/>
      </c>
      <c r="X104" s="41" t="str">
        <f t="shared" si="168"/>
        <v/>
      </c>
      <c r="Y104" s="42" t="str">
        <f t="shared" si="169"/>
        <v/>
      </c>
      <c r="Z104" s="40" t="str">
        <f t="shared" si="170"/>
        <v/>
      </c>
      <c r="AA104" s="41" t="str">
        <f t="shared" si="171"/>
        <v/>
      </c>
      <c r="AB104" s="41" t="str">
        <f t="shared" si="172"/>
        <v/>
      </c>
      <c r="AC104" s="42">
        <f t="shared" si="173"/>
        <v>2</v>
      </c>
      <c r="AD104" s="40" t="str">
        <f t="shared" si="174"/>
        <v/>
      </c>
      <c r="AE104" s="41" t="str">
        <f t="shared" si="175"/>
        <v/>
      </c>
      <c r="AF104" s="41" t="str">
        <f t="shared" si="176"/>
        <v/>
      </c>
      <c r="AG104" s="42" t="str">
        <f t="shared" si="177"/>
        <v/>
      </c>
      <c r="AH104" s="40" t="str">
        <f t="shared" si="178"/>
        <v/>
      </c>
      <c r="AI104" s="41" t="str">
        <f t="shared" si="179"/>
        <v/>
      </c>
      <c r="AJ104" s="41" t="str">
        <f t="shared" si="180"/>
        <v/>
      </c>
      <c r="AK104" s="42">
        <f t="shared" si="181"/>
        <v>1</v>
      </c>
      <c r="AL104" s="40" t="str">
        <f t="shared" si="182"/>
        <v/>
      </c>
      <c r="AM104" s="41" t="str">
        <f t="shared" si="183"/>
        <v/>
      </c>
      <c r="AN104" s="41">
        <f t="shared" si="184"/>
        <v>0</v>
      </c>
      <c r="AO104" s="42" t="str">
        <f t="shared" si="185"/>
        <v/>
      </c>
      <c r="AP104" s="40" t="str">
        <f t="shared" si="186"/>
        <v/>
      </c>
      <c r="AQ104" s="41" t="str">
        <f t="shared" si="187"/>
        <v/>
      </c>
      <c r="AR104" s="41" t="str">
        <f t="shared" si="188"/>
        <v/>
      </c>
      <c r="AS104" s="42" t="str">
        <f t="shared" si="189"/>
        <v/>
      </c>
      <c r="AT104" s="40" t="str">
        <f t="shared" si="190"/>
        <v/>
      </c>
      <c r="AU104" s="41" t="str">
        <f t="shared" si="191"/>
        <v/>
      </c>
      <c r="AV104" s="41" t="str">
        <f t="shared" si="192"/>
        <v/>
      </c>
      <c r="AW104" s="42" t="str">
        <f t="shared" si="193"/>
        <v/>
      </c>
      <c r="AX104" s="40">
        <f t="shared" si="194"/>
        <v>0</v>
      </c>
      <c r="AY104" s="41" t="str">
        <f t="shared" si="195"/>
        <v/>
      </c>
      <c r="AZ104" s="41" t="str">
        <f t="shared" si="196"/>
        <v/>
      </c>
      <c r="BA104" s="42" t="str">
        <f t="shared" si="197"/>
        <v/>
      </c>
      <c r="BB104" s="37" t="s">
        <v>106</v>
      </c>
      <c r="BC104" s="21"/>
      <c r="BD104" s="21"/>
      <c r="BG104" t="str">
        <f>IF(NOT(ISERROR(HLOOKUP(Standings!BG$3,Entries!$C93:$K93,1,FALSE))),"x",IF(NOT(ISERROR(HLOOKUP(Standings!BG$3,Entries!$L93:$L93,1,FALSE))),"S",""))</f>
        <v/>
      </c>
      <c r="BH104" t="str">
        <f>IF(NOT(ISERROR(HLOOKUP(Standings!BH$3,Entries!$C93:$K93,1,FALSE))),"x",IF(NOT(ISERROR(HLOOKUP(Standings!BH$3,Entries!$L93:$L93,1,FALSE))),"S",""))</f>
        <v/>
      </c>
      <c r="BI104" t="str">
        <f>IF(NOT(ISERROR(HLOOKUP(Standings!BI$3,Entries!$C93:$K93,1,FALSE))),"x",IF(NOT(ISERROR(HLOOKUP(Standings!BI$3,Entries!$L93:$L93,1,FALSE))),"S",""))</f>
        <v/>
      </c>
      <c r="BJ104" t="str">
        <f>IF(NOT(ISERROR(HLOOKUP(Standings!BJ$3,Entries!$C93:$K93,1,FALSE))),"x",IF(NOT(ISERROR(HLOOKUP(Standings!BJ$3,Entries!$L93:$L93,1,FALSE))),"S",""))</f>
        <v/>
      </c>
      <c r="BK104" t="str">
        <f>IF(NOT(ISERROR(HLOOKUP(Standings!BK$3,Entries!$C93:$K93,1,FALSE))),"x",IF(NOT(ISERROR(HLOOKUP(Standings!BK$3,Entries!$L93:$L93,1,FALSE))),"S",""))</f>
        <v/>
      </c>
      <c r="BL104" t="str">
        <f>IF(NOT(ISERROR(HLOOKUP(Standings!BL$3,Entries!$C93:$K93,1,FALSE))),"x",IF(NOT(ISERROR(HLOOKUP(Standings!BL$3,Entries!$L93:$L93,1,FALSE))),"S",""))</f>
        <v/>
      </c>
      <c r="BM104" t="str">
        <f>IF(NOT(ISERROR(HLOOKUP(Standings!BM$3,Entries!$C93:$K93,1,FALSE))),"x",IF(NOT(ISERROR(HLOOKUP(Standings!BM$3,Entries!$L93:$L93,1,FALSE))),"S",""))</f>
        <v/>
      </c>
      <c r="BN104" t="str">
        <f>IF(NOT(ISERROR(HLOOKUP(Standings!BN$3,Entries!$C93:$K93,1,FALSE))),"x",IF(NOT(ISERROR(HLOOKUP(Standings!BN$3,Entries!$L93:$L93,1,FALSE))),"S",""))</f>
        <v/>
      </c>
      <c r="BO104" t="str">
        <f>IF(NOT(ISERROR(HLOOKUP(Standings!BO$3,Entries!$C93:$K93,1,FALSE))),"x",IF(NOT(ISERROR(HLOOKUP(Standings!BO$3,Entries!$L93:$L93,1,FALSE))),"S",""))</f>
        <v/>
      </c>
      <c r="BP104" t="str">
        <f>IF(NOT(ISERROR(HLOOKUP(Standings!BP$3,Entries!$C93:$K93,1,FALSE))),"x",IF(NOT(ISERROR(HLOOKUP(Standings!BP$3,Entries!$L93:$L93,1,FALSE))),"S",""))</f>
        <v/>
      </c>
      <c r="BQ104" t="str">
        <f>IF(NOT(ISERROR(HLOOKUP(Standings!BQ$3,Entries!$C93:$K93,1,FALSE))),"x",IF(NOT(ISERROR(HLOOKUP(Standings!BQ$3,Entries!$L93:$L93,1,FALSE))),"S",""))</f>
        <v/>
      </c>
      <c r="BR104" t="str">
        <f>IF(NOT(ISERROR(HLOOKUP(Standings!BR$3,Entries!$C93:$K93,1,FALSE))),"x",IF(NOT(ISERROR(HLOOKUP(Standings!BR$3,Entries!$L93:$L93,1,FALSE))),"S",""))</f>
        <v/>
      </c>
      <c r="BS104" t="str">
        <f>IF(NOT(ISERROR(HLOOKUP(Standings!BS$3,Entries!$C93:$K93,1,FALSE))),"x",IF(NOT(ISERROR(HLOOKUP(Standings!BS$3,Entries!$L93:$L93,1,FALSE))),"S",""))</f>
        <v>x</v>
      </c>
      <c r="BT104" t="str">
        <f>IF(NOT(ISERROR(HLOOKUP(Standings!BT$3,Entries!$C93:$K93,1,FALSE))),"x",IF(NOT(ISERROR(HLOOKUP(Standings!BT$3,Entries!$L93:$L93,1,FALSE))),"S",""))</f>
        <v/>
      </c>
      <c r="BU104" t="str">
        <f>IF(NOT(ISERROR(HLOOKUP(Standings!BU$3,Entries!$C93:$K93,1,FALSE))),"x",IF(NOT(ISERROR(HLOOKUP(Standings!BU$3,Entries!$L93:$L93,1,FALSE))),"S",""))</f>
        <v/>
      </c>
      <c r="BV104" t="str">
        <f>IF(NOT(ISERROR(HLOOKUP(Standings!BV$3,Entries!$C93:$K93,1,FALSE))),"x",IF(NOT(ISERROR(HLOOKUP(Standings!BV$3,Entries!$L93:$L93,1,FALSE))),"S",""))</f>
        <v/>
      </c>
      <c r="BW104" t="str">
        <f>IF(NOT(ISERROR(HLOOKUP(Standings!BW$3,Entries!$C93:$K93,1,FALSE))),"x",IF(NOT(ISERROR(HLOOKUP(Standings!BW$3,Entries!$L93:$L93,1,FALSE))),"S",""))</f>
        <v>S</v>
      </c>
      <c r="BX104" t="str">
        <f>IF(NOT(ISERROR(HLOOKUP(Standings!BX$3,Entries!$C93:$K93,1,FALSE))),"x",IF(NOT(ISERROR(HLOOKUP(Standings!BX$3,Entries!$L93:$L93,1,FALSE))),"S",""))</f>
        <v/>
      </c>
      <c r="BY104" t="str">
        <f>IF(NOT(ISERROR(HLOOKUP(Standings!BY$3,Entries!$C93:$K93,1,FALSE))),"x",IF(NOT(ISERROR(HLOOKUP(Standings!BY$3,Entries!$L93:$L93,1,FALSE))),"S",""))</f>
        <v/>
      </c>
      <c r="BZ104" t="str">
        <f>IF(NOT(ISERROR(HLOOKUP(Standings!BZ$3,Entries!$C93:$K93,1,FALSE))),"x",IF(NOT(ISERROR(HLOOKUP(Standings!BZ$3,Entries!$L93:$L93,1,FALSE))),"S",""))</f>
        <v/>
      </c>
      <c r="CA104" t="str">
        <f>IF(NOT(ISERROR(HLOOKUP(Standings!CA$3,Entries!$C93:$K93,1,FALSE))),"x",IF(NOT(ISERROR(HLOOKUP(Standings!CA$3,Entries!$L93:$L93,1,FALSE))),"S",""))</f>
        <v/>
      </c>
      <c r="CB104" t="str">
        <f>IF(NOT(ISERROR(HLOOKUP(Standings!CB$3,Entries!$C93:$K93,1,FALSE))),"x",IF(NOT(ISERROR(HLOOKUP(Standings!CB$3,Entries!$L93:$L93,1,FALSE))),"S",""))</f>
        <v/>
      </c>
      <c r="CC104" t="str">
        <f>IF(NOT(ISERROR(HLOOKUP(Standings!CC$3,Entries!$C93:$K93,1,FALSE))),"x",IF(NOT(ISERROR(HLOOKUP(Standings!CC$3,Entries!$L93:$L93,1,FALSE))),"S",""))</f>
        <v/>
      </c>
      <c r="CD104" t="str">
        <f>IF(NOT(ISERROR(HLOOKUP(Standings!CD$3,Entries!$C93:$K93,1,FALSE))),"x",IF(NOT(ISERROR(HLOOKUP(Standings!CD$3,Entries!$L93:$L93,1,FALSE))),"S",""))</f>
        <v>x</v>
      </c>
      <c r="CE104" t="str">
        <f>IF(NOT(ISERROR(HLOOKUP(Standings!CE$3,Entries!$C93:$K93,1,FALSE))),"x",IF(NOT(ISERROR(HLOOKUP(Standings!CE$3,Entries!$L93:$L93,1,FALSE))),"S",""))</f>
        <v/>
      </c>
      <c r="CF104" t="str">
        <f>IF(NOT(ISERROR(HLOOKUP(Standings!CF$3,Entries!$C93:$K93,1,FALSE))),"x",IF(NOT(ISERROR(HLOOKUP(Standings!CF$3,Entries!$L93:$L93,1,FALSE))),"S",""))</f>
        <v/>
      </c>
      <c r="CG104" t="str">
        <f>IF(NOT(ISERROR(HLOOKUP(Standings!CG$3,Entries!$C93:$K93,1,FALSE))),"x",IF(NOT(ISERROR(HLOOKUP(Standings!CG$3,Entries!$L93:$L93,1,FALSE))),"S",""))</f>
        <v/>
      </c>
      <c r="CH104" t="str">
        <f>IF(NOT(ISERROR(HLOOKUP(Standings!CH$3,Entries!$C93:$K93,1,FALSE))),"x",IF(NOT(ISERROR(HLOOKUP(Standings!CH$3,Entries!$L93:$L93,1,FALSE))),"S",""))</f>
        <v/>
      </c>
      <c r="CI104" t="str">
        <f>IF(NOT(ISERROR(HLOOKUP(Standings!CI$3,Entries!$C93:$K93,1,FALSE))),"x",IF(NOT(ISERROR(HLOOKUP(Standings!CI$3,Entries!$L93:$L93,1,FALSE))),"S",""))</f>
        <v/>
      </c>
      <c r="CJ104" t="str">
        <f>IF(NOT(ISERROR(HLOOKUP(Standings!CJ$3,Entries!$C93:$K93,1,FALSE))),"x",IF(NOT(ISERROR(HLOOKUP(Standings!CJ$3,Entries!$L93:$L93,1,FALSE))),"S",""))</f>
        <v/>
      </c>
      <c r="CK104" t="str">
        <f>IF(NOT(ISERROR(HLOOKUP(Standings!CK$3,Entries!$C93:$K93,1,FALSE))),"x",IF(NOT(ISERROR(HLOOKUP(Standings!CK$3,Entries!$L93:$L93,1,FALSE))),"S",""))</f>
        <v/>
      </c>
      <c r="CL104" t="str">
        <f>IF(NOT(ISERROR(HLOOKUP(Standings!CL$3,Entries!$C93:$K93,1,FALSE))),"x",IF(NOT(ISERROR(HLOOKUP(Standings!CL$3,Entries!$L93:$L93,1,FALSE))),"S",""))</f>
        <v>x</v>
      </c>
      <c r="CM104" t="str">
        <f>IF(NOT(ISERROR(HLOOKUP(Standings!CM$3,Entries!$C93:$K93,1,FALSE))),"x",IF(NOT(ISERROR(HLOOKUP(Standings!CM$3,Entries!$L93:$L93,1,FALSE))),"S",""))</f>
        <v/>
      </c>
      <c r="CN104" t="str">
        <f>IF(NOT(ISERROR(HLOOKUP(Standings!CN$3,Entries!$C93:$K93,1,FALSE))),"x",IF(NOT(ISERROR(HLOOKUP(Standings!CN$3,Entries!$L93:$L93,1,FALSE))),"S",""))</f>
        <v/>
      </c>
      <c r="CO104" t="str">
        <f>IF(NOT(ISERROR(HLOOKUP(Standings!CO$3,Entries!$C93:$K93,1,FALSE))),"x",IF(NOT(ISERROR(HLOOKUP(Standings!CO$3,Entries!$L93:$L93,1,FALSE))),"S",""))</f>
        <v>x</v>
      </c>
      <c r="CP104" t="str">
        <f>IF(NOT(ISERROR(HLOOKUP(Standings!CP$3,Entries!$C93:$K93,1,FALSE))),"x",IF(NOT(ISERROR(HLOOKUP(Standings!CP$3,Entries!$L93:$L93,1,FALSE))),"S",""))</f>
        <v/>
      </c>
      <c r="CQ104" t="str">
        <f>IF(NOT(ISERROR(HLOOKUP(Standings!CQ$3,Entries!$C93:$K93,1,FALSE))),"x",IF(NOT(ISERROR(HLOOKUP(Standings!CQ$3,Entries!$L93:$L93,1,FALSE))),"S",""))</f>
        <v/>
      </c>
      <c r="CR104" t="str">
        <f>IF(NOT(ISERROR(HLOOKUP(Standings!CR$3,Entries!$C93:$K93,1,FALSE))),"x",IF(NOT(ISERROR(HLOOKUP(Standings!CR$3,Entries!$L93:$L93,1,FALSE))),"S",""))</f>
        <v/>
      </c>
      <c r="CS104" t="str">
        <f>IF(NOT(ISERROR(HLOOKUP(Standings!CS$3,Entries!$C93:$K93,1,FALSE))),"x",IF(NOT(ISERROR(HLOOKUP(Standings!CS$3,Entries!$L93:$L93,1,FALSE))),"S",""))</f>
        <v/>
      </c>
      <c r="CT104" t="str">
        <f>IF(NOT(ISERROR(HLOOKUP(Standings!CT$3,Entries!$C93:$K93,1,FALSE))),"x",IF(NOT(ISERROR(HLOOKUP(Standings!CT$3,Entries!$L93:$L93,1,FALSE))),"S",""))</f>
        <v/>
      </c>
      <c r="CU104" t="str">
        <f>IF(NOT(ISERROR(HLOOKUP(Standings!CU$3,Entries!$C93:$K93,1,FALSE))),"x",IF(NOT(ISERROR(HLOOKUP(Standings!CU$3,Entries!$L93:$L93,1,FALSE))),"S",""))</f>
        <v/>
      </c>
      <c r="CV104" t="str">
        <f>IF(NOT(ISERROR(HLOOKUP(Standings!CV$3,Entries!$C93:$K93,1,FALSE))),"x",IF(NOT(ISERROR(HLOOKUP(Standings!CV$3,Entries!$L93:$L93,1,FALSE))),"S",""))</f>
        <v/>
      </c>
      <c r="CW104" t="str">
        <f>IF(NOT(ISERROR(HLOOKUP(Standings!CW$3,Entries!$C93:$K93,1,FALSE))),"x",IF(NOT(ISERROR(HLOOKUP(Standings!CW$3,Entries!$L93:$L93,1,FALSE))),"S",""))</f>
        <v/>
      </c>
      <c r="CX104" t="str">
        <f>IF(NOT(ISERROR(HLOOKUP(Standings!CX$3,Entries!$C93:$K93,1,FALSE))),"x",IF(NOT(ISERROR(HLOOKUP(Standings!CX$3,Entries!$L93:$L93,1,FALSE))),"S",""))</f>
        <v/>
      </c>
      <c r="CY104" t="str">
        <f>IF(NOT(ISERROR(HLOOKUP(Standings!CY$3,Entries!$C93:$K93,1,FALSE))),"x",IF(NOT(ISERROR(HLOOKUP(Standings!CY$3,Entries!$L93:$L93,1,FALSE))),"S",""))</f>
        <v>x</v>
      </c>
      <c r="CZ104" t="str">
        <f>IF(NOT(ISERROR(HLOOKUP(Standings!CZ$3,Entries!$C93:$K93,1,FALSE))),"x",IF(NOT(ISERROR(HLOOKUP(Standings!CZ$3,Entries!$L93:$L93,1,FALSE))),"S",""))</f>
        <v/>
      </c>
      <c r="DA104" t="str">
        <f>IF(NOT(ISERROR(HLOOKUP(Standings!DA$3,Entries!$C93:$K93,1,FALSE))),"x",IF(NOT(ISERROR(HLOOKUP(Standings!DA$3,Entries!$L93:$L93,1,FALSE))),"S",""))</f>
        <v/>
      </c>
      <c r="DB104" t="str">
        <f>IF(NOT(ISERROR(HLOOKUP(Standings!DB$3,Entries!$C93:$K93,1,FALSE))),"x",IF(NOT(ISERROR(HLOOKUP(Standings!DB$3,Entries!$L93:$L93,1,FALSE))),"S",""))</f>
        <v/>
      </c>
    </row>
    <row r="105" spans="1:106" x14ac:dyDescent="0.25">
      <c r="A105" s="18"/>
      <c r="B105">
        <v>26</v>
      </c>
      <c r="C105" t="str">
        <f>Entries!B95</f>
        <v>jongerdin1</v>
      </c>
      <c r="D105" s="4">
        <f>IF(C105="","",RANK(E105,$E$10:$E$111))</f>
        <v>55</v>
      </c>
      <c r="E105" s="31">
        <f t="shared" ref="E105" si="198">IF(C105="","",ROUND(SUM(F105:AK105),0))</f>
        <v>3</v>
      </c>
      <c r="F105" s="40" t="str">
        <f t="shared" ref="F105" si="199">IF(BG105="","",IF(BG105="x",F$6,0)+IF(BG105="S",-F$6-0.00001,0))</f>
        <v/>
      </c>
      <c r="G105" s="41" t="str">
        <f t="shared" ref="G105" si="200">IF(BH105="","",IF(BH105="x",G$6,0)+IF(BH105="S",-G$6-0.00001,0))</f>
        <v/>
      </c>
      <c r="H105" s="41" t="str">
        <f t="shared" ref="H105" si="201">IF(BI105="","",IF(BI105="x",H$6,0)+IF(BI105="S",-H$6-0.00001,0))</f>
        <v/>
      </c>
      <c r="I105" s="42" t="str">
        <f t="shared" ref="I105" si="202">IF(BJ105="","",IF(BJ105="x",I$6,0)+IF(BJ105="S",-I$6-0.00001,0))</f>
        <v/>
      </c>
      <c r="J105" s="40" t="str">
        <f t="shared" ref="J105" si="203">IF(BK105="","",IF(BK105="x",J$6,0)+IF(BK105="S",-J$6-0.00001,0))</f>
        <v/>
      </c>
      <c r="K105" s="41">
        <f t="shared" ref="K105" si="204">IF(BL105="","",IF(BL105="x",K$6,0)+IF(BL105="S",-K$6-0.00001,0))</f>
        <v>1</v>
      </c>
      <c r="L105" s="41" t="str">
        <f t="shared" ref="L105" si="205">IF(BM105="","",IF(BM105="x",L$6,0)+IF(BM105="S",-L$6-0.00001,0))</f>
        <v/>
      </c>
      <c r="M105" s="42" t="str">
        <f t="shared" ref="M105" si="206">IF(BN105="","",IF(BN105="x",M$6,0)+IF(BN105="S",-M$6-0.00001,0))</f>
        <v/>
      </c>
      <c r="N105" s="43" t="str">
        <f t="shared" ref="N105" si="207">IF(BO105="","",IF(BO105="x",N$6,0)+IF(BO105="S",-N$6-0.00001,0))</f>
        <v/>
      </c>
      <c r="O105" s="41">
        <f t="shared" ref="O105" si="208">IF(BP105="","",IF(BP105="x",O$6,0)+IF(BP105="S",-O$6-0.00001,0))</f>
        <v>1</v>
      </c>
      <c r="P105" s="41" t="str">
        <f t="shared" ref="P105" si="209">IF(BQ105="","",IF(BQ105="x",P$6,0)+IF(BQ105="S",-P$6-0.00001,0))</f>
        <v/>
      </c>
      <c r="Q105" s="42" t="str">
        <f t="shared" ref="Q105" si="210">IF(BR105="","",IF(BR105="x",Q$6,0)+IF(BR105="S",-Q$6-0.00001,0))</f>
        <v/>
      </c>
      <c r="R105" s="40" t="str">
        <f t="shared" ref="R105" si="211">IF(BS105="","",IF(BS105="x",R$6,0)+IF(BS105="S",-R$6-0.00001,0))</f>
        <v/>
      </c>
      <c r="S105" s="41" t="str">
        <f t="shared" ref="S105" si="212">IF(BT105="","",IF(BT105="x",S$6,0)+IF(BT105="S",-S$6-0.00001,0))</f>
        <v/>
      </c>
      <c r="T105" s="43" t="str">
        <f t="shared" ref="T105" si="213">IF(BU105="","",IF(BU105="x",T$6,0)+IF(BU105="S",-T$6-0.00001,0))</f>
        <v/>
      </c>
      <c r="U105" s="42" t="str">
        <f t="shared" ref="U105" si="214">IF(BV105="","",IF(BV105="x",U$6,0)+IF(BV105="S",-U$6-0.00001,0))</f>
        <v/>
      </c>
      <c r="V105" s="40" t="str">
        <f t="shared" ref="V105" si="215">IF(BW105="","",IF(BW105="x",V$6,0)+IF(BW105="S",-V$6-0.00001,0))</f>
        <v/>
      </c>
      <c r="W105" s="41" t="str">
        <f t="shared" ref="W105" si="216">IF(BX105="","",IF(BX105="x",W$6,0)+IF(BX105="S",-W$6-0.00001,0))</f>
        <v/>
      </c>
      <c r="X105" s="41" t="str">
        <f t="shared" ref="X105" si="217">IF(BY105="","",IF(BY105="x",X$6,0)+IF(BY105="S",-X$6-0.00001,0))</f>
        <v/>
      </c>
      <c r="Y105" s="42">
        <f t="shared" ref="Y105" si="218">IF(BZ105="","",IF(BZ105="x",Y$6,0)+IF(BZ105="S",-Y$6-0.00001,0))</f>
        <v>0</v>
      </c>
      <c r="Z105" s="40" t="str">
        <f t="shared" ref="Z105" si="219">IF(CA105="","",IF(CA105="x",Z$6,0)+IF(CA105="S",-Z$6-0.00001,0))</f>
        <v/>
      </c>
      <c r="AA105" s="41">
        <f t="shared" ref="AA105" si="220">IF(CB105="","",IF(CB105="x",AA$6,0)+IF(CB105="S",-AA$6-0.00001,0))</f>
        <v>1</v>
      </c>
      <c r="AB105" s="41" t="str">
        <f t="shared" ref="AB105" si="221">IF(CC105="","",IF(CC105="x",AB$6,0)+IF(CC105="S",-AB$6-0.00001,0))</f>
        <v/>
      </c>
      <c r="AC105" s="42" t="str">
        <f t="shared" ref="AC105" si="222">IF(CD105="","",IF(CD105="x",AC$6,0)+IF(CD105="S",-AC$6-0.00001,0))</f>
        <v/>
      </c>
      <c r="AD105" s="40" t="str">
        <f t="shared" ref="AD105" si="223">IF(CE105="","",IF(CE105="x",AD$6,0)+IF(CE105="S",-AD$6-0.00001,0))</f>
        <v/>
      </c>
      <c r="AE105" s="41" t="str">
        <f t="shared" ref="AE105" si="224">IF(CF105="","",IF(CF105="x",AE$6,0)+IF(CF105="S",-AE$6-0.00001,0))</f>
        <v/>
      </c>
      <c r="AF105" s="41" t="str">
        <f t="shared" ref="AF105" si="225">IF(CG105="","",IF(CG105="x",AF$6,0)+IF(CG105="S",-AF$6-0.00001,0))</f>
        <v/>
      </c>
      <c r="AG105" s="42" t="str">
        <f t="shared" ref="AG105" si="226">IF(CH105="","",IF(CH105="x",AG$6,0)+IF(CH105="S",-AG$6-0.00001,0))</f>
        <v/>
      </c>
      <c r="AH105" s="40" t="str">
        <f t="shared" ref="AH105" si="227">IF(CI105="","",IF(CI105="x",AH$6,0)+IF(CI105="S",-AH$6-0.00001,0))</f>
        <v/>
      </c>
      <c r="AI105" s="41" t="str">
        <f t="shared" ref="AI105" si="228">IF(CJ105="","",IF(CJ105="x",AI$6,0)+IF(CJ105="S",-AI$6-0.00001,0))</f>
        <v/>
      </c>
      <c r="AJ105" s="41" t="str">
        <f t="shared" ref="AJ105" si="229">IF(CK105="","",IF(CK105="x",AJ$6,0)+IF(CK105="S",-AJ$6-0.00001,0))</f>
        <v/>
      </c>
      <c r="AK105" s="42" t="str">
        <f t="shared" ref="AK105" si="230">IF(CL105="","",IF(CL105="x",AK$6,0)+IF(CL105="S",-AK$6-0.00001,0))</f>
        <v/>
      </c>
      <c r="AL105" s="40" t="str">
        <f t="shared" ref="AL105" si="231">IF(CM105="","",IF(CM105="x",AL$6,0)+IF(CM105="S",-AL$6-0.00001,0))</f>
        <v/>
      </c>
      <c r="AM105" s="41" t="str">
        <f t="shared" ref="AM105" si="232">IF(CN105="","",IF(CN105="x",AM$6,0)+IF(CN105="S",-AM$6-0.00001,0))</f>
        <v/>
      </c>
      <c r="AN105" s="41" t="str">
        <f t="shared" ref="AN105" si="233">IF(CO105="","",IF(CO105="x",AN$6,0)+IF(CO105="S",-AN$6-0.00001,0))</f>
        <v/>
      </c>
      <c r="AO105" s="42" t="str">
        <f t="shared" ref="AO105" si="234">IF(CP105="","",IF(CP105="x",AO$6,0)+IF(CP105="S",-AO$6-0.00001,0))</f>
        <v/>
      </c>
      <c r="AP105" s="40" t="str">
        <f t="shared" ref="AP105" si="235">IF(CQ105="","",IF(CQ105="x",AP$6,0)+IF(CQ105="S",-AP$6-0.00001,0))</f>
        <v/>
      </c>
      <c r="AQ105" s="41" t="str">
        <f t="shared" ref="AQ105" si="236">IF(CR105="","",IF(CR105="x",AQ$6,0)+IF(CR105="S",-AQ$6-0.00001,0))</f>
        <v/>
      </c>
      <c r="AR105" s="41" t="str">
        <f t="shared" ref="AR105" si="237">IF(CS105="","",IF(CS105="x",AR$6,0)+IF(CS105="S",-AR$6-0.00001,0))</f>
        <v/>
      </c>
      <c r="AS105" s="42" t="str">
        <f t="shared" ref="AS105" si="238">IF(CT105="","",IF(CT105="x",AS$6,0)+IF(CT105="S",-AS$6-0.00001,0))</f>
        <v/>
      </c>
      <c r="AT105" s="40">
        <f t="shared" ref="AT105" si="239">IF(CU105="","",IF(CU105="x",AT$6,0)+IF(CU105="S",-AT$6-0.00001,0))</f>
        <v>0</v>
      </c>
      <c r="AU105" s="41" t="str">
        <f t="shared" ref="AU105" si="240">IF(CV105="","",IF(CV105="x",AU$6,0)+IF(CV105="S",-AU$6-0.00001,0))</f>
        <v/>
      </c>
      <c r="AV105" s="41">
        <f t="shared" ref="AV105" si="241">IF(CW105="","",IF(CW105="x",AV$6,0)+IF(CW105="S",-AV$6-0.00001,0))</f>
        <v>0</v>
      </c>
      <c r="AW105" s="42" t="str">
        <f t="shared" ref="AW105" si="242">IF(CX105="","",IF(CX105="x",AW$6,0)+IF(CX105="S",-AW$6-0.00001,0))</f>
        <v/>
      </c>
      <c r="AX105" s="40">
        <f t="shared" ref="AX105" si="243">IF(CY105="","",IF(CY105="x",AX$6,0)+IF(CY105="S",-AX$6-0.00001,0))</f>
        <v>-1.0000000000000001E-5</v>
      </c>
      <c r="AY105" s="41" t="str">
        <f t="shared" ref="AY105" si="244">IF(CZ105="","",IF(CZ105="x",AY$6,0)+IF(CZ105="S",-AY$6-0.00001,0))</f>
        <v/>
      </c>
      <c r="AZ105" s="41" t="str">
        <f t="shared" ref="AZ105" si="245">IF(DA105="","",IF(DA105="x",AZ$6,0)+IF(DA105="S",-AZ$6-0.00001,0))</f>
        <v/>
      </c>
      <c r="BA105" s="42" t="str">
        <f t="shared" ref="BA105" si="246">IF(DB105="","",IF(DB105="x",BA$6,0)+IF(DB105="S",-BA$6-0.00001,0))</f>
        <v/>
      </c>
      <c r="BB105" s="37" t="s">
        <v>106</v>
      </c>
      <c r="BC105" s="21"/>
      <c r="BD105" s="21"/>
      <c r="BG105" t="str">
        <f>IF(NOT(ISERROR(HLOOKUP(Standings!BG$3,Entries!$C95:$K95,1,FALSE))),"x",IF(NOT(ISERROR(HLOOKUP(Standings!BG$3,Entries!$L95:$L95,1,FALSE))),"S",""))</f>
        <v/>
      </c>
      <c r="BH105" t="str">
        <f>IF(NOT(ISERROR(HLOOKUP(Standings!BH$3,Entries!$C95:$K95,1,FALSE))),"x",IF(NOT(ISERROR(HLOOKUP(Standings!BH$3,Entries!$L95:$L95,1,FALSE))),"S",""))</f>
        <v/>
      </c>
      <c r="BI105" t="str">
        <f>IF(NOT(ISERROR(HLOOKUP(Standings!BI$3,Entries!$C95:$K95,1,FALSE))),"x",IF(NOT(ISERROR(HLOOKUP(Standings!BI$3,Entries!$L95:$L95,1,FALSE))),"S",""))</f>
        <v/>
      </c>
      <c r="BJ105" t="str">
        <f>IF(NOT(ISERROR(HLOOKUP(Standings!BJ$3,Entries!$C95:$K95,1,FALSE))),"x",IF(NOT(ISERROR(HLOOKUP(Standings!BJ$3,Entries!$L95:$L95,1,FALSE))),"S",""))</f>
        <v/>
      </c>
      <c r="BK105" t="str">
        <f>IF(NOT(ISERROR(HLOOKUP(Standings!BK$3,Entries!$C95:$K95,1,FALSE))),"x",IF(NOT(ISERROR(HLOOKUP(Standings!BK$3,Entries!$L95:$L95,1,FALSE))),"S",""))</f>
        <v/>
      </c>
      <c r="BL105" t="str">
        <f>IF(NOT(ISERROR(HLOOKUP(Standings!BL$3,Entries!$C95:$K95,1,FALSE))),"x",IF(NOT(ISERROR(HLOOKUP(Standings!BL$3,Entries!$L95:$L95,1,FALSE))),"S",""))</f>
        <v>x</v>
      </c>
      <c r="BM105" t="str">
        <f>IF(NOT(ISERROR(HLOOKUP(Standings!BM$3,Entries!$C95:$K95,1,FALSE))),"x",IF(NOT(ISERROR(HLOOKUP(Standings!BM$3,Entries!$L95:$L95,1,FALSE))),"S",""))</f>
        <v/>
      </c>
      <c r="BN105" t="str">
        <f>IF(NOT(ISERROR(HLOOKUP(Standings!BN$3,Entries!$C95:$K95,1,FALSE))),"x",IF(NOT(ISERROR(HLOOKUP(Standings!BN$3,Entries!$L95:$L95,1,FALSE))),"S",""))</f>
        <v/>
      </c>
      <c r="BO105" t="str">
        <f>IF(NOT(ISERROR(HLOOKUP(Standings!BO$3,Entries!$C95:$K95,1,FALSE))),"x",IF(NOT(ISERROR(HLOOKUP(Standings!BO$3,Entries!$L95:$L95,1,FALSE))),"S",""))</f>
        <v/>
      </c>
      <c r="BP105" t="str">
        <f>IF(NOT(ISERROR(HLOOKUP(Standings!BP$3,Entries!$C95:$K95,1,FALSE))),"x",IF(NOT(ISERROR(HLOOKUP(Standings!BP$3,Entries!$L95:$L95,1,FALSE))),"S",""))</f>
        <v>x</v>
      </c>
      <c r="BQ105" t="str">
        <f>IF(NOT(ISERROR(HLOOKUP(Standings!BQ$3,Entries!$C95:$K95,1,FALSE))),"x",IF(NOT(ISERROR(HLOOKUP(Standings!BQ$3,Entries!$L95:$L95,1,FALSE))),"S",""))</f>
        <v/>
      </c>
      <c r="BR105" t="str">
        <f>IF(NOT(ISERROR(HLOOKUP(Standings!BR$3,Entries!$C95:$K95,1,FALSE))),"x",IF(NOT(ISERROR(HLOOKUP(Standings!BR$3,Entries!$L95:$L95,1,FALSE))),"S",""))</f>
        <v/>
      </c>
      <c r="BS105" t="str">
        <f>IF(NOT(ISERROR(HLOOKUP(Standings!BS$3,Entries!$C95:$K95,1,FALSE))),"x",IF(NOT(ISERROR(HLOOKUP(Standings!BS$3,Entries!$L95:$L95,1,FALSE))),"S",""))</f>
        <v/>
      </c>
      <c r="BT105" t="str">
        <f>IF(NOT(ISERROR(HLOOKUP(Standings!BT$3,Entries!$C95:$K95,1,FALSE))),"x",IF(NOT(ISERROR(HLOOKUP(Standings!BT$3,Entries!$L95:$L95,1,FALSE))),"S",""))</f>
        <v/>
      </c>
      <c r="BU105" t="str">
        <f>IF(NOT(ISERROR(HLOOKUP(Standings!BU$3,Entries!$C95:$K95,1,FALSE))),"x",IF(NOT(ISERROR(HLOOKUP(Standings!BU$3,Entries!$L95:$L95,1,FALSE))),"S",""))</f>
        <v/>
      </c>
      <c r="BV105" t="str">
        <f>IF(NOT(ISERROR(HLOOKUP(Standings!BV$3,Entries!$C95:$K95,1,FALSE))),"x",IF(NOT(ISERROR(HLOOKUP(Standings!BV$3,Entries!$L95:$L95,1,FALSE))),"S",""))</f>
        <v/>
      </c>
      <c r="BW105" t="str">
        <f>IF(NOT(ISERROR(HLOOKUP(Standings!BW$3,Entries!$C95:$K95,1,FALSE))),"x",IF(NOT(ISERROR(HLOOKUP(Standings!BW$3,Entries!$L95:$L95,1,FALSE))),"S",""))</f>
        <v/>
      </c>
      <c r="BX105" t="str">
        <f>IF(NOT(ISERROR(HLOOKUP(Standings!BX$3,Entries!$C95:$K95,1,FALSE))),"x",IF(NOT(ISERROR(HLOOKUP(Standings!BX$3,Entries!$L95:$L95,1,FALSE))),"S",""))</f>
        <v/>
      </c>
      <c r="BY105" t="str">
        <f>IF(NOT(ISERROR(HLOOKUP(Standings!BY$3,Entries!$C95:$K95,1,FALSE))),"x",IF(NOT(ISERROR(HLOOKUP(Standings!BY$3,Entries!$L95:$L95,1,FALSE))),"S",""))</f>
        <v/>
      </c>
      <c r="BZ105" t="str">
        <f>IF(NOT(ISERROR(HLOOKUP(Standings!BZ$3,Entries!$C95:$K95,1,FALSE))),"x",IF(NOT(ISERROR(HLOOKUP(Standings!BZ$3,Entries!$L95:$L95,1,FALSE))),"S",""))</f>
        <v>x</v>
      </c>
      <c r="CA105" t="str">
        <f>IF(NOT(ISERROR(HLOOKUP(Standings!CA$3,Entries!$C95:$K95,1,FALSE))),"x",IF(NOT(ISERROR(HLOOKUP(Standings!CA$3,Entries!$L95:$L95,1,FALSE))),"S",""))</f>
        <v/>
      </c>
      <c r="CB105" t="str">
        <f>IF(NOT(ISERROR(HLOOKUP(Standings!CB$3,Entries!$C95:$K95,1,FALSE))),"x",IF(NOT(ISERROR(HLOOKUP(Standings!CB$3,Entries!$L95:$L95,1,FALSE))),"S",""))</f>
        <v>x</v>
      </c>
      <c r="CC105" t="str">
        <f>IF(NOT(ISERROR(HLOOKUP(Standings!CC$3,Entries!$C95:$K95,1,FALSE))),"x",IF(NOT(ISERROR(HLOOKUP(Standings!CC$3,Entries!$L95:$L95,1,FALSE))),"S",""))</f>
        <v/>
      </c>
      <c r="CD105" t="str">
        <f>IF(NOT(ISERROR(HLOOKUP(Standings!CD$3,Entries!$C95:$K95,1,FALSE))),"x",IF(NOT(ISERROR(HLOOKUP(Standings!CD$3,Entries!$L95:$L95,1,FALSE))),"S",""))</f>
        <v/>
      </c>
      <c r="CE105" t="str">
        <f>IF(NOT(ISERROR(HLOOKUP(Standings!CE$3,Entries!$C95:$K95,1,FALSE))),"x",IF(NOT(ISERROR(HLOOKUP(Standings!CE$3,Entries!$L95:$L95,1,FALSE))),"S",""))</f>
        <v/>
      </c>
      <c r="CF105" t="str">
        <f>IF(NOT(ISERROR(HLOOKUP(Standings!CF$3,Entries!$C95:$K95,1,FALSE))),"x",IF(NOT(ISERROR(HLOOKUP(Standings!CF$3,Entries!$L95:$L95,1,FALSE))),"S",""))</f>
        <v/>
      </c>
      <c r="CG105" t="str">
        <f>IF(NOT(ISERROR(HLOOKUP(Standings!CG$3,Entries!$C95:$K95,1,FALSE))),"x",IF(NOT(ISERROR(HLOOKUP(Standings!CG$3,Entries!$L95:$L95,1,FALSE))),"S",""))</f>
        <v/>
      </c>
      <c r="CH105" t="str">
        <f>IF(NOT(ISERROR(HLOOKUP(Standings!CH$3,Entries!$C95:$K95,1,FALSE))),"x",IF(NOT(ISERROR(HLOOKUP(Standings!CH$3,Entries!$L95:$L95,1,FALSE))),"S",""))</f>
        <v/>
      </c>
      <c r="CI105" t="str">
        <f>IF(NOT(ISERROR(HLOOKUP(Standings!CI$3,Entries!$C95:$K95,1,FALSE))),"x",IF(NOT(ISERROR(HLOOKUP(Standings!CI$3,Entries!$L95:$L95,1,FALSE))),"S",""))</f>
        <v/>
      </c>
      <c r="CJ105" t="str">
        <f>IF(NOT(ISERROR(HLOOKUP(Standings!CJ$3,Entries!$C95:$K95,1,FALSE))),"x",IF(NOT(ISERROR(HLOOKUP(Standings!CJ$3,Entries!$L95:$L95,1,FALSE))),"S",""))</f>
        <v/>
      </c>
      <c r="CK105" t="str">
        <f>IF(NOT(ISERROR(HLOOKUP(Standings!CK$3,Entries!$C95:$K95,1,FALSE))),"x",IF(NOT(ISERROR(HLOOKUP(Standings!CK$3,Entries!$L95:$L95,1,FALSE))),"S",""))</f>
        <v/>
      </c>
      <c r="CL105" t="str">
        <f>IF(NOT(ISERROR(HLOOKUP(Standings!CL$3,Entries!$C95:$K95,1,FALSE))),"x",IF(NOT(ISERROR(HLOOKUP(Standings!CL$3,Entries!$L95:$L95,1,FALSE))),"S",""))</f>
        <v/>
      </c>
      <c r="CM105" t="str">
        <f>IF(NOT(ISERROR(HLOOKUP(Standings!CM$3,Entries!$C95:$K95,1,FALSE))),"x",IF(NOT(ISERROR(HLOOKUP(Standings!CM$3,Entries!$L95:$L95,1,FALSE))),"S",""))</f>
        <v/>
      </c>
      <c r="CN105" t="str">
        <f>IF(NOT(ISERROR(HLOOKUP(Standings!CN$3,Entries!$C95:$K95,1,FALSE))),"x",IF(NOT(ISERROR(HLOOKUP(Standings!CN$3,Entries!$L95:$L95,1,FALSE))),"S",""))</f>
        <v/>
      </c>
      <c r="CO105" t="str">
        <f>IF(NOT(ISERROR(HLOOKUP(Standings!CO$3,Entries!$C95:$K95,1,FALSE))),"x",IF(NOT(ISERROR(HLOOKUP(Standings!CO$3,Entries!$L95:$L95,1,FALSE))),"S",""))</f>
        <v/>
      </c>
      <c r="CP105" t="str">
        <f>IF(NOT(ISERROR(HLOOKUP(Standings!CP$3,Entries!$C95:$K95,1,FALSE))),"x",IF(NOT(ISERROR(HLOOKUP(Standings!CP$3,Entries!$L95:$L95,1,FALSE))),"S",""))</f>
        <v/>
      </c>
      <c r="CQ105" t="str">
        <f>IF(NOT(ISERROR(HLOOKUP(Standings!CQ$3,Entries!$C95:$K95,1,FALSE))),"x",IF(NOT(ISERROR(HLOOKUP(Standings!CQ$3,Entries!$L95:$L95,1,FALSE))),"S",""))</f>
        <v/>
      </c>
      <c r="CR105" t="str">
        <f>IF(NOT(ISERROR(HLOOKUP(Standings!CR$3,Entries!$C95:$K95,1,FALSE))),"x",IF(NOT(ISERROR(HLOOKUP(Standings!CR$3,Entries!$L95:$L95,1,FALSE))),"S",""))</f>
        <v/>
      </c>
      <c r="CS105" t="str">
        <f>IF(NOT(ISERROR(HLOOKUP(Standings!CS$3,Entries!$C95:$K95,1,FALSE))),"x",IF(NOT(ISERROR(HLOOKUP(Standings!CS$3,Entries!$L95:$L95,1,FALSE))),"S",""))</f>
        <v/>
      </c>
      <c r="CT105" t="str">
        <f>IF(NOT(ISERROR(HLOOKUP(Standings!CT$3,Entries!$C95:$K95,1,FALSE))),"x",IF(NOT(ISERROR(HLOOKUP(Standings!CT$3,Entries!$L95:$L95,1,FALSE))),"S",""))</f>
        <v/>
      </c>
      <c r="CU105" t="str">
        <f>IF(NOT(ISERROR(HLOOKUP(Standings!CU$3,Entries!$C95:$K95,1,FALSE))),"x",IF(NOT(ISERROR(HLOOKUP(Standings!CU$3,Entries!$L95:$L95,1,FALSE))),"S",""))</f>
        <v>x</v>
      </c>
      <c r="CV105" t="str">
        <f>IF(NOT(ISERROR(HLOOKUP(Standings!CV$3,Entries!$C95:$K95,1,FALSE))),"x",IF(NOT(ISERROR(HLOOKUP(Standings!CV$3,Entries!$L95:$L95,1,FALSE))),"S",""))</f>
        <v/>
      </c>
      <c r="CW105" t="str">
        <f>IF(NOT(ISERROR(HLOOKUP(Standings!CW$3,Entries!$C95:$K95,1,FALSE))),"x",IF(NOT(ISERROR(HLOOKUP(Standings!CW$3,Entries!$L95:$L95,1,FALSE))),"S",""))</f>
        <v>x</v>
      </c>
      <c r="CX105" t="str">
        <f>IF(NOT(ISERROR(HLOOKUP(Standings!CX$3,Entries!$C95:$K95,1,FALSE))),"x",IF(NOT(ISERROR(HLOOKUP(Standings!CX$3,Entries!$L95:$L95,1,FALSE))),"S",""))</f>
        <v/>
      </c>
      <c r="CY105" t="str">
        <f>IF(NOT(ISERROR(HLOOKUP(Standings!CY$3,Entries!$C95:$K95,1,FALSE))),"x",IF(NOT(ISERROR(HLOOKUP(Standings!CY$3,Entries!$L95:$L95,1,FALSE))),"S",""))</f>
        <v>S</v>
      </c>
      <c r="CZ105" t="str">
        <f>IF(NOT(ISERROR(HLOOKUP(Standings!CZ$3,Entries!$C95:$K95,1,FALSE))),"x",IF(NOT(ISERROR(HLOOKUP(Standings!CZ$3,Entries!$L95:$L95,1,FALSE))),"S",""))</f>
        <v/>
      </c>
      <c r="DA105" t="str">
        <f>IF(NOT(ISERROR(HLOOKUP(Standings!DA$3,Entries!$C95:$K95,1,FALSE))),"x",IF(NOT(ISERROR(HLOOKUP(Standings!DA$3,Entries!$L95:$L95,1,FALSE))),"S",""))</f>
        <v/>
      </c>
      <c r="DB105" t="str">
        <f>IF(NOT(ISERROR(HLOOKUP(Standings!DB$3,Entries!$C95:$K95,1,FALSE))),"x",IF(NOT(ISERROR(HLOOKUP(Standings!DB$3,Entries!$L95:$L95,1,FALSE))),"S",""))</f>
        <v/>
      </c>
    </row>
    <row r="106" spans="1:106" x14ac:dyDescent="0.25">
      <c r="A106" s="18"/>
      <c r="B106">
        <v>26</v>
      </c>
      <c r="C106" t="str">
        <f>Entries!B97</f>
        <v>jongerdin3</v>
      </c>
      <c r="D106" s="4">
        <f>IF(C106="","",RANK(E106,$E$10:$E$111))</f>
        <v>71</v>
      </c>
      <c r="E106" s="31">
        <f t="shared" ref="E106:E109" si="247">IF(C106="","",ROUND(SUM(F106:AK106),0))</f>
        <v>2</v>
      </c>
      <c r="F106" s="40" t="str">
        <f t="shared" ref="F106:F109" si="248">IF(BG106="","",IF(BG106="x",F$6,0)+IF(BG106="S",-F$6-0.00001,0))</f>
        <v/>
      </c>
      <c r="G106" s="41" t="str">
        <f t="shared" ref="G106:G109" si="249">IF(BH106="","",IF(BH106="x",G$6,0)+IF(BH106="S",-G$6-0.00001,0))</f>
        <v/>
      </c>
      <c r="H106" s="41" t="str">
        <f t="shared" ref="H106:H109" si="250">IF(BI106="","",IF(BI106="x",H$6,0)+IF(BI106="S",-H$6-0.00001,0))</f>
        <v/>
      </c>
      <c r="I106" s="42" t="str">
        <f t="shared" ref="I106:I109" si="251">IF(BJ106="","",IF(BJ106="x",I$6,0)+IF(BJ106="S",-I$6-0.00001,0))</f>
        <v/>
      </c>
      <c r="J106" s="40" t="str">
        <f t="shared" ref="J106:J109" si="252">IF(BK106="","",IF(BK106="x",J$6,0)+IF(BK106="S",-J$6-0.00001,0))</f>
        <v/>
      </c>
      <c r="K106" s="41" t="str">
        <f t="shared" ref="K106:K109" si="253">IF(BL106="","",IF(BL106="x",K$6,0)+IF(BL106="S",-K$6-0.00001,0))</f>
        <v/>
      </c>
      <c r="L106" s="41" t="str">
        <f t="shared" ref="L106:L109" si="254">IF(BM106="","",IF(BM106="x",L$6,0)+IF(BM106="S",-L$6-0.00001,0))</f>
        <v/>
      </c>
      <c r="M106" s="42" t="str">
        <f t="shared" ref="M106:M109" si="255">IF(BN106="","",IF(BN106="x",M$6,0)+IF(BN106="S",-M$6-0.00001,0))</f>
        <v/>
      </c>
      <c r="N106" s="43" t="str">
        <f t="shared" ref="N106:N109" si="256">IF(BO106="","",IF(BO106="x",N$6,0)+IF(BO106="S",-N$6-0.00001,0))</f>
        <v/>
      </c>
      <c r="O106" s="41" t="str">
        <f t="shared" ref="O106:O109" si="257">IF(BP106="","",IF(BP106="x",O$6,0)+IF(BP106="S",-O$6-0.00001,0))</f>
        <v/>
      </c>
      <c r="P106" s="41" t="str">
        <f t="shared" ref="P106:P109" si="258">IF(BQ106="","",IF(BQ106="x",P$6,0)+IF(BQ106="S",-P$6-0.00001,0))</f>
        <v/>
      </c>
      <c r="Q106" s="42" t="str">
        <f t="shared" ref="Q106:Q109" si="259">IF(BR106="","",IF(BR106="x",Q$6,0)+IF(BR106="S",-Q$6-0.00001,0))</f>
        <v/>
      </c>
      <c r="R106" s="40" t="str">
        <f t="shared" ref="R106:R109" si="260">IF(BS106="","",IF(BS106="x",R$6,0)+IF(BS106="S",-R$6-0.00001,0))</f>
        <v/>
      </c>
      <c r="S106" s="41">
        <f t="shared" ref="S106:S109" si="261">IF(BT106="","",IF(BT106="x",S$6,0)+IF(BT106="S",-S$6-0.00001,0))</f>
        <v>-1.0000000000000001E-5</v>
      </c>
      <c r="T106" s="43" t="str">
        <f t="shared" ref="T106:T109" si="262">IF(BU106="","",IF(BU106="x",T$6,0)+IF(BU106="S",-T$6-0.00001,0))</f>
        <v/>
      </c>
      <c r="U106" s="42">
        <f t="shared" ref="U106:U109" si="263">IF(BV106="","",IF(BV106="x",U$6,0)+IF(BV106="S",-U$6-0.00001,0))</f>
        <v>0</v>
      </c>
      <c r="V106" s="40" t="str">
        <f t="shared" ref="V106:V109" si="264">IF(BW106="","",IF(BW106="x",V$6,0)+IF(BW106="S",-V$6-0.00001,0))</f>
        <v/>
      </c>
      <c r="W106" s="41" t="str">
        <f t="shared" ref="W106:W109" si="265">IF(BX106="","",IF(BX106="x",W$6,0)+IF(BX106="S",-W$6-0.00001,0))</f>
        <v/>
      </c>
      <c r="X106" s="41" t="str">
        <f t="shared" ref="X106:X109" si="266">IF(BY106="","",IF(BY106="x",X$6,0)+IF(BY106="S",-X$6-0.00001,0))</f>
        <v/>
      </c>
      <c r="Y106" s="42">
        <f t="shared" ref="Y106:Y109" si="267">IF(BZ106="","",IF(BZ106="x",Y$6,0)+IF(BZ106="S",-Y$6-0.00001,0))</f>
        <v>0</v>
      </c>
      <c r="Z106" s="40" t="str">
        <f t="shared" ref="Z106:Z109" si="268">IF(CA106="","",IF(CA106="x",Z$6,0)+IF(CA106="S",-Z$6-0.00001,0))</f>
        <v/>
      </c>
      <c r="AA106" s="41">
        <f t="shared" ref="AA106:AA109" si="269">IF(CB106="","",IF(CB106="x",AA$6,0)+IF(CB106="S",-AA$6-0.00001,0))</f>
        <v>1</v>
      </c>
      <c r="AB106" s="41" t="str">
        <f t="shared" ref="AB106:AB109" si="270">IF(CC106="","",IF(CC106="x",AB$6,0)+IF(CC106="S",-AB$6-0.00001,0))</f>
        <v/>
      </c>
      <c r="AC106" s="42" t="str">
        <f t="shared" ref="AC106:AC109" si="271">IF(CD106="","",IF(CD106="x",AC$6,0)+IF(CD106="S",-AC$6-0.00001,0))</f>
        <v/>
      </c>
      <c r="AD106" s="40" t="str">
        <f t="shared" ref="AD106:AD109" si="272">IF(CE106="","",IF(CE106="x",AD$6,0)+IF(CE106="S",-AD$6-0.00001,0))</f>
        <v/>
      </c>
      <c r="AE106" s="41">
        <f t="shared" ref="AE106:AE109" si="273">IF(CF106="","",IF(CF106="x",AE$6,0)+IF(CF106="S",-AE$6-0.00001,0))</f>
        <v>1</v>
      </c>
      <c r="AF106" s="41" t="str">
        <f t="shared" ref="AF106:AF109" si="274">IF(CG106="","",IF(CG106="x",AF$6,0)+IF(CG106="S",-AF$6-0.00001,0))</f>
        <v/>
      </c>
      <c r="AG106" s="42" t="str">
        <f t="shared" ref="AG106:AG109" si="275">IF(CH106="","",IF(CH106="x",AG$6,0)+IF(CH106="S",-AG$6-0.00001,0))</f>
        <v/>
      </c>
      <c r="AH106" s="40" t="str">
        <f t="shared" ref="AH106:AH109" si="276">IF(CI106="","",IF(CI106="x",AH$6,0)+IF(CI106="S",-AH$6-0.00001,0))</f>
        <v/>
      </c>
      <c r="AI106" s="41" t="str">
        <f t="shared" ref="AI106:AI109" si="277">IF(CJ106="","",IF(CJ106="x",AI$6,0)+IF(CJ106="S",-AI$6-0.00001,0))</f>
        <v/>
      </c>
      <c r="AJ106" s="41" t="str">
        <f t="shared" ref="AJ106:AJ109" si="278">IF(CK106="","",IF(CK106="x",AJ$6,0)+IF(CK106="S",-AJ$6-0.00001,0))</f>
        <v/>
      </c>
      <c r="AK106" s="42" t="str">
        <f t="shared" ref="AK106:AK109" si="279">IF(CL106="","",IF(CL106="x",AK$6,0)+IF(CL106="S",-AK$6-0.00001,0))</f>
        <v/>
      </c>
      <c r="AL106" s="40" t="str">
        <f t="shared" ref="AL106:AL109" si="280">IF(CM106="","",IF(CM106="x",AL$6,0)+IF(CM106="S",-AL$6-0.00001,0))</f>
        <v/>
      </c>
      <c r="AM106" s="41">
        <f t="shared" ref="AM106:AM109" si="281">IF(CN106="","",IF(CN106="x",AM$6,0)+IF(CN106="S",-AM$6-0.00001,0))</f>
        <v>0</v>
      </c>
      <c r="AN106" s="41" t="str">
        <f t="shared" ref="AN106:AN109" si="282">IF(CO106="","",IF(CO106="x",AN$6,0)+IF(CO106="S",-AN$6-0.00001,0))</f>
        <v/>
      </c>
      <c r="AO106" s="42" t="str">
        <f t="shared" ref="AO106:AO109" si="283">IF(CP106="","",IF(CP106="x",AO$6,0)+IF(CP106="S",-AO$6-0.00001,0))</f>
        <v/>
      </c>
      <c r="AP106" s="40" t="str">
        <f t="shared" ref="AP106:AP109" si="284">IF(CQ106="","",IF(CQ106="x",AP$6,0)+IF(CQ106="S",-AP$6-0.00001,0))</f>
        <v/>
      </c>
      <c r="AQ106" s="41" t="str">
        <f t="shared" ref="AQ106:AQ109" si="285">IF(CR106="","",IF(CR106="x",AQ$6,0)+IF(CR106="S",-AQ$6-0.00001,0))</f>
        <v/>
      </c>
      <c r="AR106" s="41">
        <f t="shared" ref="AR106:AR109" si="286">IF(CS106="","",IF(CS106="x",AR$6,0)+IF(CS106="S",-AR$6-0.00001,0))</f>
        <v>0</v>
      </c>
      <c r="AS106" s="42" t="str">
        <f t="shared" ref="AS106:AS109" si="287">IF(CT106="","",IF(CT106="x",AS$6,0)+IF(CT106="S",-AS$6-0.00001,0))</f>
        <v/>
      </c>
      <c r="AT106" s="40" t="str">
        <f t="shared" ref="AT106:AT109" si="288">IF(CU106="","",IF(CU106="x",AT$6,0)+IF(CU106="S",-AT$6-0.00001,0))</f>
        <v/>
      </c>
      <c r="AU106" s="41" t="str">
        <f t="shared" ref="AU106:AU109" si="289">IF(CV106="","",IF(CV106="x",AU$6,0)+IF(CV106="S",-AU$6-0.00001,0))</f>
        <v/>
      </c>
      <c r="AV106" s="41" t="str">
        <f t="shared" ref="AV106:AV109" si="290">IF(CW106="","",IF(CW106="x",AV$6,0)+IF(CW106="S",-AV$6-0.00001,0))</f>
        <v/>
      </c>
      <c r="AW106" s="42" t="str">
        <f t="shared" ref="AW106:AW109" si="291">IF(CX106="","",IF(CX106="x",AW$6,0)+IF(CX106="S",-AW$6-0.00001,0))</f>
        <v/>
      </c>
      <c r="AX106" s="40" t="str">
        <f t="shared" ref="AX106:AX109" si="292">IF(CY106="","",IF(CY106="x",AX$6,0)+IF(CY106="S",-AX$6-0.00001,0))</f>
        <v/>
      </c>
      <c r="AY106" s="41">
        <f t="shared" ref="AY106:AY109" si="293">IF(CZ106="","",IF(CZ106="x",AY$6,0)+IF(CZ106="S",-AY$6-0.00001,0))</f>
        <v>0</v>
      </c>
      <c r="AZ106" s="41" t="str">
        <f t="shared" ref="AZ106:AZ109" si="294">IF(DA106="","",IF(DA106="x",AZ$6,0)+IF(DA106="S",-AZ$6-0.00001,0))</f>
        <v/>
      </c>
      <c r="BA106" s="42">
        <f t="shared" ref="BA106:BA109" si="295">IF(DB106="","",IF(DB106="x",BA$6,0)+IF(DB106="S",-BA$6-0.00001,0))</f>
        <v>0</v>
      </c>
      <c r="BB106" s="37" t="s">
        <v>106</v>
      </c>
      <c r="BC106" s="21"/>
      <c r="BD106" s="21"/>
      <c r="BG106" t="str">
        <f>IF(NOT(ISERROR(HLOOKUP(Standings!BG$3,Entries!$C97:$K97,1,FALSE))),"x",IF(NOT(ISERROR(HLOOKUP(Standings!BG$3,Entries!$L97:$L97,1,FALSE))),"S",""))</f>
        <v/>
      </c>
      <c r="BH106" t="str">
        <f>IF(NOT(ISERROR(HLOOKUP(Standings!BH$3,Entries!$C97:$K97,1,FALSE))),"x",IF(NOT(ISERROR(HLOOKUP(Standings!BH$3,Entries!$L97:$L97,1,FALSE))),"S",""))</f>
        <v/>
      </c>
      <c r="BI106" t="str">
        <f>IF(NOT(ISERROR(HLOOKUP(Standings!BI$3,Entries!$C97:$K97,1,FALSE))),"x",IF(NOT(ISERROR(HLOOKUP(Standings!BI$3,Entries!$L97:$L97,1,FALSE))),"S",""))</f>
        <v/>
      </c>
      <c r="BJ106" t="str">
        <f>IF(NOT(ISERROR(HLOOKUP(Standings!BJ$3,Entries!$C97:$K97,1,FALSE))),"x",IF(NOT(ISERROR(HLOOKUP(Standings!BJ$3,Entries!$L97:$L97,1,FALSE))),"S",""))</f>
        <v/>
      </c>
      <c r="BK106" t="str">
        <f>IF(NOT(ISERROR(HLOOKUP(Standings!BK$3,Entries!$C97:$K97,1,FALSE))),"x",IF(NOT(ISERROR(HLOOKUP(Standings!BK$3,Entries!$L97:$L97,1,FALSE))),"S",""))</f>
        <v/>
      </c>
      <c r="BL106" t="str">
        <f>IF(NOT(ISERROR(HLOOKUP(Standings!BL$3,Entries!$C97:$K97,1,FALSE))),"x",IF(NOT(ISERROR(HLOOKUP(Standings!BL$3,Entries!$L97:$L97,1,FALSE))),"S",""))</f>
        <v/>
      </c>
      <c r="BM106" t="str">
        <f>IF(NOT(ISERROR(HLOOKUP(Standings!BM$3,Entries!$C97:$K97,1,FALSE))),"x",IF(NOT(ISERROR(HLOOKUP(Standings!BM$3,Entries!$L97:$L97,1,FALSE))),"S",""))</f>
        <v/>
      </c>
      <c r="BN106" t="str">
        <f>IF(NOT(ISERROR(HLOOKUP(Standings!BN$3,Entries!$C97:$K97,1,FALSE))),"x",IF(NOT(ISERROR(HLOOKUP(Standings!BN$3,Entries!$L97:$L97,1,FALSE))),"S",""))</f>
        <v/>
      </c>
      <c r="BO106" t="str">
        <f>IF(NOT(ISERROR(HLOOKUP(Standings!BO$3,Entries!$C97:$K97,1,FALSE))),"x",IF(NOT(ISERROR(HLOOKUP(Standings!BO$3,Entries!$L97:$L97,1,FALSE))),"S",""))</f>
        <v/>
      </c>
      <c r="BP106" t="str">
        <f>IF(NOT(ISERROR(HLOOKUP(Standings!BP$3,Entries!$C97:$K97,1,FALSE))),"x",IF(NOT(ISERROR(HLOOKUP(Standings!BP$3,Entries!$L97:$L97,1,FALSE))),"S",""))</f>
        <v/>
      </c>
      <c r="BQ106" t="str">
        <f>IF(NOT(ISERROR(HLOOKUP(Standings!BQ$3,Entries!$C97:$K97,1,FALSE))),"x",IF(NOT(ISERROR(HLOOKUP(Standings!BQ$3,Entries!$L97:$L97,1,FALSE))),"S",""))</f>
        <v/>
      </c>
      <c r="BR106" t="str">
        <f>IF(NOT(ISERROR(HLOOKUP(Standings!BR$3,Entries!$C97:$K97,1,FALSE))),"x",IF(NOT(ISERROR(HLOOKUP(Standings!BR$3,Entries!$L97:$L97,1,FALSE))),"S",""))</f>
        <v/>
      </c>
      <c r="BS106" t="str">
        <f>IF(NOT(ISERROR(HLOOKUP(Standings!BS$3,Entries!$C97:$K97,1,FALSE))),"x",IF(NOT(ISERROR(HLOOKUP(Standings!BS$3,Entries!$L97:$L97,1,FALSE))),"S",""))</f>
        <v/>
      </c>
      <c r="BT106" t="str">
        <f>IF(NOT(ISERROR(HLOOKUP(Standings!BT$3,Entries!$C97:$K97,1,FALSE))),"x",IF(NOT(ISERROR(HLOOKUP(Standings!BT$3,Entries!$L97:$L97,1,FALSE))),"S",""))</f>
        <v>S</v>
      </c>
      <c r="BU106" t="str">
        <f>IF(NOT(ISERROR(HLOOKUP(Standings!BU$3,Entries!$C97:$K97,1,FALSE))),"x",IF(NOT(ISERROR(HLOOKUP(Standings!BU$3,Entries!$L97:$L97,1,FALSE))),"S",""))</f>
        <v/>
      </c>
      <c r="BV106" t="str">
        <f>IF(NOT(ISERROR(HLOOKUP(Standings!BV$3,Entries!$C97:$K97,1,FALSE))),"x",IF(NOT(ISERROR(HLOOKUP(Standings!BV$3,Entries!$L97:$L97,1,FALSE))),"S",""))</f>
        <v>x</v>
      </c>
      <c r="BW106" t="str">
        <f>IF(NOT(ISERROR(HLOOKUP(Standings!BW$3,Entries!$C97:$K97,1,FALSE))),"x",IF(NOT(ISERROR(HLOOKUP(Standings!BW$3,Entries!$L97:$L97,1,FALSE))),"S",""))</f>
        <v/>
      </c>
      <c r="BX106" t="str">
        <f>IF(NOT(ISERROR(HLOOKUP(Standings!BX$3,Entries!$C97:$K97,1,FALSE))),"x",IF(NOT(ISERROR(HLOOKUP(Standings!BX$3,Entries!$L97:$L97,1,FALSE))),"S",""))</f>
        <v/>
      </c>
      <c r="BY106" t="str">
        <f>IF(NOT(ISERROR(HLOOKUP(Standings!BY$3,Entries!$C97:$K97,1,FALSE))),"x",IF(NOT(ISERROR(HLOOKUP(Standings!BY$3,Entries!$L97:$L97,1,FALSE))),"S",""))</f>
        <v/>
      </c>
      <c r="BZ106" t="str">
        <f>IF(NOT(ISERROR(HLOOKUP(Standings!BZ$3,Entries!$C97:$K97,1,FALSE))),"x",IF(NOT(ISERROR(HLOOKUP(Standings!BZ$3,Entries!$L97:$L97,1,FALSE))),"S",""))</f>
        <v>x</v>
      </c>
      <c r="CA106" t="str">
        <f>IF(NOT(ISERROR(HLOOKUP(Standings!CA$3,Entries!$C97:$K97,1,FALSE))),"x",IF(NOT(ISERROR(HLOOKUP(Standings!CA$3,Entries!$L97:$L97,1,FALSE))),"S",""))</f>
        <v/>
      </c>
      <c r="CB106" t="str">
        <f>IF(NOT(ISERROR(HLOOKUP(Standings!CB$3,Entries!$C97:$K97,1,FALSE))),"x",IF(NOT(ISERROR(HLOOKUP(Standings!CB$3,Entries!$L97:$L97,1,FALSE))),"S",""))</f>
        <v>x</v>
      </c>
      <c r="CC106" t="str">
        <f>IF(NOT(ISERROR(HLOOKUP(Standings!CC$3,Entries!$C97:$K97,1,FALSE))),"x",IF(NOT(ISERROR(HLOOKUP(Standings!CC$3,Entries!$L97:$L97,1,FALSE))),"S",""))</f>
        <v/>
      </c>
      <c r="CD106" t="str">
        <f>IF(NOT(ISERROR(HLOOKUP(Standings!CD$3,Entries!$C97:$K97,1,FALSE))),"x",IF(NOT(ISERROR(HLOOKUP(Standings!CD$3,Entries!$L97:$L97,1,FALSE))),"S",""))</f>
        <v/>
      </c>
      <c r="CE106" t="str">
        <f>IF(NOT(ISERROR(HLOOKUP(Standings!CE$3,Entries!$C97:$K97,1,FALSE))),"x",IF(NOT(ISERROR(HLOOKUP(Standings!CE$3,Entries!$L97:$L97,1,FALSE))),"S",""))</f>
        <v/>
      </c>
      <c r="CF106" t="str">
        <f>IF(NOT(ISERROR(HLOOKUP(Standings!CF$3,Entries!$C97:$K97,1,FALSE))),"x",IF(NOT(ISERROR(HLOOKUP(Standings!CF$3,Entries!$L97:$L97,1,FALSE))),"S",""))</f>
        <v>x</v>
      </c>
      <c r="CG106" t="str">
        <f>IF(NOT(ISERROR(HLOOKUP(Standings!CG$3,Entries!$C97:$K97,1,FALSE))),"x",IF(NOT(ISERROR(HLOOKUP(Standings!CG$3,Entries!$L97:$L97,1,FALSE))),"S",""))</f>
        <v/>
      </c>
      <c r="CH106" t="str">
        <f>IF(NOT(ISERROR(HLOOKUP(Standings!CH$3,Entries!$C97:$K97,1,FALSE))),"x",IF(NOT(ISERROR(HLOOKUP(Standings!CH$3,Entries!$L97:$L97,1,FALSE))),"S",""))</f>
        <v/>
      </c>
      <c r="CI106" t="str">
        <f>IF(NOT(ISERROR(HLOOKUP(Standings!CI$3,Entries!$C97:$K97,1,FALSE))),"x",IF(NOT(ISERROR(HLOOKUP(Standings!CI$3,Entries!$L97:$L97,1,FALSE))),"S",""))</f>
        <v/>
      </c>
      <c r="CJ106" t="str">
        <f>IF(NOT(ISERROR(HLOOKUP(Standings!CJ$3,Entries!$C97:$K97,1,FALSE))),"x",IF(NOT(ISERROR(HLOOKUP(Standings!CJ$3,Entries!$L97:$L97,1,FALSE))),"S",""))</f>
        <v/>
      </c>
      <c r="CK106" t="str">
        <f>IF(NOT(ISERROR(HLOOKUP(Standings!CK$3,Entries!$C97:$K97,1,FALSE))),"x",IF(NOT(ISERROR(HLOOKUP(Standings!CK$3,Entries!$L97:$L97,1,FALSE))),"S",""))</f>
        <v/>
      </c>
      <c r="CL106" t="str">
        <f>IF(NOT(ISERROR(HLOOKUP(Standings!CL$3,Entries!$C97:$K97,1,FALSE))),"x",IF(NOT(ISERROR(HLOOKUP(Standings!CL$3,Entries!$L97:$L97,1,FALSE))),"S",""))</f>
        <v/>
      </c>
      <c r="CM106" t="str">
        <f>IF(NOT(ISERROR(HLOOKUP(Standings!CM$3,Entries!$C97:$K97,1,FALSE))),"x",IF(NOT(ISERROR(HLOOKUP(Standings!CM$3,Entries!$L97:$L97,1,FALSE))),"S",""))</f>
        <v/>
      </c>
      <c r="CN106" t="str">
        <f>IF(NOT(ISERROR(HLOOKUP(Standings!CN$3,Entries!$C97:$K97,1,FALSE))),"x",IF(NOT(ISERROR(HLOOKUP(Standings!CN$3,Entries!$L97:$L97,1,FALSE))),"S",""))</f>
        <v>x</v>
      </c>
      <c r="CO106" t="str">
        <f>IF(NOT(ISERROR(HLOOKUP(Standings!CO$3,Entries!$C97:$K97,1,FALSE))),"x",IF(NOT(ISERROR(HLOOKUP(Standings!CO$3,Entries!$L97:$L97,1,FALSE))),"S",""))</f>
        <v/>
      </c>
      <c r="CP106" t="str">
        <f>IF(NOT(ISERROR(HLOOKUP(Standings!CP$3,Entries!$C97:$K97,1,FALSE))),"x",IF(NOT(ISERROR(HLOOKUP(Standings!CP$3,Entries!$L97:$L97,1,FALSE))),"S",""))</f>
        <v/>
      </c>
      <c r="CQ106" t="str">
        <f>IF(NOT(ISERROR(HLOOKUP(Standings!CQ$3,Entries!$C97:$K97,1,FALSE))),"x",IF(NOT(ISERROR(HLOOKUP(Standings!CQ$3,Entries!$L97:$L97,1,FALSE))),"S",""))</f>
        <v/>
      </c>
      <c r="CR106" t="str">
        <f>IF(NOT(ISERROR(HLOOKUP(Standings!CR$3,Entries!$C97:$K97,1,FALSE))),"x",IF(NOT(ISERROR(HLOOKUP(Standings!CR$3,Entries!$L97:$L97,1,FALSE))),"S",""))</f>
        <v/>
      </c>
      <c r="CS106" t="str">
        <f>IF(NOT(ISERROR(HLOOKUP(Standings!CS$3,Entries!$C97:$K97,1,FALSE))),"x",IF(NOT(ISERROR(HLOOKUP(Standings!CS$3,Entries!$L97:$L97,1,FALSE))),"S",""))</f>
        <v>x</v>
      </c>
      <c r="CT106" t="str">
        <f>IF(NOT(ISERROR(HLOOKUP(Standings!CT$3,Entries!$C97:$K97,1,FALSE))),"x",IF(NOT(ISERROR(HLOOKUP(Standings!CT$3,Entries!$L97:$L97,1,FALSE))),"S",""))</f>
        <v/>
      </c>
      <c r="CU106" t="str">
        <f>IF(NOT(ISERROR(HLOOKUP(Standings!CU$3,Entries!$C97:$K97,1,FALSE))),"x",IF(NOT(ISERROR(HLOOKUP(Standings!CU$3,Entries!$L97:$L97,1,FALSE))),"S",""))</f>
        <v/>
      </c>
      <c r="CV106" t="str">
        <f>IF(NOT(ISERROR(HLOOKUP(Standings!CV$3,Entries!$C97:$K97,1,FALSE))),"x",IF(NOT(ISERROR(HLOOKUP(Standings!CV$3,Entries!$L97:$L97,1,FALSE))),"S",""))</f>
        <v/>
      </c>
      <c r="CW106" t="str">
        <f>IF(NOT(ISERROR(HLOOKUP(Standings!CW$3,Entries!$C97:$K97,1,FALSE))),"x",IF(NOT(ISERROR(HLOOKUP(Standings!CW$3,Entries!$L97:$L97,1,FALSE))),"S",""))</f>
        <v/>
      </c>
      <c r="CX106" t="str">
        <f>IF(NOT(ISERROR(HLOOKUP(Standings!CX$3,Entries!$C97:$K97,1,FALSE))),"x",IF(NOT(ISERROR(HLOOKUP(Standings!CX$3,Entries!$L97:$L97,1,FALSE))),"S",""))</f>
        <v/>
      </c>
      <c r="CY106" t="str">
        <f>IF(NOT(ISERROR(HLOOKUP(Standings!CY$3,Entries!$C97:$K97,1,FALSE))),"x",IF(NOT(ISERROR(HLOOKUP(Standings!CY$3,Entries!$L97:$L97,1,FALSE))),"S",""))</f>
        <v/>
      </c>
      <c r="CZ106" t="str">
        <f>IF(NOT(ISERROR(HLOOKUP(Standings!CZ$3,Entries!$C97:$K97,1,FALSE))),"x",IF(NOT(ISERROR(HLOOKUP(Standings!CZ$3,Entries!$L97:$L97,1,FALSE))),"S",""))</f>
        <v>x</v>
      </c>
      <c r="DA106" t="str">
        <f>IF(NOT(ISERROR(HLOOKUP(Standings!DA$3,Entries!$C97:$K97,1,FALSE))),"x",IF(NOT(ISERROR(HLOOKUP(Standings!DA$3,Entries!$L97:$L97,1,FALSE))),"S",""))</f>
        <v/>
      </c>
      <c r="DB106" t="str">
        <f>IF(NOT(ISERROR(HLOOKUP(Standings!DB$3,Entries!$C97:$K97,1,FALSE))),"x",IF(NOT(ISERROR(HLOOKUP(Standings!DB$3,Entries!$L97:$L97,1,FALSE))),"S",""))</f>
        <v>x</v>
      </c>
    </row>
    <row r="107" spans="1:106" x14ac:dyDescent="0.25">
      <c r="A107" s="18"/>
      <c r="B107">
        <v>26</v>
      </c>
      <c r="C107" t="str">
        <f>Entries!B98</f>
        <v>Tim F1</v>
      </c>
      <c r="D107" s="4">
        <f>IF(C107="","",RANK(E107,$E$10:$E$111))</f>
        <v>71</v>
      </c>
      <c r="E107" s="31">
        <f t="shared" si="247"/>
        <v>2</v>
      </c>
      <c r="F107" s="40" t="str">
        <f t="shared" si="248"/>
        <v/>
      </c>
      <c r="G107" s="41" t="str">
        <f t="shared" si="249"/>
        <v/>
      </c>
      <c r="H107" s="41" t="str">
        <f t="shared" si="250"/>
        <v/>
      </c>
      <c r="I107" s="42" t="str">
        <f t="shared" si="251"/>
        <v/>
      </c>
      <c r="J107" s="40" t="str">
        <f t="shared" si="252"/>
        <v/>
      </c>
      <c r="K107" s="41" t="str">
        <f t="shared" si="253"/>
        <v/>
      </c>
      <c r="L107" s="41" t="str">
        <f t="shared" si="254"/>
        <v/>
      </c>
      <c r="M107" s="42" t="str">
        <f t="shared" si="255"/>
        <v/>
      </c>
      <c r="N107" s="43" t="str">
        <f t="shared" si="256"/>
        <v/>
      </c>
      <c r="O107" s="41" t="str">
        <f t="shared" si="257"/>
        <v/>
      </c>
      <c r="P107" s="41" t="str">
        <f t="shared" si="258"/>
        <v/>
      </c>
      <c r="Q107" s="42" t="str">
        <f t="shared" si="259"/>
        <v/>
      </c>
      <c r="R107" s="40" t="str">
        <f t="shared" si="260"/>
        <v/>
      </c>
      <c r="S107" s="41" t="str">
        <f t="shared" si="261"/>
        <v/>
      </c>
      <c r="T107" s="43" t="str">
        <f t="shared" si="262"/>
        <v/>
      </c>
      <c r="U107" s="42" t="str">
        <f t="shared" si="263"/>
        <v/>
      </c>
      <c r="V107" s="40" t="str">
        <f t="shared" si="264"/>
        <v/>
      </c>
      <c r="W107" s="41" t="str">
        <f t="shared" si="265"/>
        <v/>
      </c>
      <c r="X107" s="41" t="str">
        <f t="shared" si="266"/>
        <v/>
      </c>
      <c r="Y107" s="42" t="str">
        <f t="shared" si="267"/>
        <v/>
      </c>
      <c r="Z107" s="40" t="str">
        <f t="shared" si="268"/>
        <v/>
      </c>
      <c r="AA107" s="41">
        <f t="shared" si="269"/>
        <v>1</v>
      </c>
      <c r="AB107" s="41" t="str">
        <f t="shared" si="270"/>
        <v/>
      </c>
      <c r="AC107" s="42" t="str">
        <f t="shared" si="271"/>
        <v/>
      </c>
      <c r="AD107" s="40" t="str">
        <f t="shared" si="272"/>
        <v/>
      </c>
      <c r="AE107" s="41" t="str">
        <f t="shared" si="273"/>
        <v/>
      </c>
      <c r="AF107" s="41" t="str">
        <f t="shared" si="274"/>
        <v/>
      </c>
      <c r="AG107" s="42" t="str">
        <f t="shared" si="275"/>
        <v/>
      </c>
      <c r="AH107" s="40">
        <f t="shared" si="276"/>
        <v>1</v>
      </c>
      <c r="AI107" s="41" t="str">
        <f t="shared" si="277"/>
        <v/>
      </c>
      <c r="AJ107" s="41" t="str">
        <f t="shared" si="278"/>
        <v/>
      </c>
      <c r="AK107" s="42" t="str">
        <f t="shared" si="279"/>
        <v/>
      </c>
      <c r="AL107" s="40" t="str">
        <f t="shared" si="280"/>
        <v/>
      </c>
      <c r="AM107" s="41" t="str">
        <f t="shared" si="281"/>
        <v/>
      </c>
      <c r="AN107" s="41" t="str">
        <f t="shared" si="282"/>
        <v/>
      </c>
      <c r="AO107" s="42" t="str">
        <f t="shared" si="283"/>
        <v/>
      </c>
      <c r="AP107" s="40" t="str">
        <f t="shared" si="284"/>
        <v/>
      </c>
      <c r="AQ107" s="41" t="str">
        <f t="shared" si="285"/>
        <v/>
      </c>
      <c r="AR107" s="41" t="str">
        <f t="shared" si="286"/>
        <v/>
      </c>
      <c r="AS107" s="42" t="str">
        <f t="shared" si="287"/>
        <v/>
      </c>
      <c r="AT107" s="40">
        <f t="shared" si="288"/>
        <v>-1.0000000000000001E-5</v>
      </c>
      <c r="AU107" s="41" t="str">
        <f t="shared" si="289"/>
        <v/>
      </c>
      <c r="AV107" s="41" t="str">
        <f t="shared" si="290"/>
        <v/>
      </c>
      <c r="AW107" s="42" t="str">
        <f t="shared" si="291"/>
        <v/>
      </c>
      <c r="AX107" s="40">
        <f t="shared" si="292"/>
        <v>0</v>
      </c>
      <c r="AY107" s="41" t="str">
        <f t="shared" si="293"/>
        <v/>
      </c>
      <c r="AZ107" s="41" t="str">
        <f t="shared" si="294"/>
        <v/>
      </c>
      <c r="BA107" s="42" t="str">
        <f t="shared" si="295"/>
        <v/>
      </c>
      <c r="BB107" s="37" t="s">
        <v>106</v>
      </c>
      <c r="BC107" s="21"/>
      <c r="BD107" s="21"/>
      <c r="BG107" t="str">
        <f>IF(NOT(ISERROR(HLOOKUP(Standings!BG$3,Entries!$C98:$K98,1,FALSE))),"x",IF(NOT(ISERROR(HLOOKUP(Standings!BG$3,Entries!$L98:$L98,1,FALSE))),"S",""))</f>
        <v/>
      </c>
      <c r="BH107" t="str">
        <f>IF(NOT(ISERROR(HLOOKUP(Standings!BH$3,Entries!$C98:$K98,1,FALSE))),"x",IF(NOT(ISERROR(HLOOKUP(Standings!BH$3,Entries!$L98:$L98,1,FALSE))),"S",""))</f>
        <v/>
      </c>
      <c r="BI107" t="str">
        <f>IF(NOT(ISERROR(HLOOKUP(Standings!BI$3,Entries!$C98:$K98,1,FALSE))),"x",IF(NOT(ISERROR(HLOOKUP(Standings!BI$3,Entries!$L98:$L98,1,FALSE))),"S",""))</f>
        <v/>
      </c>
      <c r="BJ107" t="str">
        <f>IF(NOT(ISERROR(HLOOKUP(Standings!BJ$3,Entries!$C98:$K98,1,FALSE))),"x",IF(NOT(ISERROR(HLOOKUP(Standings!BJ$3,Entries!$L98:$L98,1,FALSE))),"S",""))</f>
        <v/>
      </c>
      <c r="BK107" t="str">
        <f>IF(NOT(ISERROR(HLOOKUP(Standings!BK$3,Entries!$C98:$K98,1,FALSE))),"x",IF(NOT(ISERROR(HLOOKUP(Standings!BK$3,Entries!$L98:$L98,1,FALSE))),"S",""))</f>
        <v/>
      </c>
      <c r="BL107" t="str">
        <f>IF(NOT(ISERROR(HLOOKUP(Standings!BL$3,Entries!$C98:$K98,1,FALSE))),"x",IF(NOT(ISERROR(HLOOKUP(Standings!BL$3,Entries!$L98:$L98,1,FALSE))),"S",""))</f>
        <v/>
      </c>
      <c r="BM107" t="str">
        <f>IF(NOT(ISERROR(HLOOKUP(Standings!BM$3,Entries!$C98:$K98,1,FALSE))),"x",IF(NOT(ISERROR(HLOOKUP(Standings!BM$3,Entries!$L98:$L98,1,FALSE))),"S",""))</f>
        <v/>
      </c>
      <c r="BN107" t="str">
        <f>IF(NOT(ISERROR(HLOOKUP(Standings!BN$3,Entries!$C98:$K98,1,FALSE))),"x",IF(NOT(ISERROR(HLOOKUP(Standings!BN$3,Entries!$L98:$L98,1,FALSE))),"S",""))</f>
        <v/>
      </c>
      <c r="BO107" t="str">
        <f>IF(NOT(ISERROR(HLOOKUP(Standings!BO$3,Entries!$C98:$K98,1,FALSE))),"x",IF(NOT(ISERROR(HLOOKUP(Standings!BO$3,Entries!$L98:$L98,1,FALSE))),"S",""))</f>
        <v/>
      </c>
      <c r="BP107" t="str">
        <f>IF(NOT(ISERROR(HLOOKUP(Standings!BP$3,Entries!$C98:$K98,1,FALSE))),"x",IF(NOT(ISERROR(HLOOKUP(Standings!BP$3,Entries!$L98:$L98,1,FALSE))),"S",""))</f>
        <v/>
      </c>
      <c r="BQ107" t="str">
        <f>IF(NOT(ISERROR(HLOOKUP(Standings!BQ$3,Entries!$C98:$K98,1,FALSE))),"x",IF(NOT(ISERROR(HLOOKUP(Standings!BQ$3,Entries!$L98:$L98,1,FALSE))),"S",""))</f>
        <v/>
      </c>
      <c r="BR107" t="str">
        <f>IF(NOT(ISERROR(HLOOKUP(Standings!BR$3,Entries!$C98:$K98,1,FALSE))),"x",IF(NOT(ISERROR(HLOOKUP(Standings!BR$3,Entries!$L98:$L98,1,FALSE))),"S",""))</f>
        <v/>
      </c>
      <c r="BS107" t="str">
        <f>IF(NOT(ISERROR(HLOOKUP(Standings!BS$3,Entries!$C98:$K98,1,FALSE))),"x",IF(NOT(ISERROR(HLOOKUP(Standings!BS$3,Entries!$L98:$L98,1,FALSE))),"S",""))</f>
        <v/>
      </c>
      <c r="BT107" t="str">
        <f>IF(NOT(ISERROR(HLOOKUP(Standings!BT$3,Entries!$C98:$K98,1,FALSE))),"x",IF(NOT(ISERROR(HLOOKUP(Standings!BT$3,Entries!$L98:$L98,1,FALSE))),"S",""))</f>
        <v/>
      </c>
      <c r="BU107" t="str">
        <f>IF(NOT(ISERROR(HLOOKUP(Standings!BU$3,Entries!$C98:$K98,1,FALSE))),"x",IF(NOT(ISERROR(HLOOKUP(Standings!BU$3,Entries!$L98:$L98,1,FALSE))),"S",""))</f>
        <v/>
      </c>
      <c r="BV107" t="str">
        <f>IF(NOT(ISERROR(HLOOKUP(Standings!BV$3,Entries!$C98:$K98,1,FALSE))),"x",IF(NOT(ISERROR(HLOOKUP(Standings!BV$3,Entries!$L98:$L98,1,FALSE))),"S",""))</f>
        <v/>
      </c>
      <c r="BW107" t="str">
        <f>IF(NOT(ISERROR(HLOOKUP(Standings!BW$3,Entries!$C98:$K98,1,FALSE))),"x",IF(NOT(ISERROR(HLOOKUP(Standings!BW$3,Entries!$L98:$L98,1,FALSE))),"S",""))</f>
        <v/>
      </c>
      <c r="BX107" t="str">
        <f>IF(NOT(ISERROR(HLOOKUP(Standings!BX$3,Entries!$C98:$K98,1,FALSE))),"x",IF(NOT(ISERROR(HLOOKUP(Standings!BX$3,Entries!$L98:$L98,1,FALSE))),"S",""))</f>
        <v/>
      </c>
      <c r="BY107" t="str">
        <f>IF(NOT(ISERROR(HLOOKUP(Standings!BY$3,Entries!$C98:$K98,1,FALSE))),"x",IF(NOT(ISERROR(HLOOKUP(Standings!BY$3,Entries!$L98:$L98,1,FALSE))),"S",""))</f>
        <v/>
      </c>
      <c r="BZ107" t="str">
        <f>IF(NOT(ISERROR(HLOOKUP(Standings!BZ$3,Entries!$C98:$K98,1,FALSE))),"x",IF(NOT(ISERROR(HLOOKUP(Standings!BZ$3,Entries!$L98:$L98,1,FALSE))),"S",""))</f>
        <v/>
      </c>
      <c r="CA107" t="str">
        <f>IF(NOT(ISERROR(HLOOKUP(Standings!CA$3,Entries!$C98:$K98,1,FALSE))),"x",IF(NOT(ISERROR(HLOOKUP(Standings!CA$3,Entries!$L98:$L98,1,FALSE))),"S",""))</f>
        <v/>
      </c>
      <c r="CB107" t="str">
        <f>IF(NOT(ISERROR(HLOOKUP(Standings!CB$3,Entries!$C98:$K98,1,FALSE))),"x",IF(NOT(ISERROR(HLOOKUP(Standings!CB$3,Entries!$L98:$L98,1,FALSE))),"S",""))</f>
        <v>x</v>
      </c>
      <c r="CC107" t="str">
        <f>IF(NOT(ISERROR(HLOOKUP(Standings!CC$3,Entries!$C98:$K98,1,FALSE))),"x",IF(NOT(ISERROR(HLOOKUP(Standings!CC$3,Entries!$L98:$L98,1,FALSE))),"S",""))</f>
        <v/>
      </c>
      <c r="CD107" t="str">
        <f>IF(NOT(ISERROR(HLOOKUP(Standings!CD$3,Entries!$C98:$K98,1,FALSE))),"x",IF(NOT(ISERROR(HLOOKUP(Standings!CD$3,Entries!$L98:$L98,1,FALSE))),"S",""))</f>
        <v/>
      </c>
      <c r="CE107" t="str">
        <f>IF(NOT(ISERROR(HLOOKUP(Standings!CE$3,Entries!$C98:$K98,1,FALSE))),"x",IF(NOT(ISERROR(HLOOKUP(Standings!CE$3,Entries!$L98:$L98,1,FALSE))),"S",""))</f>
        <v/>
      </c>
      <c r="CF107" t="str">
        <f>IF(NOT(ISERROR(HLOOKUP(Standings!CF$3,Entries!$C98:$K98,1,FALSE))),"x",IF(NOT(ISERROR(HLOOKUP(Standings!CF$3,Entries!$L98:$L98,1,FALSE))),"S",""))</f>
        <v/>
      </c>
      <c r="CG107" t="str">
        <f>IF(NOT(ISERROR(HLOOKUP(Standings!CG$3,Entries!$C98:$K98,1,FALSE))),"x",IF(NOT(ISERROR(HLOOKUP(Standings!CG$3,Entries!$L98:$L98,1,FALSE))),"S",""))</f>
        <v/>
      </c>
      <c r="CH107" t="str">
        <f>IF(NOT(ISERROR(HLOOKUP(Standings!CH$3,Entries!$C98:$K98,1,FALSE))),"x",IF(NOT(ISERROR(HLOOKUP(Standings!CH$3,Entries!$L98:$L98,1,FALSE))),"S",""))</f>
        <v/>
      </c>
      <c r="CI107" t="str">
        <f>IF(NOT(ISERROR(HLOOKUP(Standings!CI$3,Entries!$C98:$K98,1,FALSE))),"x",IF(NOT(ISERROR(HLOOKUP(Standings!CI$3,Entries!$L98:$L98,1,FALSE))),"S",""))</f>
        <v>x</v>
      </c>
      <c r="CJ107" t="str">
        <f>IF(NOT(ISERROR(HLOOKUP(Standings!CJ$3,Entries!$C98:$K98,1,FALSE))),"x",IF(NOT(ISERROR(HLOOKUP(Standings!CJ$3,Entries!$L98:$L98,1,FALSE))),"S",""))</f>
        <v/>
      </c>
      <c r="CK107" t="str">
        <f>IF(NOT(ISERROR(HLOOKUP(Standings!CK$3,Entries!$C98:$K98,1,FALSE))),"x",IF(NOT(ISERROR(HLOOKUP(Standings!CK$3,Entries!$L98:$L98,1,FALSE))),"S",""))</f>
        <v/>
      </c>
      <c r="CL107" t="str">
        <f>IF(NOT(ISERROR(HLOOKUP(Standings!CL$3,Entries!$C98:$K98,1,FALSE))),"x",IF(NOT(ISERROR(HLOOKUP(Standings!CL$3,Entries!$L98:$L98,1,FALSE))),"S",""))</f>
        <v/>
      </c>
      <c r="CM107" t="str">
        <f>IF(NOT(ISERROR(HLOOKUP(Standings!CM$3,Entries!$C98:$K98,1,FALSE))),"x",IF(NOT(ISERROR(HLOOKUP(Standings!CM$3,Entries!$L98:$L98,1,FALSE))),"S",""))</f>
        <v/>
      </c>
      <c r="CN107" t="str">
        <f>IF(NOT(ISERROR(HLOOKUP(Standings!CN$3,Entries!$C98:$K98,1,FALSE))),"x",IF(NOT(ISERROR(HLOOKUP(Standings!CN$3,Entries!$L98:$L98,1,FALSE))),"S",""))</f>
        <v/>
      </c>
      <c r="CO107" t="str">
        <f>IF(NOT(ISERROR(HLOOKUP(Standings!CO$3,Entries!$C98:$K98,1,FALSE))),"x",IF(NOT(ISERROR(HLOOKUP(Standings!CO$3,Entries!$L98:$L98,1,FALSE))),"S",""))</f>
        <v/>
      </c>
      <c r="CP107" t="str">
        <f>IF(NOT(ISERROR(HLOOKUP(Standings!CP$3,Entries!$C98:$K98,1,FALSE))),"x",IF(NOT(ISERROR(HLOOKUP(Standings!CP$3,Entries!$L98:$L98,1,FALSE))),"S",""))</f>
        <v/>
      </c>
      <c r="CQ107" t="str">
        <f>IF(NOT(ISERROR(HLOOKUP(Standings!CQ$3,Entries!$C98:$K98,1,FALSE))),"x",IF(NOT(ISERROR(HLOOKUP(Standings!CQ$3,Entries!$L98:$L98,1,FALSE))),"S",""))</f>
        <v/>
      </c>
      <c r="CR107" t="str">
        <f>IF(NOT(ISERROR(HLOOKUP(Standings!CR$3,Entries!$C98:$K98,1,FALSE))),"x",IF(NOT(ISERROR(HLOOKUP(Standings!CR$3,Entries!$L98:$L98,1,FALSE))),"S",""))</f>
        <v/>
      </c>
      <c r="CS107" t="str">
        <f>IF(NOT(ISERROR(HLOOKUP(Standings!CS$3,Entries!$C98:$K98,1,FALSE))),"x",IF(NOT(ISERROR(HLOOKUP(Standings!CS$3,Entries!$L98:$L98,1,FALSE))),"S",""))</f>
        <v/>
      </c>
      <c r="CT107" t="str">
        <f>IF(NOT(ISERROR(HLOOKUP(Standings!CT$3,Entries!$C98:$K98,1,FALSE))),"x",IF(NOT(ISERROR(HLOOKUP(Standings!CT$3,Entries!$L98:$L98,1,FALSE))),"S",""))</f>
        <v/>
      </c>
      <c r="CU107" t="str">
        <f>IF(NOT(ISERROR(HLOOKUP(Standings!CU$3,Entries!$C98:$K98,1,FALSE))),"x",IF(NOT(ISERROR(HLOOKUP(Standings!CU$3,Entries!$L98:$L98,1,FALSE))),"S",""))</f>
        <v>S</v>
      </c>
      <c r="CV107" t="str">
        <f>IF(NOT(ISERROR(HLOOKUP(Standings!CV$3,Entries!$C98:$K98,1,FALSE))),"x",IF(NOT(ISERROR(HLOOKUP(Standings!CV$3,Entries!$L98:$L98,1,FALSE))),"S",""))</f>
        <v/>
      </c>
      <c r="CW107" t="str">
        <f>IF(NOT(ISERROR(HLOOKUP(Standings!CW$3,Entries!$C98:$K98,1,FALSE))),"x",IF(NOT(ISERROR(HLOOKUP(Standings!CW$3,Entries!$L98:$L98,1,FALSE))),"S",""))</f>
        <v/>
      </c>
      <c r="CX107" t="str">
        <f>IF(NOT(ISERROR(HLOOKUP(Standings!CX$3,Entries!$C98:$K98,1,FALSE))),"x",IF(NOT(ISERROR(HLOOKUP(Standings!CX$3,Entries!$L98:$L98,1,FALSE))),"S",""))</f>
        <v/>
      </c>
      <c r="CY107" t="str">
        <f>IF(NOT(ISERROR(HLOOKUP(Standings!CY$3,Entries!$C98:$K98,1,FALSE))),"x",IF(NOT(ISERROR(HLOOKUP(Standings!CY$3,Entries!$L98:$L98,1,FALSE))),"S",""))</f>
        <v>x</v>
      </c>
      <c r="CZ107" t="str">
        <f>IF(NOT(ISERROR(HLOOKUP(Standings!CZ$3,Entries!$C98:$K98,1,FALSE))),"x",IF(NOT(ISERROR(HLOOKUP(Standings!CZ$3,Entries!$L98:$L98,1,FALSE))),"S",""))</f>
        <v/>
      </c>
      <c r="DA107" t="str">
        <f>IF(NOT(ISERROR(HLOOKUP(Standings!DA$3,Entries!$C98:$K98,1,FALSE))),"x",IF(NOT(ISERROR(HLOOKUP(Standings!DA$3,Entries!$L98:$L98,1,FALSE))),"S",""))</f>
        <v/>
      </c>
      <c r="DB107" t="str">
        <f>IF(NOT(ISERROR(HLOOKUP(Standings!DB$3,Entries!$C98:$K98,1,FALSE))),"x",IF(NOT(ISERROR(HLOOKUP(Standings!DB$3,Entries!$L98:$L98,1,FALSE))),"S",""))</f>
        <v/>
      </c>
    </row>
    <row r="108" spans="1:106" x14ac:dyDescent="0.25">
      <c r="A108" s="18"/>
      <c r="B108">
        <v>26</v>
      </c>
      <c r="C108" t="str">
        <f>Entries!B99</f>
        <v>Tim F2</v>
      </c>
      <c r="D108" s="4">
        <f>IF(C108="","",RANK(E108,$E$10:$E$111))</f>
        <v>71</v>
      </c>
      <c r="E108" s="31">
        <f t="shared" si="247"/>
        <v>2</v>
      </c>
      <c r="F108" s="40" t="str">
        <f t="shared" si="248"/>
        <v/>
      </c>
      <c r="G108" s="41" t="str">
        <f t="shared" si="249"/>
        <v/>
      </c>
      <c r="H108" s="41" t="str">
        <f t="shared" si="250"/>
        <v/>
      </c>
      <c r="I108" s="42" t="str">
        <f t="shared" si="251"/>
        <v/>
      </c>
      <c r="J108" s="40" t="str">
        <f t="shared" si="252"/>
        <v/>
      </c>
      <c r="K108" s="41" t="str">
        <f t="shared" si="253"/>
        <v/>
      </c>
      <c r="L108" s="41" t="str">
        <f t="shared" si="254"/>
        <v/>
      </c>
      <c r="M108" s="42" t="str">
        <f t="shared" si="255"/>
        <v/>
      </c>
      <c r="N108" s="43" t="str">
        <f t="shared" si="256"/>
        <v/>
      </c>
      <c r="O108" s="41" t="str">
        <f t="shared" si="257"/>
        <v/>
      </c>
      <c r="P108" s="41" t="str">
        <f t="shared" si="258"/>
        <v/>
      </c>
      <c r="Q108" s="42" t="str">
        <f t="shared" si="259"/>
        <v/>
      </c>
      <c r="R108" s="40">
        <f t="shared" si="260"/>
        <v>2</v>
      </c>
      <c r="S108" s="41" t="str">
        <f t="shared" si="261"/>
        <v/>
      </c>
      <c r="T108" s="43" t="str">
        <f t="shared" si="262"/>
        <v/>
      </c>
      <c r="U108" s="42" t="str">
        <f t="shared" si="263"/>
        <v/>
      </c>
      <c r="V108" s="40" t="str">
        <f t="shared" si="264"/>
        <v/>
      </c>
      <c r="W108" s="41" t="str">
        <f t="shared" si="265"/>
        <v/>
      </c>
      <c r="X108" s="41" t="str">
        <f t="shared" si="266"/>
        <v/>
      </c>
      <c r="Y108" s="42" t="str">
        <f t="shared" si="267"/>
        <v/>
      </c>
      <c r="Z108" s="40" t="str">
        <f t="shared" si="268"/>
        <v/>
      </c>
      <c r="AA108" s="41" t="str">
        <f t="shared" si="269"/>
        <v/>
      </c>
      <c r="AB108" s="41" t="str">
        <f t="shared" si="270"/>
        <v/>
      </c>
      <c r="AC108" s="42" t="str">
        <f t="shared" si="271"/>
        <v/>
      </c>
      <c r="AD108" s="40" t="str">
        <f t="shared" si="272"/>
        <v/>
      </c>
      <c r="AE108" s="41" t="str">
        <f t="shared" si="273"/>
        <v/>
      </c>
      <c r="AF108" s="41" t="str">
        <f t="shared" si="274"/>
        <v/>
      </c>
      <c r="AG108" s="42" t="str">
        <f t="shared" si="275"/>
        <v/>
      </c>
      <c r="AH108" s="40" t="str">
        <f t="shared" si="276"/>
        <v/>
      </c>
      <c r="AI108" s="41" t="str">
        <f t="shared" si="277"/>
        <v/>
      </c>
      <c r="AJ108" s="41" t="str">
        <f t="shared" si="278"/>
        <v/>
      </c>
      <c r="AK108" s="42" t="str">
        <f t="shared" si="279"/>
        <v/>
      </c>
      <c r="AL108" s="40">
        <f t="shared" si="280"/>
        <v>0</v>
      </c>
      <c r="AM108" s="41" t="str">
        <f t="shared" si="281"/>
        <v/>
      </c>
      <c r="AN108" s="41" t="str">
        <f t="shared" si="282"/>
        <v/>
      </c>
      <c r="AO108" s="42" t="str">
        <f t="shared" si="283"/>
        <v/>
      </c>
      <c r="AP108" s="40">
        <f t="shared" si="284"/>
        <v>0</v>
      </c>
      <c r="AQ108" s="41" t="str">
        <f t="shared" si="285"/>
        <v/>
      </c>
      <c r="AR108" s="41" t="str">
        <f t="shared" si="286"/>
        <v/>
      </c>
      <c r="AS108" s="42" t="str">
        <f t="shared" si="287"/>
        <v/>
      </c>
      <c r="AT108" s="40">
        <f t="shared" si="288"/>
        <v>-1.0000000000000001E-5</v>
      </c>
      <c r="AU108" s="41" t="str">
        <f t="shared" si="289"/>
        <v/>
      </c>
      <c r="AV108" s="41" t="str">
        <f t="shared" si="290"/>
        <v/>
      </c>
      <c r="AW108" s="42" t="str">
        <f t="shared" si="291"/>
        <v/>
      </c>
      <c r="AX108" s="40" t="str">
        <f t="shared" si="292"/>
        <v/>
      </c>
      <c r="AY108" s="41" t="str">
        <f t="shared" si="293"/>
        <v/>
      </c>
      <c r="AZ108" s="41" t="str">
        <f t="shared" si="294"/>
        <v/>
      </c>
      <c r="BA108" s="42">
        <f t="shared" si="295"/>
        <v>0</v>
      </c>
      <c r="BB108" s="37" t="s">
        <v>106</v>
      </c>
      <c r="BC108" s="21"/>
      <c r="BD108" s="21"/>
      <c r="BG108" t="str">
        <f>IF(NOT(ISERROR(HLOOKUP(Standings!BG$3,Entries!$C99:$K99,1,FALSE))),"x",IF(NOT(ISERROR(HLOOKUP(Standings!BG$3,Entries!$L99:$L99,1,FALSE))),"S",""))</f>
        <v/>
      </c>
      <c r="BH108" t="str">
        <f>IF(NOT(ISERROR(HLOOKUP(Standings!BH$3,Entries!$C99:$K99,1,FALSE))),"x",IF(NOT(ISERROR(HLOOKUP(Standings!BH$3,Entries!$L99:$L99,1,FALSE))),"S",""))</f>
        <v/>
      </c>
      <c r="BI108" t="str">
        <f>IF(NOT(ISERROR(HLOOKUP(Standings!BI$3,Entries!$C99:$K99,1,FALSE))),"x",IF(NOT(ISERROR(HLOOKUP(Standings!BI$3,Entries!$L99:$L99,1,FALSE))),"S",""))</f>
        <v/>
      </c>
      <c r="BJ108" t="str">
        <f>IF(NOT(ISERROR(HLOOKUP(Standings!BJ$3,Entries!$C99:$K99,1,FALSE))),"x",IF(NOT(ISERROR(HLOOKUP(Standings!BJ$3,Entries!$L99:$L99,1,FALSE))),"S",""))</f>
        <v/>
      </c>
      <c r="BK108" t="str">
        <f>IF(NOT(ISERROR(HLOOKUP(Standings!BK$3,Entries!$C99:$K99,1,FALSE))),"x",IF(NOT(ISERROR(HLOOKUP(Standings!BK$3,Entries!$L99:$L99,1,FALSE))),"S",""))</f>
        <v/>
      </c>
      <c r="BL108" t="str">
        <f>IF(NOT(ISERROR(HLOOKUP(Standings!BL$3,Entries!$C99:$K99,1,FALSE))),"x",IF(NOT(ISERROR(HLOOKUP(Standings!BL$3,Entries!$L99:$L99,1,FALSE))),"S",""))</f>
        <v/>
      </c>
      <c r="BM108" t="str">
        <f>IF(NOT(ISERROR(HLOOKUP(Standings!BM$3,Entries!$C99:$K99,1,FALSE))),"x",IF(NOT(ISERROR(HLOOKUP(Standings!BM$3,Entries!$L99:$L99,1,FALSE))),"S",""))</f>
        <v/>
      </c>
      <c r="BN108" t="str">
        <f>IF(NOT(ISERROR(HLOOKUP(Standings!BN$3,Entries!$C99:$K99,1,FALSE))),"x",IF(NOT(ISERROR(HLOOKUP(Standings!BN$3,Entries!$L99:$L99,1,FALSE))),"S",""))</f>
        <v/>
      </c>
      <c r="BO108" t="str">
        <f>IF(NOT(ISERROR(HLOOKUP(Standings!BO$3,Entries!$C99:$K99,1,FALSE))),"x",IF(NOT(ISERROR(HLOOKUP(Standings!BO$3,Entries!$L99:$L99,1,FALSE))),"S",""))</f>
        <v/>
      </c>
      <c r="BP108" t="str">
        <f>IF(NOT(ISERROR(HLOOKUP(Standings!BP$3,Entries!$C99:$K99,1,FALSE))),"x",IF(NOT(ISERROR(HLOOKUP(Standings!BP$3,Entries!$L99:$L99,1,FALSE))),"S",""))</f>
        <v/>
      </c>
      <c r="BQ108" t="str">
        <f>IF(NOT(ISERROR(HLOOKUP(Standings!BQ$3,Entries!$C99:$K99,1,FALSE))),"x",IF(NOT(ISERROR(HLOOKUP(Standings!BQ$3,Entries!$L99:$L99,1,FALSE))),"S",""))</f>
        <v/>
      </c>
      <c r="BR108" t="str">
        <f>IF(NOT(ISERROR(HLOOKUP(Standings!BR$3,Entries!$C99:$K99,1,FALSE))),"x",IF(NOT(ISERROR(HLOOKUP(Standings!BR$3,Entries!$L99:$L99,1,FALSE))),"S",""))</f>
        <v/>
      </c>
      <c r="BS108" t="str">
        <f>IF(NOT(ISERROR(HLOOKUP(Standings!BS$3,Entries!$C99:$K99,1,FALSE))),"x",IF(NOT(ISERROR(HLOOKUP(Standings!BS$3,Entries!$L99:$L99,1,FALSE))),"S",""))</f>
        <v>x</v>
      </c>
      <c r="BT108" t="str">
        <f>IF(NOT(ISERROR(HLOOKUP(Standings!BT$3,Entries!$C99:$K99,1,FALSE))),"x",IF(NOT(ISERROR(HLOOKUP(Standings!BT$3,Entries!$L99:$L99,1,FALSE))),"S",""))</f>
        <v/>
      </c>
      <c r="BU108" t="str">
        <f>IF(NOT(ISERROR(HLOOKUP(Standings!BU$3,Entries!$C99:$K99,1,FALSE))),"x",IF(NOT(ISERROR(HLOOKUP(Standings!BU$3,Entries!$L99:$L99,1,FALSE))),"S",""))</f>
        <v/>
      </c>
      <c r="BV108" t="str">
        <f>IF(NOT(ISERROR(HLOOKUP(Standings!BV$3,Entries!$C99:$K99,1,FALSE))),"x",IF(NOT(ISERROR(HLOOKUP(Standings!BV$3,Entries!$L99:$L99,1,FALSE))),"S",""))</f>
        <v/>
      </c>
      <c r="BW108" t="str">
        <f>IF(NOT(ISERROR(HLOOKUP(Standings!BW$3,Entries!$C99:$K99,1,FALSE))),"x",IF(NOT(ISERROR(HLOOKUP(Standings!BW$3,Entries!$L99:$L99,1,FALSE))),"S",""))</f>
        <v/>
      </c>
      <c r="BX108" t="str">
        <f>IF(NOT(ISERROR(HLOOKUP(Standings!BX$3,Entries!$C99:$K99,1,FALSE))),"x",IF(NOT(ISERROR(HLOOKUP(Standings!BX$3,Entries!$L99:$L99,1,FALSE))),"S",""))</f>
        <v/>
      </c>
      <c r="BY108" t="str">
        <f>IF(NOT(ISERROR(HLOOKUP(Standings!BY$3,Entries!$C99:$K99,1,FALSE))),"x",IF(NOT(ISERROR(HLOOKUP(Standings!BY$3,Entries!$L99:$L99,1,FALSE))),"S",""))</f>
        <v/>
      </c>
      <c r="BZ108" t="str">
        <f>IF(NOT(ISERROR(HLOOKUP(Standings!BZ$3,Entries!$C99:$K99,1,FALSE))),"x",IF(NOT(ISERROR(HLOOKUP(Standings!BZ$3,Entries!$L99:$L99,1,FALSE))),"S",""))</f>
        <v/>
      </c>
      <c r="CA108" t="str">
        <f>IF(NOT(ISERROR(HLOOKUP(Standings!CA$3,Entries!$C99:$K99,1,FALSE))),"x",IF(NOT(ISERROR(HLOOKUP(Standings!CA$3,Entries!$L99:$L99,1,FALSE))),"S",""))</f>
        <v/>
      </c>
      <c r="CB108" t="str">
        <f>IF(NOT(ISERROR(HLOOKUP(Standings!CB$3,Entries!$C99:$K99,1,FALSE))),"x",IF(NOT(ISERROR(HLOOKUP(Standings!CB$3,Entries!$L99:$L99,1,FALSE))),"S",""))</f>
        <v/>
      </c>
      <c r="CC108" t="str">
        <f>IF(NOT(ISERROR(HLOOKUP(Standings!CC$3,Entries!$C99:$K99,1,FALSE))),"x",IF(NOT(ISERROR(HLOOKUP(Standings!CC$3,Entries!$L99:$L99,1,FALSE))),"S",""))</f>
        <v/>
      </c>
      <c r="CD108" t="str">
        <f>IF(NOT(ISERROR(HLOOKUP(Standings!CD$3,Entries!$C99:$K99,1,FALSE))),"x",IF(NOT(ISERROR(HLOOKUP(Standings!CD$3,Entries!$L99:$L99,1,FALSE))),"S",""))</f>
        <v/>
      </c>
      <c r="CE108" t="str">
        <f>IF(NOT(ISERROR(HLOOKUP(Standings!CE$3,Entries!$C99:$K99,1,FALSE))),"x",IF(NOT(ISERROR(HLOOKUP(Standings!CE$3,Entries!$L99:$L99,1,FALSE))),"S",""))</f>
        <v/>
      </c>
      <c r="CF108" t="str">
        <f>IF(NOT(ISERROR(HLOOKUP(Standings!CF$3,Entries!$C99:$K99,1,FALSE))),"x",IF(NOT(ISERROR(HLOOKUP(Standings!CF$3,Entries!$L99:$L99,1,FALSE))),"S",""))</f>
        <v/>
      </c>
      <c r="CG108" t="str">
        <f>IF(NOT(ISERROR(HLOOKUP(Standings!CG$3,Entries!$C99:$K99,1,FALSE))),"x",IF(NOT(ISERROR(HLOOKUP(Standings!CG$3,Entries!$L99:$L99,1,FALSE))),"S",""))</f>
        <v/>
      </c>
      <c r="CH108" t="str">
        <f>IF(NOT(ISERROR(HLOOKUP(Standings!CH$3,Entries!$C99:$K99,1,FALSE))),"x",IF(NOT(ISERROR(HLOOKUP(Standings!CH$3,Entries!$L99:$L99,1,FALSE))),"S",""))</f>
        <v/>
      </c>
      <c r="CI108" t="str">
        <f>IF(NOT(ISERROR(HLOOKUP(Standings!CI$3,Entries!$C99:$K99,1,FALSE))),"x",IF(NOT(ISERROR(HLOOKUP(Standings!CI$3,Entries!$L99:$L99,1,FALSE))),"S",""))</f>
        <v/>
      </c>
      <c r="CJ108" t="str">
        <f>IF(NOT(ISERROR(HLOOKUP(Standings!CJ$3,Entries!$C99:$K99,1,FALSE))),"x",IF(NOT(ISERROR(HLOOKUP(Standings!CJ$3,Entries!$L99:$L99,1,FALSE))),"S",""))</f>
        <v/>
      </c>
      <c r="CK108" t="str">
        <f>IF(NOT(ISERROR(HLOOKUP(Standings!CK$3,Entries!$C99:$K99,1,FALSE))),"x",IF(NOT(ISERROR(HLOOKUP(Standings!CK$3,Entries!$L99:$L99,1,FALSE))),"S",""))</f>
        <v/>
      </c>
      <c r="CL108" t="str">
        <f>IF(NOT(ISERROR(HLOOKUP(Standings!CL$3,Entries!$C99:$K99,1,FALSE))),"x",IF(NOT(ISERROR(HLOOKUP(Standings!CL$3,Entries!$L99:$L99,1,FALSE))),"S",""))</f>
        <v/>
      </c>
      <c r="CM108" t="str">
        <f>IF(NOT(ISERROR(HLOOKUP(Standings!CM$3,Entries!$C99:$K99,1,FALSE))),"x",IF(NOT(ISERROR(HLOOKUP(Standings!CM$3,Entries!$L99:$L99,1,FALSE))),"S",""))</f>
        <v>x</v>
      </c>
      <c r="CN108" t="str">
        <f>IF(NOT(ISERROR(HLOOKUP(Standings!CN$3,Entries!$C99:$K99,1,FALSE))),"x",IF(NOT(ISERROR(HLOOKUP(Standings!CN$3,Entries!$L99:$L99,1,FALSE))),"S",""))</f>
        <v/>
      </c>
      <c r="CO108" t="str">
        <f>IF(NOT(ISERROR(HLOOKUP(Standings!CO$3,Entries!$C99:$K99,1,FALSE))),"x",IF(NOT(ISERROR(HLOOKUP(Standings!CO$3,Entries!$L99:$L99,1,FALSE))),"S",""))</f>
        <v/>
      </c>
      <c r="CP108" t="str">
        <f>IF(NOT(ISERROR(HLOOKUP(Standings!CP$3,Entries!$C99:$K99,1,FALSE))),"x",IF(NOT(ISERROR(HLOOKUP(Standings!CP$3,Entries!$L99:$L99,1,FALSE))),"S",""))</f>
        <v/>
      </c>
      <c r="CQ108" t="str">
        <f>IF(NOT(ISERROR(HLOOKUP(Standings!CQ$3,Entries!$C99:$K99,1,FALSE))),"x",IF(NOT(ISERROR(HLOOKUP(Standings!CQ$3,Entries!$L99:$L99,1,FALSE))),"S",""))</f>
        <v>x</v>
      </c>
      <c r="CR108" t="str">
        <f>IF(NOT(ISERROR(HLOOKUP(Standings!CR$3,Entries!$C99:$K99,1,FALSE))),"x",IF(NOT(ISERROR(HLOOKUP(Standings!CR$3,Entries!$L99:$L99,1,FALSE))),"S",""))</f>
        <v/>
      </c>
      <c r="CS108" t="str">
        <f>IF(NOT(ISERROR(HLOOKUP(Standings!CS$3,Entries!$C99:$K99,1,FALSE))),"x",IF(NOT(ISERROR(HLOOKUP(Standings!CS$3,Entries!$L99:$L99,1,FALSE))),"S",""))</f>
        <v/>
      </c>
      <c r="CT108" t="str">
        <f>IF(NOT(ISERROR(HLOOKUP(Standings!CT$3,Entries!$C99:$K99,1,FALSE))),"x",IF(NOT(ISERROR(HLOOKUP(Standings!CT$3,Entries!$L99:$L99,1,FALSE))),"S",""))</f>
        <v/>
      </c>
      <c r="CU108" t="str">
        <f>IF(NOT(ISERROR(HLOOKUP(Standings!CU$3,Entries!$C99:$K99,1,FALSE))),"x",IF(NOT(ISERROR(HLOOKUP(Standings!CU$3,Entries!$L99:$L99,1,FALSE))),"S",""))</f>
        <v>S</v>
      </c>
      <c r="CV108" t="str">
        <f>IF(NOT(ISERROR(HLOOKUP(Standings!CV$3,Entries!$C99:$K99,1,FALSE))),"x",IF(NOT(ISERROR(HLOOKUP(Standings!CV$3,Entries!$L99:$L99,1,FALSE))),"S",""))</f>
        <v/>
      </c>
      <c r="CW108" t="str">
        <f>IF(NOT(ISERROR(HLOOKUP(Standings!CW$3,Entries!$C99:$K99,1,FALSE))),"x",IF(NOT(ISERROR(HLOOKUP(Standings!CW$3,Entries!$L99:$L99,1,FALSE))),"S",""))</f>
        <v/>
      </c>
      <c r="CX108" t="str">
        <f>IF(NOT(ISERROR(HLOOKUP(Standings!CX$3,Entries!$C99:$K99,1,FALSE))),"x",IF(NOT(ISERROR(HLOOKUP(Standings!CX$3,Entries!$L99:$L99,1,FALSE))),"S",""))</f>
        <v/>
      </c>
      <c r="CY108" t="str">
        <f>IF(NOT(ISERROR(HLOOKUP(Standings!CY$3,Entries!$C99:$K99,1,FALSE))),"x",IF(NOT(ISERROR(HLOOKUP(Standings!CY$3,Entries!$L99:$L99,1,FALSE))),"S",""))</f>
        <v/>
      </c>
      <c r="CZ108" t="str">
        <f>IF(NOT(ISERROR(HLOOKUP(Standings!CZ$3,Entries!$C99:$K99,1,FALSE))),"x",IF(NOT(ISERROR(HLOOKUP(Standings!CZ$3,Entries!$L99:$L99,1,FALSE))),"S",""))</f>
        <v/>
      </c>
      <c r="DA108" t="str">
        <f>IF(NOT(ISERROR(HLOOKUP(Standings!DA$3,Entries!$C99:$K99,1,FALSE))),"x",IF(NOT(ISERROR(HLOOKUP(Standings!DA$3,Entries!$L99:$L99,1,FALSE))),"S",""))</f>
        <v/>
      </c>
      <c r="DB108" t="str">
        <f>IF(NOT(ISERROR(HLOOKUP(Standings!DB$3,Entries!$C99:$K99,1,FALSE))),"x",IF(NOT(ISERROR(HLOOKUP(Standings!DB$3,Entries!$L99:$L99,1,FALSE))),"S",""))</f>
        <v>x</v>
      </c>
    </row>
    <row r="109" spans="1:106" x14ac:dyDescent="0.25">
      <c r="A109" s="18"/>
      <c r="B109">
        <v>26</v>
      </c>
      <c r="C109" t="str">
        <f>Entries!B100</f>
        <v>Andy F1</v>
      </c>
      <c r="D109" s="4">
        <f>IF(C109="","",RANK(E109,$E$10:$E$111))</f>
        <v>81</v>
      </c>
      <c r="E109" s="31">
        <f t="shared" si="247"/>
        <v>1</v>
      </c>
      <c r="F109" s="40" t="str">
        <f t="shared" si="248"/>
        <v/>
      </c>
      <c r="G109" s="41" t="str">
        <f t="shared" si="249"/>
        <v/>
      </c>
      <c r="H109" s="41" t="str">
        <f t="shared" si="250"/>
        <v/>
      </c>
      <c r="I109" s="42" t="str">
        <f t="shared" si="251"/>
        <v/>
      </c>
      <c r="J109" s="40" t="str">
        <f t="shared" si="252"/>
        <v/>
      </c>
      <c r="K109" s="41" t="str">
        <f t="shared" si="253"/>
        <v/>
      </c>
      <c r="L109" s="41" t="str">
        <f t="shared" si="254"/>
        <v/>
      </c>
      <c r="M109" s="42" t="str">
        <f t="shared" si="255"/>
        <v/>
      </c>
      <c r="N109" s="43" t="str">
        <f t="shared" si="256"/>
        <v/>
      </c>
      <c r="O109" s="41">
        <f t="shared" si="257"/>
        <v>1</v>
      </c>
      <c r="P109" s="41" t="str">
        <f t="shared" si="258"/>
        <v/>
      </c>
      <c r="Q109" s="42" t="str">
        <f t="shared" si="259"/>
        <v/>
      </c>
      <c r="R109" s="40" t="str">
        <f t="shared" si="260"/>
        <v/>
      </c>
      <c r="S109" s="41" t="str">
        <f t="shared" si="261"/>
        <v/>
      </c>
      <c r="T109" s="43" t="str">
        <f t="shared" si="262"/>
        <v/>
      </c>
      <c r="U109" s="42" t="str">
        <f t="shared" si="263"/>
        <v/>
      </c>
      <c r="V109" s="40" t="str">
        <f t="shared" si="264"/>
        <v/>
      </c>
      <c r="W109" s="41" t="str">
        <f t="shared" si="265"/>
        <v/>
      </c>
      <c r="X109" s="41" t="str">
        <f t="shared" si="266"/>
        <v/>
      </c>
      <c r="Y109" s="42" t="str">
        <f t="shared" si="267"/>
        <v/>
      </c>
      <c r="Z109" s="40" t="str">
        <f t="shared" si="268"/>
        <v/>
      </c>
      <c r="AA109" s="41" t="str">
        <f t="shared" si="269"/>
        <v/>
      </c>
      <c r="AB109" s="41" t="str">
        <f t="shared" si="270"/>
        <v/>
      </c>
      <c r="AC109" s="42" t="str">
        <f t="shared" si="271"/>
        <v/>
      </c>
      <c r="AD109" s="40" t="str">
        <f t="shared" si="272"/>
        <v/>
      </c>
      <c r="AE109" s="41" t="str">
        <f t="shared" si="273"/>
        <v/>
      </c>
      <c r="AF109" s="41" t="str">
        <f t="shared" si="274"/>
        <v/>
      </c>
      <c r="AG109" s="42" t="str">
        <f t="shared" si="275"/>
        <v/>
      </c>
      <c r="AH109" s="40" t="str">
        <f t="shared" si="276"/>
        <v/>
      </c>
      <c r="AI109" s="41" t="str">
        <f t="shared" si="277"/>
        <v/>
      </c>
      <c r="AJ109" s="41" t="str">
        <f t="shared" si="278"/>
        <v/>
      </c>
      <c r="AK109" s="42" t="str">
        <f t="shared" si="279"/>
        <v/>
      </c>
      <c r="AL109" s="40">
        <f t="shared" si="280"/>
        <v>0</v>
      </c>
      <c r="AM109" s="41" t="str">
        <f t="shared" si="281"/>
        <v/>
      </c>
      <c r="AN109" s="41" t="str">
        <f t="shared" si="282"/>
        <v/>
      </c>
      <c r="AO109" s="42" t="str">
        <f t="shared" si="283"/>
        <v/>
      </c>
      <c r="AP109" s="40" t="str">
        <f t="shared" si="284"/>
        <v/>
      </c>
      <c r="AQ109" s="41" t="str">
        <f t="shared" si="285"/>
        <v/>
      </c>
      <c r="AR109" s="41" t="str">
        <f t="shared" si="286"/>
        <v/>
      </c>
      <c r="AS109" s="42" t="str">
        <f t="shared" si="287"/>
        <v/>
      </c>
      <c r="AT109" s="40">
        <f t="shared" si="288"/>
        <v>-1.0000000000000001E-5</v>
      </c>
      <c r="AU109" s="41" t="str">
        <f t="shared" si="289"/>
        <v/>
      </c>
      <c r="AV109" s="41" t="str">
        <f t="shared" si="290"/>
        <v/>
      </c>
      <c r="AW109" s="42" t="str">
        <f t="shared" si="291"/>
        <v/>
      </c>
      <c r="AX109" s="40">
        <f t="shared" si="292"/>
        <v>0</v>
      </c>
      <c r="AY109" s="41" t="str">
        <f t="shared" si="293"/>
        <v/>
      </c>
      <c r="AZ109" s="41" t="str">
        <f t="shared" si="294"/>
        <v/>
      </c>
      <c r="BA109" s="42" t="str">
        <f t="shared" si="295"/>
        <v/>
      </c>
      <c r="BB109" s="37" t="s">
        <v>106</v>
      </c>
      <c r="BC109" s="21"/>
      <c r="BD109" s="21"/>
      <c r="BG109" t="str">
        <f>IF(NOT(ISERROR(HLOOKUP(Standings!BG$3,Entries!$C100:$K100,1,FALSE))),"x",IF(NOT(ISERROR(HLOOKUP(Standings!BG$3,Entries!$L100:$L100,1,FALSE))),"S",""))</f>
        <v/>
      </c>
      <c r="BH109" t="str">
        <f>IF(NOT(ISERROR(HLOOKUP(Standings!BH$3,Entries!$C100:$K100,1,FALSE))),"x",IF(NOT(ISERROR(HLOOKUP(Standings!BH$3,Entries!$L100:$L100,1,FALSE))),"S",""))</f>
        <v/>
      </c>
      <c r="BI109" t="str">
        <f>IF(NOT(ISERROR(HLOOKUP(Standings!BI$3,Entries!$C100:$K100,1,FALSE))),"x",IF(NOT(ISERROR(HLOOKUP(Standings!BI$3,Entries!$L100:$L100,1,FALSE))),"S",""))</f>
        <v/>
      </c>
      <c r="BJ109" t="str">
        <f>IF(NOT(ISERROR(HLOOKUP(Standings!BJ$3,Entries!$C100:$K100,1,FALSE))),"x",IF(NOT(ISERROR(HLOOKUP(Standings!BJ$3,Entries!$L100:$L100,1,FALSE))),"S",""))</f>
        <v/>
      </c>
      <c r="BK109" t="str">
        <f>IF(NOT(ISERROR(HLOOKUP(Standings!BK$3,Entries!$C100:$K100,1,FALSE))),"x",IF(NOT(ISERROR(HLOOKUP(Standings!BK$3,Entries!$L100:$L100,1,FALSE))),"S",""))</f>
        <v/>
      </c>
      <c r="BL109" t="str">
        <f>IF(NOT(ISERROR(HLOOKUP(Standings!BL$3,Entries!$C100:$K100,1,FALSE))),"x",IF(NOT(ISERROR(HLOOKUP(Standings!BL$3,Entries!$L100:$L100,1,FALSE))),"S",""))</f>
        <v/>
      </c>
      <c r="BM109" t="str">
        <f>IF(NOT(ISERROR(HLOOKUP(Standings!BM$3,Entries!$C100:$K100,1,FALSE))),"x",IF(NOT(ISERROR(HLOOKUP(Standings!BM$3,Entries!$L100:$L100,1,FALSE))),"S",""))</f>
        <v/>
      </c>
      <c r="BN109" t="str">
        <f>IF(NOT(ISERROR(HLOOKUP(Standings!BN$3,Entries!$C100:$K100,1,FALSE))),"x",IF(NOT(ISERROR(HLOOKUP(Standings!BN$3,Entries!$L100:$L100,1,FALSE))),"S",""))</f>
        <v/>
      </c>
      <c r="BO109" t="str">
        <f>IF(NOT(ISERROR(HLOOKUP(Standings!BO$3,Entries!$C100:$K100,1,FALSE))),"x",IF(NOT(ISERROR(HLOOKUP(Standings!BO$3,Entries!$L100:$L100,1,FALSE))),"S",""))</f>
        <v/>
      </c>
      <c r="BP109" t="str">
        <f>IF(NOT(ISERROR(HLOOKUP(Standings!BP$3,Entries!$C100:$K100,1,FALSE))),"x",IF(NOT(ISERROR(HLOOKUP(Standings!BP$3,Entries!$L100:$L100,1,FALSE))),"S",""))</f>
        <v>x</v>
      </c>
      <c r="BQ109" t="str">
        <f>IF(NOT(ISERROR(HLOOKUP(Standings!BQ$3,Entries!$C100:$K100,1,FALSE))),"x",IF(NOT(ISERROR(HLOOKUP(Standings!BQ$3,Entries!$L100:$L100,1,FALSE))),"S",""))</f>
        <v/>
      </c>
      <c r="BR109" t="str">
        <f>IF(NOT(ISERROR(HLOOKUP(Standings!BR$3,Entries!$C100:$K100,1,FALSE))),"x",IF(NOT(ISERROR(HLOOKUP(Standings!BR$3,Entries!$L100:$L100,1,FALSE))),"S",""))</f>
        <v/>
      </c>
      <c r="BS109" t="str">
        <f>IF(NOT(ISERROR(HLOOKUP(Standings!BS$3,Entries!$C100:$K100,1,FALSE))),"x",IF(NOT(ISERROR(HLOOKUP(Standings!BS$3,Entries!$L100:$L100,1,FALSE))),"S",""))</f>
        <v/>
      </c>
      <c r="BT109" t="str">
        <f>IF(NOT(ISERROR(HLOOKUP(Standings!BT$3,Entries!$C100:$K100,1,FALSE))),"x",IF(NOT(ISERROR(HLOOKUP(Standings!BT$3,Entries!$L100:$L100,1,FALSE))),"S",""))</f>
        <v/>
      </c>
      <c r="BU109" t="str">
        <f>IF(NOT(ISERROR(HLOOKUP(Standings!BU$3,Entries!$C100:$K100,1,FALSE))),"x",IF(NOT(ISERROR(HLOOKUP(Standings!BU$3,Entries!$L100:$L100,1,FALSE))),"S",""))</f>
        <v/>
      </c>
      <c r="BV109" t="str">
        <f>IF(NOT(ISERROR(HLOOKUP(Standings!BV$3,Entries!$C100:$K100,1,FALSE))),"x",IF(NOT(ISERROR(HLOOKUP(Standings!BV$3,Entries!$L100:$L100,1,FALSE))),"S",""))</f>
        <v/>
      </c>
      <c r="BW109" t="str">
        <f>IF(NOT(ISERROR(HLOOKUP(Standings!BW$3,Entries!$C100:$K100,1,FALSE))),"x",IF(NOT(ISERROR(HLOOKUP(Standings!BW$3,Entries!$L100:$L100,1,FALSE))),"S",""))</f>
        <v/>
      </c>
      <c r="BX109" t="str">
        <f>IF(NOT(ISERROR(HLOOKUP(Standings!BX$3,Entries!$C100:$K100,1,FALSE))),"x",IF(NOT(ISERROR(HLOOKUP(Standings!BX$3,Entries!$L100:$L100,1,FALSE))),"S",""))</f>
        <v/>
      </c>
      <c r="BY109" t="str">
        <f>IF(NOT(ISERROR(HLOOKUP(Standings!BY$3,Entries!$C100:$K100,1,FALSE))),"x",IF(NOT(ISERROR(HLOOKUP(Standings!BY$3,Entries!$L100:$L100,1,FALSE))),"S",""))</f>
        <v/>
      </c>
      <c r="BZ109" t="str">
        <f>IF(NOT(ISERROR(HLOOKUP(Standings!BZ$3,Entries!$C100:$K100,1,FALSE))),"x",IF(NOT(ISERROR(HLOOKUP(Standings!BZ$3,Entries!$L100:$L100,1,FALSE))),"S",""))</f>
        <v/>
      </c>
      <c r="CA109" t="str">
        <f>IF(NOT(ISERROR(HLOOKUP(Standings!CA$3,Entries!$C100:$K100,1,FALSE))),"x",IF(NOT(ISERROR(HLOOKUP(Standings!CA$3,Entries!$L100:$L100,1,FALSE))),"S",""))</f>
        <v/>
      </c>
      <c r="CB109" t="str">
        <f>IF(NOT(ISERROR(HLOOKUP(Standings!CB$3,Entries!$C100:$K100,1,FALSE))),"x",IF(NOT(ISERROR(HLOOKUP(Standings!CB$3,Entries!$L100:$L100,1,FALSE))),"S",""))</f>
        <v/>
      </c>
      <c r="CC109" t="str">
        <f>IF(NOT(ISERROR(HLOOKUP(Standings!CC$3,Entries!$C100:$K100,1,FALSE))),"x",IF(NOT(ISERROR(HLOOKUP(Standings!CC$3,Entries!$L100:$L100,1,FALSE))),"S",""))</f>
        <v/>
      </c>
      <c r="CD109" t="str">
        <f>IF(NOT(ISERROR(HLOOKUP(Standings!CD$3,Entries!$C100:$K100,1,FALSE))),"x",IF(NOT(ISERROR(HLOOKUP(Standings!CD$3,Entries!$L100:$L100,1,FALSE))),"S",""))</f>
        <v/>
      </c>
      <c r="CE109" t="str">
        <f>IF(NOT(ISERROR(HLOOKUP(Standings!CE$3,Entries!$C100:$K100,1,FALSE))),"x",IF(NOT(ISERROR(HLOOKUP(Standings!CE$3,Entries!$L100:$L100,1,FALSE))),"S",""))</f>
        <v/>
      </c>
      <c r="CF109" t="str">
        <f>IF(NOT(ISERROR(HLOOKUP(Standings!CF$3,Entries!$C100:$K100,1,FALSE))),"x",IF(NOT(ISERROR(HLOOKUP(Standings!CF$3,Entries!$L100:$L100,1,FALSE))),"S",""))</f>
        <v/>
      </c>
      <c r="CG109" t="str">
        <f>IF(NOT(ISERROR(HLOOKUP(Standings!CG$3,Entries!$C100:$K100,1,FALSE))),"x",IF(NOT(ISERROR(HLOOKUP(Standings!CG$3,Entries!$L100:$L100,1,FALSE))),"S",""))</f>
        <v/>
      </c>
      <c r="CH109" t="str">
        <f>IF(NOT(ISERROR(HLOOKUP(Standings!CH$3,Entries!$C100:$K100,1,FALSE))),"x",IF(NOT(ISERROR(HLOOKUP(Standings!CH$3,Entries!$L100:$L100,1,FALSE))),"S",""))</f>
        <v/>
      </c>
      <c r="CI109" t="str">
        <f>IF(NOT(ISERROR(HLOOKUP(Standings!CI$3,Entries!$C100:$K100,1,FALSE))),"x",IF(NOT(ISERROR(HLOOKUP(Standings!CI$3,Entries!$L100:$L100,1,FALSE))),"S",""))</f>
        <v/>
      </c>
      <c r="CJ109" t="str">
        <f>IF(NOT(ISERROR(HLOOKUP(Standings!CJ$3,Entries!$C100:$K100,1,FALSE))),"x",IF(NOT(ISERROR(HLOOKUP(Standings!CJ$3,Entries!$L100:$L100,1,FALSE))),"S",""))</f>
        <v/>
      </c>
      <c r="CK109" t="str">
        <f>IF(NOT(ISERROR(HLOOKUP(Standings!CK$3,Entries!$C100:$K100,1,FALSE))),"x",IF(NOT(ISERROR(HLOOKUP(Standings!CK$3,Entries!$L100:$L100,1,FALSE))),"S",""))</f>
        <v/>
      </c>
      <c r="CL109" t="str">
        <f>IF(NOT(ISERROR(HLOOKUP(Standings!CL$3,Entries!$C100:$K100,1,FALSE))),"x",IF(NOT(ISERROR(HLOOKUP(Standings!CL$3,Entries!$L100:$L100,1,FALSE))),"S",""))</f>
        <v/>
      </c>
      <c r="CM109" t="str">
        <f>IF(NOT(ISERROR(HLOOKUP(Standings!CM$3,Entries!$C100:$K100,1,FALSE))),"x",IF(NOT(ISERROR(HLOOKUP(Standings!CM$3,Entries!$L100:$L100,1,FALSE))),"S",""))</f>
        <v>x</v>
      </c>
      <c r="CN109" t="str">
        <f>IF(NOT(ISERROR(HLOOKUP(Standings!CN$3,Entries!$C100:$K100,1,FALSE))),"x",IF(NOT(ISERROR(HLOOKUP(Standings!CN$3,Entries!$L100:$L100,1,FALSE))),"S",""))</f>
        <v/>
      </c>
      <c r="CO109" t="str">
        <f>IF(NOT(ISERROR(HLOOKUP(Standings!CO$3,Entries!$C100:$K100,1,FALSE))),"x",IF(NOT(ISERROR(HLOOKUP(Standings!CO$3,Entries!$L100:$L100,1,FALSE))),"S",""))</f>
        <v/>
      </c>
      <c r="CP109" t="str">
        <f>IF(NOT(ISERROR(HLOOKUP(Standings!CP$3,Entries!$C100:$K100,1,FALSE))),"x",IF(NOT(ISERROR(HLOOKUP(Standings!CP$3,Entries!$L100:$L100,1,FALSE))),"S",""))</f>
        <v/>
      </c>
      <c r="CQ109" t="str">
        <f>IF(NOT(ISERROR(HLOOKUP(Standings!CQ$3,Entries!$C100:$K100,1,FALSE))),"x",IF(NOT(ISERROR(HLOOKUP(Standings!CQ$3,Entries!$L100:$L100,1,FALSE))),"S",""))</f>
        <v/>
      </c>
      <c r="CR109" t="str">
        <f>IF(NOT(ISERROR(HLOOKUP(Standings!CR$3,Entries!$C100:$K100,1,FALSE))),"x",IF(NOT(ISERROR(HLOOKUP(Standings!CR$3,Entries!$L100:$L100,1,FALSE))),"S",""))</f>
        <v/>
      </c>
      <c r="CS109" t="str">
        <f>IF(NOT(ISERROR(HLOOKUP(Standings!CS$3,Entries!$C100:$K100,1,FALSE))),"x",IF(NOT(ISERROR(HLOOKUP(Standings!CS$3,Entries!$L100:$L100,1,FALSE))),"S",""))</f>
        <v/>
      </c>
      <c r="CT109" t="str">
        <f>IF(NOT(ISERROR(HLOOKUP(Standings!CT$3,Entries!$C100:$K100,1,FALSE))),"x",IF(NOT(ISERROR(HLOOKUP(Standings!CT$3,Entries!$L100:$L100,1,FALSE))),"S",""))</f>
        <v/>
      </c>
      <c r="CU109" t="str">
        <f>IF(NOT(ISERROR(HLOOKUP(Standings!CU$3,Entries!$C100:$K100,1,FALSE))),"x",IF(NOT(ISERROR(HLOOKUP(Standings!CU$3,Entries!$L100:$L100,1,FALSE))),"S",""))</f>
        <v>S</v>
      </c>
      <c r="CV109" t="str">
        <f>IF(NOT(ISERROR(HLOOKUP(Standings!CV$3,Entries!$C100:$K100,1,FALSE))),"x",IF(NOT(ISERROR(HLOOKUP(Standings!CV$3,Entries!$L100:$L100,1,FALSE))),"S",""))</f>
        <v/>
      </c>
      <c r="CW109" t="str">
        <f>IF(NOT(ISERROR(HLOOKUP(Standings!CW$3,Entries!$C100:$K100,1,FALSE))),"x",IF(NOT(ISERROR(HLOOKUP(Standings!CW$3,Entries!$L100:$L100,1,FALSE))),"S",""))</f>
        <v/>
      </c>
      <c r="CX109" t="str">
        <f>IF(NOT(ISERROR(HLOOKUP(Standings!CX$3,Entries!$C100:$K100,1,FALSE))),"x",IF(NOT(ISERROR(HLOOKUP(Standings!CX$3,Entries!$L100:$L100,1,FALSE))),"S",""))</f>
        <v/>
      </c>
      <c r="CY109" t="str">
        <f>IF(NOT(ISERROR(HLOOKUP(Standings!CY$3,Entries!$C100:$K100,1,FALSE))),"x",IF(NOT(ISERROR(HLOOKUP(Standings!CY$3,Entries!$L100:$L100,1,FALSE))),"S",""))</f>
        <v>x</v>
      </c>
      <c r="CZ109" t="str">
        <f>IF(NOT(ISERROR(HLOOKUP(Standings!CZ$3,Entries!$C100:$K100,1,FALSE))),"x",IF(NOT(ISERROR(HLOOKUP(Standings!CZ$3,Entries!$L100:$L100,1,FALSE))),"S",""))</f>
        <v/>
      </c>
      <c r="DA109" t="str">
        <f>IF(NOT(ISERROR(HLOOKUP(Standings!DA$3,Entries!$C100:$K100,1,FALSE))),"x",IF(NOT(ISERROR(HLOOKUP(Standings!DA$3,Entries!$L100:$L100,1,FALSE))),"S",""))</f>
        <v/>
      </c>
      <c r="DB109" t="str">
        <f>IF(NOT(ISERROR(HLOOKUP(Standings!DB$3,Entries!$C100:$K100,1,FALSE))),"x",IF(NOT(ISERROR(HLOOKUP(Standings!DB$3,Entries!$L100:$L100,1,FALSE))),"S",""))</f>
        <v/>
      </c>
    </row>
    <row r="110" spans="1:106" ht="15.75" customHeight="1" thickBot="1" x14ac:dyDescent="0.3">
      <c r="D110" s="4" t="str">
        <f>IF(C110="","",RANK(E110,$E$10:$E$111))</f>
        <v/>
      </c>
      <c r="E110" s="36"/>
      <c r="F110" s="44"/>
      <c r="G110" s="45"/>
      <c r="H110" s="45"/>
      <c r="I110" s="46"/>
      <c r="J110" s="44"/>
      <c r="K110" s="45"/>
      <c r="L110" s="45"/>
      <c r="M110" s="46"/>
      <c r="N110" s="47"/>
      <c r="O110" s="45"/>
      <c r="P110" s="45"/>
      <c r="Q110" s="46"/>
      <c r="R110" s="44"/>
      <c r="S110" s="45"/>
      <c r="T110" s="47"/>
      <c r="U110" s="46"/>
      <c r="V110" s="44"/>
      <c r="W110" s="45"/>
      <c r="X110" s="45"/>
      <c r="Y110" s="46"/>
      <c r="Z110" s="44"/>
      <c r="AA110" s="45"/>
      <c r="AB110" s="45"/>
      <c r="AC110" s="46"/>
      <c r="AD110" s="44"/>
      <c r="AE110" s="45"/>
      <c r="AF110" s="45"/>
      <c r="AG110" s="46"/>
      <c r="AH110" s="44"/>
      <c r="AI110" s="45"/>
      <c r="AJ110" s="45"/>
      <c r="AK110" s="46"/>
      <c r="AL110" s="44"/>
      <c r="AM110" s="45"/>
      <c r="AN110" s="45"/>
      <c r="AO110" s="46"/>
      <c r="AP110" s="44"/>
      <c r="AQ110" s="45"/>
      <c r="AR110" s="45"/>
      <c r="AS110" s="46"/>
      <c r="AT110" s="44"/>
      <c r="AU110" s="45"/>
      <c r="AV110" s="45"/>
      <c r="AW110" s="46"/>
      <c r="AX110" s="44"/>
      <c r="AY110" s="45"/>
      <c r="AZ110" s="45"/>
      <c r="BA110" s="46"/>
      <c r="BB110" s="37"/>
    </row>
    <row r="111" spans="1:106" x14ac:dyDescent="0.25">
      <c r="D111" s="5"/>
      <c r="E111" s="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0"/>
    </row>
    <row r="113" spans="55:57" x14ac:dyDescent="0.25">
      <c r="BC113" s="21">
        <f>COUNT(D14:D109)*10</f>
        <v>960</v>
      </c>
    </row>
    <row r="114" spans="55:57" x14ac:dyDescent="0.25">
      <c r="BC114" s="21">
        <f>SUM(BC116:BC130)</f>
        <v>1000</v>
      </c>
    </row>
    <row r="116" spans="55:57" x14ac:dyDescent="0.25">
      <c r="BC116" s="21">
        <v>250</v>
      </c>
      <c r="BE116" s="11" t="s">
        <v>107</v>
      </c>
    </row>
    <row r="117" spans="55:57" x14ac:dyDescent="0.25">
      <c r="BC117" s="21">
        <v>160</v>
      </c>
      <c r="BE117" s="11" t="s">
        <v>107</v>
      </c>
    </row>
    <row r="118" spans="55:57" x14ac:dyDescent="0.25">
      <c r="BC118" s="21">
        <v>120</v>
      </c>
      <c r="BE118" s="11" t="s">
        <v>107</v>
      </c>
    </row>
    <row r="119" spans="55:57" x14ac:dyDescent="0.25">
      <c r="BC119" s="21">
        <v>90</v>
      </c>
      <c r="BE119" s="11" t="s">
        <v>107</v>
      </c>
    </row>
    <row r="120" spans="55:57" x14ac:dyDescent="0.25">
      <c r="BC120" s="21">
        <v>70</v>
      </c>
      <c r="BE120" s="11" t="s">
        <v>107</v>
      </c>
    </row>
    <row r="121" spans="55:57" x14ac:dyDescent="0.25">
      <c r="BC121" s="21">
        <v>60</v>
      </c>
      <c r="BE121" s="11" t="s">
        <v>107</v>
      </c>
    </row>
    <row r="122" spans="55:57" x14ac:dyDescent="0.25">
      <c r="BC122" s="21">
        <v>50</v>
      </c>
      <c r="BE122" s="11" t="s">
        <v>107</v>
      </c>
    </row>
    <row r="123" spans="55:57" x14ac:dyDescent="0.25">
      <c r="BC123" s="21">
        <v>40</v>
      </c>
      <c r="BE123" s="11" t="s">
        <v>107</v>
      </c>
    </row>
    <row r="124" spans="55:57" x14ac:dyDescent="0.25">
      <c r="BC124" s="21">
        <v>40</v>
      </c>
      <c r="BE124" s="11" t="s">
        <v>107</v>
      </c>
    </row>
    <row r="125" spans="55:57" x14ac:dyDescent="0.25">
      <c r="BC125" s="21">
        <v>30</v>
      </c>
      <c r="BE125" s="11" t="s">
        <v>107</v>
      </c>
    </row>
    <row r="126" spans="55:57" x14ac:dyDescent="0.25">
      <c r="BC126" s="21">
        <v>30</v>
      </c>
      <c r="BE126" s="11" t="s">
        <v>107</v>
      </c>
    </row>
    <row r="127" spans="55:57" x14ac:dyDescent="0.25">
      <c r="BC127" s="21">
        <v>20</v>
      </c>
      <c r="BE127" s="11" t="s">
        <v>107</v>
      </c>
    </row>
    <row r="128" spans="55:57" x14ac:dyDescent="0.25">
      <c r="BC128" s="21">
        <v>20</v>
      </c>
      <c r="BE128" s="11" t="s">
        <v>107</v>
      </c>
    </row>
    <row r="129" spans="55:57" x14ac:dyDescent="0.25">
      <c r="BC129" s="21">
        <v>10</v>
      </c>
      <c r="BE129" s="11" t="s">
        <v>107</v>
      </c>
    </row>
    <row r="130" spans="55:57" x14ac:dyDescent="0.25">
      <c r="BC130" s="21">
        <v>10</v>
      </c>
      <c r="BE130" s="11" t="s">
        <v>107</v>
      </c>
    </row>
  </sheetData>
  <mergeCells count="12">
    <mergeCell ref="F2:I2"/>
    <mergeCell ref="AH2:AK2"/>
    <mergeCell ref="V2:Y2"/>
    <mergeCell ref="Z2:AC2"/>
    <mergeCell ref="J2:M2"/>
    <mergeCell ref="N2:Q2"/>
    <mergeCell ref="AD2:AG2"/>
    <mergeCell ref="AT2:AW2"/>
    <mergeCell ref="AX2:BA2"/>
    <mergeCell ref="AL2:AO2"/>
    <mergeCell ref="AP2:AS2"/>
    <mergeCell ref="R2:U2"/>
  </mergeCells>
  <conditionalFormatting sqref="D110">
    <cfRule type="colorScale" priority="57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0">
    <cfRule type="colorScale" priority="57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BA4">
    <cfRule type="colorScale" priority="56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BA5">
    <cfRule type="colorScale" priority="1">
      <colorScale>
        <cfvo type="min"/>
        <cfvo type="max"/>
        <color rgb="FFFCFCFF"/>
        <color rgb="FFF8696B"/>
      </colorScale>
    </cfRule>
  </conditionalFormatting>
  <conditionalFormatting sqref="F6:BA6">
    <cfRule type="colorScale" priority="56682">
      <colorScale>
        <cfvo type="min"/>
        <cfvo type="max"/>
        <color rgb="FFFCFCFF"/>
        <color rgb="FF63BE7B"/>
      </colorScale>
    </cfRule>
  </conditionalFormatting>
  <conditionalFormatting sqref="F7:BA7">
    <cfRule type="colorScale" priority="56678">
      <colorScale>
        <cfvo type="min"/>
        <cfvo type="max"/>
        <color rgb="FFFCFCFF"/>
        <color rgb="FF0070C0"/>
      </colorScale>
    </cfRule>
  </conditionalFormatting>
  <conditionalFormatting sqref="F8:BA8">
    <cfRule type="colorScale" priority="56680">
      <colorScale>
        <cfvo type="min"/>
        <cfvo type="max"/>
        <color rgb="FFFCFCFF"/>
        <color theme="0" tint="-0.34998626667073579"/>
      </colorScale>
    </cfRule>
  </conditionalFormatting>
  <conditionalFormatting sqref="F9:BA9">
    <cfRule type="colorScale" priority="56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5:BA88 F16:BA44">
    <cfRule type="expression" dxfId="6026" priority="114897">
      <formula>(F296="x")</formula>
    </cfRule>
  </conditionalFormatting>
  <conditionalFormatting sqref="F105:BA110 F71:BA74 F85:BA91 F15:BA44 F11:BA13">
    <cfRule type="expression" dxfId="6025" priority="76628">
      <formula>(F189="x")</formula>
    </cfRule>
  </conditionalFormatting>
  <conditionalFormatting sqref="F105:BA105 F16:BA45 F10:BA14">
    <cfRule type="expression" dxfId="6024" priority="108929">
      <formula>(F208="x")</formula>
    </cfRule>
  </conditionalFormatting>
  <conditionalFormatting sqref="F85:BA88 F69:BA74 F10:BA13 F19:BA44">
    <cfRule type="expression" dxfId="6023" priority="118677">
      <formula>(F271="x")</formula>
    </cfRule>
  </conditionalFormatting>
  <conditionalFormatting sqref="F85:BA88 F80:BA80 F78:BA78 F69:BA70 F50:BA51 F10:BA44">
    <cfRule type="expression" dxfId="6022" priority="118681">
      <formula>(F270="x")</formula>
    </cfRule>
  </conditionalFormatting>
  <conditionalFormatting sqref="F85:BA88 F41:BA44 F13:BA13">
    <cfRule type="expression" dxfId="6021" priority="58810">
      <formula>(F284="x")</formula>
    </cfRule>
  </conditionalFormatting>
  <conditionalFormatting sqref="F85:BA88 F16:BA44">
    <cfRule type="expression" dxfId="6020" priority="57972">
      <formula>(F286="x")</formula>
    </cfRule>
  </conditionalFormatting>
  <conditionalFormatting sqref="F75:BA77">
    <cfRule type="expression" dxfId="6019" priority="111842">
      <formula>(F372="x")</formula>
    </cfRule>
    <cfRule type="expression" dxfId="6018" priority="111919">
      <formula>(F373="x")</formula>
    </cfRule>
  </conditionalFormatting>
  <conditionalFormatting sqref="F71:BA77 F13:BA13">
    <cfRule type="expression" dxfId="6017" priority="89363">
      <formula>(F307="x")</formula>
    </cfRule>
  </conditionalFormatting>
  <conditionalFormatting sqref="F71:BA71 F12:BA13">
    <cfRule type="expression" dxfId="6016" priority="108426">
      <formula>(F326="x")</formula>
    </cfRule>
  </conditionalFormatting>
  <conditionalFormatting sqref="F75:BA77 F15:BA44">
    <cfRule type="expression" dxfId="6015" priority="99705">
      <formula>(F327="x")</formula>
    </cfRule>
  </conditionalFormatting>
  <conditionalFormatting sqref="F52:BA52">
    <cfRule type="expression" dxfId="6014" priority="108128">
      <formula>(F360="x")</formula>
    </cfRule>
    <cfRule type="expression" dxfId="6013" priority="108130">
      <formula>(F364="x")</formula>
    </cfRule>
    <cfRule type="expression" dxfId="6012" priority="108277">
      <formula>(F359="x")</formula>
    </cfRule>
  </conditionalFormatting>
  <conditionalFormatting sqref="F75:BA77">
    <cfRule type="expression" dxfId="6011" priority="100052">
      <formula>(F388="x")</formula>
    </cfRule>
  </conditionalFormatting>
  <conditionalFormatting sqref="F52:BA52 F71:BA74 F18:BA44">
    <cfRule type="expression" dxfId="6010" priority="108279">
      <formula>(F329="x")</formula>
    </cfRule>
  </conditionalFormatting>
  <conditionalFormatting sqref="F106:BA110 F71:BA74">
    <cfRule type="expression" dxfId="6009" priority="117213">
      <formula>(F255="x")</formula>
    </cfRule>
  </conditionalFormatting>
  <conditionalFormatting sqref="F85:BA88 F69:BA70 F20:BA47">
    <cfRule type="expression" dxfId="6008" priority="88043">
      <formula>(F313="x")</formula>
    </cfRule>
  </conditionalFormatting>
  <conditionalFormatting sqref="F85:BA88 F62:BA64 F15:BA45 F11:BA11">
    <cfRule type="expression" dxfId="6007" priority="76620">
      <formula>(F277="x")</formula>
    </cfRule>
  </conditionalFormatting>
  <conditionalFormatting sqref="F75:BA77 F13:BA40 F45:BA45">
    <cfRule type="expression" dxfId="6006" priority="113401">
      <formula>(F309="x")</formula>
    </cfRule>
  </conditionalFormatting>
  <conditionalFormatting sqref="F75:BA77">
    <cfRule type="expression" dxfId="6005" priority="87359">
      <formula>(F366="x")</formula>
    </cfRule>
    <cfRule type="expression" dxfId="6004" priority="113987">
      <formula>(F370="x")</formula>
    </cfRule>
  </conditionalFormatting>
  <conditionalFormatting sqref="F75:BA77">
    <cfRule type="expression" dxfId="6003" priority="99716">
      <formula>(F380="x")</formula>
    </cfRule>
    <cfRule type="expression" dxfId="6002" priority="109662">
      <formula>(F379="x")</formula>
    </cfRule>
    <cfRule type="expression" dxfId="6001" priority="110727">
      <formula>(F376="x")</formula>
    </cfRule>
    <cfRule type="expression" dxfId="6000" priority="111256">
      <formula>(F375="x")</formula>
    </cfRule>
    <cfRule type="expression" dxfId="5999" priority="111614">
      <formula>(F374="x")</formula>
    </cfRule>
  </conditionalFormatting>
  <conditionalFormatting sqref="F75:BA77">
    <cfRule type="expression" dxfId="5998" priority="89509">
      <formula>(F386="x")</formula>
    </cfRule>
    <cfRule type="expression" dxfId="5997" priority="99651">
      <formula>(F381="x")</formula>
    </cfRule>
    <cfRule type="expression" dxfId="5996" priority="99701">
      <formula>(F385="x")</formula>
    </cfRule>
    <cfRule type="expression" dxfId="5995" priority="99709">
      <formula>(F382="x")</formula>
    </cfRule>
    <cfRule type="expression" dxfId="5994" priority="99713">
      <formula>(F384="x")</formula>
    </cfRule>
    <cfRule type="expression" dxfId="5993" priority="110288">
      <formula>(F377="x")</formula>
    </cfRule>
    <cfRule type="expression" dxfId="5992" priority="110374">
      <formula>(F378="x")</formula>
    </cfRule>
  </conditionalFormatting>
  <conditionalFormatting sqref="F75:BA77">
    <cfRule type="expression" dxfId="5991" priority="89537">
      <formula>(F390="x")</formula>
    </cfRule>
    <cfRule type="expression" dxfId="5990" priority="89541">
      <formula>(F389="x")</formula>
    </cfRule>
  </conditionalFormatting>
  <conditionalFormatting sqref="F31:BA44">
    <cfRule type="expression" dxfId="5989" priority="99703">
      <formula>(F343="x")</formula>
    </cfRule>
    <cfRule type="expression" dxfId="5988" priority="115153">
      <formula>(F201="x")</formula>
    </cfRule>
  </conditionalFormatting>
  <conditionalFormatting sqref="F71:BA77 F16:BA45 F11:BA11">
    <cfRule type="expression" dxfId="5987" priority="89213">
      <formula>(F303="x")</formula>
    </cfRule>
  </conditionalFormatting>
  <conditionalFormatting sqref="F75:BA77">
    <cfRule type="expression" dxfId="5986" priority="87367">
      <formula>(F365="x")</formula>
    </cfRule>
    <cfRule type="expression" dxfId="5985" priority="89208">
      <formula>(F364="x")</formula>
    </cfRule>
  </conditionalFormatting>
  <conditionalFormatting sqref="F85:BA88 F71:BA74 F10:BA13 F15:BA44">
    <cfRule type="expression" dxfId="5984" priority="118777">
      <formula>(F272="x")</formula>
    </cfRule>
  </conditionalFormatting>
  <conditionalFormatting sqref="F75:BA77">
    <cfRule type="expression" dxfId="5983" priority="99884">
      <formula>(F368="x")</formula>
    </cfRule>
  </conditionalFormatting>
  <conditionalFormatting sqref="F11:BA49">
    <cfRule type="expression" dxfId="5982" priority="109501">
      <formula>(F195="x")</formula>
    </cfRule>
  </conditionalFormatting>
  <conditionalFormatting sqref="F96:BA102 F62:BA64 F35:BA44 F10:BA29 F46:BA51">
    <cfRule type="expression" dxfId="5981" priority="115822">
      <formula>(F221="x")</formula>
    </cfRule>
  </conditionalFormatting>
  <conditionalFormatting sqref="F105:BA109 F65:BA68 F52:BA54 F44:BA45 F10:BA11">
    <cfRule type="expression" dxfId="5980" priority="23527">
      <formula>(F228="x")</formula>
    </cfRule>
  </conditionalFormatting>
  <conditionalFormatting sqref="F106:BA109 F78:BA80 F83:BA83 F85:BA90 F103:BA104 F55:BA64 F13:BA13 F16:BA30 F39:BA44 F10:BA11 F46:BA47">
    <cfRule type="expression" dxfId="5979" priority="50461">
      <formula>(F241="x")</formula>
    </cfRule>
  </conditionalFormatting>
  <conditionalFormatting sqref="F106:BA109 F10:BA44">
    <cfRule type="expression" dxfId="5978" priority="18023">
      <formula>(F224="x")</formula>
    </cfRule>
  </conditionalFormatting>
  <conditionalFormatting sqref="F106:BA109">
    <cfRule type="expression" dxfId="5977" priority="115528">
      <formula>(F317="x")</formula>
    </cfRule>
    <cfRule type="expression" dxfId="5976" priority="118672">
      <formula>(F319="x")</formula>
    </cfRule>
  </conditionalFormatting>
  <conditionalFormatting sqref="F78:BA79 F65:BA70 F11:BA11 F13:BA44">
    <cfRule type="expression" dxfId="5975" priority="99330">
      <formula>(F211="x")</formula>
    </cfRule>
  </conditionalFormatting>
  <conditionalFormatting sqref="F85:BA88 F52:BA54 F17:BA44 F10:BA11">
    <cfRule type="expression" dxfId="5974" priority="118803">
      <formula>(F259="x")</formula>
    </cfRule>
  </conditionalFormatting>
  <conditionalFormatting sqref="F106:BA109 F83:BA83 F16:BA44 F10:BA13">
    <cfRule type="expression" dxfId="5973" priority="111705">
      <formula>(F255="x")</formula>
    </cfRule>
  </conditionalFormatting>
  <conditionalFormatting sqref="F106:BA109 F62:BA64 F16:BA29 F32:BA44 F10:BA11 F13:BA14 F46:BA47">
    <cfRule type="expression" dxfId="5972" priority="114889">
      <formula>(F209="x")</formula>
    </cfRule>
  </conditionalFormatting>
  <conditionalFormatting sqref="F96:BA102 F81:BA82 F69:BA70 F52:BA55 F10:BA21 F33:BA44 F23:BA30">
    <cfRule type="expression" dxfId="5971" priority="115511">
      <formula>(F206="x")</formula>
    </cfRule>
  </conditionalFormatting>
  <conditionalFormatting sqref="F81:BA88 F10:BA13 F18:BA44">
    <cfRule type="expression" dxfId="5970" priority="118809">
      <formula>(F267="x")</formula>
    </cfRule>
  </conditionalFormatting>
  <conditionalFormatting sqref="F106:BA109 F55:BA61 F83:BA83 F85:BA90 F50:BA51 F16:BA44 F10:BA13">
    <cfRule type="expression" dxfId="5969" priority="114764">
      <formula>(F251="x")</formula>
    </cfRule>
  </conditionalFormatting>
  <conditionalFormatting sqref="F106:BA109 F69:BA70 F85:BA90 F103:BA104 F78:BA80 F17:BA45">
    <cfRule type="expression" dxfId="5968" priority="25681">
      <formula>(F256="x")</formula>
    </cfRule>
  </conditionalFormatting>
  <conditionalFormatting sqref="F103:BA103">
    <cfRule type="expression" dxfId="5967" priority="115211">
      <formula>(F352="x")</formula>
    </cfRule>
  </conditionalFormatting>
  <conditionalFormatting sqref="F71:BA73">
    <cfRule type="expression" dxfId="5966" priority="98973">
      <formula>(F303="x")</formula>
    </cfRule>
    <cfRule type="expression" dxfId="5965" priority="105192">
      <formula>(F304="x")</formula>
    </cfRule>
  </conditionalFormatting>
  <conditionalFormatting sqref="F85:BA88">
    <cfRule type="expression" dxfId="5964" priority="43936">
      <formula>(F354="x")</formula>
    </cfRule>
    <cfRule type="expression" dxfId="5963" priority="57974">
      <formula>(F353="x")</formula>
    </cfRule>
    <cfRule type="expression" dxfId="5962" priority="59544">
      <formula>(F357="x")</formula>
    </cfRule>
    <cfRule type="expression" dxfId="5961" priority="71227">
      <formula>(F358="x")</formula>
    </cfRule>
    <cfRule type="expression" dxfId="5960" priority="73199">
      <formula>(F359="x")</formula>
    </cfRule>
    <cfRule type="expression" dxfId="5959" priority="87063">
      <formula>(F360="x")</formula>
    </cfRule>
    <cfRule type="expression" dxfId="5958" priority="90795">
      <formula>(F363="x")</formula>
    </cfRule>
    <cfRule type="expression" dxfId="5957" priority="91109">
      <formula>(F375="x")</formula>
    </cfRule>
    <cfRule type="expression" dxfId="5956" priority="92171">
      <formula>(F362="x")</formula>
    </cfRule>
    <cfRule type="expression" dxfId="5955" priority="92172">
      <formula>(F361="x")</formula>
    </cfRule>
    <cfRule type="expression" dxfId="5954" priority="101749">
      <formula>(F376="x")</formula>
    </cfRule>
    <cfRule type="expression" dxfId="5953" priority="101754">
      <formula>(F371="x")</formula>
    </cfRule>
    <cfRule type="expression" dxfId="5952" priority="101899">
      <formula>(F374="x")</formula>
    </cfRule>
    <cfRule type="expression" dxfId="5951" priority="102943">
      <formula>(F370="x")</formula>
    </cfRule>
    <cfRule type="expression" dxfId="5950" priority="103192">
      <formula>(F373="x")</formula>
    </cfRule>
    <cfRule type="expression" dxfId="5949" priority="103348">
      <formula>(F369="x")</formula>
    </cfRule>
    <cfRule type="expression" dxfId="5948" priority="103350">
      <formula>(F372="x")</formula>
    </cfRule>
    <cfRule type="expression" dxfId="5947" priority="114923">
      <formula>(F368="x")</formula>
    </cfRule>
    <cfRule type="expression" dxfId="5946" priority="114930">
      <formula>(F367="x")</formula>
    </cfRule>
    <cfRule type="expression" dxfId="5945" priority="114932">
      <formula>(F366="x")</formula>
    </cfRule>
    <cfRule type="expression" dxfId="5944" priority="116742">
      <formula>(F364="x")</formula>
    </cfRule>
    <cfRule type="expression" dxfId="5943" priority="118818">
      <formula>(F350="x")</formula>
    </cfRule>
    <cfRule type="expression" dxfId="5942" priority="118819">
      <formula>(F349="x")</formula>
    </cfRule>
  </conditionalFormatting>
  <conditionalFormatting sqref="F75:BA77">
    <cfRule type="expression" dxfId="5941" priority="88035">
      <formula>(F362="x")</formula>
    </cfRule>
    <cfRule type="expression" dxfId="5940" priority="114488">
      <formula>(F360="x")</formula>
    </cfRule>
  </conditionalFormatting>
  <conditionalFormatting sqref="F85:BA88">
    <cfRule type="expression" dxfId="5939" priority="58954">
      <formula>(F352="x")</formula>
    </cfRule>
    <cfRule type="expression" dxfId="5938" priority="118843">
      <formula>(F343="x")</formula>
    </cfRule>
    <cfRule type="expression" dxfId="5937" priority="118844">
      <formula>(F341="x")</formula>
    </cfRule>
    <cfRule type="expression" dxfId="5936" priority="118845">
      <formula>(F348="x")</formula>
    </cfRule>
    <cfRule type="expression" dxfId="5935" priority="118846">
      <formula>(F344="x")</formula>
    </cfRule>
    <cfRule type="expression" dxfId="5934" priority="118847">
      <formula>(F338="x")</formula>
    </cfRule>
  </conditionalFormatting>
  <conditionalFormatting sqref="F78:BA78">
    <cfRule type="expression" dxfId="5933" priority="86418">
      <formula>(F293="x")</formula>
    </cfRule>
    <cfRule type="expression" dxfId="5932" priority="99418">
      <formula>(F275="x")</formula>
    </cfRule>
    <cfRule type="expression" dxfId="5931" priority="106449">
      <formula>(F274="x")</formula>
    </cfRule>
    <cfRule type="expression" dxfId="5930" priority="115578">
      <formula>(F290="x")</formula>
    </cfRule>
    <cfRule type="expression" dxfId="5929" priority="116281">
      <formula>(F299="x")</formula>
    </cfRule>
  </conditionalFormatting>
  <conditionalFormatting sqref="F106:BA109 F75:BA77 F83:BA84 F50:BA54 F11:BA13 F22:BA44 F16:BA19">
    <cfRule type="expression" dxfId="5928" priority="118858">
      <formula>(F204="x")</formula>
    </cfRule>
  </conditionalFormatting>
  <conditionalFormatting sqref="F78:BA79">
    <cfRule type="expression" dxfId="5927" priority="48716">
      <formula>(F302="x")</formula>
    </cfRule>
    <cfRule type="expression" dxfId="5926" priority="99125">
      <formula>(F288="x")</formula>
    </cfRule>
  </conditionalFormatting>
  <conditionalFormatting sqref="F96:BA102 F62:BA65 F71:BA74 F67:BA68 F35:BA44 F11:BA29">
    <cfRule type="expression" dxfId="5925" priority="115552">
      <formula>(F259="x")</formula>
    </cfRule>
  </conditionalFormatting>
  <conditionalFormatting sqref="F81:BA82">
    <cfRule type="expression" dxfId="5924" priority="84120">
      <formula>(F259="x")</formula>
    </cfRule>
    <cfRule type="expression" dxfId="5923" priority="95103">
      <formula>(F275="x")</formula>
    </cfRule>
    <cfRule type="expression" dxfId="5922" priority="95436">
      <formula>(F296="x")</formula>
    </cfRule>
    <cfRule type="expression" dxfId="5921" priority="103612">
      <formula>(F258="x")</formula>
    </cfRule>
    <cfRule type="expression" dxfId="5920" priority="106472">
      <formula>(F266="x")</formula>
    </cfRule>
    <cfRule type="expression" dxfId="5919" priority="106543">
      <formula>(F304="x")</formula>
    </cfRule>
    <cfRule type="expression" dxfId="5918" priority="109989">
      <formula>(F302="x")</formula>
    </cfRule>
    <cfRule type="expression" dxfId="5917" priority="116274">
      <formula>(F295="x")</formula>
    </cfRule>
    <cfRule type="expression" dxfId="5916" priority="116577">
      <formula>(F285="x")</formula>
    </cfRule>
  </conditionalFormatting>
  <conditionalFormatting sqref="F106:BA109 F50:BA51 F32:BA44 F19:BA29 F46:BA47">
    <cfRule type="expression" dxfId="5915" priority="115527">
      <formula>(F238="x")</formula>
    </cfRule>
  </conditionalFormatting>
  <conditionalFormatting sqref="F96:BA102 F84:BA84 F71:BA77 F14:BA44 F48:BA49">
    <cfRule type="expression" dxfId="5914" priority="115539">
      <formula>(F252="x")</formula>
    </cfRule>
  </conditionalFormatting>
  <conditionalFormatting sqref="F106:BA109 F81:BA81 F83:BA83 F69:BA70 F103:BA104 F92:BA95 F42:BA44 F10:BA11 F19:BA40 F48:BA51">
    <cfRule type="expression" dxfId="5913" priority="114767">
      <formula>(F247="x")</formula>
    </cfRule>
  </conditionalFormatting>
  <conditionalFormatting sqref="F78:BA80">
    <cfRule type="expression" dxfId="5912" priority="118873">
      <formula>(F319="x")</formula>
    </cfRule>
  </conditionalFormatting>
  <conditionalFormatting sqref="F85:BA88">
    <cfRule type="expression" dxfId="5911" priority="118877">
      <formula>(F340="x")</formula>
    </cfRule>
    <cfRule type="expression" dxfId="5910" priority="118878">
      <formula>(F336="x")</formula>
    </cfRule>
    <cfRule type="expression" dxfId="5909" priority="118879">
      <formula>(F331="x")</formula>
    </cfRule>
    <cfRule type="expression" dxfId="5908" priority="118880">
      <formula>(F335="x")</formula>
    </cfRule>
    <cfRule type="expression" dxfId="5907" priority="118881">
      <formula>(F333="x")</formula>
    </cfRule>
    <cfRule type="expression" dxfId="5906" priority="118882">
      <formula>(F337="x")</formula>
    </cfRule>
    <cfRule type="expression" dxfId="5905" priority="118883">
      <formula>(F328="x")</formula>
    </cfRule>
    <cfRule type="expression" dxfId="5904" priority="118884">
      <formula>(F339="x")</formula>
    </cfRule>
    <cfRule type="expression" dxfId="5903" priority="118885">
      <formula>(F257="x")</formula>
    </cfRule>
  </conditionalFormatting>
  <conditionalFormatting sqref="F103:BA103">
    <cfRule type="expression" dxfId="5902" priority="119458">
      <formula>(F347="x")</formula>
    </cfRule>
    <cfRule type="expression" dxfId="5901" priority="119459">
      <formula>(F351="x")</formula>
    </cfRule>
    <cfRule type="expression" dxfId="5900" priority="119472">
      <formula>(F277="x")</formula>
    </cfRule>
  </conditionalFormatting>
  <conditionalFormatting sqref="F106:BA109">
    <cfRule type="expression" dxfId="5899" priority="12">
      <formula>(F306="x")</formula>
    </cfRule>
    <cfRule type="expression" dxfId="5898" priority="153">
      <formula>(F326="x")</formula>
    </cfRule>
    <cfRule type="expression" dxfId="5897" priority="32432">
      <formula>(F344="x")</formula>
    </cfRule>
    <cfRule type="expression" dxfId="5896" priority="98956">
      <formula>(F303="x")</formula>
    </cfRule>
    <cfRule type="expression" dxfId="5895" priority="102250">
      <formula>(F336="x")</formula>
    </cfRule>
    <cfRule type="expression" dxfId="5894" priority="104914">
      <formula>(F350="x")</formula>
    </cfRule>
    <cfRule type="expression" dxfId="5893" priority="105167">
      <formula>(F348="x")</formula>
    </cfRule>
    <cfRule type="expression" dxfId="5892" priority="105494">
      <formula>(F346="x")</formula>
    </cfRule>
    <cfRule type="expression" dxfId="5891" priority="105518">
      <formula>(F335="x")</formula>
    </cfRule>
    <cfRule type="expression" dxfId="5890" priority="106259">
      <formula>(F334="x")</formula>
    </cfRule>
    <cfRule type="expression" dxfId="5889" priority="113213">
      <formula>(F329="x")</formula>
    </cfRule>
    <cfRule type="expression" dxfId="5888" priority="118785">
      <formula>(F297="x")</formula>
    </cfRule>
    <cfRule type="expression" dxfId="5887" priority="118794">
      <formula>(F296="x")</formula>
    </cfRule>
    <cfRule type="expression" dxfId="5886" priority="118800">
      <formula>(F291="x")</formula>
    </cfRule>
    <cfRule type="expression" dxfId="5885" priority="118817">
      <formula>(F327="x")</formula>
    </cfRule>
    <cfRule type="expression" dxfId="5884" priority="118872">
      <formula>(F287="x")</formula>
    </cfRule>
    <cfRule type="expression" dxfId="5883" priority="119603">
      <formula>(F310="x")</formula>
    </cfRule>
    <cfRule type="expression" dxfId="5882" priority="119609">
      <formula>(F300="x")</formula>
    </cfRule>
    <cfRule type="expression" dxfId="5881" priority="119650">
      <formula>(F298="x")</formula>
    </cfRule>
    <cfRule type="expression" dxfId="5880" priority="119653">
      <formula>(F292="x")</formula>
    </cfRule>
    <cfRule type="expression" dxfId="5879" priority="120028">
      <formula>(F316="x")</formula>
    </cfRule>
    <cfRule type="expression" dxfId="5878" priority="120039">
      <formula>(F304="x")</formula>
    </cfRule>
    <cfRule type="expression" dxfId="5877" priority="120043">
      <formula>(F341="x")</formula>
    </cfRule>
    <cfRule type="expression" dxfId="5876" priority="120075">
      <formula>(F301="x")</formula>
    </cfRule>
  </conditionalFormatting>
  <conditionalFormatting sqref="F110:BA110">
    <cfRule type="expression" dxfId="5875" priority="228">
      <formula>(#REF!="x")</formula>
    </cfRule>
    <cfRule type="expression" dxfId="5874" priority="20468">
      <formula>(F293="x")</formula>
    </cfRule>
    <cfRule type="expression" dxfId="5873" priority="120016">
      <formula>(F291="x")</formula>
    </cfRule>
  </conditionalFormatting>
  <conditionalFormatting sqref="F45:BA45">
    <cfRule type="expression" dxfId="5872" priority="109388">
      <formula>(F186="x")</formula>
    </cfRule>
    <cfRule type="expression" dxfId="5871" priority="109433">
      <formula>(F187="x")</formula>
    </cfRule>
  </conditionalFormatting>
  <conditionalFormatting sqref="F105:BA110 F91:BA91 F65:BA68 F83:BA84 F13:BA47">
    <cfRule type="expression" dxfId="5870" priority="107355">
      <formula>(F187="x")</formula>
    </cfRule>
  </conditionalFormatting>
  <conditionalFormatting sqref="F81:BA83 F85:BA90 F103:BA110 F92:BA95 F32:BA45 F15:BA30 F13:BA13 F48:BA51">
    <cfRule type="expression" dxfId="5869" priority="112198">
      <formula>(F186="x")</formula>
    </cfRule>
  </conditionalFormatting>
  <conditionalFormatting sqref="F106:BA109 F84:BA84 F103:BA104 F92:BA95 F50:BA51 F15:BA44 F12:BA13 F46:BA47">
    <cfRule type="expression" dxfId="5868" priority="84806">
      <formula>(F187="x")</formula>
    </cfRule>
  </conditionalFormatting>
  <conditionalFormatting sqref="F52:BA52">
    <cfRule type="expression" dxfId="5867" priority="108795">
      <formula>(F367="x")</formula>
    </cfRule>
    <cfRule type="expression" dxfId="5866" priority="108797">
      <formula>(F366="x")</formula>
    </cfRule>
    <cfRule type="expression" dxfId="5865" priority="108802">
      <formula>(F365="x")</formula>
    </cfRule>
  </conditionalFormatting>
  <conditionalFormatting sqref="F71:BA74 F85:BA110 F83:BA83 F18:BA40 F45:BA49">
    <cfRule type="expression" dxfId="5864" priority="115035">
      <formula>(F187="x")</formula>
    </cfRule>
  </conditionalFormatting>
  <conditionalFormatting sqref="F78:BA82 F96:BA110 F91:BA91 F48:BA49 F44:BA44 F15:BA40">
    <cfRule type="expression" dxfId="5863" priority="111016">
      <formula>(F187="x")</formula>
    </cfRule>
  </conditionalFormatting>
  <conditionalFormatting sqref="F55:BA61 F85:BA90 F92:BA110 F75:BA80 F17:BA41 F46:BA49">
    <cfRule type="expression" dxfId="5862" priority="116809">
      <formula>(F188="x")</formula>
    </cfRule>
  </conditionalFormatting>
  <conditionalFormatting sqref="F84:BA84 F75:BA77 F91:BA110 F52:BA54 F16:BA41 F45:BA47">
    <cfRule type="expression" dxfId="5861" priority="7507">
      <formula>(F186="x")</formula>
    </cfRule>
  </conditionalFormatting>
  <conditionalFormatting sqref="F106:BA109">
    <cfRule type="expression" dxfId="5860" priority="118801">
      <formula>(F293="x")</formula>
    </cfRule>
    <cfRule type="expression" dxfId="5859" priority="119724">
      <formula>(F271="x")</formula>
    </cfRule>
  </conditionalFormatting>
  <conditionalFormatting sqref="F81:BA82 F84:BA110 F69:BA74 F18:BA45">
    <cfRule type="expression" dxfId="5858" priority="120155">
      <formula>(F186="x")</formula>
    </cfRule>
  </conditionalFormatting>
  <conditionalFormatting sqref="F76:BA77 F84:BA109 F81:BA82 F21:BA45">
    <cfRule type="expression" dxfId="5857" priority="115424">
      <formula>(F187="x")</formula>
    </cfRule>
  </conditionalFormatting>
  <conditionalFormatting sqref="F52:BA52">
    <cfRule type="expression" dxfId="5856" priority="109210">
      <formula>(F368="x")</formula>
    </cfRule>
    <cfRule type="expression" dxfId="5855" priority="109264">
      <formula>(F369="x")</formula>
    </cfRule>
  </conditionalFormatting>
  <conditionalFormatting sqref="F31:BA44">
    <cfRule type="expression" dxfId="5854" priority="99700">
      <formula>(F356="x")</formula>
    </cfRule>
    <cfRule type="expression" dxfId="5853" priority="109003">
      <formula>(F348="x")</formula>
    </cfRule>
    <cfRule type="expression" dxfId="5852" priority="109202">
      <formula>(F364="x")</formula>
    </cfRule>
    <cfRule type="expression" dxfId="5851" priority="109204">
      <formula>(F363="x")</formula>
    </cfRule>
  </conditionalFormatting>
  <conditionalFormatting sqref="F106:BA110 F81:BA104 F71:BA77 F24:BA44">
    <cfRule type="expression" dxfId="5850" priority="110417">
      <formula>(F188="x")</formula>
    </cfRule>
  </conditionalFormatting>
  <conditionalFormatting sqref="F110:BA110 F65:BA68 F50:BA61 F11:BA44 F46:BA47">
    <cfRule type="expression" dxfId="5849" priority="92652">
      <formula>(F191="x")</formula>
    </cfRule>
  </conditionalFormatting>
  <conditionalFormatting sqref="F110:BA110 F78:BA80 F83:BA105 F65:BA68 F22:BA44">
    <cfRule type="expression" dxfId="5848" priority="96835">
      <formula>(F187="x")</formula>
    </cfRule>
  </conditionalFormatting>
  <conditionalFormatting sqref="F55:BA61 F103:BA110 F71:BA95 F24:BA44">
    <cfRule type="expression" dxfId="5847" priority="119732">
      <formula>(F186="x")</formula>
    </cfRule>
  </conditionalFormatting>
  <conditionalFormatting sqref="F75:BA77 F20:BA44">
    <cfRule type="expression" dxfId="5846" priority="89844">
      <formula>(F328="x")</formula>
    </cfRule>
  </conditionalFormatting>
  <conditionalFormatting sqref="F105:BA110 F62:BA64 F80:BA102 F78:BA78 F69:BA70 F24:BA40 F44:BA44 F48:BA49">
    <cfRule type="expression" dxfId="5845" priority="100871">
      <formula>(F187="x")</formula>
    </cfRule>
  </conditionalFormatting>
  <conditionalFormatting sqref="F75:BA91 F69:BA70 F96:BA110 F52:BA61 F30:BA44 F46:BA47">
    <cfRule type="expression" dxfId="5844" priority="106765">
      <formula>(F191="x")</formula>
    </cfRule>
  </conditionalFormatting>
  <conditionalFormatting sqref="F65:BA68 F80:BA90 F71:BA74 F52:BA53 F92:BA110 F76:BA78 F30:BA45">
    <cfRule type="expression" dxfId="5843" priority="6315">
      <formula>(F190="x")</formula>
    </cfRule>
  </conditionalFormatting>
  <conditionalFormatting sqref="F106:BA110 F85:BA102 F52:BA54 F33:BA44">
    <cfRule type="expression" dxfId="5842" priority="113056">
      <formula>(F189="x")</formula>
    </cfRule>
  </conditionalFormatting>
  <conditionalFormatting sqref="F110:BA110">
    <cfRule type="expression" dxfId="5841" priority="6293">
      <formula>(F269="x")</formula>
    </cfRule>
    <cfRule type="expression" dxfId="5840" priority="116670">
      <formula>(F268="x")</formula>
    </cfRule>
  </conditionalFormatting>
  <conditionalFormatting sqref="F65:BA80 F83:BA91 F62:BA63 F103:BA110 F52:BA54 F32:BA40 F44:BA45 F48:BA49">
    <cfRule type="expression" dxfId="5839" priority="119385">
      <formula>(F186="x")</formula>
    </cfRule>
  </conditionalFormatting>
  <conditionalFormatting sqref="F105:BA110 F55:BA82 F84:BA95 F33:BA44 F46:BA47">
    <cfRule type="expression" dxfId="5838" priority="116110">
      <formula>(F188="x")</formula>
    </cfRule>
  </conditionalFormatting>
  <conditionalFormatting sqref="F78:BA78">
    <cfRule type="expression" dxfId="5837" priority="98557">
      <formula>(F284="x")</formula>
    </cfRule>
    <cfRule type="expression" dxfId="5836" priority="116479">
      <formula>(F283="x")</formula>
    </cfRule>
  </conditionalFormatting>
  <conditionalFormatting sqref="F55:BA77 F96:BA110 F81:BA90 F33:BA40 F44:BA44 F48:BA51">
    <cfRule type="expression" dxfId="5835" priority="83504">
      <formula>(F186="x")</formula>
    </cfRule>
  </conditionalFormatting>
  <conditionalFormatting sqref="F78:BA84 F92:BA110 F52:BA74 F36:BA41 F44:BA44 F46:BA47">
    <cfRule type="expression" dxfId="5834" priority="118965">
      <formula>(F188="x")</formula>
    </cfRule>
  </conditionalFormatting>
  <conditionalFormatting sqref="F105:BA109 F83:BA95 F69:BA77 F50:BA64 F43:BA44">
    <cfRule type="expression" dxfId="5833" priority="6004">
      <formula>(F189="x")</formula>
    </cfRule>
  </conditionalFormatting>
  <conditionalFormatting sqref="F81:BA91 F103:BA109 F65:BA74 F41:BA44 F46:BA61">
    <cfRule type="expression" dxfId="5832" priority="114847">
      <formula>(F186="x")</formula>
    </cfRule>
  </conditionalFormatting>
  <conditionalFormatting sqref="F76:BA109 F52:BA70 F36:BA45">
    <cfRule type="expression" dxfId="5831" priority="118461">
      <formula>(F186="x")</formula>
    </cfRule>
  </conditionalFormatting>
  <conditionalFormatting sqref="F106:BA109 F48:BA80 F42:BA44">
    <cfRule type="expression" dxfId="5830" priority="97929">
      <formula>(F189="x")</formula>
    </cfRule>
  </conditionalFormatting>
  <conditionalFormatting sqref="F96:BA109 F78:BA90 F48:BA74 F45:BA45">
    <cfRule type="expression" dxfId="5829" priority="120197">
      <formula>(F189="x")</formula>
    </cfRule>
  </conditionalFormatting>
  <conditionalFormatting sqref="F106:BA109 F46:BA68">
    <cfRule type="expression" dxfId="5828" priority="104832">
      <formula>(F187="x")</formula>
    </cfRule>
  </conditionalFormatting>
  <conditionalFormatting sqref="F106:BA109">
    <cfRule type="expression" dxfId="5827" priority="118115">
      <formula>(F249="x")</formula>
    </cfRule>
    <cfRule type="expression" dxfId="5826" priority="120203">
      <formula>(F248="x")</formula>
    </cfRule>
  </conditionalFormatting>
  <conditionalFormatting sqref="F106:BA109 F84:BA90 F78:BA80 F69:BA76 F48:BA61">
    <cfRule type="expression" dxfId="5825" priority="114176">
      <formula>(F186="x")</formula>
    </cfRule>
  </conditionalFormatting>
  <conditionalFormatting sqref="F106:BA109">
    <cfRule type="expression" dxfId="5824" priority="25549">
      <formula>(F307="x")</formula>
    </cfRule>
    <cfRule type="expression" dxfId="5823" priority="102192">
      <formula>(F246="x")</formula>
    </cfRule>
  </conditionalFormatting>
  <conditionalFormatting sqref="F96:BA102">
    <cfRule type="expression" dxfId="5822" priority="96315">
      <formula>(F234="x")</formula>
    </cfRule>
  </conditionalFormatting>
  <conditionalFormatting sqref="F105:BA109 F83:BA84 F65:BA80 F52:BA61 F92:BA95">
    <cfRule type="expression" dxfId="5821" priority="119377">
      <formula>(F189="x")</formula>
    </cfRule>
  </conditionalFormatting>
  <conditionalFormatting sqref="F105:BA109 F54:BA82 F91:BA95">
    <cfRule type="expression" dxfId="5820" priority="116230">
      <formula>(F187="x")</formula>
    </cfRule>
  </conditionalFormatting>
  <conditionalFormatting sqref="F106:BA109 F57:BA83 F55:BA55">
    <cfRule type="expression" dxfId="5819" priority="106140">
      <formula>(F189="x")</formula>
    </cfRule>
  </conditionalFormatting>
  <conditionalFormatting sqref="F83:BA83">
    <cfRule type="expression" dxfId="5818" priority="95484">
      <formula>(F208="x")</formula>
    </cfRule>
    <cfRule type="expression" dxfId="5817" priority="104927">
      <formula>(F209="x")</formula>
    </cfRule>
  </conditionalFormatting>
  <conditionalFormatting sqref="F52:BA52 F84:BA91 F76:BA80 F103:BA109 F56:BA74">
    <cfRule type="expression" dxfId="5816" priority="115484">
      <formula>(F184="x")</formula>
    </cfRule>
  </conditionalFormatting>
  <conditionalFormatting sqref="F83:BA83 F85:BA90 F96:BA109 F57:BA77">
    <cfRule type="expression" dxfId="5815" priority="5995">
      <formula>(F188="x")</formula>
    </cfRule>
  </conditionalFormatting>
  <conditionalFormatting sqref="F96:BA102 F65:BA68 F84:BA84 F91:BA91 F71:BA74 F78:BA82 F46:BA49 F10:BA40">
    <cfRule type="expression" dxfId="5814" priority="116315">
      <formula>(F246="x")</formula>
    </cfRule>
  </conditionalFormatting>
  <conditionalFormatting sqref="F105:BA109 F85:BA95 F60:BA68 F78:BA83">
    <cfRule type="expression" dxfId="5813" priority="116552">
      <formula>(F187="x")</formula>
    </cfRule>
  </conditionalFormatting>
  <conditionalFormatting sqref="F106:BA109 F60:BA61 F83:BA102 F63:BA70">
    <cfRule type="expression" dxfId="5812" priority="114964">
      <formula>(F188="x")</formula>
    </cfRule>
  </conditionalFormatting>
  <conditionalFormatting sqref="F106:BA109 F62:BA70 F84:BA90 F96:BA104 F75:BA80">
    <cfRule type="expression" dxfId="5811" priority="115836">
      <formula>(F187="x")</formula>
    </cfRule>
  </conditionalFormatting>
  <conditionalFormatting sqref="F96:BA102 F81:BA82 F10:BA13 F19:BA46">
    <cfRule type="expression" dxfId="5810" priority="46567">
      <formula>(F254="x")</formula>
    </cfRule>
  </conditionalFormatting>
  <conditionalFormatting sqref="F103:BA103">
    <cfRule type="expression" dxfId="5809" priority="119807">
      <formula>(F348="x")</formula>
    </cfRule>
  </conditionalFormatting>
  <conditionalFormatting sqref="F74:BA74 F91:BA95 F69:BA72 F103:BA109 F81:BA87">
    <cfRule type="expression" dxfId="5808" priority="230">
      <formula>(F192="x")</formula>
    </cfRule>
  </conditionalFormatting>
  <conditionalFormatting sqref="F105:BA109 F83:BA84 F71:BA77 F92:BA102">
    <cfRule type="expression" dxfId="5807" priority="106610">
      <formula>(F195="x")</formula>
    </cfRule>
  </conditionalFormatting>
  <conditionalFormatting sqref="F75:BA83 F86:BA90 F92:BA109 F69:BA70">
    <cfRule type="expression" dxfId="5806" priority="41967">
      <formula>(F190="x")</formula>
    </cfRule>
  </conditionalFormatting>
  <conditionalFormatting sqref="F78:BA91 F68:BA74 F96:BA109 F65:BA66">
    <cfRule type="expression" dxfId="5805" priority="120241">
      <formula>(F187="x")</formula>
    </cfRule>
  </conditionalFormatting>
  <conditionalFormatting sqref="F84:BA84 F67:BA68 F75:BA82 F91:BA109 F65:BA65">
    <cfRule type="expression" dxfId="5804" priority="119811">
      <formula>(F185="x")</formula>
    </cfRule>
  </conditionalFormatting>
  <conditionalFormatting sqref="F106:BA109">
    <cfRule type="expression" dxfId="5803" priority="43203">
      <formula>(F224="x")</formula>
    </cfRule>
    <cfRule type="expression" dxfId="5802" priority="115304">
      <formula>(F225="x")</formula>
    </cfRule>
  </conditionalFormatting>
  <conditionalFormatting sqref="F106:BA109 F78:BA80 F59:BA64 F55:BA57 F83:BA83 F85:BA90 F12:BA13 F34:BA40 F25:BA30 F45:BA45 F48:BA49">
    <cfRule type="expression" dxfId="5801" priority="98952">
      <formula>(F245="x")</formula>
    </cfRule>
  </conditionalFormatting>
  <conditionalFormatting sqref="F92:BA102 F69:BA70 F10:BA14 F18:BA44 F48:BA51">
    <cfRule type="expression" dxfId="5800" priority="145">
      <formula>(F225="x")</formula>
    </cfRule>
  </conditionalFormatting>
  <conditionalFormatting sqref="F32:BA44">
    <cfRule type="expression" dxfId="5799" priority="68226">
      <formula>(F185="x")</formula>
    </cfRule>
  </conditionalFormatting>
  <conditionalFormatting sqref="F106:BA109 F85:BA102 F71:BA73">
    <cfRule type="expression" dxfId="5798" priority="115658">
      <formula>(F188="x")</formula>
    </cfRule>
  </conditionalFormatting>
  <conditionalFormatting sqref="F85:BA88">
    <cfRule type="expression" dxfId="5797" priority="71243">
      <formula>(F377="x")</formula>
    </cfRule>
  </conditionalFormatting>
  <conditionalFormatting sqref="F106:BA109">
    <cfRule type="expression" dxfId="5796" priority="167">
      <formula>(F330="x")</formula>
    </cfRule>
    <cfRule type="expression" dxfId="5795" priority="27820">
      <formula>(F236="x")</formula>
    </cfRule>
    <cfRule type="expression" dxfId="5794" priority="32428">
      <formula>(F333="x")</formula>
    </cfRule>
    <cfRule type="expression" dxfId="5793" priority="120033">
      <formula>(F315="x")</formula>
    </cfRule>
    <cfRule type="expression" dxfId="5792" priority="120035">
      <formula>(F314="x")</formula>
    </cfRule>
  </conditionalFormatting>
  <conditionalFormatting sqref="F106:BA109">
    <cfRule type="expression" dxfId="5791" priority="137">
      <formula>(F318="x")</formula>
    </cfRule>
    <cfRule type="expression" dxfId="5790" priority="33202">
      <formula>(F328="x")</formula>
    </cfRule>
    <cfRule type="expression" dxfId="5789" priority="61807">
      <formula>(F342="x")</formula>
    </cfRule>
  </conditionalFormatting>
  <conditionalFormatting sqref="F106:BA109">
    <cfRule type="expression" dxfId="5788" priority="82321">
      <formula>(F245="x")</formula>
    </cfRule>
    <cfRule type="expression" dxfId="5787" priority="119000">
      <formula>(F255="x")</formula>
    </cfRule>
    <cfRule type="expression" dxfId="5786" priority="119758">
      <formula>(F254="x")</formula>
    </cfRule>
  </conditionalFormatting>
  <conditionalFormatting sqref="F106:BA109 F96:BA104 F73:BA90">
    <cfRule type="expression" dxfId="5785" priority="119429">
      <formula>(F187="x")</formula>
    </cfRule>
  </conditionalFormatting>
  <conditionalFormatting sqref="F105:BA109 F71:BA95">
    <cfRule type="expression" dxfId="5784" priority="119815">
      <formula>(F187="x")</formula>
    </cfRule>
  </conditionalFormatting>
  <conditionalFormatting sqref="F85:BA88">
    <cfRule type="expression" dxfId="5783" priority="119096">
      <formula>(F332="x")</formula>
    </cfRule>
    <cfRule type="expression" dxfId="5782" priority="119097">
      <formula>(F327="x")</formula>
    </cfRule>
  </conditionalFormatting>
  <conditionalFormatting sqref="F84:BA84 F103:BA104 F55:BA64 F50:BA51 F15:BA29 F10:BA11 F35:BA44">
    <cfRule type="expression" dxfId="5781" priority="107459">
      <formula>(F227="x")</formula>
    </cfRule>
  </conditionalFormatting>
  <conditionalFormatting sqref="F106:BA109">
    <cfRule type="expression" dxfId="5780" priority="7072">
      <formula>(F221="x")</formula>
    </cfRule>
    <cfRule type="expression" dxfId="5779" priority="30467">
      <formula>(F321="x")</formula>
    </cfRule>
    <cfRule type="expression" dxfId="5778" priority="33533">
      <formula>(F322="x")</formula>
    </cfRule>
    <cfRule type="expression" dxfId="5777" priority="118862">
      <formula>(F302="x")</formula>
    </cfRule>
    <cfRule type="expression" dxfId="5776" priority="119604">
      <formula>(F312="x")</formula>
    </cfRule>
    <cfRule type="expression" dxfId="5775" priority="119606">
      <formula>(F311="x")</formula>
    </cfRule>
    <cfRule type="expression" dxfId="5774" priority="119616">
      <formula>(F340="x")</formula>
    </cfRule>
    <cfRule type="expression" dxfId="5773" priority="119618">
      <formula>(F338="x")</formula>
    </cfRule>
    <cfRule type="expression" dxfId="5772" priority="119657">
      <formula>(F331="x")</formula>
    </cfRule>
    <cfRule type="expression" dxfId="5771" priority="119839">
      <formula>(F218="x")</formula>
    </cfRule>
  </conditionalFormatting>
  <conditionalFormatting sqref="F110:BA110">
    <cfRule type="expression" dxfId="5770" priority="82910">
      <formula>(F300="x")</formula>
    </cfRule>
    <cfRule type="expression" dxfId="5769" priority="118797">
      <formula>(F299="x")</formula>
    </cfRule>
  </conditionalFormatting>
  <conditionalFormatting sqref="F106:BA109">
    <cfRule type="expression" dxfId="5768" priority="96922">
      <formula>(F349="x")</formula>
    </cfRule>
    <cfRule type="expression" dxfId="5767" priority="113942">
      <formula>(F219="x")</formula>
    </cfRule>
  </conditionalFormatting>
  <conditionalFormatting sqref="F106:BA109">
    <cfRule type="expression" dxfId="5766" priority="6108">
      <formula>(F242="x")</formula>
    </cfRule>
    <cfRule type="expression" dxfId="5765" priority="105520">
      <formula>(F232="x")</formula>
    </cfRule>
    <cfRule type="expression" dxfId="5764" priority="111408">
      <formula>(F323="x")</formula>
    </cfRule>
    <cfRule type="expression" dxfId="5763" priority="120032">
      <formula>(F313="x")</formula>
    </cfRule>
    <cfRule type="expression" dxfId="5762" priority="120215">
      <formula>(F241="x")</formula>
    </cfRule>
    <cfRule type="expression" dxfId="5761" priority="120285">
      <formula>(F216="x")</formula>
    </cfRule>
  </conditionalFormatting>
  <conditionalFormatting sqref="F106:BA109">
    <cfRule type="expression" dxfId="5760" priority="80397">
      <formula>(F332="x")</formula>
    </cfRule>
    <cfRule type="expression" dxfId="5759" priority="120283">
      <formula>(F217="x")</formula>
    </cfRule>
  </conditionalFormatting>
  <conditionalFormatting sqref="F105:BA109 F79:BA80">
    <cfRule type="expression" dxfId="5758" priority="119433">
      <formula>(F187="x")</formula>
    </cfRule>
  </conditionalFormatting>
  <conditionalFormatting sqref="F106:BA109 F78:BA82">
    <cfRule type="expression" dxfId="5757" priority="52511">
      <formula>(F187="x")</formula>
    </cfRule>
  </conditionalFormatting>
  <conditionalFormatting sqref="F75:BA83">
    <cfRule type="expression" dxfId="5756" priority="93">
      <formula>(F192="x")</formula>
    </cfRule>
  </conditionalFormatting>
  <conditionalFormatting sqref="F106:BA109">
    <cfRule type="expression" dxfId="5755" priority="24834">
      <formula>(F308="x")</formula>
    </cfRule>
    <cfRule type="expression" dxfId="5754" priority="106570">
      <formula>(F309="x")</formula>
    </cfRule>
  </conditionalFormatting>
  <conditionalFormatting sqref="F103:BA109 F83:BA84">
    <cfRule type="expression" dxfId="5753" priority="11463">
      <formula>(F190="x")</formula>
    </cfRule>
  </conditionalFormatting>
  <conditionalFormatting sqref="F96:BA109 F81:BA83">
    <cfRule type="expression" dxfId="5752" priority="115264">
      <formula>(F187="x")</formula>
    </cfRule>
  </conditionalFormatting>
  <conditionalFormatting sqref="F106:BA109">
    <cfRule type="expression" dxfId="5751" priority="76263">
      <formula>(F235="x")</formula>
    </cfRule>
    <cfRule type="expression" dxfId="5750" priority="119046">
      <formula>(F210="x")</formula>
    </cfRule>
    <cfRule type="expression" dxfId="5749" priority="119432">
      <formula>(F211="x")</formula>
    </cfRule>
  </conditionalFormatting>
  <conditionalFormatting sqref="F106:BA109">
    <cfRule type="expression" dxfId="5748" priority="116908">
      <formula>(F208="x")</formula>
    </cfRule>
    <cfRule type="expression" dxfId="5747" priority="120339">
      <formula>(F209="x")</formula>
    </cfRule>
    <cfRule type="expression" dxfId="5746" priority="120354">
      <formula>(F355="x")</formula>
    </cfRule>
    <cfRule type="expression" dxfId="5745" priority="120355">
      <formula>(F354="x")</formula>
    </cfRule>
  </conditionalFormatting>
  <conditionalFormatting sqref="F106:BA110 F91:BA95 F15:BA29 F32:BA45">
    <cfRule type="expression" dxfId="5744" priority="160">
      <formula>(F194="x")</formula>
    </cfRule>
  </conditionalFormatting>
  <conditionalFormatting sqref="F19:BA44">
    <cfRule type="expression" dxfId="5743" priority="309">
      <formula>(F187="x")</formula>
    </cfRule>
    <cfRule type="expression" dxfId="5742" priority="6044">
      <formula>(F189="x")</formula>
    </cfRule>
    <cfRule type="expression" dxfId="5741" priority="6123">
      <formula>(F190="x")</formula>
    </cfRule>
    <cfRule type="expression" dxfId="5740" priority="6138">
      <formula>(F206="x")</formula>
    </cfRule>
    <cfRule type="expression" dxfId="5739" priority="6165">
      <formula>(F194="x")</formula>
    </cfRule>
    <cfRule type="expression" dxfId="5738" priority="7471">
      <formula>(F211="x")</formula>
    </cfRule>
    <cfRule type="expression" dxfId="5737" priority="16361">
      <formula>(F193="x")</formula>
    </cfRule>
    <cfRule type="expression" dxfId="5736" priority="24138">
      <formula>(F195="x")</formula>
    </cfRule>
    <cfRule type="expression" dxfId="5735" priority="53902">
      <formula>(F188="x")</formula>
    </cfRule>
    <cfRule type="expression" dxfId="5734" priority="83562">
      <formula>(F199="x")</formula>
    </cfRule>
    <cfRule type="expression" dxfId="5733" priority="86433">
      <formula>(F192="x")</formula>
    </cfRule>
    <cfRule type="expression" dxfId="5732" priority="107618">
      <formula>(F209="x")</formula>
    </cfRule>
    <cfRule type="expression" dxfId="5731" priority="115923">
      <formula>(F200="x")</formula>
    </cfRule>
    <cfRule type="expression" dxfId="5730" priority="116550">
      <formula>(F185="x")</formula>
    </cfRule>
    <cfRule type="expression" dxfId="5729" priority="117002">
      <formula>(F196="x")</formula>
    </cfRule>
    <cfRule type="expression" dxfId="5728" priority="117781">
      <formula>(F197="x")</formula>
    </cfRule>
    <cfRule type="expression" dxfId="5727" priority="118097">
      <formula>(F208="x")</formula>
    </cfRule>
    <cfRule type="expression" dxfId="5726" priority="118466">
      <formula>(F204="x")</formula>
    </cfRule>
    <cfRule type="expression" dxfId="5725" priority="119058">
      <formula>(F207="x")</formula>
    </cfRule>
    <cfRule type="expression" dxfId="5724" priority="119076">
      <formula>(F202="x")</formula>
    </cfRule>
    <cfRule type="expression" dxfId="5723" priority="119077">
      <formula>(F203="x")</formula>
    </cfRule>
    <cfRule type="expression" dxfId="5722" priority="119079">
      <formula>(F201="x")</formula>
    </cfRule>
    <cfRule type="expression" dxfId="5721" priority="119093">
      <formula>(F198="x")</formula>
    </cfRule>
    <cfRule type="expression" dxfId="5720" priority="119131">
      <formula>(F191="x")</formula>
    </cfRule>
    <cfRule type="expression" dxfId="5719" priority="119594">
      <formula>(F286="x")</formula>
    </cfRule>
    <cfRule type="expression" dxfId="5718" priority="119907">
      <formula>(F210="x")</formula>
    </cfRule>
  </conditionalFormatting>
  <conditionalFormatting sqref="F110:BA110">
    <cfRule type="expression" dxfId="5717" priority="119065">
      <formula>(F206="x")</formula>
    </cfRule>
  </conditionalFormatting>
  <conditionalFormatting sqref="F111:BA111">
    <cfRule type="expression" dxfId="5716" priority="472">
      <formula>(F188="x")</formula>
    </cfRule>
  </conditionalFormatting>
  <conditionalFormatting sqref="F208:BC279">
    <cfRule type="expression" dxfId="5715" priority="473">
      <formula>(F208="x")</formula>
    </cfRule>
  </conditionalFormatting>
  <conditionalFormatting sqref="BB10:BB111">
    <cfRule type="expression" dxfId="5714" priority="231">
      <formula>(BB10="Yes")</formula>
    </cfRule>
    <cfRule type="expression" dxfId="5713" priority="232">
      <formula>(BB10="No")</formula>
    </cfRule>
  </conditionalFormatting>
  <conditionalFormatting sqref="BB208:BC279">
    <cfRule type="expression" dxfId="5712" priority="418">
      <formula>BB208&lt;100.1</formula>
    </cfRule>
  </conditionalFormatting>
  <conditionalFormatting sqref="BE116:BE130">
    <cfRule type="expression" dxfId="5711" priority="463">
      <formula>(BE116="Yes")</formula>
    </cfRule>
    <cfRule type="expression" dxfId="5710" priority="464">
      <formula>(BE116="No")</formula>
    </cfRule>
  </conditionalFormatting>
  <conditionalFormatting sqref="F81:BA83 F75:BA77 F15:BA44 F12:BA13">
    <cfRule type="expression" dxfId="5709" priority="120364">
      <formula>(F300="x")</formula>
    </cfRule>
  </conditionalFormatting>
  <conditionalFormatting sqref="F75:BA77 F10:BA44">
    <cfRule type="expression" dxfId="5708" priority="120368">
      <formula>(F273="x")</formula>
    </cfRule>
  </conditionalFormatting>
  <conditionalFormatting sqref="F62:BA64 F34:BA44 F12:BA13">
    <cfRule type="expression" dxfId="5707" priority="120370">
      <formula>(F293="x")</formula>
    </cfRule>
  </conditionalFormatting>
  <conditionalFormatting sqref="F12:BA13">
    <cfRule type="expression" dxfId="5706" priority="120373">
      <formula>(F312="x")</formula>
    </cfRule>
    <cfRule type="expression" dxfId="5705" priority="120374">
      <formula>(F314="x")</formula>
    </cfRule>
  </conditionalFormatting>
  <conditionalFormatting sqref="F12:BA13 F17:BA44">
    <cfRule type="expression" dxfId="5704" priority="120378">
      <formula>(F352="x")</formula>
    </cfRule>
  </conditionalFormatting>
  <conditionalFormatting sqref="F23:BA29">
    <cfRule type="expression" dxfId="5703" priority="120380">
      <formula>(F304="x")</formula>
    </cfRule>
  </conditionalFormatting>
  <conditionalFormatting sqref="F71:BA74 F14:BA44">
    <cfRule type="expression" dxfId="5702" priority="120386">
      <formula>(F320="x")</formula>
    </cfRule>
  </conditionalFormatting>
  <conditionalFormatting sqref="F12:BA13">
    <cfRule type="expression" dxfId="5701" priority="120390">
      <formula>(F347="x")</formula>
    </cfRule>
    <cfRule type="expression" dxfId="5700" priority="120391">
      <formula>(F351="x")</formula>
    </cfRule>
    <cfRule type="expression" dxfId="5699" priority="120392">
      <formula>(F277="x")</formula>
    </cfRule>
  </conditionalFormatting>
  <conditionalFormatting sqref="F12:BA13">
    <cfRule type="expression" dxfId="5698" priority="120417">
      <formula>(F301="x")</formula>
    </cfRule>
    <cfRule type="expression" dxfId="5697" priority="120418">
      <formula>(F321="x")</formula>
    </cfRule>
    <cfRule type="expression" dxfId="5696" priority="120419">
      <formula>(F339="x")</formula>
    </cfRule>
    <cfRule type="expression" dxfId="5695" priority="120420">
      <formula>(F298="x")</formula>
    </cfRule>
    <cfRule type="expression" dxfId="5694" priority="120421">
      <formula>(F331="x")</formula>
    </cfRule>
    <cfRule type="expression" dxfId="5693" priority="120422">
      <formula>(F345="x")</formula>
    </cfRule>
    <cfRule type="expression" dxfId="5692" priority="120423">
      <formula>(F343="x")</formula>
    </cfRule>
    <cfRule type="expression" dxfId="5691" priority="120424">
      <formula>(F341="x")</formula>
    </cfRule>
    <cfRule type="expression" dxfId="5690" priority="120425">
      <formula>(F330="x")</formula>
    </cfRule>
    <cfRule type="expression" dxfId="5689" priority="120426">
      <formula>(F329="x")</formula>
    </cfRule>
    <cfRule type="expression" dxfId="5688" priority="120427">
      <formula>(F324="x")</formula>
    </cfRule>
    <cfRule type="expression" dxfId="5687" priority="120428">
      <formula>(F292="x")</formula>
    </cfRule>
    <cfRule type="expression" dxfId="5686" priority="120429">
      <formula>(F291="x")</formula>
    </cfRule>
    <cfRule type="expression" dxfId="5685" priority="120430">
      <formula>(F286="x")</formula>
    </cfRule>
    <cfRule type="expression" dxfId="5684" priority="120431">
      <formula>(F322="x")</formula>
    </cfRule>
    <cfRule type="expression" dxfId="5683" priority="120432">
      <formula>(F282="x")</formula>
    </cfRule>
    <cfRule type="expression" dxfId="5682" priority="120433">
      <formula>(F305="x")</formula>
    </cfRule>
    <cfRule type="expression" dxfId="5681" priority="120434">
      <formula>(F295="x")</formula>
    </cfRule>
    <cfRule type="expression" dxfId="5680" priority="120435">
      <formula>(F293="x")</formula>
    </cfRule>
    <cfRule type="expression" dxfId="5679" priority="120436">
      <formula>(F287="x")</formula>
    </cfRule>
    <cfRule type="expression" dxfId="5678" priority="120437">
      <formula>(F311="x")</formula>
    </cfRule>
    <cfRule type="expression" dxfId="5677" priority="120438">
      <formula>(F299="x")</formula>
    </cfRule>
    <cfRule type="expression" dxfId="5676" priority="120439">
      <formula>(F336="x")</formula>
    </cfRule>
    <cfRule type="expression" dxfId="5675" priority="120440">
      <formula>(F296="x")</formula>
    </cfRule>
  </conditionalFormatting>
  <conditionalFormatting sqref="F12:BA13">
    <cfRule type="expression" dxfId="5674" priority="120444">
      <formula>(#REF!="x")</formula>
    </cfRule>
    <cfRule type="expression" dxfId="5673" priority="120445">
      <formula>(F283="x")</formula>
    </cfRule>
    <cfRule type="expression" dxfId="5672" priority="120446">
      <formula>(F281="x")</formula>
    </cfRule>
  </conditionalFormatting>
  <conditionalFormatting sqref="F85:BA90">
    <cfRule type="expression" dxfId="5671" priority="120450">
      <formula>(F330="x")</formula>
    </cfRule>
  </conditionalFormatting>
  <conditionalFormatting sqref="F92:BA95 F13:BA13 F17:BA40 F44:BA44 F48:BA49">
    <cfRule type="expression" dxfId="5670" priority="120452">
      <formula>(F260="x")</formula>
    </cfRule>
  </conditionalFormatting>
  <conditionalFormatting sqref="F105:BA105">
    <cfRule type="expression" dxfId="5669" priority="120454">
      <formula>(F349="x")</formula>
    </cfRule>
  </conditionalFormatting>
  <conditionalFormatting sqref="F52:BA61">
    <cfRule type="expression" dxfId="5668" priority="120460">
      <formula>(F296="x")</formula>
    </cfRule>
  </conditionalFormatting>
  <conditionalFormatting sqref="F12:BA13">
    <cfRule type="expression" dxfId="5667" priority="120463">
      <formula>(F288="x")</formula>
    </cfRule>
    <cfRule type="expression" dxfId="5666" priority="120464">
      <formula>(F266="x")</formula>
    </cfRule>
  </conditionalFormatting>
  <conditionalFormatting sqref="F92:BA95">
    <cfRule type="expression" dxfId="5665" priority="120466">
      <formula>(F333="x")</formula>
    </cfRule>
  </conditionalFormatting>
  <conditionalFormatting sqref="F71:BA74">
    <cfRule type="expression" dxfId="5664" priority="120476">
      <formula>(F328="x")</formula>
    </cfRule>
  </conditionalFormatting>
  <conditionalFormatting sqref="F11:BA13 F16:BA44">
    <cfRule type="expression" dxfId="5663" priority="120485">
      <formula>(F258="x")</formula>
    </cfRule>
    <cfRule type="expression" dxfId="5662" priority="120486">
      <formula>(F257="x")</formula>
    </cfRule>
  </conditionalFormatting>
  <conditionalFormatting sqref="F96:BA102 F52:BA54 F84:BA84 F71:BA77 F81:BA82 F15:BA45 F11:BA13">
    <cfRule type="expression" dxfId="5661" priority="120502">
      <formula>(F241="x")</formula>
    </cfRule>
  </conditionalFormatting>
  <conditionalFormatting sqref="F12:BA13">
    <cfRule type="expression" dxfId="5660" priority="120509">
      <formula>(F244="x")</formula>
    </cfRule>
    <cfRule type="expression" dxfId="5659" priority="120510">
      <formula>(F243="x")</formula>
    </cfRule>
  </conditionalFormatting>
  <conditionalFormatting sqref="F11:BA13 F16:BA44">
    <cfRule type="expression" dxfId="5658" priority="120512">
      <formula>(F345="x")</formula>
    </cfRule>
  </conditionalFormatting>
  <conditionalFormatting sqref="F96:BA102 F65:BA68 F75:BA77 F91:BA91 F81:BA82 F10:BA45 F47:BA47">
    <cfRule type="expression" dxfId="5657" priority="120514">
      <formula>(F244="x")</formula>
    </cfRule>
  </conditionalFormatting>
  <conditionalFormatting sqref="F12:BA13">
    <cfRule type="expression" dxfId="5656" priority="120517">
      <formula>(F302="x")</formula>
    </cfRule>
    <cfRule type="expression" dxfId="5655" priority="120518">
      <formula>(F241="x")</formula>
    </cfRule>
  </conditionalFormatting>
  <conditionalFormatting sqref="F105:BA105">
    <cfRule type="expression" dxfId="5654" priority="120524">
      <formula>(F322="x")</formula>
    </cfRule>
  </conditionalFormatting>
  <conditionalFormatting sqref="F11:BA13 F16:BA44">
    <cfRule type="expression" dxfId="5653" priority="120526">
      <formula>(F341="x")</formula>
    </cfRule>
  </conditionalFormatting>
  <conditionalFormatting sqref="F91:BA95">
    <cfRule type="expression" dxfId="5652" priority="120528">
      <formula>(F305="x")</formula>
    </cfRule>
  </conditionalFormatting>
  <conditionalFormatting sqref="F71:BA74 F96:BA104 F83:BA83 F12:BA44">
    <cfRule type="expression" dxfId="5651" priority="120530">
      <formula>(F228="x")</formula>
    </cfRule>
  </conditionalFormatting>
  <conditionalFormatting sqref="F11:BA13 F16:BA44">
    <cfRule type="expression" dxfId="5650" priority="120536">
      <formula>(F347="x")</formula>
    </cfRule>
  </conditionalFormatting>
  <conditionalFormatting sqref="F78:BA80">
    <cfRule type="expression" dxfId="5649" priority="120538">
      <formula>(F297="x")</formula>
    </cfRule>
  </conditionalFormatting>
  <conditionalFormatting sqref="F78:BA82 F53:BA55 F15:BA44 F11:BA13">
    <cfRule type="expression" dxfId="5648" priority="120548">
      <formula>(F206="x")</formula>
    </cfRule>
  </conditionalFormatting>
  <conditionalFormatting sqref="F12:BA13">
    <cfRule type="expression" dxfId="5647" priority="120555">
      <formula>(F219="x")</formula>
    </cfRule>
    <cfRule type="expression" dxfId="5646" priority="120556">
      <formula>(F220="x")</formula>
    </cfRule>
  </conditionalFormatting>
  <conditionalFormatting sqref="F62:BA64 F16:BA45">
    <cfRule type="expression" dxfId="5645" priority="120558">
      <formula>(F317="x")</formula>
    </cfRule>
  </conditionalFormatting>
  <conditionalFormatting sqref="F12:BA13">
    <cfRule type="expression" dxfId="5644" priority="120566">
      <formula>(F325="x")</formula>
    </cfRule>
    <cfRule type="expression" dxfId="5643" priority="120567">
      <formula>(F231="x")</formula>
    </cfRule>
    <cfRule type="expression" dxfId="5642" priority="120568">
      <formula>(F328="x")</formula>
    </cfRule>
    <cfRule type="expression" dxfId="5641" priority="120569">
      <formula>(F310="x")</formula>
    </cfRule>
    <cfRule type="expression" dxfId="5640" priority="120570">
      <formula>(F309="x")</formula>
    </cfRule>
  </conditionalFormatting>
  <conditionalFormatting sqref="F12:BA13">
    <cfRule type="expression" dxfId="5639" priority="120576">
      <formula>(F313="x")</formula>
    </cfRule>
    <cfRule type="expression" dxfId="5638" priority="120577">
      <formula>(F323="x")</formula>
    </cfRule>
    <cfRule type="expression" dxfId="5637" priority="120578">
      <formula>(F337="x")</formula>
    </cfRule>
  </conditionalFormatting>
  <conditionalFormatting sqref="F12:BA13">
    <cfRule type="expression" dxfId="5636" priority="120582">
      <formula>(F240="x")</formula>
    </cfRule>
    <cfRule type="expression" dxfId="5635" priority="120583">
      <formula>(F250="x")</formula>
    </cfRule>
    <cfRule type="expression" dxfId="5634" priority="120584">
      <formula>(F249="x")</formula>
    </cfRule>
  </conditionalFormatting>
  <conditionalFormatting sqref="F65:BA68">
    <cfRule type="expression" dxfId="5633" priority="120586">
      <formula>(F249="x")</formula>
    </cfRule>
  </conditionalFormatting>
  <conditionalFormatting sqref="F12:BA13">
    <cfRule type="expression" dxfId="5632" priority="120601">
      <formula>(F216="x")</formula>
    </cfRule>
    <cfRule type="expression" dxfId="5631" priority="120602">
      <formula>(F316="x")</formula>
    </cfRule>
    <cfRule type="expression" dxfId="5630" priority="120603">
      <formula>(F317="x")</formula>
    </cfRule>
    <cfRule type="expression" dxfId="5629" priority="120604">
      <formula>(F297="x")</formula>
    </cfRule>
    <cfRule type="expression" dxfId="5628" priority="120605">
      <formula>(F307="x")</formula>
    </cfRule>
    <cfRule type="expression" dxfId="5627" priority="120606">
      <formula>(F306="x")</formula>
    </cfRule>
    <cfRule type="expression" dxfId="5626" priority="120607">
      <formula>(F335="x")</formula>
    </cfRule>
    <cfRule type="expression" dxfId="5625" priority="120608">
      <formula>(F333="x")</formula>
    </cfRule>
    <cfRule type="expression" dxfId="5624" priority="120609">
      <formula>(F326="x")</formula>
    </cfRule>
    <cfRule type="expression" dxfId="5623" priority="120610">
      <formula>(F213="x")</formula>
    </cfRule>
  </conditionalFormatting>
  <conditionalFormatting sqref="F44:BA44">
    <cfRule type="expression" dxfId="5622" priority="120613">
      <formula>(F326="x")</formula>
    </cfRule>
    <cfRule type="expression" dxfId="5621" priority="120614">
      <formula>(F325="x")</formula>
    </cfRule>
  </conditionalFormatting>
  <conditionalFormatting sqref="F12:BA13">
    <cfRule type="expression" dxfId="5620" priority="120617">
      <formula>(F344="x")</formula>
    </cfRule>
    <cfRule type="expression" dxfId="5619" priority="120618">
      <formula>(F214="x")</formula>
    </cfRule>
  </conditionalFormatting>
  <conditionalFormatting sqref="F12:BA13">
    <cfRule type="expression" dxfId="5618" priority="120625">
      <formula>(F237="x")</formula>
    </cfRule>
    <cfRule type="expression" dxfId="5617" priority="120626">
      <formula>(F227="x")</formula>
    </cfRule>
    <cfRule type="expression" dxfId="5616" priority="120627">
      <formula>(F318="x")</formula>
    </cfRule>
    <cfRule type="expression" dxfId="5615" priority="120628">
      <formula>(F308="x")</formula>
    </cfRule>
    <cfRule type="expression" dxfId="5614" priority="120629">
      <formula>(F236="x")</formula>
    </cfRule>
    <cfRule type="expression" dxfId="5613" priority="120630">
      <formula>(F211="x")</formula>
    </cfRule>
  </conditionalFormatting>
  <conditionalFormatting sqref="F12:BA13">
    <cfRule type="expression" dxfId="5612" priority="120633">
      <formula>(F327="x")</formula>
    </cfRule>
    <cfRule type="expression" dxfId="5611" priority="120634">
      <formula>(F212="x")</formula>
    </cfRule>
  </conditionalFormatting>
  <conditionalFormatting sqref="F12:BA13">
    <cfRule type="expression" dxfId="5610" priority="120639">
      <formula>(F303="x")</formula>
    </cfRule>
    <cfRule type="expression" dxfId="5609" priority="120640">
      <formula>(F304="x")</formula>
    </cfRule>
  </conditionalFormatting>
  <conditionalFormatting sqref="F96:BA102 F57:BA61 F75:BA79 F55:BA55 F69:BA70 F50:BA51 F13:BA44 F11:BA11">
    <cfRule type="expression" dxfId="5608" priority="120646">
      <formula>(F201="x")</formula>
    </cfRule>
  </conditionalFormatting>
  <conditionalFormatting sqref="F12:BA13">
    <cfRule type="expression" dxfId="5607" priority="120650">
      <formula>(F230="x")</formula>
    </cfRule>
    <cfRule type="expression" dxfId="5606" priority="120651">
      <formula>(F205="x")</formula>
    </cfRule>
    <cfRule type="expression" dxfId="5605" priority="120652">
      <formula>(F206="x")</formula>
    </cfRule>
  </conditionalFormatting>
  <conditionalFormatting sqref="F96:BA102">
    <cfRule type="expression" dxfId="5604" priority="120657">
      <formula>(F270="x")</formula>
    </cfRule>
  </conditionalFormatting>
  <conditionalFormatting sqref="F96:BA102 F81:BA82 F52:BA54 F84:BA84 F91:BA91 F71:BA77 F10:BA44">
    <cfRule type="expression" dxfId="5603" priority="120769">
      <formula>(F238="x")</formula>
    </cfRule>
  </conditionalFormatting>
  <conditionalFormatting sqref="F92:BA102">
    <cfRule type="expression" dxfId="5602" priority="120771">
      <formula>(F272="x")</formula>
    </cfRule>
  </conditionalFormatting>
  <conditionalFormatting sqref="F96:BA102">
    <cfRule type="expression" dxfId="5601" priority="120777">
      <formula>(F304="x")</formula>
    </cfRule>
    <cfRule type="expression" dxfId="5600" priority="120778">
      <formula>(F306="x")</formula>
    </cfRule>
  </conditionalFormatting>
  <conditionalFormatting sqref="F96:BA102 F75:BA77 F84:BA84 F91:BA91 F81:BA81 F10:BA40 F42:BA44 F48:BA49">
    <cfRule type="expression" dxfId="5599" priority="120782">
      <formula>(F252="x")</formula>
    </cfRule>
  </conditionalFormatting>
  <conditionalFormatting sqref="F96:BA102">
    <cfRule type="expression" dxfId="5598" priority="120831">
      <formula>(F339="x")</formula>
    </cfRule>
    <cfRule type="expression" dxfId="5597" priority="120832">
      <formula>(F343="x")</formula>
    </cfRule>
    <cfRule type="expression" dxfId="5596" priority="120833">
      <formula>(F269="x")</formula>
    </cfRule>
  </conditionalFormatting>
  <conditionalFormatting sqref="F96:BA102">
    <cfRule type="expression" dxfId="5595" priority="120834">
      <formula>(F293="x")</formula>
    </cfRule>
    <cfRule type="expression" dxfId="5594" priority="120835">
      <formula>(F313="x")</formula>
    </cfRule>
    <cfRule type="expression" dxfId="5593" priority="120836">
      <formula>(F331="x")</formula>
    </cfRule>
    <cfRule type="expression" dxfId="5592" priority="120837">
      <formula>(F290="x")</formula>
    </cfRule>
    <cfRule type="expression" dxfId="5591" priority="120838">
      <formula>(F323="x")</formula>
    </cfRule>
    <cfRule type="expression" dxfId="5590" priority="120839">
      <formula>(F337="x")</formula>
    </cfRule>
    <cfRule type="expression" dxfId="5589" priority="120840">
      <formula>(F335="x")</formula>
    </cfRule>
    <cfRule type="expression" dxfId="5588" priority="120841">
      <formula>(F333="x")</formula>
    </cfRule>
    <cfRule type="expression" dxfId="5587" priority="120842">
      <formula>(F322="x")</formula>
    </cfRule>
    <cfRule type="expression" dxfId="5586" priority="120843">
      <formula>(F321="x")</formula>
    </cfRule>
    <cfRule type="expression" dxfId="5585" priority="120844">
      <formula>(F316="x")</formula>
    </cfRule>
    <cfRule type="expression" dxfId="5584" priority="120845">
      <formula>(F284="x")</formula>
    </cfRule>
    <cfRule type="expression" dxfId="5583" priority="120846">
      <formula>(F283="x")</formula>
    </cfRule>
    <cfRule type="expression" dxfId="5582" priority="120847">
      <formula>(F278="x")</formula>
    </cfRule>
    <cfRule type="expression" dxfId="5581" priority="120848">
      <formula>(F314="x")</formula>
    </cfRule>
    <cfRule type="expression" dxfId="5580" priority="120849">
      <formula>(F274="x")</formula>
    </cfRule>
    <cfRule type="expression" dxfId="5579" priority="120850">
      <formula>(F297="x")</formula>
    </cfRule>
    <cfRule type="expression" dxfId="5578" priority="120851">
      <formula>(F287="x")</formula>
    </cfRule>
    <cfRule type="expression" dxfId="5577" priority="120852">
      <formula>(F285="x")</formula>
    </cfRule>
    <cfRule type="expression" dxfId="5576" priority="120853">
      <formula>(F279="x")</formula>
    </cfRule>
    <cfRule type="expression" dxfId="5575" priority="120854">
      <formula>(F303="x")</formula>
    </cfRule>
    <cfRule type="expression" dxfId="5574" priority="120855">
      <formula>(F291="x")</formula>
    </cfRule>
    <cfRule type="expression" dxfId="5573" priority="120856">
      <formula>(F328="x")</formula>
    </cfRule>
    <cfRule type="expression" dxfId="5572" priority="120857">
      <formula>(F288="x")</formula>
    </cfRule>
  </conditionalFormatting>
  <conditionalFormatting sqref="F96:BA102">
    <cfRule type="expression" dxfId="5571" priority="120858">
      <formula>(#REF!="x")</formula>
    </cfRule>
    <cfRule type="expression" dxfId="5570" priority="120859">
      <formula>(F275="x")</formula>
    </cfRule>
    <cfRule type="expression" dxfId="5569" priority="120860">
      <formula>(F273="x")</formula>
    </cfRule>
  </conditionalFormatting>
  <conditionalFormatting sqref="F96:BA102">
    <cfRule type="expression" dxfId="5568" priority="120891">
      <formula>(F280="x")</formula>
    </cfRule>
    <cfRule type="expression" dxfId="5567" priority="120892">
      <formula>(F258="x")</formula>
    </cfRule>
  </conditionalFormatting>
  <conditionalFormatting sqref="F65:BA83">
    <cfRule type="expression" dxfId="5566" priority="120909">
      <formula>(F221="x")</formula>
    </cfRule>
  </conditionalFormatting>
  <conditionalFormatting sqref="F96:BA102">
    <cfRule type="expression" dxfId="5565" priority="120912">
      <formula>(F251="x")</formula>
    </cfRule>
    <cfRule type="expression" dxfId="5564" priority="120913">
      <formula>(F250="x")</formula>
    </cfRule>
  </conditionalFormatting>
  <conditionalFormatting sqref="F84:BA102">
    <cfRule type="expression" dxfId="5563" priority="120922">
      <formula>(F231="x")</formula>
    </cfRule>
  </conditionalFormatting>
  <conditionalFormatting sqref="F71:BA102">
    <cfRule type="expression" dxfId="5562" priority="120928">
      <formula>(F212="x")</formula>
    </cfRule>
  </conditionalFormatting>
  <conditionalFormatting sqref="F96:BA102">
    <cfRule type="expression" dxfId="5561" priority="120931">
      <formula>(F236="x")</formula>
    </cfRule>
    <cfRule type="expression" dxfId="5560" priority="120932">
      <formula>(F235="x")</formula>
    </cfRule>
  </conditionalFormatting>
  <conditionalFormatting sqref="F96:BA102">
    <cfRule type="expression" dxfId="5559" priority="120933">
      <formula>(F294="x")</formula>
    </cfRule>
    <cfRule type="expression" dxfId="5558" priority="120934">
      <formula>(F233="x")</formula>
    </cfRule>
  </conditionalFormatting>
  <conditionalFormatting sqref="F92:BA102">
    <cfRule type="expression" dxfId="5557" priority="120937">
      <formula>(F226="x")</formula>
    </cfRule>
  </conditionalFormatting>
  <conditionalFormatting sqref="F75:BA76">
    <cfRule type="expression" dxfId="5556" priority="120944">
      <formula>(F203="x")</formula>
    </cfRule>
  </conditionalFormatting>
  <conditionalFormatting sqref="F105:BA105 F71:BA74 F91:BA91 F81:BA82 F50:BA54 F10:BA44 F46:BA47">
    <cfRule type="expression" dxfId="5555" priority="120949">
      <formula>(F250="x")</formula>
    </cfRule>
  </conditionalFormatting>
  <conditionalFormatting sqref="F96:BA102">
    <cfRule type="expression" dxfId="5554" priority="120959">
      <formula>(F211="x")</formula>
    </cfRule>
    <cfRule type="expression" dxfId="5553" priority="120960">
      <formula>(F212="x")</formula>
    </cfRule>
  </conditionalFormatting>
  <conditionalFormatting sqref="F96:BA102">
    <cfRule type="expression" dxfId="5552" priority="120967">
      <formula>(F317="x")</formula>
    </cfRule>
    <cfRule type="expression" dxfId="5551" priority="120968">
      <formula>(F223="x")</formula>
    </cfRule>
    <cfRule type="expression" dxfId="5550" priority="120969">
      <formula>(F320="x")</formula>
    </cfRule>
    <cfRule type="expression" dxfId="5549" priority="120970">
      <formula>(F302="x")</formula>
    </cfRule>
    <cfRule type="expression" dxfId="5548" priority="120971">
      <formula>(F301="x")</formula>
    </cfRule>
  </conditionalFormatting>
  <conditionalFormatting sqref="F96:BA102">
    <cfRule type="expression" dxfId="5547" priority="120972">
      <formula>(F305="x")</formula>
    </cfRule>
    <cfRule type="expression" dxfId="5546" priority="120973">
      <formula>(F315="x")</formula>
    </cfRule>
    <cfRule type="expression" dxfId="5545" priority="120974">
      <formula>(F329="x")</formula>
    </cfRule>
  </conditionalFormatting>
  <conditionalFormatting sqref="F96:BA102">
    <cfRule type="expression" dxfId="5544" priority="120975">
      <formula>(F232="x")</formula>
    </cfRule>
    <cfRule type="expression" dxfId="5543" priority="120976">
      <formula>(F242="x")</formula>
    </cfRule>
    <cfRule type="expression" dxfId="5542" priority="120977">
      <formula>(F241="x")</formula>
    </cfRule>
  </conditionalFormatting>
  <conditionalFormatting sqref="F96:BA102 F80:BA86 F88:BA91 F77:BA78">
    <cfRule type="expression" dxfId="5541" priority="120978">
      <formula>(F188="x")</formula>
    </cfRule>
  </conditionalFormatting>
  <conditionalFormatting sqref="F96:BA102">
    <cfRule type="expression" dxfId="5540" priority="120981">
      <formula>(F208="x")</formula>
    </cfRule>
    <cfRule type="expression" dxfId="5539" priority="120982">
      <formula>(F308="x")</formula>
    </cfRule>
    <cfRule type="expression" dxfId="5538" priority="120983">
      <formula>(F309="x")</formula>
    </cfRule>
    <cfRule type="expression" dxfId="5537" priority="120984">
      <formula>(F289="x")</formula>
    </cfRule>
    <cfRule type="expression" dxfId="5536" priority="120985">
      <formula>(F299="x")</formula>
    </cfRule>
    <cfRule type="expression" dxfId="5535" priority="120986">
      <formula>(F298="x")</formula>
    </cfRule>
    <cfRule type="expression" dxfId="5534" priority="120987">
      <formula>(F327="x")</formula>
    </cfRule>
    <cfRule type="expression" dxfId="5533" priority="120988">
      <formula>(F325="x")</formula>
    </cfRule>
    <cfRule type="expression" dxfId="5532" priority="120989">
      <formula>(F318="x")</formula>
    </cfRule>
    <cfRule type="expression" dxfId="5531" priority="120990">
      <formula>(F205="x")</formula>
    </cfRule>
  </conditionalFormatting>
  <conditionalFormatting sqref="F96:BA102 F18:BA44">
    <cfRule type="expression" dxfId="5530" priority="120991">
      <formula>(F204="x")</formula>
    </cfRule>
    <cfRule type="expression" dxfId="5529" priority="120992">
      <formula>(F203="x")</formula>
    </cfRule>
  </conditionalFormatting>
  <conditionalFormatting sqref="F96:BA102">
    <cfRule type="expression" dxfId="5528" priority="120993">
      <formula>(F336="x")</formula>
    </cfRule>
    <cfRule type="expression" dxfId="5527" priority="120994">
      <formula>(F206="x")</formula>
    </cfRule>
  </conditionalFormatting>
  <conditionalFormatting sqref="F96:BA102">
    <cfRule type="expression" dxfId="5526" priority="120995">
      <formula>(F229="x")</formula>
    </cfRule>
    <cfRule type="expression" dxfId="5525" priority="120996">
      <formula>(F219="x")</formula>
    </cfRule>
    <cfRule type="expression" dxfId="5524" priority="120997">
      <formula>(F310="x")</formula>
    </cfRule>
    <cfRule type="expression" dxfId="5523" priority="120998">
      <formula>(F300="x")</formula>
    </cfRule>
    <cfRule type="expression" dxfId="5522" priority="120999">
      <formula>(F228="x")</formula>
    </cfRule>
    <cfRule type="expression" dxfId="5521" priority="121000">
      <formula>(F203="x")</formula>
    </cfRule>
  </conditionalFormatting>
  <conditionalFormatting sqref="F96:BA102">
    <cfRule type="expression" dxfId="5520" priority="121001">
      <formula>(F319="x")</formula>
    </cfRule>
    <cfRule type="expression" dxfId="5519" priority="121002">
      <formula>(F204="x")</formula>
    </cfRule>
  </conditionalFormatting>
  <conditionalFormatting sqref="F96:BA102">
    <cfRule type="expression" dxfId="5518" priority="121006">
      <formula>(F295="x")</formula>
    </cfRule>
    <cfRule type="expression" dxfId="5517" priority="121007">
      <formula>(F296="x")</formula>
    </cfRule>
  </conditionalFormatting>
  <conditionalFormatting sqref="F85:BA102 F82:BA82">
    <cfRule type="expression" dxfId="5516" priority="121010">
      <formula>(F185="x")</formula>
    </cfRule>
  </conditionalFormatting>
  <conditionalFormatting sqref="F96:BA102">
    <cfRule type="expression" dxfId="5515" priority="121011">
      <formula>(F222="x")</formula>
    </cfRule>
    <cfRule type="expression" dxfId="5514" priority="121012">
      <formula>(F197="x")</formula>
    </cfRule>
    <cfRule type="expression" dxfId="5513" priority="121013">
      <formula>(F198="x")</formula>
    </cfRule>
  </conditionalFormatting>
  <conditionalFormatting sqref="F12:BA13 F15:BA44 F46:BA48">
    <cfRule type="expression" dxfId="5512" priority="121042">
      <formula>(F289="x")</formula>
    </cfRule>
  </conditionalFormatting>
  <conditionalFormatting sqref="F15:BA44">
    <cfRule type="expression" dxfId="5511" priority="121046">
      <formula>(F293="x")</formula>
    </cfRule>
  </conditionalFormatting>
  <conditionalFormatting sqref="F81:BA83">
    <cfRule type="expression" dxfId="5510" priority="121048">
      <formula>(F347="x")</formula>
    </cfRule>
  </conditionalFormatting>
  <conditionalFormatting sqref="F12:BA13">
    <cfRule type="expression" dxfId="5509" priority="121051">
      <formula>(F331="x")</formula>
    </cfRule>
    <cfRule type="expression" dxfId="5508" priority="121052">
      <formula>(F332="x")</formula>
    </cfRule>
  </conditionalFormatting>
  <conditionalFormatting sqref="F52:BA52 F55:BA61 F12:BA44">
    <cfRule type="expression" dxfId="5507" priority="121054">
      <formula>(F315="x")</formula>
    </cfRule>
  </conditionalFormatting>
  <conditionalFormatting sqref="F69:BA70 F17:BA44">
    <cfRule type="expression" dxfId="5506" priority="121056">
      <formula>(F326="x")</formula>
    </cfRule>
  </conditionalFormatting>
  <conditionalFormatting sqref="F42:BA44 F19:BA40 F46:BA51">
    <cfRule type="expression" dxfId="5505" priority="121058">
      <formula>(F294="x")</formula>
    </cfRule>
  </conditionalFormatting>
  <conditionalFormatting sqref="F52:BA52 F14:BA44 F46:BA47">
    <cfRule type="expression" dxfId="5504" priority="121060">
      <formula>(F316="x")</formula>
    </cfRule>
  </conditionalFormatting>
  <conditionalFormatting sqref="F12:BA13">
    <cfRule type="expression" dxfId="5503" priority="121063">
      <formula>(F325="x")</formula>
    </cfRule>
    <cfRule type="expression" dxfId="5502" priority="121064">
      <formula>(F329="x")</formula>
    </cfRule>
  </conditionalFormatting>
  <conditionalFormatting sqref="F12:BA13">
    <cfRule type="expression" dxfId="5501" priority="121070">
      <formula>(F339="x")</formula>
    </cfRule>
    <cfRule type="expression" dxfId="5500" priority="121071">
      <formula>(F338="x")</formula>
    </cfRule>
    <cfRule type="expression" dxfId="5499" priority="121072">
      <formula>(F335="x")</formula>
    </cfRule>
    <cfRule type="expression" dxfId="5498" priority="121073">
      <formula>(F334="x")</formula>
    </cfRule>
    <cfRule type="expression" dxfId="5497" priority="121074">
      <formula>(F333="x")</formula>
    </cfRule>
  </conditionalFormatting>
  <conditionalFormatting sqref="F12:BA13">
    <cfRule type="expression" dxfId="5496" priority="121082">
      <formula>(F345="x")</formula>
    </cfRule>
    <cfRule type="expression" dxfId="5495" priority="121083">
      <formula>(F340="x")</formula>
    </cfRule>
    <cfRule type="expression" dxfId="5494" priority="121084">
      <formula>(F344="x")</formula>
    </cfRule>
    <cfRule type="expression" dxfId="5493" priority="121085">
      <formula>(F341="x")</formula>
    </cfRule>
    <cfRule type="expression" dxfId="5492" priority="121086">
      <formula>(F343="x")</formula>
    </cfRule>
    <cfRule type="expression" dxfId="5491" priority="121087">
      <formula>(F336="x")</formula>
    </cfRule>
    <cfRule type="expression" dxfId="5490" priority="121088">
      <formula>(F337="x")</formula>
    </cfRule>
  </conditionalFormatting>
  <conditionalFormatting sqref="F12:BA13">
    <cfRule type="expression" dxfId="5489" priority="121091">
      <formula>(F349="x")</formula>
    </cfRule>
    <cfRule type="expression" dxfId="5488" priority="121092">
      <formula>(F348="x")</formula>
    </cfRule>
  </conditionalFormatting>
  <conditionalFormatting sqref="F12:BA13">
    <cfRule type="expression" dxfId="5487" priority="121095">
      <formula>(F342="x")</formula>
    </cfRule>
    <cfRule type="expression" dxfId="5486" priority="121096">
      <formula>(F200="x")</formula>
    </cfRule>
  </conditionalFormatting>
  <conditionalFormatting sqref="F55:BA61 F17:BA40 F42:BA44">
    <cfRule type="expression" dxfId="5485" priority="121098">
      <formula>(F316="x")</formula>
    </cfRule>
  </conditionalFormatting>
  <conditionalFormatting sqref="F12:BA13">
    <cfRule type="expression" dxfId="5484" priority="121101">
      <formula>(F324="x")</formula>
    </cfRule>
    <cfRule type="expression" dxfId="5483" priority="121102">
      <formula>(F323="x")</formula>
    </cfRule>
  </conditionalFormatting>
  <conditionalFormatting sqref="F71:BA74">
    <cfRule type="expression" dxfId="5482" priority="121104">
      <formula>(F342="x")</formula>
    </cfRule>
  </conditionalFormatting>
  <conditionalFormatting sqref="F55:BA61 F24:BA44">
    <cfRule type="expression" dxfId="5481" priority="121106">
      <formula>(F331="x")</formula>
    </cfRule>
  </conditionalFormatting>
  <conditionalFormatting sqref="F105:BA105 F85:BA91 F10:BA44 F46:BA51">
    <cfRule type="expression" dxfId="5480" priority="121112">
      <formula>(F223="x")</formula>
    </cfRule>
  </conditionalFormatting>
  <conditionalFormatting sqref="F84:BA84">
    <cfRule type="expression" dxfId="5479" priority="121114">
      <formula>(F268="x")</formula>
    </cfRule>
  </conditionalFormatting>
  <conditionalFormatting sqref="F75:BA77">
    <cfRule type="expression" dxfId="5478" priority="121116">
      <formula>(F293="x")</formula>
    </cfRule>
  </conditionalFormatting>
  <conditionalFormatting sqref="F12:BA13">
    <cfRule type="expression" dxfId="5477" priority="121129">
      <formula>(F268="x")</formula>
    </cfRule>
    <cfRule type="expression" dxfId="5476" priority="121130">
      <formula>(F269="x")</formula>
    </cfRule>
  </conditionalFormatting>
  <conditionalFormatting sqref="F12:BA13">
    <cfRule type="expression" dxfId="5475" priority="121154">
      <formula>(F296="x")</formula>
    </cfRule>
    <cfRule type="expression" dxfId="5474" priority="121155">
      <formula>(F295="x")</formula>
    </cfRule>
    <cfRule type="expression" dxfId="5473" priority="121156">
      <formula>(F299="x")</formula>
    </cfRule>
    <cfRule type="expression" dxfId="5472" priority="121157">
      <formula>(F300="x")</formula>
    </cfRule>
    <cfRule type="expression" dxfId="5471" priority="121158">
      <formula>(F301="x")</formula>
    </cfRule>
    <cfRule type="expression" dxfId="5470" priority="121159">
      <formula>(F302="x")</formula>
    </cfRule>
    <cfRule type="expression" dxfId="5469" priority="121160">
      <formula>(F305="x")</formula>
    </cfRule>
    <cfRule type="expression" dxfId="5468" priority="121161">
      <formula>(F317="x")</formula>
    </cfRule>
    <cfRule type="expression" dxfId="5467" priority="121162">
      <formula>(F304="x")</formula>
    </cfRule>
    <cfRule type="expression" dxfId="5466" priority="121163">
      <formula>(F303="x")</formula>
    </cfRule>
    <cfRule type="expression" dxfId="5465" priority="121164">
      <formula>(F318="x")</formula>
    </cfRule>
    <cfRule type="expression" dxfId="5464" priority="121165">
      <formula>(F313="x")</formula>
    </cfRule>
    <cfRule type="expression" dxfId="5463" priority="121166">
      <formula>(F316="x")</formula>
    </cfRule>
    <cfRule type="expression" dxfId="5462" priority="121167">
      <formula>(F312="x")</formula>
    </cfRule>
    <cfRule type="expression" dxfId="5461" priority="121168">
      <formula>(F315="x")</formula>
    </cfRule>
    <cfRule type="expression" dxfId="5460" priority="121169">
      <formula>(F311="x")</formula>
    </cfRule>
    <cfRule type="expression" dxfId="5459" priority="121170">
      <formula>(F314="x")</formula>
    </cfRule>
    <cfRule type="expression" dxfId="5458" priority="121171">
      <formula>(F310="x")</formula>
    </cfRule>
    <cfRule type="expression" dxfId="5457" priority="121172">
      <formula>(F309="x")</formula>
    </cfRule>
    <cfRule type="expression" dxfId="5456" priority="121173">
      <formula>(F308="x")</formula>
    </cfRule>
    <cfRule type="expression" dxfId="5455" priority="121174">
      <formula>(F306="x")</formula>
    </cfRule>
    <cfRule type="expression" dxfId="5454" priority="121175">
      <formula>(F292="x")</formula>
    </cfRule>
    <cfRule type="expression" dxfId="5453" priority="121176">
      <formula>(F291="x")</formula>
    </cfRule>
  </conditionalFormatting>
  <conditionalFormatting sqref="F12:BA13">
    <cfRule type="expression" dxfId="5452" priority="121179">
      <formula>(F321="x")</formula>
    </cfRule>
    <cfRule type="expression" dxfId="5451" priority="121180">
      <formula>(F319="x")</formula>
    </cfRule>
  </conditionalFormatting>
  <conditionalFormatting sqref="F12:BA13">
    <cfRule type="expression" dxfId="5450" priority="121187">
      <formula>(F294="x")</formula>
    </cfRule>
    <cfRule type="expression" dxfId="5449" priority="121188">
      <formula>(F285="x")</formula>
    </cfRule>
    <cfRule type="expression" dxfId="5448" priority="121189">
      <formula>(F283="x")</formula>
    </cfRule>
    <cfRule type="expression" dxfId="5447" priority="121190">
      <formula>(F290="x")</formula>
    </cfRule>
    <cfRule type="expression" dxfId="5446" priority="121191">
      <formula>(F286="x")</formula>
    </cfRule>
    <cfRule type="expression" dxfId="5445" priority="121192">
      <formula>(F280="x")</formula>
    </cfRule>
  </conditionalFormatting>
  <conditionalFormatting sqref="F12:BA13">
    <cfRule type="expression" dxfId="5444" priority="121198">
      <formula>(F248="x")</formula>
    </cfRule>
    <cfRule type="expression" dxfId="5443" priority="121199">
      <formula>(F230="x")</formula>
    </cfRule>
    <cfRule type="expression" dxfId="5442" priority="121200">
      <formula>(F229="x")</formula>
    </cfRule>
    <cfRule type="expression" dxfId="5441" priority="121201">
      <formula>(F245="x")</formula>
    </cfRule>
    <cfRule type="expression" dxfId="5440" priority="121202">
      <formula>(F254="x")</formula>
    </cfRule>
  </conditionalFormatting>
  <conditionalFormatting sqref="F12:BA13">
    <cfRule type="expression" dxfId="5439" priority="121205">
      <formula>(F257="x")</formula>
    </cfRule>
    <cfRule type="expression" dxfId="5438" priority="121206">
      <formula>(F243="x")</formula>
    </cfRule>
  </conditionalFormatting>
  <conditionalFormatting sqref="F12:BA13">
    <cfRule type="expression" dxfId="5437" priority="121218">
      <formula>(F210="x")</formula>
    </cfRule>
    <cfRule type="expression" dxfId="5436" priority="121219">
      <formula>(F226="x")</formula>
    </cfRule>
    <cfRule type="expression" dxfId="5435" priority="121220">
      <formula>(F247="x")</formula>
    </cfRule>
    <cfRule type="expression" dxfId="5434" priority="121221">
      <formula>(F209="x")</formula>
    </cfRule>
    <cfRule type="expression" dxfId="5433" priority="121222">
      <formula>(F217="x")</formula>
    </cfRule>
    <cfRule type="expression" dxfId="5432" priority="121223">
      <formula>(F255="x")</formula>
    </cfRule>
    <cfRule type="expression" dxfId="5431" priority="121224">
      <formula>(F253="x")</formula>
    </cfRule>
    <cfRule type="expression" dxfId="5430" priority="121225">
      <formula>(F246="x")</formula>
    </cfRule>
    <cfRule type="expression" dxfId="5429" priority="121226">
      <formula>(F236="x")</formula>
    </cfRule>
  </conditionalFormatting>
  <conditionalFormatting sqref="F12:BA13">
    <cfRule type="expression" dxfId="5428" priority="121242">
      <formula>(F282="x")</formula>
    </cfRule>
    <cfRule type="expression" dxfId="5427" priority="121243">
      <formula>(F278="x")</formula>
    </cfRule>
    <cfRule type="expression" dxfId="5426" priority="121244">
      <formula>(F273="x")</formula>
    </cfRule>
    <cfRule type="expression" dxfId="5425" priority="121245">
      <formula>(F277="x")</formula>
    </cfRule>
    <cfRule type="expression" dxfId="5424" priority="121246">
      <formula>(F275="x")</formula>
    </cfRule>
    <cfRule type="expression" dxfId="5423" priority="121247">
      <formula>(F279="x")</formula>
    </cfRule>
    <cfRule type="expression" dxfId="5422" priority="121248">
      <formula>(F270="x")</formula>
    </cfRule>
    <cfRule type="expression" dxfId="5421" priority="121249">
      <formula>(F281="x")</formula>
    </cfRule>
    <cfRule type="expression" dxfId="5420" priority="121250">
      <formula>(F199="x")</formula>
    </cfRule>
  </conditionalFormatting>
  <conditionalFormatting sqref="F11:BA13">
    <cfRule type="expression" dxfId="5419" priority="121266">
      <formula>(F190="x")</formula>
    </cfRule>
  </conditionalFormatting>
  <conditionalFormatting sqref="F105:BA109 F66:BA70 F52:BA54 F62:BA64 F32:BA45 F15:BA30">
    <cfRule type="expression" dxfId="5418" priority="121294">
      <formula>(F198="x")</formula>
    </cfRule>
  </conditionalFormatting>
  <conditionalFormatting sqref="F12:BA13">
    <cfRule type="expression" dxfId="5417" priority="121301">
      <formula>(F232="x")</formula>
    </cfRule>
    <cfRule type="expression" dxfId="5416" priority="121302">
      <formula>(F234="x")</formula>
    </cfRule>
  </conditionalFormatting>
  <conditionalFormatting sqref="F12:BA13">
    <cfRule type="expression" dxfId="5415" priority="121308">
      <formula>(F267="x")</formula>
    </cfRule>
    <cfRule type="expression" dxfId="5414" priority="121309">
      <formula>(F271="x")</formula>
    </cfRule>
    <cfRule type="expression" dxfId="5413" priority="121310">
      <formula>(F197="x")</formula>
    </cfRule>
  </conditionalFormatting>
  <conditionalFormatting sqref="F12:BA13">
    <cfRule type="expression" dxfId="5412" priority="121335">
      <formula>(F221="x")</formula>
    </cfRule>
    <cfRule type="expression" dxfId="5411" priority="121336">
      <formula>(F241="x")</formula>
    </cfRule>
    <cfRule type="expression" dxfId="5410" priority="121337">
      <formula>(F259="x")</formula>
    </cfRule>
    <cfRule type="expression" dxfId="5409" priority="121338">
      <formula>(F218="x")</formula>
    </cfRule>
    <cfRule type="expression" dxfId="5408" priority="121339">
      <formula>(F251="x")</formula>
    </cfRule>
    <cfRule type="expression" dxfId="5407" priority="121340">
      <formula>(F265="x")</formula>
    </cfRule>
    <cfRule type="expression" dxfId="5406" priority="121341">
      <formula>(F263="x")</formula>
    </cfRule>
    <cfRule type="expression" dxfId="5405" priority="121342">
      <formula>(F261="x")</formula>
    </cfRule>
    <cfRule type="expression" dxfId="5404" priority="121343">
      <formula>(F250="x")</formula>
    </cfRule>
    <cfRule type="expression" dxfId="5403" priority="121344">
      <formula>(F249="x")</formula>
    </cfRule>
    <cfRule type="expression" dxfId="5402" priority="121345">
      <formula>(F244="x")</formula>
    </cfRule>
    <cfRule type="expression" dxfId="5401" priority="121346">
      <formula>(F212="x")</formula>
    </cfRule>
    <cfRule type="expression" dxfId="5400" priority="121347">
      <formula>(F211="x")</formula>
    </cfRule>
    <cfRule type="expression" dxfId="5399" priority="121348">
      <formula>(F206="x")</formula>
    </cfRule>
    <cfRule type="expression" dxfId="5398" priority="121349">
      <formula>(F242="x")</formula>
    </cfRule>
    <cfRule type="expression" dxfId="5397" priority="121350">
      <formula>(F202="x")</formula>
    </cfRule>
    <cfRule type="expression" dxfId="5396" priority="121351">
      <formula>(F225="x")</formula>
    </cfRule>
    <cfRule type="expression" dxfId="5395" priority="121352">
      <formula>(F215="x")</formula>
    </cfRule>
    <cfRule type="expression" dxfId="5394" priority="121353">
      <formula>(F213="x")</formula>
    </cfRule>
    <cfRule type="expression" dxfId="5393" priority="121354">
      <formula>(F207="x")</formula>
    </cfRule>
    <cfRule type="expression" dxfId="5392" priority="121355">
      <formula>(F231="x")</formula>
    </cfRule>
    <cfRule type="expression" dxfId="5391" priority="121356">
      <formula>(F219="x")</formula>
    </cfRule>
    <cfRule type="expression" dxfId="5390" priority="121357">
      <formula>(F256="x")</formula>
    </cfRule>
    <cfRule type="expression" dxfId="5389" priority="121358">
      <formula>(F216="x")</formula>
    </cfRule>
  </conditionalFormatting>
  <conditionalFormatting sqref="F12:BA13">
    <cfRule type="expression" dxfId="5388" priority="121362">
      <formula>(#REF!="x")</formula>
    </cfRule>
    <cfRule type="expression" dxfId="5387" priority="121363">
      <formula>(F203="x")</formula>
    </cfRule>
    <cfRule type="expression" dxfId="5386" priority="121364">
      <formula>(F201="x")</formula>
    </cfRule>
  </conditionalFormatting>
  <conditionalFormatting sqref="F12:BA13">
    <cfRule type="expression" dxfId="5385" priority="121367">
      <formula>(F208="x")</formula>
    </cfRule>
    <cfRule type="expression" dxfId="5384" priority="121368">
      <formula>(F186="x")</formula>
    </cfRule>
  </conditionalFormatting>
  <conditionalFormatting sqref="F84:BA84 F75:BA78 F80:BA80 F15:BA44 F10:BA13 F46:BA47">
    <cfRule type="expression" dxfId="5383" priority="121382">
      <formula>(F264="x")</formula>
    </cfRule>
  </conditionalFormatting>
  <conditionalFormatting sqref="F48:BA48">
    <cfRule type="expression" dxfId="5382" priority="121384">
      <formula>(F328="x")</formula>
    </cfRule>
    <cfRule type="expression" dxfId="5381" priority="121385">
      <formula>(F329="x")</formula>
    </cfRule>
  </conditionalFormatting>
  <conditionalFormatting sqref="F48:BA48">
    <cfRule type="expression" dxfId="5380" priority="121392">
      <formula>(F349="x")</formula>
    </cfRule>
    <cfRule type="expression" dxfId="5379" priority="121393">
      <formula>(F353="x")</formula>
    </cfRule>
    <cfRule type="expression" dxfId="5378" priority="121394">
      <formula>(F348="x")</formula>
    </cfRule>
  </conditionalFormatting>
  <conditionalFormatting sqref="F65:BA74 F17:BA44 F12:BA13">
    <cfRule type="expression" dxfId="5377" priority="121396">
      <formula>(F322="x")</formula>
    </cfRule>
  </conditionalFormatting>
  <conditionalFormatting sqref="F55:BA61">
    <cfRule type="expression" dxfId="5376" priority="121397">
      <formula>(F332="x")</formula>
    </cfRule>
  </conditionalFormatting>
  <conditionalFormatting sqref="F48:BA49">
    <cfRule type="expression" dxfId="5375" priority="121400">
      <formula>(F322="x")</formula>
    </cfRule>
    <cfRule type="expression" dxfId="5374" priority="121401">
      <formula>(F326="x")</formula>
    </cfRule>
  </conditionalFormatting>
  <conditionalFormatting sqref="F48:BA49">
    <cfRule type="expression" dxfId="5373" priority="121402">
      <formula>(F336="x")</formula>
    </cfRule>
    <cfRule type="expression" dxfId="5372" priority="121403">
      <formula>(F335="x")</formula>
    </cfRule>
    <cfRule type="expression" dxfId="5371" priority="121404">
      <formula>(F332="x")</formula>
    </cfRule>
    <cfRule type="expression" dxfId="5370" priority="121405">
      <formula>(F331="x")</formula>
    </cfRule>
    <cfRule type="expression" dxfId="5369" priority="121406">
      <formula>(F330="x")</formula>
    </cfRule>
  </conditionalFormatting>
  <conditionalFormatting sqref="F48:BA49">
    <cfRule type="expression" dxfId="5368" priority="121407">
      <formula>(F342="x")</formula>
    </cfRule>
    <cfRule type="expression" dxfId="5367" priority="121408">
      <formula>(F337="x")</formula>
    </cfRule>
    <cfRule type="expression" dxfId="5366" priority="121409">
      <formula>(F341="x")</formula>
    </cfRule>
    <cfRule type="expression" dxfId="5365" priority="121410">
      <formula>(F338="x")</formula>
    </cfRule>
    <cfRule type="expression" dxfId="5364" priority="121411">
      <formula>(F340="x")</formula>
    </cfRule>
    <cfRule type="expression" dxfId="5363" priority="121412">
      <formula>(F333="x")</formula>
    </cfRule>
    <cfRule type="expression" dxfId="5362" priority="121413">
      <formula>(F334="x")</formula>
    </cfRule>
  </conditionalFormatting>
  <conditionalFormatting sqref="F48:BA49">
    <cfRule type="expression" dxfId="5361" priority="121414">
      <formula>(F346="x")</formula>
    </cfRule>
    <cfRule type="expression" dxfId="5360" priority="121415">
      <formula>(F345="x")</formula>
    </cfRule>
  </conditionalFormatting>
  <conditionalFormatting sqref="F48:BA49">
    <cfRule type="expression" dxfId="5359" priority="121416">
      <formula>(F339="x")</formula>
    </cfRule>
    <cfRule type="expression" dxfId="5358" priority="121417">
      <formula>(F197="x")</formula>
    </cfRule>
  </conditionalFormatting>
  <conditionalFormatting sqref="F48:BA49">
    <cfRule type="expression" dxfId="5357" priority="121419">
      <formula>(F321="x")</formula>
    </cfRule>
    <cfRule type="expression" dxfId="5356" priority="121420">
      <formula>(F320="x")</formula>
    </cfRule>
  </conditionalFormatting>
  <conditionalFormatting sqref="F48:BA49">
    <cfRule type="expression" dxfId="5355" priority="121441">
      <formula>(F265="x")</formula>
    </cfRule>
    <cfRule type="expression" dxfId="5354" priority="121442">
      <formula>(F266="x")</formula>
    </cfRule>
  </conditionalFormatting>
  <conditionalFormatting sqref="F48:BA49">
    <cfRule type="expression" dxfId="5353" priority="121443">
      <formula>(F293="x")</formula>
    </cfRule>
    <cfRule type="expression" dxfId="5352" priority="121444">
      <formula>(F292="x")</formula>
    </cfRule>
    <cfRule type="expression" dxfId="5351" priority="121445">
      <formula>(F296="x")</formula>
    </cfRule>
    <cfRule type="expression" dxfId="5350" priority="121446">
      <formula>(F297="x")</formula>
    </cfRule>
    <cfRule type="expression" dxfId="5349" priority="121447">
      <formula>(F298="x")</formula>
    </cfRule>
    <cfRule type="expression" dxfId="5348" priority="121448">
      <formula>(F299="x")</formula>
    </cfRule>
    <cfRule type="expression" dxfId="5347" priority="121449">
      <formula>(F302="x")</formula>
    </cfRule>
    <cfRule type="expression" dxfId="5346" priority="121450">
      <formula>(F314="x")</formula>
    </cfRule>
    <cfRule type="expression" dxfId="5345" priority="121451">
      <formula>(F301="x")</formula>
    </cfRule>
    <cfRule type="expression" dxfId="5344" priority="121452">
      <formula>(F300="x")</formula>
    </cfRule>
    <cfRule type="expression" dxfId="5343" priority="121453">
      <formula>(F315="x")</formula>
    </cfRule>
    <cfRule type="expression" dxfId="5342" priority="121454">
      <formula>(F310="x")</formula>
    </cfRule>
    <cfRule type="expression" dxfId="5341" priority="121455">
      <formula>(F313="x")</formula>
    </cfRule>
    <cfRule type="expression" dxfId="5340" priority="121456">
      <formula>(F309="x")</formula>
    </cfRule>
    <cfRule type="expression" dxfId="5339" priority="121457">
      <formula>(F312="x")</formula>
    </cfRule>
    <cfRule type="expression" dxfId="5338" priority="121458">
      <formula>(F308="x")</formula>
    </cfRule>
    <cfRule type="expression" dxfId="5337" priority="121459">
      <formula>(F311="x")</formula>
    </cfRule>
    <cfRule type="expression" dxfId="5336" priority="121460">
      <formula>(F307="x")</formula>
    </cfRule>
    <cfRule type="expression" dxfId="5335" priority="121461">
      <formula>(F306="x")</formula>
    </cfRule>
    <cfRule type="expression" dxfId="5334" priority="121462">
      <formula>(F305="x")</formula>
    </cfRule>
    <cfRule type="expression" dxfId="5333" priority="121463">
      <formula>(F303="x")</formula>
    </cfRule>
    <cfRule type="expression" dxfId="5332" priority="121464">
      <formula>(F289="x")</formula>
    </cfRule>
    <cfRule type="expression" dxfId="5331" priority="121465">
      <formula>(F288="x")</formula>
    </cfRule>
  </conditionalFormatting>
  <conditionalFormatting sqref="F48:BA49">
    <cfRule type="expression" dxfId="5330" priority="121466">
      <formula>(F318="x")</formula>
    </cfRule>
    <cfRule type="expression" dxfId="5329" priority="121467">
      <formula>(F316="x")</formula>
    </cfRule>
  </conditionalFormatting>
  <conditionalFormatting sqref="F48:BA49">
    <cfRule type="expression" dxfId="5328" priority="121468">
      <formula>(F291="x")</formula>
    </cfRule>
    <cfRule type="expression" dxfId="5327" priority="121469">
      <formula>(F282="x")</formula>
    </cfRule>
    <cfRule type="expression" dxfId="5326" priority="121470">
      <formula>(F280="x")</formula>
    </cfRule>
    <cfRule type="expression" dxfId="5325" priority="121471">
      <formula>(F287="x")</formula>
    </cfRule>
    <cfRule type="expression" dxfId="5324" priority="121472">
      <formula>(F283="x")</formula>
    </cfRule>
    <cfRule type="expression" dxfId="5323" priority="121473">
      <formula>(F277="x")</formula>
    </cfRule>
  </conditionalFormatting>
  <conditionalFormatting sqref="F48:BA49">
    <cfRule type="expression" dxfId="5322" priority="121475">
      <formula>(F245="x")</formula>
    </cfRule>
    <cfRule type="expression" dxfId="5321" priority="121476">
      <formula>(F227="x")</formula>
    </cfRule>
    <cfRule type="expression" dxfId="5320" priority="121477">
      <formula>(F226="x")</formula>
    </cfRule>
    <cfRule type="expression" dxfId="5319" priority="121478">
      <formula>(F242="x")</formula>
    </cfRule>
    <cfRule type="expression" dxfId="5318" priority="121479">
      <formula>(F251="x")</formula>
    </cfRule>
  </conditionalFormatting>
  <conditionalFormatting sqref="F48:BA49">
    <cfRule type="expression" dxfId="5317" priority="121481">
      <formula>(F254="x")</formula>
    </cfRule>
    <cfRule type="expression" dxfId="5316" priority="121482">
      <formula>(F240="x")</formula>
    </cfRule>
  </conditionalFormatting>
  <conditionalFormatting sqref="F48:BA49">
    <cfRule type="expression" dxfId="5315" priority="121484">
      <formula>(F207="x")</formula>
    </cfRule>
    <cfRule type="expression" dxfId="5314" priority="121485">
      <formula>(F223="x")</formula>
    </cfRule>
    <cfRule type="expression" dxfId="5313" priority="121486">
      <formula>(F244="x")</formula>
    </cfRule>
    <cfRule type="expression" dxfId="5312" priority="121487">
      <formula>(F206="x")</formula>
    </cfRule>
    <cfRule type="expression" dxfId="5311" priority="121488">
      <formula>(F214="x")</formula>
    </cfRule>
    <cfRule type="expression" dxfId="5310" priority="121489">
      <formula>(F252="x")</formula>
    </cfRule>
    <cfRule type="expression" dxfId="5309" priority="121490">
      <formula>(F250="x")</formula>
    </cfRule>
    <cfRule type="expression" dxfId="5308" priority="121491">
      <formula>(F243="x")</formula>
    </cfRule>
    <cfRule type="expression" dxfId="5307" priority="121492">
      <formula>(F233="x")</formula>
    </cfRule>
  </conditionalFormatting>
  <conditionalFormatting sqref="F48:BA49">
    <cfRule type="expression" dxfId="5306" priority="121498">
      <formula>(F279="x")</formula>
    </cfRule>
    <cfRule type="expression" dxfId="5305" priority="121499">
      <formula>(F275="x")</formula>
    </cfRule>
    <cfRule type="expression" dxfId="5304" priority="121500">
      <formula>(F270="x")</formula>
    </cfRule>
    <cfRule type="expression" dxfId="5303" priority="121501">
      <formula>(F274="x")</formula>
    </cfRule>
    <cfRule type="expression" dxfId="5302" priority="121502">
      <formula>(F272="x")</formula>
    </cfRule>
    <cfRule type="expression" dxfId="5301" priority="121503">
      <formula>(F276="x")</formula>
    </cfRule>
    <cfRule type="expression" dxfId="5300" priority="121504">
      <formula>(F267="x")</formula>
    </cfRule>
    <cfRule type="expression" dxfId="5299" priority="121505">
      <formula>(F278="x")</formula>
    </cfRule>
    <cfRule type="expression" dxfId="5298" priority="121506">
      <formula>(F196="x")</formula>
    </cfRule>
  </conditionalFormatting>
  <conditionalFormatting sqref="F65:BA68">
    <cfRule type="expression" dxfId="5297" priority="121508">
      <formula>(F374="x")</formula>
    </cfRule>
    <cfRule type="expression" dxfId="5296" priority="121509">
      <formula>(F373="x")</formula>
    </cfRule>
  </conditionalFormatting>
  <conditionalFormatting sqref="F48:BA48">
    <cfRule type="expression" dxfId="5295" priority="121513">
      <formula>(F356="x")</formula>
    </cfRule>
    <cfRule type="expression" dxfId="5294" priority="121514">
      <formula>(F355="x")</formula>
    </cfRule>
    <cfRule type="expression" dxfId="5293" priority="121515">
      <formula>(F354="x")</formula>
    </cfRule>
  </conditionalFormatting>
  <conditionalFormatting sqref="F92:BA95">
    <cfRule type="expression" dxfId="5292" priority="121528">
      <formula>(F325="x")</formula>
    </cfRule>
  </conditionalFormatting>
  <conditionalFormatting sqref="F103:BA105 F62:BA64 F11:BA13 F15:BA29 F32:BA40 F44:BA44 F46:BA49">
    <cfRule type="expression" dxfId="5291" priority="121537">
      <formula>(F193="x")</formula>
    </cfRule>
  </conditionalFormatting>
  <conditionalFormatting sqref="F48:BA49">
    <cfRule type="expression" dxfId="5290" priority="121543">
      <formula>(F229="x")</formula>
    </cfRule>
    <cfRule type="expression" dxfId="5289" priority="121544">
      <formula>(F231="x")</formula>
    </cfRule>
  </conditionalFormatting>
  <conditionalFormatting sqref="F55:BA61 F85:BA90 F103:BA104 F69:BA70 F42:BA44 F11:BA13 F15:BA40 F48:BA51">
    <cfRule type="expression" dxfId="5288" priority="121545">
      <formula>(F188="x")</formula>
    </cfRule>
  </conditionalFormatting>
  <conditionalFormatting sqref="F48:BA49">
    <cfRule type="expression" dxfId="5287" priority="121546">
      <formula>(F264="x")</formula>
    </cfRule>
    <cfRule type="expression" dxfId="5286" priority="121547">
      <formula>(F268="x")</formula>
    </cfRule>
    <cfRule type="expression" dxfId="5285" priority="121548">
      <formula>(F194="x")</formula>
    </cfRule>
  </conditionalFormatting>
  <conditionalFormatting sqref="F48:BA49">
    <cfRule type="expression" dxfId="5284" priority="121549">
      <formula>(F218="x")</formula>
    </cfRule>
    <cfRule type="expression" dxfId="5283" priority="121550">
      <formula>(F238="x")</formula>
    </cfRule>
    <cfRule type="expression" dxfId="5282" priority="121551">
      <formula>(F256="x")</formula>
    </cfRule>
    <cfRule type="expression" dxfId="5281" priority="121552">
      <formula>(F215="x")</formula>
    </cfRule>
    <cfRule type="expression" dxfId="5280" priority="121553">
      <formula>(F248="x")</formula>
    </cfRule>
    <cfRule type="expression" dxfId="5279" priority="121554">
      <formula>(F262="x")</formula>
    </cfRule>
    <cfRule type="expression" dxfId="5278" priority="121555">
      <formula>(F260="x")</formula>
    </cfRule>
    <cfRule type="expression" dxfId="5277" priority="121556">
      <formula>(F258="x")</formula>
    </cfRule>
    <cfRule type="expression" dxfId="5276" priority="121557">
      <formula>(F247="x")</formula>
    </cfRule>
    <cfRule type="expression" dxfId="5275" priority="121558">
      <formula>(F246="x")</formula>
    </cfRule>
    <cfRule type="expression" dxfId="5274" priority="121559">
      <formula>(F241="x")</formula>
    </cfRule>
    <cfRule type="expression" dxfId="5273" priority="121560">
      <formula>(F209="x")</formula>
    </cfRule>
    <cfRule type="expression" dxfId="5272" priority="121561">
      <formula>(F208="x")</formula>
    </cfRule>
    <cfRule type="expression" dxfId="5271" priority="121562">
      <formula>(F203="x")</formula>
    </cfRule>
    <cfRule type="expression" dxfId="5270" priority="121563">
      <formula>(F239="x")</formula>
    </cfRule>
    <cfRule type="expression" dxfId="5269" priority="121564">
      <formula>(F199="x")</formula>
    </cfRule>
    <cfRule type="expression" dxfId="5268" priority="121565">
      <formula>(F222="x")</formula>
    </cfRule>
    <cfRule type="expression" dxfId="5267" priority="121566">
      <formula>(F212="x")</formula>
    </cfRule>
    <cfRule type="expression" dxfId="5266" priority="121567">
      <formula>(F210="x")</formula>
    </cfRule>
    <cfRule type="expression" dxfId="5265" priority="121568">
      <formula>(F204="x")</formula>
    </cfRule>
    <cfRule type="expression" dxfId="5264" priority="121569">
      <formula>(F228="x")</formula>
    </cfRule>
    <cfRule type="expression" dxfId="5263" priority="121570">
      <formula>(F216="x")</formula>
    </cfRule>
    <cfRule type="expression" dxfId="5262" priority="121571">
      <formula>(F253="x")</formula>
    </cfRule>
    <cfRule type="expression" dxfId="5261" priority="121572">
      <formula>(F213="x")</formula>
    </cfRule>
  </conditionalFormatting>
  <conditionalFormatting sqref="F48:BA49">
    <cfRule type="expression" dxfId="5260" priority="121573">
      <formula>(#REF!="x")</formula>
    </cfRule>
    <cfRule type="expression" dxfId="5259" priority="121574">
      <formula>(F200="x")</formula>
    </cfRule>
    <cfRule type="expression" dxfId="5258" priority="121575">
      <formula>(F198="x")</formula>
    </cfRule>
  </conditionalFormatting>
  <conditionalFormatting sqref="F30:BA30">
    <cfRule type="expression" dxfId="5257" priority="121576">
      <formula>(F207="x")</formula>
    </cfRule>
    <cfRule type="expression" dxfId="5256" priority="121577">
      <formula>(F185="x")</formula>
    </cfRule>
  </conditionalFormatting>
  <conditionalFormatting sqref="F45:BA45 F11:BA13">
    <cfRule type="expression" dxfId="5255" priority="121598">
      <formula>(F283="x")</formula>
    </cfRule>
  </conditionalFormatting>
  <conditionalFormatting sqref="F69:BA70">
    <cfRule type="expression" dxfId="5254" priority="121600">
      <formula>(F339="x")</formula>
    </cfRule>
  </conditionalFormatting>
  <conditionalFormatting sqref="F65:BA68 F54:BA54 F16:BA44">
    <cfRule type="expression" dxfId="5253" priority="121602">
      <formula>(F298="x")</formula>
    </cfRule>
  </conditionalFormatting>
  <conditionalFormatting sqref="F15:BA44">
    <cfRule type="expression" dxfId="5252" priority="121605">
      <formula>(F336="x")</formula>
    </cfRule>
    <cfRule type="expression" dxfId="5251" priority="121606">
      <formula>(F337="x")</formula>
    </cfRule>
  </conditionalFormatting>
  <conditionalFormatting sqref="F15:BA44">
    <cfRule type="expression" dxfId="5250" priority="121609">
      <formula>(F355="x")</formula>
    </cfRule>
  </conditionalFormatting>
  <conditionalFormatting sqref="F15:BA44">
    <cfRule type="expression" dxfId="5249" priority="121610">
      <formula>(F351="x")</formula>
    </cfRule>
  </conditionalFormatting>
  <conditionalFormatting sqref="F15:BA44">
    <cfRule type="expression" dxfId="5248" priority="121611">
      <formula>(F357="x")</formula>
    </cfRule>
    <cfRule type="expression" dxfId="5247" priority="121612">
      <formula>(F361="x")</formula>
    </cfRule>
    <cfRule type="expression" dxfId="5246" priority="121613">
      <formula>(F356="x")</formula>
    </cfRule>
  </conditionalFormatting>
  <conditionalFormatting sqref="F10:BA11 F13:BA13 F15:BA44">
    <cfRule type="expression" dxfId="5245" priority="121614">
      <formula>(F347="x")</formula>
    </cfRule>
  </conditionalFormatting>
  <conditionalFormatting sqref="F15:BA44">
    <cfRule type="expression" dxfId="5244" priority="121615">
      <formula>(F360="x")</formula>
    </cfRule>
  </conditionalFormatting>
  <conditionalFormatting sqref="F11:BA11 F16:BA44">
    <cfRule type="expression" dxfId="5243" priority="121617">
      <formula>(F316="x")</formula>
    </cfRule>
  </conditionalFormatting>
  <conditionalFormatting sqref="F65:BA68">
    <cfRule type="expression" dxfId="5242" priority="121621">
      <formula>(F367="x")</formula>
    </cfRule>
  </conditionalFormatting>
  <conditionalFormatting sqref="F15:BA44">
    <cfRule type="expression" dxfId="5241" priority="121624">
      <formula>(F330="x")</formula>
    </cfRule>
    <cfRule type="expression" dxfId="5240" priority="121625">
      <formula>(F334="x")</formula>
    </cfRule>
  </conditionalFormatting>
  <conditionalFormatting sqref="F15:BA44">
    <cfRule type="expression" dxfId="5239" priority="121626">
      <formula>(F344="x")</formula>
    </cfRule>
    <cfRule type="expression" dxfId="5238" priority="121627">
      <formula>(F343="x")</formula>
    </cfRule>
    <cfRule type="expression" dxfId="5237" priority="121628">
      <formula>(F340="x")</formula>
    </cfRule>
    <cfRule type="expression" dxfId="5236" priority="121629">
      <formula>(F339="x")</formula>
    </cfRule>
    <cfRule type="expression" dxfId="5235" priority="121630">
      <formula>(F338="x")</formula>
    </cfRule>
  </conditionalFormatting>
  <conditionalFormatting sqref="F15:BA44">
    <cfRule type="expression" dxfId="5234" priority="121631">
      <formula>(F350="x")</formula>
    </cfRule>
    <cfRule type="expression" dxfId="5233" priority="121632">
      <formula>(F345="x")</formula>
    </cfRule>
    <cfRule type="expression" dxfId="5232" priority="121633">
      <formula>(F349="x")</formula>
    </cfRule>
    <cfRule type="expression" dxfId="5231" priority="121634">
      <formula>(F346="x")</formula>
    </cfRule>
    <cfRule type="expression" dxfId="5230" priority="121635">
      <formula>(F348="x")</formula>
    </cfRule>
    <cfRule type="expression" dxfId="5229" priority="121636">
      <formula>(F341="x")</formula>
    </cfRule>
    <cfRule type="expression" dxfId="5228" priority="121637">
      <formula>(F342="x")</formula>
    </cfRule>
  </conditionalFormatting>
  <conditionalFormatting sqref="F15:BA44">
    <cfRule type="expression" dxfId="5227" priority="121638">
      <formula>(F354="x")</formula>
    </cfRule>
    <cfRule type="expression" dxfId="5226" priority="121639">
      <formula>(F353="x")</formula>
    </cfRule>
  </conditionalFormatting>
  <conditionalFormatting sqref="F52:BA52">
    <cfRule type="expression" dxfId="5225" priority="121641">
      <formula>(F358="x")</formula>
    </cfRule>
  </conditionalFormatting>
  <conditionalFormatting sqref="F15:BA44">
    <cfRule type="expression" dxfId="5224" priority="121644">
      <formula>(F329="x")</formula>
    </cfRule>
    <cfRule type="expression" dxfId="5223" priority="121645">
      <formula>(F328="x")</formula>
    </cfRule>
  </conditionalFormatting>
  <conditionalFormatting sqref="F52:BA54">
    <cfRule type="expression" dxfId="5222" priority="121647">
      <formula>(F315="x")</formula>
    </cfRule>
  </conditionalFormatting>
  <conditionalFormatting sqref="F83:BA83">
    <cfRule type="expression" dxfId="5221" priority="121660">
      <formula>(F345="x")</formula>
    </cfRule>
  </conditionalFormatting>
  <conditionalFormatting sqref="F15:BA44">
    <cfRule type="expression" dxfId="5220" priority="121669">
      <formula>(F273="x")</formula>
    </cfRule>
    <cfRule type="expression" dxfId="5219" priority="121670">
      <formula>(F274="x")</formula>
    </cfRule>
  </conditionalFormatting>
  <conditionalFormatting sqref="F15:BA44">
    <cfRule type="expression" dxfId="5218" priority="121694">
      <formula>(F301="x")</formula>
    </cfRule>
    <cfRule type="expression" dxfId="5217" priority="121695">
      <formula>(F300="x")</formula>
    </cfRule>
    <cfRule type="expression" dxfId="5216" priority="121696">
      <formula>(F304="x")</formula>
    </cfRule>
    <cfRule type="expression" dxfId="5215" priority="121697">
      <formula>(F305="x")</formula>
    </cfRule>
    <cfRule type="expression" dxfId="5214" priority="121698">
      <formula>(F306="x")</formula>
    </cfRule>
    <cfRule type="expression" dxfId="5213" priority="121699">
      <formula>(F307="x")</formula>
    </cfRule>
    <cfRule type="expression" dxfId="5212" priority="121700">
      <formula>(F310="x")</formula>
    </cfRule>
    <cfRule type="expression" dxfId="5211" priority="121701">
      <formula>(F322="x")</formula>
    </cfRule>
    <cfRule type="expression" dxfId="5210" priority="121702">
      <formula>(F309="x")</formula>
    </cfRule>
    <cfRule type="expression" dxfId="5209" priority="121703">
      <formula>(F308="x")</formula>
    </cfRule>
    <cfRule type="expression" dxfId="5208" priority="121704">
      <formula>(F323="x")</formula>
    </cfRule>
    <cfRule type="expression" dxfId="5207" priority="121705">
      <formula>(F318="x")</formula>
    </cfRule>
    <cfRule type="expression" dxfId="5206" priority="121706">
      <formula>(F321="x")</formula>
    </cfRule>
    <cfRule type="expression" dxfId="5205" priority="121707">
      <formula>(F317="x")</formula>
    </cfRule>
    <cfRule type="expression" dxfId="5204" priority="121708">
      <formula>(F320="x")</formula>
    </cfRule>
    <cfRule type="expression" dxfId="5203" priority="121709">
      <formula>(F316="x")</formula>
    </cfRule>
    <cfRule type="expression" dxfId="5202" priority="121710">
      <formula>(F319="x")</formula>
    </cfRule>
    <cfRule type="expression" dxfId="5201" priority="121711">
      <formula>(F315="x")</formula>
    </cfRule>
    <cfRule type="expression" dxfId="5200" priority="121712">
      <formula>(F314="x")</formula>
    </cfRule>
    <cfRule type="expression" dxfId="5199" priority="121713">
      <formula>(F313="x")</formula>
    </cfRule>
    <cfRule type="expression" dxfId="5198" priority="121714">
      <formula>(F311="x")</formula>
    </cfRule>
    <cfRule type="expression" dxfId="5197" priority="121715">
      <formula>(F297="x")</formula>
    </cfRule>
    <cfRule type="expression" dxfId="5196" priority="121716">
      <formula>(F296="x")</formula>
    </cfRule>
  </conditionalFormatting>
  <conditionalFormatting sqref="F15:BA44">
    <cfRule type="expression" dxfId="5195" priority="121719">
      <formula>(F326="x")</formula>
    </cfRule>
    <cfRule type="expression" dxfId="5194" priority="121720">
      <formula>(F324="x")</formula>
    </cfRule>
  </conditionalFormatting>
  <conditionalFormatting sqref="F15:BA44">
    <cfRule type="expression" dxfId="5193" priority="121727">
      <formula>(F299="x")</formula>
    </cfRule>
    <cfRule type="expression" dxfId="5192" priority="121728">
      <formula>(F290="x")</formula>
    </cfRule>
    <cfRule type="expression" dxfId="5191" priority="121729">
      <formula>(F288="x")</formula>
    </cfRule>
    <cfRule type="expression" dxfId="5190" priority="121730">
      <formula>(F295="x")</formula>
    </cfRule>
    <cfRule type="expression" dxfId="5189" priority="121731">
      <formula>(F291="x")</formula>
    </cfRule>
    <cfRule type="expression" dxfId="5188" priority="121732">
      <formula>(F285="x")</formula>
    </cfRule>
  </conditionalFormatting>
  <conditionalFormatting sqref="F15:BA44">
    <cfRule type="expression" dxfId="5187" priority="121738">
      <formula>(F253="x")</formula>
    </cfRule>
    <cfRule type="expression" dxfId="5186" priority="121739">
      <formula>(F235="x")</formula>
    </cfRule>
    <cfRule type="expression" dxfId="5185" priority="121740">
      <formula>(F234="x")</formula>
    </cfRule>
    <cfRule type="expression" dxfId="5184" priority="121741">
      <formula>(F250="x")</formula>
    </cfRule>
    <cfRule type="expression" dxfId="5183" priority="121742">
      <formula>(F259="x")</formula>
    </cfRule>
  </conditionalFormatting>
  <conditionalFormatting sqref="F15:BA44">
    <cfRule type="expression" dxfId="5182" priority="121745">
      <formula>(F262="x")</formula>
    </cfRule>
    <cfRule type="expression" dxfId="5181" priority="121746">
      <formula>(F248="x")</formula>
    </cfRule>
  </conditionalFormatting>
  <conditionalFormatting sqref="F15:BA44">
    <cfRule type="expression" dxfId="5180" priority="121758">
      <formula>(F215="x")</formula>
    </cfRule>
    <cfRule type="expression" dxfId="5179" priority="121759">
      <formula>(F231="x")</formula>
    </cfRule>
    <cfRule type="expression" dxfId="5178" priority="121760">
      <formula>(F252="x")</formula>
    </cfRule>
    <cfRule type="expression" dxfId="5177" priority="121761">
      <formula>(F214="x")</formula>
    </cfRule>
    <cfRule type="expression" dxfId="5176" priority="121762">
      <formula>(F222="x")</formula>
    </cfRule>
    <cfRule type="expression" dxfId="5175" priority="121763">
      <formula>(F260="x")</formula>
    </cfRule>
    <cfRule type="expression" dxfId="5174" priority="121764">
      <formula>(F258="x")</formula>
    </cfRule>
    <cfRule type="expression" dxfId="5173" priority="121765">
      <formula>(F251="x")</formula>
    </cfRule>
    <cfRule type="expression" dxfId="5172" priority="121766">
      <formula>(F241="x")</formula>
    </cfRule>
  </conditionalFormatting>
  <conditionalFormatting sqref="F15:BA44">
    <cfRule type="expression" dxfId="5171" priority="121770">
      <formula>(F233="x")</formula>
    </cfRule>
  </conditionalFormatting>
  <conditionalFormatting sqref="F15:BA44">
    <cfRule type="expression" dxfId="5170" priority="121782">
      <formula>(F287="x")</formula>
    </cfRule>
    <cfRule type="expression" dxfId="5169" priority="121783">
      <formula>(F283="x")</formula>
    </cfRule>
    <cfRule type="expression" dxfId="5168" priority="121784">
      <formula>(F278="x")</formula>
    </cfRule>
    <cfRule type="expression" dxfId="5167" priority="121785">
      <formula>(F282="x")</formula>
    </cfRule>
    <cfRule type="expression" dxfId="5166" priority="121786">
      <formula>(F280="x")</formula>
    </cfRule>
    <cfRule type="expression" dxfId="5165" priority="121787">
      <formula>(F284="x")</formula>
    </cfRule>
    <cfRule type="expression" dxfId="5164" priority="121788">
      <formula>(F275="x")</formula>
    </cfRule>
    <cfRule type="expression" dxfId="5163" priority="121789">
      <formula>(F286="x")</formula>
    </cfRule>
    <cfRule type="expression" dxfId="5162" priority="121790">
      <formula>(F204="x")</formula>
    </cfRule>
  </conditionalFormatting>
  <conditionalFormatting sqref="F15:BA44">
    <cfRule type="expression" dxfId="5161" priority="121793">
      <formula>(F359="x")</formula>
    </cfRule>
    <cfRule type="expression" dxfId="5160" priority="121794">
      <formula>(F358="x")</formula>
    </cfRule>
  </conditionalFormatting>
  <conditionalFormatting sqref="F15:BA44">
    <cfRule type="expression" dxfId="5159" priority="121814">
      <formula>(F325="x")</formula>
    </cfRule>
  </conditionalFormatting>
  <conditionalFormatting sqref="F15:BA44">
    <cfRule type="expression" dxfId="5158" priority="121817">
      <formula>(F347="x")</formula>
    </cfRule>
  </conditionalFormatting>
  <conditionalFormatting sqref="F83:BA83">
    <cfRule type="expression" dxfId="5157" priority="121845">
      <formula>(F266="x")</formula>
    </cfRule>
  </conditionalFormatting>
  <conditionalFormatting sqref="F15:BA44">
    <cfRule type="expression" dxfId="5156" priority="121852">
      <formula>(F237="x")</formula>
    </cfRule>
    <cfRule type="expression" dxfId="5155" priority="121853">
      <formula>(F239="x")</formula>
    </cfRule>
  </conditionalFormatting>
  <conditionalFormatting sqref="F15:BA44">
    <cfRule type="expression" dxfId="5154" priority="121859">
      <formula>(F272="x")</formula>
    </cfRule>
    <cfRule type="expression" dxfId="5153" priority="121860">
      <formula>(F276="x")</formula>
    </cfRule>
    <cfRule type="expression" dxfId="5152" priority="121861">
      <formula>(F202="x")</formula>
    </cfRule>
  </conditionalFormatting>
  <conditionalFormatting sqref="F15:BA44">
    <cfRule type="expression" dxfId="5151" priority="121886">
      <formula>(F226="x")</formula>
    </cfRule>
    <cfRule type="expression" dxfId="5150" priority="121887">
      <formula>(F246="x")</formula>
    </cfRule>
    <cfRule type="expression" dxfId="5149" priority="121888">
      <formula>(F264="x")</formula>
    </cfRule>
    <cfRule type="expression" dxfId="5148" priority="121889">
      <formula>(F223="x")</formula>
    </cfRule>
    <cfRule type="expression" dxfId="5147" priority="121890">
      <formula>(F256="x")</formula>
    </cfRule>
    <cfRule type="expression" dxfId="5146" priority="121891">
      <formula>(F270="x")</formula>
    </cfRule>
    <cfRule type="expression" dxfId="5145" priority="121892">
      <formula>(F268="x")</formula>
    </cfRule>
    <cfRule type="expression" dxfId="5144" priority="121893">
      <formula>(F266="x")</formula>
    </cfRule>
    <cfRule type="expression" dxfId="5143" priority="121894">
      <formula>(F255="x")</formula>
    </cfRule>
    <cfRule type="expression" dxfId="5142" priority="121895">
      <formula>(F254="x")</formula>
    </cfRule>
    <cfRule type="expression" dxfId="5141" priority="121896">
      <formula>(F249="x")</formula>
    </cfRule>
    <cfRule type="expression" dxfId="5140" priority="121897">
      <formula>(F217="x")</formula>
    </cfRule>
    <cfRule type="expression" dxfId="5139" priority="121898">
      <formula>(F216="x")</formula>
    </cfRule>
    <cfRule type="expression" dxfId="5138" priority="121899">
      <formula>(F211="x")</formula>
    </cfRule>
    <cfRule type="expression" dxfId="5137" priority="121900">
      <formula>(F247="x")</formula>
    </cfRule>
    <cfRule type="expression" dxfId="5136" priority="121901">
      <formula>(F207="x")</formula>
    </cfRule>
    <cfRule type="expression" dxfId="5135" priority="121902">
      <formula>(F230="x")</formula>
    </cfRule>
    <cfRule type="expression" dxfId="5134" priority="121903">
      <formula>(F220="x")</formula>
    </cfRule>
    <cfRule type="expression" dxfId="5133" priority="121904">
      <formula>(F218="x")</formula>
    </cfRule>
    <cfRule type="expression" dxfId="5132" priority="121905">
      <formula>(F212="x")</formula>
    </cfRule>
    <cfRule type="expression" dxfId="5131" priority="121906">
      <formula>(F236="x")</formula>
    </cfRule>
    <cfRule type="expression" dxfId="5130" priority="121907">
      <formula>(F224="x")</formula>
    </cfRule>
    <cfRule type="expression" dxfId="5129" priority="121908">
      <formula>(F261="x")</formula>
    </cfRule>
    <cfRule type="expression" dxfId="5128" priority="121909">
      <formula>(F221="x")</formula>
    </cfRule>
  </conditionalFormatting>
  <conditionalFormatting sqref="F15:BA44">
    <cfRule type="expression" dxfId="5127" priority="121913">
      <formula>(#REF!="x")</formula>
    </cfRule>
    <cfRule type="expression" dxfId="5126" priority="121914">
      <formula>(F208="x")</formula>
    </cfRule>
    <cfRule type="expression" dxfId="5125" priority="121915">
      <formula>(F206="x")</formula>
    </cfRule>
  </conditionalFormatting>
  <conditionalFormatting sqref="F15:BA44">
    <cfRule type="expression" dxfId="5124" priority="121918">
      <formula>(F213="x")</formula>
    </cfRule>
    <cfRule type="expression" dxfId="5123" priority="121919">
      <formula>(F191="x")</formula>
    </cfRule>
  </conditionalFormatting>
  <conditionalFormatting sqref="F78:BA78 F80:BA83 F69:BA70 F10:BA13 F15:BA44 F48:BA49">
    <cfRule type="expression" dxfId="5122" priority="121934">
      <formula>(F266="x")</formula>
    </cfRule>
  </conditionalFormatting>
  <conditionalFormatting sqref="F71:BA74">
    <cfRule type="expression" dxfId="5121" priority="121936">
      <formula>(F366="x")</formula>
    </cfRule>
    <cfRule type="expression" dxfId="5120" priority="121937">
      <formula>(F367="x")</formula>
    </cfRule>
  </conditionalFormatting>
  <conditionalFormatting sqref="F62:BA68">
    <cfRule type="expression" dxfId="5119" priority="121942">
      <formula>(F368="x")</formula>
    </cfRule>
  </conditionalFormatting>
  <conditionalFormatting sqref="F31:BA44">
    <cfRule type="expression" dxfId="5118" priority="121946">
      <formula>(F353="x")</formula>
    </cfRule>
    <cfRule type="expression" dxfId="5117" priority="121947">
      <formula>(F357="x")</formula>
    </cfRule>
    <cfRule type="expression" dxfId="5116" priority="121948">
      <formula>(F352="x")</formula>
    </cfRule>
  </conditionalFormatting>
  <conditionalFormatting sqref="F10:BA11 F14:BA44">
    <cfRule type="expression" dxfId="5115" priority="121953">
      <formula>(F341="x")</formula>
    </cfRule>
  </conditionalFormatting>
  <conditionalFormatting sqref="F83:BA84 F69:BA70 F10:BA11 F33:BA44 F24:BA30">
    <cfRule type="expression" dxfId="5114" priority="121954">
      <formula>(F299="x")</formula>
    </cfRule>
  </conditionalFormatting>
  <conditionalFormatting sqref="F84:BA84 F91:BA91 F55:BA64 F10:BA13 F18:BA40 F42:BA44 F48:BA51">
    <cfRule type="expression" dxfId="5113" priority="121957">
      <formula>(F256="x")</formula>
    </cfRule>
  </conditionalFormatting>
  <conditionalFormatting sqref="F62:BA68 F52:BA52 F71:BA74 F80:BA80 F54:BA54 F32:BA44 F12:BA13 F17:BA29">
    <cfRule type="expression" dxfId="5112" priority="121960">
      <formula>(F298="x")</formula>
    </cfRule>
  </conditionalFormatting>
  <conditionalFormatting sqref="F51:BA51">
    <cfRule type="expression" dxfId="5111" priority="121963">
      <formula>(F329="x")</formula>
    </cfRule>
    <cfRule type="expression" dxfId="5110" priority="121964">
      <formula>(F333="x")</formula>
    </cfRule>
  </conditionalFormatting>
  <conditionalFormatting sqref="F71:BA74">
    <cfRule type="expression" dxfId="5109" priority="121969">
      <formula>(F374="x")</formula>
    </cfRule>
    <cfRule type="expression" dxfId="5108" priority="121970">
      <formula>(F373="x")</formula>
    </cfRule>
    <cfRule type="expression" dxfId="5107" priority="121971">
      <formula>(F370="x")</formula>
    </cfRule>
    <cfRule type="expression" dxfId="5106" priority="121972">
      <formula>(F369="x")</formula>
    </cfRule>
    <cfRule type="expression" dxfId="5105" priority="121973">
      <formula>(F368="x")</formula>
    </cfRule>
  </conditionalFormatting>
  <conditionalFormatting sqref="F71:BA74">
    <cfRule type="expression" dxfId="5104" priority="121979">
      <formula>(F380="x")</formula>
    </cfRule>
    <cfRule type="expression" dxfId="5103" priority="121980">
      <formula>(F375="x")</formula>
    </cfRule>
    <cfRule type="expression" dxfId="5102" priority="121981">
      <formula>(F379="x")</formula>
    </cfRule>
    <cfRule type="expression" dxfId="5101" priority="121982">
      <formula>(F376="x")</formula>
    </cfRule>
    <cfRule type="expression" dxfId="5100" priority="121983">
      <formula>(F378="x")</formula>
    </cfRule>
    <cfRule type="expression" dxfId="5099" priority="121984">
      <formula>(F371="x")</formula>
    </cfRule>
    <cfRule type="expression" dxfId="5098" priority="121985">
      <formula>(F372="x")</formula>
    </cfRule>
  </conditionalFormatting>
  <conditionalFormatting sqref="F71:BA74">
    <cfRule type="expression" dxfId="5097" priority="121993">
      <formula>(F384="x")</formula>
    </cfRule>
    <cfRule type="expression" dxfId="5096" priority="121994">
      <formula>(F383="x")</formula>
    </cfRule>
  </conditionalFormatting>
  <conditionalFormatting sqref="F51:BA51 F15:BA44 F48:BA49 F13:BA13">
    <cfRule type="expression" dxfId="5095" priority="121999">
      <formula>(F292="x")</formula>
    </cfRule>
  </conditionalFormatting>
  <conditionalFormatting sqref="F51:BA51">
    <cfRule type="expression" dxfId="5094" priority="122001">
      <formula>(F328="x")</formula>
    </cfRule>
    <cfRule type="expression" dxfId="5093" priority="122002">
      <formula>(F327="x")</formula>
    </cfRule>
  </conditionalFormatting>
  <conditionalFormatting sqref="F85:BA90">
    <cfRule type="expression" dxfId="5092" priority="122029">
      <formula>(F278="x")</formula>
    </cfRule>
  </conditionalFormatting>
  <conditionalFormatting sqref="F65:BA68 F52:BA54 F84:BA84 F91:BA91 F75:BA77 F81:BA82 F16:BA44 F11:BA11">
    <cfRule type="expression" dxfId="5091" priority="122031">
      <formula>(F243="x")</formula>
    </cfRule>
  </conditionalFormatting>
  <conditionalFormatting sqref="F50:BA51">
    <cfRule type="expression" dxfId="5090" priority="122045">
      <formula>(F271="x")</formula>
    </cfRule>
    <cfRule type="expression" dxfId="5089" priority="122046">
      <formula>(F272="x")</formula>
    </cfRule>
  </conditionalFormatting>
  <conditionalFormatting sqref="F50:BA51">
    <cfRule type="expression" dxfId="5088" priority="122049">
      <formula>(F299="x")</formula>
    </cfRule>
    <cfRule type="expression" dxfId="5087" priority="122050">
      <formula>(F298="x")</formula>
    </cfRule>
    <cfRule type="expression" dxfId="5086" priority="122051">
      <formula>(F302="x")</formula>
    </cfRule>
    <cfRule type="expression" dxfId="5085" priority="122052">
      <formula>(F303="x")</formula>
    </cfRule>
    <cfRule type="expression" dxfId="5084" priority="122053">
      <formula>(F304="x")</formula>
    </cfRule>
    <cfRule type="expression" dxfId="5083" priority="122054">
      <formula>(F305="x")</formula>
    </cfRule>
    <cfRule type="expression" dxfId="5082" priority="122055">
      <formula>(F308="x")</formula>
    </cfRule>
    <cfRule type="expression" dxfId="5081" priority="122056">
      <formula>(F320="x")</formula>
    </cfRule>
    <cfRule type="expression" dxfId="5080" priority="122057">
      <formula>(F307="x")</formula>
    </cfRule>
    <cfRule type="expression" dxfId="5079" priority="122058">
      <formula>(F306="x")</formula>
    </cfRule>
    <cfRule type="expression" dxfId="5078" priority="122059">
      <formula>(F321="x")</formula>
    </cfRule>
    <cfRule type="expression" dxfId="5077" priority="122060">
      <formula>(F316="x")</formula>
    </cfRule>
    <cfRule type="expression" dxfId="5076" priority="122061">
      <formula>(F319="x")</formula>
    </cfRule>
    <cfRule type="expression" dxfId="5075" priority="122062">
      <formula>(F315="x")</formula>
    </cfRule>
    <cfRule type="expression" dxfId="5074" priority="122063">
      <formula>(F318="x")</formula>
    </cfRule>
    <cfRule type="expression" dxfId="5073" priority="122064">
      <formula>(F314="x")</formula>
    </cfRule>
    <cfRule type="expression" dxfId="5072" priority="122065">
      <formula>(F317="x")</formula>
    </cfRule>
    <cfRule type="expression" dxfId="5071" priority="122066">
      <formula>(F313="x")</formula>
    </cfRule>
    <cfRule type="expression" dxfId="5070" priority="122067">
      <formula>(F312="x")</formula>
    </cfRule>
    <cfRule type="expression" dxfId="5069" priority="122068">
      <formula>(F311="x")</formula>
    </cfRule>
    <cfRule type="expression" dxfId="5068" priority="122069">
      <formula>(F309="x")</formula>
    </cfRule>
    <cfRule type="expression" dxfId="5067" priority="122070">
      <formula>(F295="x")</formula>
    </cfRule>
    <cfRule type="expression" dxfId="5066" priority="122071">
      <formula>(F294="x")</formula>
    </cfRule>
  </conditionalFormatting>
  <conditionalFormatting sqref="F50:BA51">
    <cfRule type="expression" dxfId="5065" priority="122095">
      <formula>(F324="x")</formula>
    </cfRule>
    <cfRule type="expression" dxfId="5064" priority="122096">
      <formula>(F322="x")</formula>
    </cfRule>
  </conditionalFormatting>
  <conditionalFormatting sqref="F50:BA51">
    <cfRule type="expression" dxfId="5063" priority="122099">
      <formula>(F297="x")</formula>
    </cfRule>
    <cfRule type="expression" dxfId="5062" priority="122100">
      <formula>(F288="x")</formula>
    </cfRule>
    <cfRule type="expression" dxfId="5061" priority="122101">
      <formula>(F286="x")</formula>
    </cfRule>
    <cfRule type="expression" dxfId="5060" priority="122102">
      <formula>(F293="x")</formula>
    </cfRule>
    <cfRule type="expression" dxfId="5059" priority="122103">
      <formula>(F289="x")</formula>
    </cfRule>
    <cfRule type="expression" dxfId="5058" priority="122104">
      <formula>(F283="x")</formula>
    </cfRule>
  </conditionalFormatting>
  <conditionalFormatting sqref="F50:BA51">
    <cfRule type="expression" dxfId="5057" priority="122113">
      <formula>(F251="x")</formula>
    </cfRule>
    <cfRule type="expression" dxfId="5056" priority="122114">
      <formula>(F233="x")</formula>
    </cfRule>
    <cfRule type="expression" dxfId="5055" priority="122115">
      <formula>(F232="x")</formula>
    </cfRule>
    <cfRule type="expression" dxfId="5054" priority="122116">
      <formula>(F248="x")</formula>
    </cfRule>
    <cfRule type="expression" dxfId="5053" priority="122117">
      <formula>(F257="x")</formula>
    </cfRule>
  </conditionalFormatting>
  <conditionalFormatting sqref="F50:BA51">
    <cfRule type="expression" dxfId="5052" priority="122124">
      <formula>(F260="x")</formula>
    </cfRule>
    <cfRule type="expression" dxfId="5051" priority="122125">
      <formula>(F246="x")</formula>
    </cfRule>
  </conditionalFormatting>
  <conditionalFormatting sqref="F50:BA51">
    <cfRule type="expression" dxfId="5050" priority="122130">
      <formula>(F213="x")</formula>
    </cfRule>
    <cfRule type="expression" dxfId="5049" priority="122131">
      <formula>(F229="x")</formula>
    </cfRule>
    <cfRule type="expression" dxfId="5048" priority="122132">
      <formula>(F250="x")</formula>
    </cfRule>
    <cfRule type="expression" dxfId="5047" priority="122133">
      <formula>(F212="x")</formula>
    </cfRule>
    <cfRule type="expression" dxfId="5046" priority="122134">
      <formula>(F220="x")</formula>
    </cfRule>
    <cfRule type="expression" dxfId="5045" priority="122135">
      <formula>(F258="x")</formula>
    </cfRule>
    <cfRule type="expression" dxfId="5044" priority="122136">
      <formula>(F256="x")</formula>
    </cfRule>
    <cfRule type="expression" dxfId="5043" priority="122137">
      <formula>(F249="x")</formula>
    </cfRule>
    <cfRule type="expression" dxfId="5042" priority="122138">
      <formula>(F239="x")</formula>
    </cfRule>
  </conditionalFormatting>
  <conditionalFormatting sqref="F50:BA51">
    <cfRule type="expression" dxfId="5041" priority="122155">
      <formula>(F285="x")</formula>
    </cfRule>
    <cfRule type="expression" dxfId="5040" priority="122156">
      <formula>(F281="x")</formula>
    </cfRule>
    <cfRule type="expression" dxfId="5039" priority="122157">
      <formula>(F276="x")</formula>
    </cfRule>
    <cfRule type="expression" dxfId="5038" priority="122158">
      <formula>(F280="x")</formula>
    </cfRule>
    <cfRule type="expression" dxfId="5037" priority="122159">
      <formula>(F278="x")</formula>
    </cfRule>
    <cfRule type="expression" dxfId="5036" priority="122160">
      <formula>(F282="x")</formula>
    </cfRule>
    <cfRule type="expression" dxfId="5035" priority="122161">
      <formula>(F273="x")</formula>
    </cfRule>
    <cfRule type="expression" dxfId="5034" priority="122162">
      <formula>(F284="x")</formula>
    </cfRule>
    <cfRule type="expression" dxfId="5033" priority="122163">
      <formula>(F202="x")</formula>
    </cfRule>
  </conditionalFormatting>
  <conditionalFormatting sqref="F31:BA44">
    <cfRule type="expression" dxfId="5032" priority="122181">
      <formula>(F360="x")</formula>
    </cfRule>
    <cfRule type="expression" dxfId="5031" priority="122182">
      <formula>(F359="x")</formula>
    </cfRule>
    <cfRule type="expression" dxfId="5030" priority="122183">
      <formula>(F358="x")</formula>
    </cfRule>
  </conditionalFormatting>
  <conditionalFormatting sqref="F31:BA44">
    <cfRule type="expression" dxfId="5029" priority="122193">
      <formula>(F361="x")</formula>
    </cfRule>
    <cfRule type="expression" dxfId="5028" priority="122194">
      <formula>(F362="x")</formula>
    </cfRule>
  </conditionalFormatting>
  <conditionalFormatting sqref="F52:BA52 F14:BA44">
    <cfRule type="expression" dxfId="5027" priority="122198">
      <formula>(F312="x")</formula>
    </cfRule>
  </conditionalFormatting>
  <conditionalFormatting sqref="F84:BA84">
    <cfRule type="expression" dxfId="5026" priority="122206">
      <formula>(F361="x")</formula>
    </cfRule>
  </conditionalFormatting>
  <conditionalFormatting sqref="F50:BA51">
    <cfRule type="expression" dxfId="5025" priority="122242">
      <formula>(F235="x")</formula>
    </cfRule>
    <cfRule type="expression" dxfId="5024" priority="122243">
      <formula>(F237="x")</formula>
    </cfRule>
  </conditionalFormatting>
  <conditionalFormatting sqref="F105:BA109">
    <cfRule type="expression" dxfId="5023" priority="122246">
      <formula>(F282="x")</formula>
    </cfRule>
  </conditionalFormatting>
  <conditionalFormatting sqref="F50:BA51">
    <cfRule type="expression" dxfId="5022" priority="122248">
      <formula>(F270="x")</formula>
    </cfRule>
    <cfRule type="expression" dxfId="5021" priority="122249">
      <formula>(F274="x")</formula>
    </cfRule>
    <cfRule type="expression" dxfId="5020" priority="122250">
      <formula>(F200="x")</formula>
    </cfRule>
  </conditionalFormatting>
  <conditionalFormatting sqref="F50:BA51">
    <cfRule type="expression" dxfId="5019" priority="122254">
      <formula>(F224="x")</formula>
    </cfRule>
    <cfRule type="expression" dxfId="5018" priority="122255">
      <formula>(F244="x")</formula>
    </cfRule>
    <cfRule type="expression" dxfId="5017" priority="122256">
      <formula>(F262="x")</formula>
    </cfRule>
    <cfRule type="expression" dxfId="5016" priority="122257">
      <formula>(F221="x")</formula>
    </cfRule>
    <cfRule type="expression" dxfId="5015" priority="122258">
      <formula>(F254="x")</formula>
    </cfRule>
    <cfRule type="expression" dxfId="5014" priority="122259">
      <formula>(F268="x")</formula>
    </cfRule>
    <cfRule type="expression" dxfId="5013" priority="122260">
      <formula>(F266="x")</formula>
    </cfRule>
    <cfRule type="expression" dxfId="5012" priority="122261">
      <formula>(F264="x")</formula>
    </cfRule>
    <cfRule type="expression" dxfId="5011" priority="122262">
      <formula>(F253="x")</formula>
    </cfRule>
    <cfRule type="expression" dxfId="5010" priority="122263">
      <formula>(F252="x")</formula>
    </cfRule>
    <cfRule type="expression" dxfId="5009" priority="122264">
      <formula>(F247="x")</formula>
    </cfRule>
    <cfRule type="expression" dxfId="5008" priority="122265">
      <formula>(F215="x")</formula>
    </cfRule>
    <cfRule type="expression" dxfId="5007" priority="122266">
      <formula>(F214="x")</formula>
    </cfRule>
    <cfRule type="expression" dxfId="5006" priority="122267">
      <formula>(F209="x")</formula>
    </cfRule>
    <cfRule type="expression" dxfId="5005" priority="122268">
      <formula>(F245="x")</formula>
    </cfRule>
    <cfRule type="expression" dxfId="5004" priority="122269">
      <formula>(F205="x")</formula>
    </cfRule>
    <cfRule type="expression" dxfId="5003" priority="122270">
      <formula>(F228="x")</formula>
    </cfRule>
    <cfRule type="expression" dxfId="5002" priority="122271">
      <formula>(F218="x")</formula>
    </cfRule>
    <cfRule type="expression" dxfId="5001" priority="122272">
      <formula>(F216="x")</formula>
    </cfRule>
    <cfRule type="expression" dxfId="5000" priority="122273">
      <formula>(F210="x")</formula>
    </cfRule>
    <cfRule type="expression" dxfId="4999" priority="122274">
      <formula>(F234="x")</formula>
    </cfRule>
    <cfRule type="expression" dxfId="4998" priority="122275">
      <formula>(F222="x")</formula>
    </cfRule>
    <cfRule type="expression" dxfId="4997" priority="122276">
      <formula>(F259="x")</formula>
    </cfRule>
    <cfRule type="expression" dxfId="4996" priority="122277">
      <formula>(F219="x")</formula>
    </cfRule>
  </conditionalFormatting>
  <conditionalFormatting sqref="F50:BA51">
    <cfRule type="expression" dxfId="4995" priority="122302">
      <formula>(#REF!="x")</formula>
    </cfRule>
    <cfRule type="expression" dxfId="4994" priority="122303">
      <formula>(F206="x")</formula>
    </cfRule>
    <cfRule type="expression" dxfId="4993" priority="122304">
      <formula>(F204="x")</formula>
    </cfRule>
  </conditionalFormatting>
  <conditionalFormatting sqref="F50:BA51">
    <cfRule type="expression" dxfId="4992" priority="122308">
      <formula>(F211="x")</formula>
    </cfRule>
    <cfRule type="expression" dxfId="4991" priority="122309">
      <formula>(F189="x")</formula>
    </cfRule>
  </conditionalFormatting>
  <conditionalFormatting sqref="F105:BA105 F81:BA82 F71:BA74 F50:BA51 F16:BA21 F23:BA44">
    <cfRule type="expression" dxfId="4990" priority="122323">
      <formula>(F208="x")</formula>
    </cfRule>
  </conditionalFormatting>
  <conditionalFormatting sqref="F10:BA11">
    <cfRule type="expression" dxfId="4989" priority="122331">
      <formula>(F311="x")</formula>
    </cfRule>
    <cfRule type="expression" dxfId="4988" priority="122332">
      <formula>(F313="x")</formula>
    </cfRule>
  </conditionalFormatting>
  <conditionalFormatting sqref="F10:BA11">
    <cfRule type="expression" dxfId="4987" priority="122343">
      <formula>(F346="x")</formula>
    </cfRule>
    <cfRule type="expression" dxfId="4986" priority="122344">
      <formula>(F350="x")</formula>
    </cfRule>
    <cfRule type="expression" dxfId="4985" priority="122345">
      <formula>(F276="x")</formula>
    </cfRule>
  </conditionalFormatting>
  <conditionalFormatting sqref="F10:BA11">
    <cfRule type="expression" dxfId="4984" priority="122349">
      <formula>(F300="x")</formula>
    </cfRule>
    <cfRule type="expression" dxfId="4983" priority="122350">
      <formula>(F320="x")</formula>
    </cfRule>
    <cfRule type="expression" dxfId="4982" priority="122351">
      <formula>(F338="x")</formula>
    </cfRule>
    <cfRule type="expression" dxfId="4981" priority="122352">
      <formula>(F297="x")</formula>
    </cfRule>
    <cfRule type="expression" dxfId="4980" priority="122353">
      <formula>(F330="x")</formula>
    </cfRule>
    <cfRule type="expression" dxfId="4979" priority="122354">
      <formula>(F344="x")</formula>
    </cfRule>
    <cfRule type="expression" dxfId="4978" priority="122355">
      <formula>(F342="x")</formula>
    </cfRule>
    <cfRule type="expression" dxfId="4977" priority="122356">
      <formula>(F340="x")</formula>
    </cfRule>
    <cfRule type="expression" dxfId="4976" priority="122357">
      <formula>(F329="x")</formula>
    </cfRule>
    <cfRule type="expression" dxfId="4975" priority="122358">
      <formula>(F328="x")</formula>
    </cfRule>
    <cfRule type="expression" dxfId="4974" priority="122359">
      <formula>(F323="x")</formula>
    </cfRule>
    <cfRule type="expression" dxfId="4973" priority="122360">
      <formula>(F291="x")</formula>
    </cfRule>
    <cfRule type="expression" dxfId="4972" priority="122361">
      <formula>(F290="x")</formula>
    </cfRule>
    <cfRule type="expression" dxfId="4971" priority="122362">
      <formula>(F285="x")</formula>
    </cfRule>
    <cfRule type="expression" dxfId="4970" priority="122363">
      <formula>(F321="x")</formula>
    </cfRule>
    <cfRule type="expression" dxfId="4969" priority="122364">
      <formula>(F281="x")</formula>
    </cfRule>
    <cfRule type="expression" dxfId="4968" priority="122365">
      <formula>(F304="x")</formula>
    </cfRule>
    <cfRule type="expression" dxfId="4967" priority="122366">
      <formula>(F294="x")</formula>
    </cfRule>
    <cfRule type="expression" dxfId="4966" priority="122367">
      <formula>(F292="x")</formula>
    </cfRule>
    <cfRule type="expression" dxfId="4965" priority="122368">
      <formula>(F286="x")</formula>
    </cfRule>
    <cfRule type="expression" dxfId="4964" priority="122369">
      <formula>(F310="x")</formula>
    </cfRule>
    <cfRule type="expression" dxfId="4963" priority="122370">
      <formula>(F298="x")</formula>
    </cfRule>
    <cfRule type="expression" dxfId="4962" priority="122371">
      <formula>(F335="x")</formula>
    </cfRule>
    <cfRule type="expression" dxfId="4961" priority="122372">
      <formula>(F295="x")</formula>
    </cfRule>
  </conditionalFormatting>
  <conditionalFormatting sqref="F10:BA11">
    <cfRule type="expression" dxfId="4960" priority="122397">
      <formula>(#REF!="x")</formula>
    </cfRule>
    <cfRule type="expression" dxfId="4959" priority="122398">
      <formula>(F282="x")</formula>
    </cfRule>
    <cfRule type="expression" dxfId="4958" priority="122399">
      <formula>(F280="x")</formula>
    </cfRule>
  </conditionalFormatting>
  <conditionalFormatting sqref="F10:BA11">
    <cfRule type="expression" dxfId="4957" priority="122413">
      <formula>(F287="x")</formula>
    </cfRule>
    <cfRule type="expression" dxfId="4956" priority="122414">
      <formula>(F265="x")</formula>
    </cfRule>
  </conditionalFormatting>
  <conditionalFormatting sqref="F10:BA11">
    <cfRule type="expression" dxfId="4955" priority="122431">
      <formula>(F258="x")</formula>
    </cfRule>
    <cfRule type="expression" dxfId="4954" priority="122432">
      <formula>(F257="x")</formula>
    </cfRule>
  </conditionalFormatting>
  <conditionalFormatting sqref="F10:BA11">
    <cfRule type="expression" dxfId="4953" priority="122445">
      <formula>(F243="x")</formula>
    </cfRule>
    <cfRule type="expression" dxfId="4952" priority="122446">
      <formula>(F242="x")</formula>
    </cfRule>
  </conditionalFormatting>
  <conditionalFormatting sqref="F10:BA11 F13:BA13 F16:BA44">
    <cfRule type="expression" dxfId="4951" priority="122449">
      <formula>(F345="x")</formula>
    </cfRule>
  </conditionalFormatting>
  <conditionalFormatting sqref="F10:BA11">
    <cfRule type="expression" dxfId="4950" priority="122453">
      <formula>(F301="x")</formula>
    </cfRule>
    <cfRule type="expression" dxfId="4949" priority="122454">
      <formula>(F240="x")</formula>
    </cfRule>
  </conditionalFormatting>
  <conditionalFormatting sqref="F10:BA11">
    <cfRule type="expression" dxfId="4948" priority="122479">
      <formula>(F218="x")</formula>
    </cfRule>
    <cfRule type="expression" dxfId="4947" priority="122480">
      <formula>(F219="x")</formula>
    </cfRule>
  </conditionalFormatting>
  <conditionalFormatting sqref="F10:BA11">
    <cfRule type="expression" dxfId="4946" priority="122485">
      <formula>(F324="x")</formula>
    </cfRule>
    <cfRule type="expression" dxfId="4945" priority="122486">
      <formula>(F230="x")</formula>
    </cfRule>
    <cfRule type="expression" dxfId="4944" priority="122487">
      <formula>(F327="x")</formula>
    </cfRule>
    <cfRule type="expression" dxfId="4943" priority="122488">
      <formula>(F309="x")</formula>
    </cfRule>
    <cfRule type="expression" dxfId="4942" priority="122489">
      <formula>(F308="x")</formula>
    </cfRule>
  </conditionalFormatting>
  <conditionalFormatting sqref="F10:BA11">
    <cfRule type="expression" dxfId="4941" priority="122495">
      <formula>(F312="x")</formula>
    </cfRule>
    <cfRule type="expression" dxfId="4940" priority="122496">
      <formula>(F322="x")</formula>
    </cfRule>
    <cfRule type="expression" dxfId="4939" priority="122497">
      <formula>(F336="x")</formula>
    </cfRule>
  </conditionalFormatting>
  <conditionalFormatting sqref="F10:BA11">
    <cfRule type="expression" dxfId="4938" priority="122501">
      <formula>(F239="x")</formula>
    </cfRule>
    <cfRule type="expression" dxfId="4937" priority="122502">
      <formula>(F249="x")</formula>
    </cfRule>
    <cfRule type="expression" dxfId="4936" priority="122503">
      <formula>(F248="x")</formula>
    </cfRule>
  </conditionalFormatting>
  <conditionalFormatting sqref="F10:BA11">
    <cfRule type="expression" dxfId="4935" priority="122511">
      <formula>(F215="x")</formula>
    </cfRule>
    <cfRule type="expression" dxfId="4934" priority="122512">
      <formula>(F315="x")</formula>
    </cfRule>
    <cfRule type="expression" dxfId="4933" priority="122513">
      <formula>(F316="x")</formula>
    </cfRule>
    <cfRule type="expression" dxfId="4932" priority="122514">
      <formula>(F296="x")</formula>
    </cfRule>
    <cfRule type="expression" dxfId="4931" priority="122515">
      <formula>(F306="x")</formula>
    </cfRule>
    <cfRule type="expression" dxfId="4930" priority="122516">
      <formula>(F305="x")</formula>
    </cfRule>
    <cfRule type="expression" dxfId="4929" priority="122517">
      <formula>(F334="x")</formula>
    </cfRule>
    <cfRule type="expression" dxfId="4928" priority="122518">
      <formula>(F332="x")</formula>
    </cfRule>
    <cfRule type="expression" dxfId="4927" priority="122519">
      <formula>(F325="x")</formula>
    </cfRule>
    <cfRule type="expression" dxfId="4926" priority="122520">
      <formula>(F212="x")</formula>
    </cfRule>
  </conditionalFormatting>
  <conditionalFormatting sqref="F10:BA11">
    <cfRule type="expression" dxfId="4925" priority="122531">
      <formula>(F289="x")</formula>
    </cfRule>
    <cfRule type="expression" dxfId="4924" priority="122532">
      <formula>(F288="x")</formula>
    </cfRule>
  </conditionalFormatting>
  <conditionalFormatting sqref="F10:BA11">
    <cfRule type="expression" dxfId="4923" priority="122535">
      <formula>(F343="x")</formula>
    </cfRule>
    <cfRule type="expression" dxfId="4922" priority="122536">
      <formula>(F213="x")</formula>
    </cfRule>
  </conditionalFormatting>
  <conditionalFormatting sqref="F10:BA11">
    <cfRule type="expression" dxfId="4921" priority="122539">
      <formula>(F236="x")</formula>
    </cfRule>
    <cfRule type="expression" dxfId="4920" priority="122540">
      <formula>(F226="x")</formula>
    </cfRule>
    <cfRule type="expression" dxfId="4919" priority="122541">
      <formula>(F317="x")</formula>
    </cfRule>
    <cfRule type="expression" dxfId="4918" priority="122542">
      <formula>(F307="x")</formula>
    </cfRule>
    <cfRule type="expression" dxfId="4917" priority="122543">
      <formula>(F235="x")</formula>
    </cfRule>
    <cfRule type="expression" dxfId="4916" priority="122544">
      <formula>(F210="x")</formula>
    </cfRule>
  </conditionalFormatting>
  <conditionalFormatting sqref="F10:BA11">
    <cfRule type="expression" dxfId="4915" priority="122551">
      <formula>(F326="x")</formula>
    </cfRule>
    <cfRule type="expression" dxfId="4914" priority="122552">
      <formula>(F211="x")</formula>
    </cfRule>
  </conditionalFormatting>
  <conditionalFormatting sqref="F10:BA11">
    <cfRule type="expression" dxfId="4913" priority="122555">
      <formula>(F302="x")</formula>
    </cfRule>
    <cfRule type="expression" dxfId="4912" priority="122556">
      <formula>(F303="x")</formula>
    </cfRule>
  </conditionalFormatting>
  <conditionalFormatting sqref="F10:BA11">
    <cfRule type="expression" dxfId="4911" priority="122565">
      <formula>(F229="x")</formula>
    </cfRule>
    <cfRule type="expression" dxfId="4910" priority="122566">
      <formula>(F204="x")</formula>
    </cfRule>
    <cfRule type="expression" dxfId="4909" priority="122567">
      <formula>(F205="x")</formula>
    </cfRule>
  </conditionalFormatting>
  <conditionalFormatting sqref="F10:BA11 F13:BA13 F18:BA44">
    <cfRule type="expression" dxfId="4908" priority="122573">
      <formula>(F339="x")</formula>
    </cfRule>
  </conditionalFormatting>
  <conditionalFormatting sqref="F10:BA11">
    <cfRule type="expression" dxfId="4907" priority="122575">
      <formula>(F319="x")</formula>
    </cfRule>
  </conditionalFormatting>
  <conditionalFormatting sqref="F55:BA55">
    <cfRule type="expression" dxfId="4906" priority="122585">
      <formula>(F247="x")</formula>
    </cfRule>
  </conditionalFormatting>
  <conditionalFormatting sqref="F11:BA11 F16:BA44">
    <cfRule type="expression" dxfId="4905" priority="122604">
      <formula>(F350="x")</formula>
    </cfRule>
    <cfRule type="expression" dxfId="4904" priority="122605">
      <formula>(F351="x")</formula>
    </cfRule>
  </conditionalFormatting>
  <conditionalFormatting sqref="F11:BA11 F16:BA44">
    <cfRule type="expression" dxfId="4903" priority="122609">
      <formula>(F369="x")</formula>
    </cfRule>
  </conditionalFormatting>
  <conditionalFormatting sqref="F11:BA11 F13:BA13 F16:BA44">
    <cfRule type="expression" dxfId="4902" priority="122611">
      <formula>(F365="x")</formula>
    </cfRule>
  </conditionalFormatting>
  <conditionalFormatting sqref="F11:BA11 F16:BA44">
    <cfRule type="expression" dxfId="4901" priority="122613">
      <formula>(F366="x")</formula>
    </cfRule>
  </conditionalFormatting>
  <conditionalFormatting sqref="F69:BA74 F84:BA84 F18:BA44">
    <cfRule type="expression" dxfId="4900" priority="122617">
      <formula>(F308="x")</formula>
    </cfRule>
  </conditionalFormatting>
  <conditionalFormatting sqref="F11:BA11 F16:BA44">
    <cfRule type="expression" dxfId="4899" priority="122622">
      <formula>(F344="x")</formula>
    </cfRule>
    <cfRule type="expression" dxfId="4898" priority="122623">
      <formula>(F348="x")</formula>
    </cfRule>
  </conditionalFormatting>
  <conditionalFormatting sqref="F11:BA11 F16:BA44">
    <cfRule type="expression" dxfId="4897" priority="122629">
      <formula>(F358="x")</formula>
    </cfRule>
    <cfRule type="expression" dxfId="4896" priority="122630">
      <formula>(F357="x")</formula>
    </cfRule>
    <cfRule type="expression" dxfId="4895" priority="122631">
      <formula>(F354="x")</formula>
    </cfRule>
    <cfRule type="expression" dxfId="4894" priority="122632">
      <formula>(F353="x")</formula>
    </cfRule>
    <cfRule type="expression" dxfId="4893" priority="122633">
      <formula>(F352="x")</formula>
    </cfRule>
  </conditionalFormatting>
  <conditionalFormatting sqref="F11:BA11 F16:BA44">
    <cfRule type="expression" dxfId="4892" priority="122641">
      <formula>(F364="x")</formula>
    </cfRule>
    <cfRule type="expression" dxfId="4891" priority="122642">
      <formula>(F359="x")</formula>
    </cfRule>
    <cfRule type="expression" dxfId="4890" priority="122643">
      <formula>(F363="x")</formula>
    </cfRule>
    <cfRule type="expression" dxfId="4889" priority="122644">
      <formula>(F360="x")</formula>
    </cfRule>
    <cfRule type="expression" dxfId="4888" priority="122645">
      <formula>(F362="x")</formula>
    </cfRule>
    <cfRule type="expression" dxfId="4887" priority="122646">
      <formula>(F355="x")</formula>
    </cfRule>
    <cfRule type="expression" dxfId="4886" priority="122647">
      <formula>(F356="x")</formula>
    </cfRule>
  </conditionalFormatting>
  <conditionalFormatting sqref="F11:BA11 F16:BA44">
    <cfRule type="expression" dxfId="4885" priority="122650">
      <formula>(F368="x")</formula>
    </cfRule>
    <cfRule type="expression" dxfId="4884" priority="122651">
      <formula>(F367="x")</formula>
    </cfRule>
  </conditionalFormatting>
  <conditionalFormatting sqref="F52:BA54 F45:BA45 F12:BA13 F17:BA40 F48:BA49">
    <cfRule type="expression" dxfId="4883" priority="122677">
      <formula>(F288="x")</formula>
    </cfRule>
  </conditionalFormatting>
  <conditionalFormatting sqref="F11:BA11 F16:BA44">
    <cfRule type="expression" dxfId="4882" priority="122680">
      <formula>(F287="x")</formula>
    </cfRule>
    <cfRule type="expression" dxfId="4881" priority="122681">
      <formula>(F288="x")</formula>
    </cfRule>
  </conditionalFormatting>
  <conditionalFormatting sqref="F11:BA11 F16:BA44">
    <cfRule type="expression" dxfId="4880" priority="122705">
      <formula>(F315="x")</formula>
    </cfRule>
    <cfRule type="expression" dxfId="4879" priority="122706">
      <formula>(F314="x")</formula>
    </cfRule>
    <cfRule type="expression" dxfId="4878" priority="122707">
      <formula>(F318="x")</formula>
    </cfRule>
    <cfRule type="expression" dxfId="4877" priority="122708">
      <formula>(F319="x")</formula>
    </cfRule>
    <cfRule type="expression" dxfId="4876" priority="122709">
      <formula>(F320="x")</formula>
    </cfRule>
    <cfRule type="expression" dxfId="4875" priority="122710">
      <formula>(F321="x")</formula>
    </cfRule>
    <cfRule type="expression" dxfId="4874" priority="122711">
      <formula>(F324="x")</formula>
    </cfRule>
    <cfRule type="expression" dxfId="4873" priority="122712">
      <formula>(F336="x")</formula>
    </cfRule>
    <cfRule type="expression" dxfId="4872" priority="122713">
      <formula>(F323="x")</formula>
    </cfRule>
    <cfRule type="expression" dxfId="4871" priority="122714">
      <formula>(F322="x")</formula>
    </cfRule>
    <cfRule type="expression" dxfId="4870" priority="122715">
      <formula>(F337="x")</formula>
    </cfRule>
    <cfRule type="expression" dxfId="4869" priority="122716">
      <formula>(F332="x")</formula>
    </cfRule>
    <cfRule type="expression" dxfId="4868" priority="122717">
      <formula>(F335="x")</formula>
    </cfRule>
    <cfRule type="expression" dxfId="4867" priority="122718">
      <formula>(F331="x")</formula>
    </cfRule>
    <cfRule type="expression" dxfId="4866" priority="122719">
      <formula>(F334="x")</formula>
    </cfRule>
    <cfRule type="expression" dxfId="4865" priority="122720">
      <formula>(F330="x")</formula>
    </cfRule>
    <cfRule type="expression" dxfId="4864" priority="122721">
      <formula>(F333="x")</formula>
    </cfRule>
    <cfRule type="expression" dxfId="4863" priority="122722">
      <formula>(F329="x")</formula>
    </cfRule>
    <cfRule type="expression" dxfId="4862" priority="122723">
      <formula>(F328="x")</formula>
    </cfRule>
    <cfRule type="expression" dxfId="4861" priority="122724">
      <formula>(F327="x")</formula>
    </cfRule>
    <cfRule type="expression" dxfId="4860" priority="122725">
      <formula>(F325="x")</formula>
    </cfRule>
    <cfRule type="expression" dxfId="4859" priority="122726">
      <formula>(F311="x")</formula>
    </cfRule>
    <cfRule type="expression" dxfId="4858" priority="122727">
      <formula>(F310="x")</formula>
    </cfRule>
  </conditionalFormatting>
  <conditionalFormatting sqref="F11:BA11 F16:BA44">
    <cfRule type="expression" dxfId="4857" priority="122730">
      <formula>(F340="x")</formula>
    </cfRule>
    <cfRule type="expression" dxfId="4856" priority="122731">
      <formula>(F338="x")</formula>
    </cfRule>
  </conditionalFormatting>
  <conditionalFormatting sqref="F11:BA11 F16:BA44">
    <cfRule type="expression" dxfId="4855" priority="122738">
      <formula>(F313="x")</formula>
    </cfRule>
    <cfRule type="expression" dxfId="4854" priority="122739">
      <formula>(F304="x")</formula>
    </cfRule>
    <cfRule type="expression" dxfId="4853" priority="122740">
      <formula>(F302="x")</formula>
    </cfRule>
    <cfRule type="expression" dxfId="4852" priority="122741">
      <formula>(F309="x")</formula>
    </cfRule>
    <cfRule type="expression" dxfId="4851" priority="122742">
      <formula>(F305="x")</formula>
    </cfRule>
    <cfRule type="expression" dxfId="4850" priority="122743">
      <formula>(F299="x")</formula>
    </cfRule>
  </conditionalFormatting>
  <conditionalFormatting sqref="F11:BA11 F16:BA44">
    <cfRule type="expression" dxfId="4849" priority="122749">
      <formula>(F267="x")</formula>
    </cfRule>
    <cfRule type="expression" dxfId="4848" priority="122750">
      <formula>(F249="x")</formula>
    </cfRule>
    <cfRule type="expression" dxfId="4847" priority="122751">
      <formula>(F248="x")</formula>
    </cfRule>
    <cfRule type="expression" dxfId="4846" priority="122752">
      <formula>(F264="x")</formula>
    </cfRule>
    <cfRule type="expression" dxfId="4845" priority="122753">
      <formula>(F273="x")</formula>
    </cfRule>
  </conditionalFormatting>
  <conditionalFormatting sqref="F11:BA11 F16:BA44">
    <cfRule type="expression" dxfId="4844" priority="122756">
      <formula>(F276="x")</formula>
    </cfRule>
    <cfRule type="expression" dxfId="4843" priority="122757">
      <formula>(F262="x")</formula>
    </cfRule>
  </conditionalFormatting>
  <conditionalFormatting sqref="F11:BA11 F16:BA44">
    <cfRule type="expression" dxfId="4842" priority="122769">
      <formula>(F229="x")</formula>
    </cfRule>
    <cfRule type="expression" dxfId="4841" priority="122770">
      <formula>(F245="x")</formula>
    </cfRule>
    <cfRule type="expression" dxfId="4840" priority="122771">
      <formula>(F266="x")</formula>
    </cfRule>
    <cfRule type="expression" dxfId="4839" priority="122772">
      <formula>(F228="x")</formula>
    </cfRule>
    <cfRule type="expression" dxfId="4838" priority="122773">
      <formula>(F236="x")</formula>
    </cfRule>
    <cfRule type="expression" dxfId="4837" priority="122774">
      <formula>(F274="x")</formula>
    </cfRule>
    <cfRule type="expression" dxfId="4836" priority="122775">
      <formula>(F272="x")</formula>
    </cfRule>
    <cfRule type="expression" dxfId="4835" priority="122776">
      <formula>(F265="x")</formula>
    </cfRule>
    <cfRule type="expression" dxfId="4834" priority="122777">
      <formula>(F255="x")</formula>
    </cfRule>
  </conditionalFormatting>
  <conditionalFormatting sqref="F11:BA11 F16:BA44">
    <cfRule type="expression" dxfId="4833" priority="122791">
      <formula>(F301="x")</formula>
    </cfRule>
    <cfRule type="expression" dxfId="4832" priority="122792">
      <formula>(F297="x")</formula>
    </cfRule>
    <cfRule type="expression" dxfId="4831" priority="122793">
      <formula>(F292="x")</formula>
    </cfRule>
    <cfRule type="expression" dxfId="4830" priority="122794">
      <formula>(F296="x")</formula>
    </cfRule>
    <cfRule type="expression" dxfId="4829" priority="122795">
      <formula>(F294="x")</formula>
    </cfRule>
    <cfRule type="expression" dxfId="4828" priority="122796">
      <formula>(F298="x")</formula>
    </cfRule>
    <cfRule type="expression" dxfId="4827" priority="122797">
      <formula>(F289="x")</formula>
    </cfRule>
    <cfRule type="expression" dxfId="4826" priority="122798">
      <formula>(F300="x")</formula>
    </cfRule>
    <cfRule type="expression" dxfId="4825" priority="122799">
      <formula>(F218="x")</formula>
    </cfRule>
  </conditionalFormatting>
  <conditionalFormatting sqref="F11:BA11 F16:BA44">
    <cfRule type="expression" dxfId="4824" priority="122821">
      <formula>(F361="x")</formula>
    </cfRule>
  </conditionalFormatting>
  <conditionalFormatting sqref="F11:BA11 F16:BA44">
    <cfRule type="expression" dxfId="4823" priority="122884">
      <formula>(F251="x")</formula>
    </cfRule>
    <cfRule type="expression" dxfId="4822" priority="122885">
      <formula>(F253="x")</formula>
    </cfRule>
  </conditionalFormatting>
  <conditionalFormatting sqref="F11:BA11 F16:BA44">
    <cfRule type="expression" dxfId="4821" priority="122891">
      <formula>(F286="x")</formula>
    </cfRule>
    <cfRule type="expression" dxfId="4820" priority="122892">
      <formula>(F290="x")</formula>
    </cfRule>
    <cfRule type="expression" dxfId="4819" priority="122893">
      <formula>(F216="x")</formula>
    </cfRule>
  </conditionalFormatting>
  <conditionalFormatting sqref="F11:BA11 F16:BA44">
    <cfRule type="expression" dxfId="4818" priority="122918">
      <formula>(F240="x")</formula>
    </cfRule>
    <cfRule type="expression" dxfId="4817" priority="122919">
      <formula>(F260="x")</formula>
    </cfRule>
    <cfRule type="expression" dxfId="4816" priority="122920">
      <formula>(F278="x")</formula>
    </cfRule>
    <cfRule type="expression" dxfId="4815" priority="122921">
      <formula>(F237="x")</formula>
    </cfRule>
    <cfRule type="expression" dxfId="4814" priority="122922">
      <formula>(F270="x")</formula>
    </cfRule>
    <cfRule type="expression" dxfId="4813" priority="122923">
      <formula>(F284="x")</formula>
    </cfRule>
    <cfRule type="expression" dxfId="4812" priority="122924">
      <formula>(F282="x")</formula>
    </cfRule>
    <cfRule type="expression" dxfId="4811" priority="122925">
      <formula>(F280="x")</formula>
    </cfRule>
    <cfRule type="expression" dxfId="4810" priority="122926">
      <formula>(F269="x")</formula>
    </cfRule>
    <cfRule type="expression" dxfId="4809" priority="122927">
      <formula>(F268="x")</formula>
    </cfRule>
    <cfRule type="expression" dxfId="4808" priority="122928">
      <formula>(F263="x")</formula>
    </cfRule>
    <cfRule type="expression" dxfId="4807" priority="122929">
      <formula>(F231="x")</formula>
    </cfRule>
    <cfRule type="expression" dxfId="4806" priority="122930">
      <formula>(F230="x")</formula>
    </cfRule>
    <cfRule type="expression" dxfId="4805" priority="122931">
      <formula>(F225="x")</formula>
    </cfRule>
    <cfRule type="expression" dxfId="4804" priority="122932">
      <formula>(F261="x")</formula>
    </cfRule>
    <cfRule type="expression" dxfId="4803" priority="122933">
      <formula>(F221="x")</formula>
    </cfRule>
    <cfRule type="expression" dxfId="4802" priority="122934">
      <formula>(F244="x")</formula>
    </cfRule>
    <cfRule type="expression" dxfId="4801" priority="122935">
      <formula>(F234="x")</formula>
    </cfRule>
    <cfRule type="expression" dxfId="4800" priority="122936">
      <formula>(F232="x")</formula>
    </cfRule>
    <cfRule type="expression" dxfId="4799" priority="122937">
      <formula>(F226="x")</formula>
    </cfRule>
    <cfRule type="expression" dxfId="4798" priority="122938">
      <formula>(F250="x")</formula>
    </cfRule>
    <cfRule type="expression" dxfId="4797" priority="122939">
      <formula>(F238="x")</formula>
    </cfRule>
    <cfRule type="expression" dxfId="4796" priority="122940">
      <formula>(F275="x")</formula>
    </cfRule>
    <cfRule type="expression" dxfId="4795" priority="122941">
      <formula>(F235="x")</formula>
    </cfRule>
  </conditionalFormatting>
  <conditionalFormatting sqref="F11:BA11 F16:BA44">
    <cfRule type="expression" dxfId="4794" priority="122945">
      <formula>(#REF!="x")</formula>
    </cfRule>
    <cfRule type="expression" dxfId="4793" priority="122946">
      <formula>(F222="x")</formula>
    </cfRule>
    <cfRule type="expression" dxfId="4792" priority="122947">
      <formula>(F220="x")</formula>
    </cfRule>
  </conditionalFormatting>
  <conditionalFormatting sqref="F11:BA11 F16:BA44">
    <cfRule type="expression" dxfId="4791" priority="122950">
      <formula>(F227="x")</formula>
    </cfRule>
    <cfRule type="expression" dxfId="4790" priority="122951">
      <formula>(F205="x")</formula>
    </cfRule>
  </conditionalFormatting>
  <conditionalFormatting sqref="F55:BA64 F96:BA104 F78:BA79 F50:BA51 F32:BA45 F11:BA29">
    <cfRule type="expression" dxfId="4789" priority="122955">
      <formula>(F192="x")</formula>
    </cfRule>
  </conditionalFormatting>
  <conditionalFormatting sqref="F83:BA83">
    <cfRule type="expression" dxfId="4788" priority="122958">
      <formula>(F262="x")</formula>
    </cfRule>
    <cfRule type="expression" dxfId="4787" priority="122959">
      <formula>(F261="x")</formula>
    </cfRule>
  </conditionalFormatting>
  <conditionalFormatting sqref="F55:BA61">
    <cfRule type="expression" dxfId="4786" priority="122976">
      <formula>(F343="x")</formula>
    </cfRule>
    <cfRule type="expression" dxfId="4785" priority="122977">
      <formula>(F344="x")</formula>
    </cfRule>
  </conditionalFormatting>
  <conditionalFormatting sqref="F55:BA64">
    <cfRule type="expression" dxfId="4784" priority="122991">
      <formula>(F334="x")</formula>
    </cfRule>
  </conditionalFormatting>
  <conditionalFormatting sqref="F55:BA61">
    <cfRule type="expression" dxfId="4783" priority="122996">
      <formula>(F337="x")</formula>
    </cfRule>
    <cfRule type="expression" dxfId="4782" priority="122997">
      <formula>(F341="x")</formula>
    </cfRule>
  </conditionalFormatting>
  <conditionalFormatting sqref="F55:BA61">
    <cfRule type="expression" dxfId="4781" priority="123000">
      <formula>(F351="x")</formula>
    </cfRule>
    <cfRule type="expression" dxfId="4780" priority="123001">
      <formula>(F350="x")</formula>
    </cfRule>
    <cfRule type="expression" dxfId="4779" priority="123002">
      <formula>(F347="x")</formula>
    </cfRule>
    <cfRule type="expression" dxfId="4778" priority="123003">
      <formula>(F346="x")</formula>
    </cfRule>
    <cfRule type="expression" dxfId="4777" priority="123004">
      <formula>(F345="x")</formula>
    </cfRule>
  </conditionalFormatting>
  <conditionalFormatting sqref="F55:BA61">
    <cfRule type="expression" dxfId="4776" priority="123010">
      <formula>(F357="x")</formula>
    </cfRule>
    <cfRule type="expression" dxfId="4775" priority="123011">
      <formula>(F352="x")</formula>
    </cfRule>
    <cfRule type="expression" dxfId="4774" priority="123012">
      <formula>(F356="x")</formula>
    </cfRule>
    <cfRule type="expression" dxfId="4773" priority="123013">
      <formula>(F353="x")</formula>
    </cfRule>
    <cfRule type="expression" dxfId="4772" priority="123014">
      <formula>(F355="x")</formula>
    </cfRule>
    <cfRule type="expression" dxfId="4771" priority="123015">
      <formula>(F348="x")</formula>
    </cfRule>
    <cfRule type="expression" dxfId="4770" priority="123016">
      <formula>(F349="x")</formula>
    </cfRule>
  </conditionalFormatting>
  <conditionalFormatting sqref="F55:BA61">
    <cfRule type="expression" dxfId="4769" priority="123024">
      <formula>(F361="x")</formula>
    </cfRule>
    <cfRule type="expression" dxfId="4768" priority="123025">
      <formula>(F360="x")</formula>
    </cfRule>
  </conditionalFormatting>
  <conditionalFormatting sqref="F55:BA61">
    <cfRule type="expression" dxfId="4767" priority="123035">
      <formula>(F336="x")</formula>
    </cfRule>
    <cfRule type="expression" dxfId="4766" priority="123036">
      <formula>(F335="x")</formula>
    </cfRule>
  </conditionalFormatting>
  <conditionalFormatting sqref="F83:BA83">
    <cfRule type="expression" dxfId="4765" priority="123058">
      <formula>(F275="x")</formula>
    </cfRule>
  </conditionalFormatting>
  <conditionalFormatting sqref="F55:BA61">
    <cfRule type="expression" dxfId="4764" priority="123080">
      <formula>(F280="x")</formula>
    </cfRule>
    <cfRule type="expression" dxfId="4763" priority="123081">
      <formula>(F281="x")</formula>
    </cfRule>
  </conditionalFormatting>
  <conditionalFormatting sqref="F55:BA61">
    <cfRule type="expression" dxfId="4762" priority="123082">
      <formula>(F308="x")</formula>
    </cfRule>
    <cfRule type="expression" dxfId="4761" priority="123083">
      <formula>(F307="x")</formula>
    </cfRule>
    <cfRule type="expression" dxfId="4760" priority="123084">
      <formula>(F311="x")</formula>
    </cfRule>
    <cfRule type="expression" dxfId="4759" priority="123085">
      <formula>(F312="x")</formula>
    </cfRule>
    <cfRule type="expression" dxfId="4758" priority="123086">
      <formula>(F313="x")</formula>
    </cfRule>
    <cfRule type="expression" dxfId="4757" priority="123087">
      <formula>(F314="x")</formula>
    </cfRule>
    <cfRule type="expression" dxfId="4756" priority="123088">
      <formula>(F317="x")</formula>
    </cfRule>
    <cfRule type="expression" dxfId="4755" priority="123089">
      <formula>(F329="x")</formula>
    </cfRule>
    <cfRule type="expression" dxfId="4754" priority="123090">
      <formula>(F316="x")</formula>
    </cfRule>
    <cfRule type="expression" dxfId="4753" priority="123091">
      <formula>(F315="x")</formula>
    </cfRule>
    <cfRule type="expression" dxfId="4752" priority="123092">
      <formula>(F330="x")</formula>
    </cfRule>
    <cfRule type="expression" dxfId="4751" priority="123093">
      <formula>(F325="x")</formula>
    </cfRule>
    <cfRule type="expression" dxfId="4750" priority="123094">
      <formula>(F328="x")</formula>
    </cfRule>
    <cfRule type="expression" dxfId="4749" priority="123095">
      <formula>(F324="x")</formula>
    </cfRule>
    <cfRule type="expression" dxfId="4748" priority="123096">
      <formula>(F327="x")</formula>
    </cfRule>
    <cfRule type="expression" dxfId="4747" priority="123097">
      <formula>(F323="x")</formula>
    </cfRule>
    <cfRule type="expression" dxfId="4746" priority="123098">
      <formula>(F326="x")</formula>
    </cfRule>
    <cfRule type="expression" dxfId="4745" priority="123099">
      <formula>(F322="x")</formula>
    </cfRule>
    <cfRule type="expression" dxfId="4744" priority="123100">
      <formula>(F321="x")</formula>
    </cfRule>
    <cfRule type="expression" dxfId="4743" priority="123101">
      <formula>(F320="x")</formula>
    </cfRule>
    <cfRule type="expression" dxfId="4742" priority="123102">
      <formula>(F318="x")</formula>
    </cfRule>
    <cfRule type="expression" dxfId="4741" priority="123103">
      <formula>(F304="x")</formula>
    </cfRule>
    <cfRule type="expression" dxfId="4740" priority="123104">
      <formula>(F303="x")</formula>
    </cfRule>
  </conditionalFormatting>
  <conditionalFormatting sqref="F55:BA61">
    <cfRule type="expression" dxfId="4739" priority="123105">
      <formula>(F333="x")</formula>
    </cfRule>
    <cfRule type="expression" dxfId="4738" priority="123106">
      <formula>(F331="x")</formula>
    </cfRule>
  </conditionalFormatting>
  <conditionalFormatting sqref="F55:BA61">
    <cfRule type="expression" dxfId="4737" priority="123107">
      <formula>(F306="x")</formula>
    </cfRule>
    <cfRule type="expression" dxfId="4736" priority="123108">
      <formula>(F297="x")</formula>
    </cfRule>
    <cfRule type="expression" dxfId="4735" priority="123109">
      <formula>(F295="x")</formula>
    </cfRule>
    <cfRule type="expression" dxfId="4734" priority="123110">
      <formula>(F302="x")</formula>
    </cfRule>
    <cfRule type="expression" dxfId="4733" priority="123111">
      <formula>(F298="x")</formula>
    </cfRule>
    <cfRule type="expression" dxfId="4732" priority="123112">
      <formula>(F292="x")</formula>
    </cfRule>
  </conditionalFormatting>
  <conditionalFormatting sqref="F55:BA61">
    <cfRule type="expression" dxfId="4731" priority="123116">
      <formula>(F260="x")</formula>
    </cfRule>
    <cfRule type="expression" dxfId="4730" priority="123117">
      <formula>(F242="x")</formula>
    </cfRule>
    <cfRule type="expression" dxfId="4729" priority="123118">
      <formula>(F241="x")</formula>
    </cfRule>
    <cfRule type="expression" dxfId="4728" priority="123119">
      <formula>(F257="x")</formula>
    </cfRule>
    <cfRule type="expression" dxfId="4727" priority="123120">
      <formula>(F266="x")</formula>
    </cfRule>
  </conditionalFormatting>
  <conditionalFormatting sqref="F55:BA61">
    <cfRule type="expression" dxfId="4726" priority="123122">
      <formula>(F269="x")</formula>
    </cfRule>
    <cfRule type="expression" dxfId="4725" priority="123123">
      <formula>(F255="x")</formula>
    </cfRule>
  </conditionalFormatting>
  <conditionalFormatting sqref="F55:BA61">
    <cfRule type="expression" dxfId="4724" priority="123126">
      <formula>(F222="x")</formula>
    </cfRule>
    <cfRule type="expression" dxfId="4723" priority="123127">
      <formula>(F238="x")</formula>
    </cfRule>
    <cfRule type="expression" dxfId="4722" priority="123128">
      <formula>(F259="x")</formula>
    </cfRule>
    <cfRule type="expression" dxfId="4721" priority="123129">
      <formula>(F221="x")</formula>
    </cfRule>
    <cfRule type="expression" dxfId="4720" priority="123130">
      <formula>(F229="x")</formula>
    </cfRule>
    <cfRule type="expression" dxfId="4719" priority="123131">
      <formula>(F267="x")</formula>
    </cfRule>
    <cfRule type="expression" dxfId="4718" priority="123132">
      <formula>(F265="x")</formula>
    </cfRule>
    <cfRule type="expression" dxfId="4717" priority="123133">
      <formula>(F258="x")</formula>
    </cfRule>
    <cfRule type="expression" dxfId="4716" priority="123134">
      <formula>(F248="x")</formula>
    </cfRule>
  </conditionalFormatting>
  <conditionalFormatting sqref="F55:BA61">
    <cfRule type="expression" dxfId="4715" priority="123143">
      <formula>(F294="x")</formula>
    </cfRule>
    <cfRule type="expression" dxfId="4714" priority="123144">
      <formula>(F290="x")</formula>
    </cfRule>
    <cfRule type="expression" dxfId="4713" priority="123145">
      <formula>(F285="x")</formula>
    </cfRule>
    <cfRule type="expression" dxfId="4712" priority="123146">
      <formula>(F289="x")</formula>
    </cfRule>
    <cfRule type="expression" dxfId="4711" priority="123147">
      <formula>(F287="x")</formula>
    </cfRule>
    <cfRule type="expression" dxfId="4710" priority="123148">
      <formula>(F291="x")</formula>
    </cfRule>
    <cfRule type="expression" dxfId="4709" priority="123149">
      <formula>(F282="x")</formula>
    </cfRule>
    <cfRule type="expression" dxfId="4708" priority="123150">
      <formula>(F293="x")</formula>
    </cfRule>
    <cfRule type="expression" dxfId="4707" priority="123151">
      <formula>(F211="x")</formula>
    </cfRule>
  </conditionalFormatting>
  <conditionalFormatting sqref="F57:BA61">
    <cfRule type="expression" dxfId="4706" priority="123189">
      <formula>(F253="x")</formula>
    </cfRule>
    <cfRule type="expression" dxfId="4705" priority="123190">
      <formula>(F252="x")</formula>
    </cfRule>
  </conditionalFormatting>
  <conditionalFormatting sqref="F51:BA51">
    <cfRule type="expression" dxfId="4704" priority="123204">
      <formula>(F324="x")</formula>
    </cfRule>
  </conditionalFormatting>
  <conditionalFormatting sqref="F57:BA61 F55:BA55">
    <cfRule type="expression" dxfId="4703" priority="123255">
      <formula>(F244="x")</formula>
    </cfRule>
    <cfRule type="expression" dxfId="4702" priority="123256">
      <formula>(F246="x")</formula>
    </cfRule>
  </conditionalFormatting>
  <conditionalFormatting sqref="F55:BA61">
    <cfRule type="expression" dxfId="4701" priority="123261">
      <formula>(F279="x")</formula>
    </cfRule>
    <cfRule type="expression" dxfId="4700" priority="123262">
      <formula>(F283="x")</formula>
    </cfRule>
    <cfRule type="expression" dxfId="4699" priority="123263">
      <formula>(F209="x")</formula>
    </cfRule>
  </conditionalFormatting>
  <conditionalFormatting sqref="F55:BA61">
    <cfRule type="expression" dxfId="4698" priority="123264">
      <formula>(F233="x")</formula>
    </cfRule>
    <cfRule type="expression" dxfId="4697" priority="123265">
      <formula>(F253="x")</formula>
    </cfRule>
    <cfRule type="expression" dxfId="4696" priority="123266">
      <formula>(F271="x")</formula>
    </cfRule>
    <cfRule type="expression" dxfId="4695" priority="123267">
      <formula>(F230="x")</formula>
    </cfRule>
    <cfRule type="expression" dxfId="4694" priority="123268">
      <formula>(F263="x")</formula>
    </cfRule>
    <cfRule type="expression" dxfId="4693" priority="123269">
      <formula>(F277="x")</formula>
    </cfRule>
    <cfRule type="expression" dxfId="4692" priority="123270">
      <formula>(F275="x")</formula>
    </cfRule>
    <cfRule type="expression" dxfId="4691" priority="123271">
      <formula>(F273="x")</formula>
    </cfRule>
    <cfRule type="expression" dxfId="4690" priority="123272">
      <formula>(F262="x")</formula>
    </cfRule>
    <cfRule type="expression" dxfId="4689" priority="123273">
      <formula>(F261="x")</formula>
    </cfRule>
    <cfRule type="expression" dxfId="4688" priority="123274">
      <formula>(F256="x")</formula>
    </cfRule>
    <cfRule type="expression" dxfId="4687" priority="123275">
      <formula>(F224="x")</formula>
    </cfRule>
    <cfRule type="expression" dxfId="4686" priority="123276">
      <formula>(F223="x")</formula>
    </cfRule>
    <cfRule type="expression" dxfId="4685" priority="123277">
      <formula>(F218="x")</formula>
    </cfRule>
    <cfRule type="expression" dxfId="4684" priority="123278">
      <formula>(F254="x")</formula>
    </cfRule>
    <cfRule type="expression" dxfId="4683" priority="123279">
      <formula>(F214="x")</formula>
    </cfRule>
    <cfRule type="expression" dxfId="4682" priority="123280">
      <formula>(F237="x")</formula>
    </cfRule>
    <cfRule type="expression" dxfId="4681" priority="123281">
      <formula>(F227="x")</formula>
    </cfRule>
    <cfRule type="expression" dxfId="4680" priority="123282">
      <formula>(F225="x")</formula>
    </cfRule>
    <cfRule type="expression" dxfId="4679" priority="123283">
      <formula>(F219="x")</formula>
    </cfRule>
    <cfRule type="expression" dxfId="4678" priority="123284">
      <formula>(F243="x")</formula>
    </cfRule>
    <cfRule type="expression" dxfId="4677" priority="123285">
      <formula>(F231="x")</formula>
    </cfRule>
    <cfRule type="expression" dxfId="4676" priority="123286">
      <formula>(F268="x")</formula>
    </cfRule>
    <cfRule type="expression" dxfId="4675" priority="123287">
      <formula>(F228="x")</formula>
    </cfRule>
  </conditionalFormatting>
  <conditionalFormatting sqref="F55:BA61">
    <cfRule type="expression" dxfId="4674" priority="123288">
      <formula>(#REF!="x")</formula>
    </cfRule>
    <cfRule type="expression" dxfId="4673" priority="123289">
      <formula>(F215="x")</formula>
    </cfRule>
    <cfRule type="expression" dxfId="4672" priority="123290">
      <formula>(F213="x")</formula>
    </cfRule>
  </conditionalFormatting>
  <conditionalFormatting sqref="F55:BA61">
    <cfRule type="expression" dxfId="4671" priority="123291">
      <formula>(F220="x")</formula>
    </cfRule>
    <cfRule type="expression" dxfId="4670" priority="123292">
      <formula>(F198="x")</formula>
    </cfRule>
  </conditionalFormatting>
  <conditionalFormatting sqref="F55:BA61">
    <cfRule type="expression" dxfId="4669" priority="123295">
      <formula>(F191="x")</formula>
    </cfRule>
    <cfRule type="expression" dxfId="4668" priority="123296">
      <formula>(F190="x")</formula>
    </cfRule>
  </conditionalFormatting>
  <conditionalFormatting sqref="F84:BA84">
    <cfRule type="expression" dxfId="4667" priority="123319">
      <formula>(F274="x")</formula>
    </cfRule>
  </conditionalFormatting>
  <conditionalFormatting sqref="F65:BA68">
    <cfRule type="expression" dxfId="4666" priority="123338">
      <formula>(F314="x")</formula>
    </cfRule>
  </conditionalFormatting>
  <conditionalFormatting sqref="F11:BA11 F16:BA44">
    <cfRule type="expression" dxfId="4665" priority="123351">
      <formula>(F343="x")</formula>
    </cfRule>
    <cfRule type="expression" dxfId="4664" priority="123352">
      <formula>(F342="x")</formula>
    </cfRule>
  </conditionalFormatting>
  <conditionalFormatting sqref="F52:BA54">
    <cfRule type="expression" dxfId="4663" priority="123361">
      <formula>(F266="x")</formula>
    </cfRule>
  </conditionalFormatting>
  <conditionalFormatting sqref="F51:BA51">
    <cfRule type="expression" dxfId="4662" priority="123364">
      <formula>(F293="x")</formula>
    </cfRule>
  </conditionalFormatting>
  <conditionalFormatting sqref="F11:BA11 F16:BA44">
    <cfRule type="expression" dxfId="4661" priority="123398">
      <formula>(F295="x")</formula>
    </cfRule>
  </conditionalFormatting>
  <conditionalFormatting sqref="F10:BA11 F21:BA44">
    <cfRule type="expression" dxfId="4660" priority="123399">
      <formula>(F351="x")</formula>
    </cfRule>
  </conditionalFormatting>
  <conditionalFormatting sqref="F11:BA11 F16:BA44">
    <cfRule type="expression" dxfId="4659" priority="123401">
      <formula>(F349="x")</formula>
    </cfRule>
  </conditionalFormatting>
  <conditionalFormatting sqref="F11:BA11">
    <cfRule type="expression" dxfId="4658" priority="123402">
      <formula>(F291="x")</formula>
    </cfRule>
  </conditionalFormatting>
  <conditionalFormatting sqref="F13:BA13 F23:BA44">
    <cfRule type="expression" dxfId="4657" priority="123437">
      <formula>(F351="x")</formula>
    </cfRule>
    <cfRule type="expression" dxfId="4656" priority="123438">
      <formula>(F352="x")</formula>
    </cfRule>
  </conditionalFormatting>
  <conditionalFormatting sqref="F13:BA13 F23:BA44">
    <cfRule type="expression" dxfId="4655" priority="123442">
      <formula>(F370="x")</formula>
    </cfRule>
  </conditionalFormatting>
  <conditionalFormatting sqref="F13:BA13 F23:BA44">
    <cfRule type="expression" dxfId="4654" priority="123444">
      <formula>(F366="x")</formula>
    </cfRule>
  </conditionalFormatting>
  <conditionalFormatting sqref="F13:BA13 F23:BA44">
    <cfRule type="expression" dxfId="4653" priority="123455">
      <formula>(F345="x")</formula>
    </cfRule>
    <cfRule type="expression" dxfId="4652" priority="123456">
      <formula>(F349="x")</formula>
    </cfRule>
  </conditionalFormatting>
  <conditionalFormatting sqref="F13:BA13 F23:BA44">
    <cfRule type="expression" dxfId="4651" priority="123462">
      <formula>(F359="x")</formula>
    </cfRule>
    <cfRule type="expression" dxfId="4650" priority="123463">
      <formula>(F358="x")</formula>
    </cfRule>
    <cfRule type="expression" dxfId="4649" priority="123464">
      <formula>(F355="x")</formula>
    </cfRule>
    <cfRule type="expression" dxfId="4648" priority="123465">
      <formula>(F354="x")</formula>
    </cfRule>
    <cfRule type="expression" dxfId="4647" priority="123466">
      <formula>(F353="x")</formula>
    </cfRule>
  </conditionalFormatting>
  <conditionalFormatting sqref="F13:BA13 F23:BA44">
    <cfRule type="expression" dxfId="4646" priority="123474">
      <formula>(F365="x")</formula>
    </cfRule>
    <cfRule type="expression" dxfId="4645" priority="123475">
      <formula>(F360="x")</formula>
    </cfRule>
    <cfRule type="expression" dxfId="4644" priority="123476">
      <formula>(F364="x")</formula>
    </cfRule>
    <cfRule type="expression" dxfId="4643" priority="123477">
      <formula>(F361="x")</formula>
    </cfRule>
    <cfRule type="expression" dxfId="4642" priority="123478">
      <formula>(F363="x")</formula>
    </cfRule>
    <cfRule type="expression" dxfId="4641" priority="123479">
      <formula>(F356="x")</formula>
    </cfRule>
    <cfRule type="expression" dxfId="4640" priority="123480">
      <formula>(F357="x")</formula>
    </cfRule>
  </conditionalFormatting>
  <conditionalFormatting sqref="F13:BA13 F23:BA44">
    <cfRule type="expression" dxfId="4639" priority="123483">
      <formula>(F369="x")</formula>
    </cfRule>
    <cfRule type="expression" dxfId="4638" priority="123484">
      <formula>(F368="x")</formula>
    </cfRule>
  </conditionalFormatting>
  <conditionalFormatting sqref="F13:BA13 F21:BA44">
    <cfRule type="expression" dxfId="4637" priority="123486">
      <formula>(F346="x")</formula>
    </cfRule>
  </conditionalFormatting>
  <conditionalFormatting sqref="F71:BA74">
    <cfRule type="expression" dxfId="4636" priority="123512">
      <formula>(F355="x")</formula>
    </cfRule>
  </conditionalFormatting>
  <conditionalFormatting sqref="F13:BA13 F23:BA44">
    <cfRule type="expression" dxfId="4635" priority="123515">
      <formula>(F288="x")</formula>
    </cfRule>
    <cfRule type="expression" dxfId="4634" priority="123516">
      <formula>(F289="x")</formula>
    </cfRule>
  </conditionalFormatting>
  <conditionalFormatting sqref="F13:BA13 F23:BA44">
    <cfRule type="expression" dxfId="4633" priority="123540">
      <formula>(F316="x")</formula>
    </cfRule>
    <cfRule type="expression" dxfId="4632" priority="123541">
      <formula>(F315="x")</formula>
    </cfRule>
    <cfRule type="expression" dxfId="4631" priority="123542">
      <formula>(F319="x")</formula>
    </cfRule>
    <cfRule type="expression" dxfId="4630" priority="123543">
      <formula>(F320="x")</formula>
    </cfRule>
    <cfRule type="expression" dxfId="4629" priority="123544">
      <formula>(F321="x")</formula>
    </cfRule>
    <cfRule type="expression" dxfId="4628" priority="123545">
      <formula>(F322="x")</formula>
    </cfRule>
    <cfRule type="expression" dxfId="4627" priority="123546">
      <formula>(F325="x")</formula>
    </cfRule>
    <cfRule type="expression" dxfId="4626" priority="123547">
      <formula>(F337="x")</formula>
    </cfRule>
    <cfRule type="expression" dxfId="4625" priority="123548">
      <formula>(F324="x")</formula>
    </cfRule>
    <cfRule type="expression" dxfId="4624" priority="123549">
      <formula>(F323="x")</formula>
    </cfRule>
    <cfRule type="expression" dxfId="4623" priority="123550">
      <formula>(F338="x")</formula>
    </cfRule>
    <cfRule type="expression" dxfId="4622" priority="123551">
      <formula>(F333="x")</formula>
    </cfRule>
    <cfRule type="expression" dxfId="4621" priority="123552">
      <formula>(F336="x")</formula>
    </cfRule>
    <cfRule type="expression" dxfId="4620" priority="123553">
      <formula>(F332="x")</formula>
    </cfRule>
    <cfRule type="expression" dxfId="4619" priority="123554">
      <formula>(F335="x")</formula>
    </cfRule>
    <cfRule type="expression" dxfId="4618" priority="123555">
      <formula>(F331="x")</formula>
    </cfRule>
    <cfRule type="expression" dxfId="4617" priority="123556">
      <formula>(F334="x")</formula>
    </cfRule>
    <cfRule type="expression" dxfId="4616" priority="123557">
      <formula>(F330="x")</formula>
    </cfRule>
    <cfRule type="expression" dxfId="4615" priority="123558">
      <formula>(F329="x")</formula>
    </cfRule>
    <cfRule type="expression" dxfId="4614" priority="123559">
      <formula>(F328="x")</formula>
    </cfRule>
    <cfRule type="expression" dxfId="4613" priority="123560">
      <formula>(F326="x")</formula>
    </cfRule>
    <cfRule type="expression" dxfId="4612" priority="123561">
      <formula>(F312="x")</formula>
    </cfRule>
    <cfRule type="expression" dxfId="4611" priority="123562">
      <formula>(F311="x")</formula>
    </cfRule>
  </conditionalFormatting>
  <conditionalFormatting sqref="F13:BA13 F23:BA44">
    <cfRule type="expression" dxfId="4610" priority="123565">
      <formula>(F341="x")</formula>
    </cfRule>
    <cfRule type="expression" dxfId="4609" priority="123566">
      <formula>(F339="x")</formula>
    </cfRule>
  </conditionalFormatting>
  <conditionalFormatting sqref="F13:BA13 F23:BA44">
    <cfRule type="expression" dxfId="4608" priority="123573">
      <formula>(F314="x")</formula>
    </cfRule>
    <cfRule type="expression" dxfId="4607" priority="123574">
      <formula>(F305="x")</formula>
    </cfRule>
    <cfRule type="expression" dxfId="4606" priority="123575">
      <formula>(F303="x")</formula>
    </cfRule>
    <cfRule type="expression" dxfId="4605" priority="123576">
      <formula>(F310="x")</formula>
    </cfRule>
    <cfRule type="expression" dxfId="4604" priority="123577">
      <formula>(F306="x")</formula>
    </cfRule>
    <cfRule type="expression" dxfId="4603" priority="123578">
      <formula>(F300="x")</formula>
    </cfRule>
  </conditionalFormatting>
  <conditionalFormatting sqref="F13:BA13 F23:BA44">
    <cfRule type="expression" dxfId="4602" priority="123584">
      <formula>(F268="x")</formula>
    </cfRule>
    <cfRule type="expression" dxfId="4601" priority="123585">
      <formula>(F250="x")</formula>
    </cfRule>
    <cfRule type="expression" dxfId="4600" priority="123586">
      <formula>(F249="x")</formula>
    </cfRule>
    <cfRule type="expression" dxfId="4599" priority="123587">
      <formula>(F265="x")</formula>
    </cfRule>
    <cfRule type="expression" dxfId="4598" priority="123588">
      <formula>(F274="x")</formula>
    </cfRule>
  </conditionalFormatting>
  <conditionalFormatting sqref="F13:BA13 F23:BA44">
    <cfRule type="expression" dxfId="4597" priority="123591">
      <formula>(F277="x")</formula>
    </cfRule>
    <cfRule type="expression" dxfId="4596" priority="123592">
      <formula>(F263="x")</formula>
    </cfRule>
  </conditionalFormatting>
  <conditionalFormatting sqref="F13:BA13 F23:BA44">
    <cfRule type="expression" dxfId="4595" priority="123604">
      <formula>(F230="x")</formula>
    </cfRule>
    <cfRule type="expression" dxfId="4594" priority="123605">
      <formula>(F246="x")</formula>
    </cfRule>
    <cfRule type="expression" dxfId="4593" priority="123606">
      <formula>(F267="x")</formula>
    </cfRule>
    <cfRule type="expression" dxfId="4592" priority="123607">
      <formula>(F229="x")</formula>
    </cfRule>
    <cfRule type="expression" dxfId="4591" priority="123608">
      <formula>(F237="x")</formula>
    </cfRule>
    <cfRule type="expression" dxfId="4590" priority="123609">
      <formula>(F275="x")</formula>
    </cfRule>
    <cfRule type="expression" dxfId="4589" priority="123610">
      <formula>(F273="x")</formula>
    </cfRule>
    <cfRule type="expression" dxfId="4588" priority="123611">
      <formula>(F266="x")</formula>
    </cfRule>
    <cfRule type="expression" dxfId="4587" priority="123612">
      <formula>(F256="x")</formula>
    </cfRule>
  </conditionalFormatting>
  <conditionalFormatting sqref="F13:BA13 F23:BA44">
    <cfRule type="expression" dxfId="4586" priority="123626">
      <formula>(F302="x")</formula>
    </cfRule>
    <cfRule type="expression" dxfId="4585" priority="123627">
      <formula>(F298="x")</formula>
    </cfRule>
    <cfRule type="expression" dxfId="4584" priority="123628">
      <formula>(F293="x")</formula>
    </cfRule>
    <cfRule type="expression" dxfId="4583" priority="123629">
      <formula>(F297="x")</formula>
    </cfRule>
    <cfRule type="expression" dxfId="4582" priority="123630">
      <formula>(F295="x")</formula>
    </cfRule>
    <cfRule type="expression" dxfId="4581" priority="123631">
      <formula>(F299="x")</formula>
    </cfRule>
    <cfRule type="expression" dxfId="4580" priority="123632">
      <formula>(F290="x")</formula>
    </cfRule>
    <cfRule type="expression" dxfId="4579" priority="123633">
      <formula>(F301="x")</formula>
    </cfRule>
    <cfRule type="expression" dxfId="4578" priority="123634">
      <formula>(F219="x")</formula>
    </cfRule>
  </conditionalFormatting>
  <conditionalFormatting sqref="F13:BA13 F18:BA44">
    <cfRule type="expression" dxfId="4577" priority="123658">
      <formula>(F362="x")</formula>
    </cfRule>
  </conditionalFormatting>
  <conditionalFormatting sqref="F13:BA13 F23:BA44">
    <cfRule type="expression" dxfId="4576" priority="123671">
      <formula>(F259="x")</formula>
    </cfRule>
    <cfRule type="expression" dxfId="4575" priority="123672">
      <formula>(F258="x")</formula>
    </cfRule>
  </conditionalFormatting>
  <conditionalFormatting sqref="F13:BA13 F23:BA44">
    <cfRule type="expression" dxfId="4574" priority="123719">
      <formula>(F252="x")</formula>
    </cfRule>
    <cfRule type="expression" dxfId="4573" priority="123720">
      <formula>(F254="x")</formula>
    </cfRule>
  </conditionalFormatting>
  <conditionalFormatting sqref="F13:BA13 F23:BA44">
    <cfRule type="expression" dxfId="4572" priority="123726">
      <formula>(F287="x")</formula>
    </cfRule>
    <cfRule type="expression" dxfId="4571" priority="123727">
      <formula>(F291="x")</formula>
    </cfRule>
    <cfRule type="expression" dxfId="4570" priority="123728">
      <formula>(F217="x")</formula>
    </cfRule>
  </conditionalFormatting>
  <conditionalFormatting sqref="F13:BA13 F23:BA44">
    <cfRule type="expression" dxfId="4569" priority="123753">
      <formula>(F241="x")</formula>
    </cfRule>
    <cfRule type="expression" dxfId="4568" priority="123754">
      <formula>(F261="x")</formula>
    </cfRule>
    <cfRule type="expression" dxfId="4567" priority="123755">
      <formula>(F279="x")</formula>
    </cfRule>
    <cfRule type="expression" dxfId="4566" priority="123756">
      <formula>(F238="x")</formula>
    </cfRule>
    <cfRule type="expression" dxfId="4565" priority="123757">
      <formula>(F271="x")</formula>
    </cfRule>
    <cfRule type="expression" dxfId="4564" priority="123758">
      <formula>(F285="x")</formula>
    </cfRule>
    <cfRule type="expression" dxfId="4563" priority="123759">
      <formula>(F283="x")</formula>
    </cfRule>
    <cfRule type="expression" dxfId="4562" priority="123760">
      <formula>(F281="x")</formula>
    </cfRule>
    <cfRule type="expression" dxfId="4561" priority="123761">
      <formula>(F270="x")</formula>
    </cfRule>
    <cfRule type="expression" dxfId="4560" priority="123762">
      <formula>(F269="x")</formula>
    </cfRule>
    <cfRule type="expression" dxfId="4559" priority="123763">
      <formula>(F264="x")</formula>
    </cfRule>
    <cfRule type="expression" dxfId="4558" priority="123764">
      <formula>(F232="x")</formula>
    </cfRule>
    <cfRule type="expression" dxfId="4557" priority="123765">
      <formula>(F231="x")</formula>
    </cfRule>
    <cfRule type="expression" dxfId="4556" priority="123766">
      <formula>(F226="x")</formula>
    </cfRule>
    <cfRule type="expression" dxfId="4555" priority="123767">
      <formula>(F262="x")</formula>
    </cfRule>
    <cfRule type="expression" dxfId="4554" priority="123768">
      <formula>(F222="x")</formula>
    </cfRule>
    <cfRule type="expression" dxfId="4553" priority="123769">
      <formula>(F245="x")</formula>
    </cfRule>
    <cfRule type="expression" dxfId="4552" priority="123770">
      <formula>(F235="x")</formula>
    </cfRule>
    <cfRule type="expression" dxfId="4551" priority="123771">
      <formula>(F233="x")</formula>
    </cfRule>
    <cfRule type="expression" dxfId="4550" priority="123772">
      <formula>(F227="x")</formula>
    </cfRule>
    <cfRule type="expression" dxfId="4549" priority="123773">
      <formula>(F251="x")</formula>
    </cfRule>
    <cfRule type="expression" dxfId="4548" priority="123774">
      <formula>(F239="x")</formula>
    </cfRule>
    <cfRule type="expression" dxfId="4547" priority="123775">
      <formula>(F276="x")</formula>
    </cfRule>
    <cfRule type="expression" dxfId="4546" priority="123776">
      <formula>(F236="x")</formula>
    </cfRule>
  </conditionalFormatting>
  <conditionalFormatting sqref="F13:BA13 F23:BA44">
    <cfRule type="expression" dxfId="4545" priority="123780">
      <formula>(#REF!="x")</formula>
    </cfRule>
    <cfRule type="expression" dxfId="4544" priority="123781">
      <formula>(F223="x")</formula>
    </cfRule>
    <cfRule type="expression" dxfId="4543" priority="123782">
      <formula>(F221="x")</formula>
    </cfRule>
  </conditionalFormatting>
  <conditionalFormatting sqref="F13:BA13 F23:BA44">
    <cfRule type="expression" dxfId="4542" priority="123785">
      <formula>(F228="x")</formula>
    </cfRule>
    <cfRule type="expression" dxfId="4541" priority="123786">
      <formula>(F206="x")</formula>
    </cfRule>
  </conditionalFormatting>
  <conditionalFormatting sqref="F13:BA13">
    <cfRule type="expression" dxfId="4540" priority="123793">
      <formula>(F199="x")</formula>
    </cfRule>
    <cfRule type="expression" dxfId="4539" priority="123794">
      <formula>(F198="x")</formula>
    </cfRule>
  </conditionalFormatting>
  <conditionalFormatting sqref="F83:BA84 F23:BA44 F13:BA13 F46:BA47">
    <cfRule type="expression" dxfId="4538" priority="123797">
      <formula>(F280="x")</formula>
    </cfRule>
  </conditionalFormatting>
  <conditionalFormatting sqref="F62:BA64">
    <cfRule type="expression" dxfId="4537" priority="123813">
      <formula>(F371="x")</formula>
    </cfRule>
  </conditionalFormatting>
  <conditionalFormatting sqref="F55:BA61 F13:BA40 F48:BA48">
    <cfRule type="expression" dxfId="4536" priority="123814">
      <formula>(F317="x")</formula>
    </cfRule>
  </conditionalFormatting>
  <conditionalFormatting sqref="F13:BA13 F17:BA44">
    <cfRule type="expression" dxfId="4535" priority="123818">
      <formula>(F313="x")</formula>
    </cfRule>
  </conditionalFormatting>
  <conditionalFormatting sqref="F75:BA77 F55:BA61 F80:BA80 F10:BA44">
    <cfRule type="expression" dxfId="4534" priority="123819">
      <formula>(F274="x")</formula>
    </cfRule>
  </conditionalFormatting>
  <conditionalFormatting sqref="F62:BA64">
    <cfRule type="expression" dxfId="4533" priority="123820">
      <formula>(F351="x")</formula>
    </cfRule>
  </conditionalFormatting>
  <conditionalFormatting sqref="F92:BA95 F80:BA80 F69:BA70 F83:BA83 F85:BA90 F50:BA51 F15:BA44 F10:BA13">
    <cfRule type="expression" dxfId="4532" priority="123934">
      <formula>(F237="x")</formula>
    </cfRule>
  </conditionalFormatting>
  <conditionalFormatting sqref="F55:BA61 F65:BA68 F71:BA74 F103:BA104 F83:BA83 F10:BA11 F16:BA44 F13:BA13">
    <cfRule type="expression" dxfId="4531" priority="123935">
      <formula>(F207="x")</formula>
    </cfRule>
  </conditionalFormatting>
  <conditionalFormatting sqref="F62:BA64">
    <cfRule type="expression" dxfId="4530" priority="123950">
      <formula>(F235="x")</formula>
    </cfRule>
  </conditionalFormatting>
  <conditionalFormatting sqref="F12:BA13">
    <cfRule type="expression" dxfId="4529" priority="123976">
      <formula>(F319="x")</formula>
    </cfRule>
  </conditionalFormatting>
  <conditionalFormatting sqref="F14:BA44">
    <cfRule type="expression" dxfId="4528" priority="123981">
      <formula>(F332="x")</formula>
    </cfRule>
    <cfRule type="expression" dxfId="4527" priority="123982">
      <formula>(F190="x")</formula>
    </cfRule>
  </conditionalFormatting>
  <conditionalFormatting sqref="F105:BA105">
    <cfRule type="expression" dxfId="4526" priority="124008">
      <formula>(F343="x")</formula>
    </cfRule>
  </conditionalFormatting>
  <conditionalFormatting sqref="F13:BA13 F23:BA44">
    <cfRule type="expression" dxfId="4525" priority="124012">
      <formula>(F344="x")</formula>
    </cfRule>
    <cfRule type="expression" dxfId="4524" priority="124013">
      <formula>(F343="x")</formula>
    </cfRule>
  </conditionalFormatting>
  <conditionalFormatting sqref="F75:BA77">
    <cfRule type="expression" dxfId="4523" priority="124052">
      <formula>(F348="x")</formula>
    </cfRule>
  </conditionalFormatting>
  <conditionalFormatting sqref="F13:BA13 F10:BA11 F23:BA44">
    <cfRule type="expression" dxfId="4522" priority="124210">
      <formula>(F337="x")</formula>
    </cfRule>
  </conditionalFormatting>
  <conditionalFormatting sqref="F75:BA77 F84:BA84 F10:BA13 F18:BA44">
    <cfRule type="expression" dxfId="4521" priority="124214">
      <formula>(F269="x")</formula>
    </cfRule>
  </conditionalFormatting>
  <conditionalFormatting sqref="F55:BA61">
    <cfRule type="expression" dxfId="4520" priority="124230">
      <formula>(F270="x")</formula>
    </cfRule>
  </conditionalFormatting>
  <conditionalFormatting sqref="F75:BA77">
    <cfRule type="expression" dxfId="4519" priority="124233">
      <formula>(F255="x")</formula>
    </cfRule>
  </conditionalFormatting>
  <conditionalFormatting sqref="F16:BA44">
    <cfRule type="expression" dxfId="4518" priority="124614">
      <formula>(F188="x")</formula>
    </cfRule>
    <cfRule type="expression" dxfId="4517" priority="124615">
      <formula>(F187="x")</formula>
    </cfRule>
  </conditionalFormatting>
  <conditionalFormatting sqref="F62:BA64">
    <cfRule type="expression" dxfId="4516" priority="124631">
      <formula>(F318="x")</formula>
    </cfRule>
  </conditionalFormatting>
  <conditionalFormatting sqref="F62:BA64">
    <cfRule type="expression" dxfId="4515" priority="124633">
      <formula>(F352="x")</formula>
    </cfRule>
    <cfRule type="expression" dxfId="4514" priority="124634">
      <formula>(F353="x")</formula>
    </cfRule>
  </conditionalFormatting>
  <conditionalFormatting sqref="F62:BA64">
    <cfRule type="expression" dxfId="4513" priority="124653">
      <formula>(F346="x")</formula>
    </cfRule>
    <cfRule type="expression" dxfId="4512" priority="124654">
      <formula>(F350="x")</formula>
    </cfRule>
  </conditionalFormatting>
  <conditionalFormatting sqref="F62:BA64">
    <cfRule type="expression" dxfId="4511" priority="124655">
      <formula>(F360="x")</formula>
    </cfRule>
    <cfRule type="expression" dxfId="4510" priority="124656">
      <formula>(F359="x")</formula>
    </cfRule>
    <cfRule type="expression" dxfId="4509" priority="124657">
      <formula>(F356="x")</formula>
    </cfRule>
    <cfRule type="expression" dxfId="4508" priority="124658">
      <formula>(F355="x")</formula>
    </cfRule>
    <cfRule type="expression" dxfId="4507" priority="124659">
      <formula>(F354="x")</formula>
    </cfRule>
  </conditionalFormatting>
  <conditionalFormatting sqref="F62:BA64">
    <cfRule type="expression" dxfId="4506" priority="124660">
      <formula>(F366="x")</formula>
    </cfRule>
    <cfRule type="expression" dxfId="4505" priority="124661">
      <formula>(F361="x")</formula>
    </cfRule>
    <cfRule type="expression" dxfId="4504" priority="124662">
      <formula>(F365="x")</formula>
    </cfRule>
    <cfRule type="expression" dxfId="4503" priority="124663">
      <formula>(F362="x")</formula>
    </cfRule>
    <cfRule type="expression" dxfId="4502" priority="124664">
      <formula>(F364="x")</formula>
    </cfRule>
    <cfRule type="expression" dxfId="4501" priority="124665">
      <formula>(F357="x")</formula>
    </cfRule>
    <cfRule type="expression" dxfId="4500" priority="124666">
      <formula>(F358="x")</formula>
    </cfRule>
  </conditionalFormatting>
  <conditionalFormatting sqref="F62:BA64">
    <cfRule type="expression" dxfId="4499" priority="124667">
      <formula>(F370="x")</formula>
    </cfRule>
    <cfRule type="expression" dxfId="4498" priority="124668">
      <formula>(F369="x")</formula>
    </cfRule>
  </conditionalFormatting>
  <conditionalFormatting sqref="F62:BA64">
    <cfRule type="expression" dxfId="4497" priority="124672">
      <formula>(F345="x")</formula>
    </cfRule>
    <cfRule type="expression" dxfId="4496" priority="124673">
      <formula>(F344="x")</formula>
    </cfRule>
  </conditionalFormatting>
  <conditionalFormatting sqref="F57:BA64">
    <cfRule type="expression" dxfId="4495" priority="124699">
      <formula>(F249="x")</formula>
    </cfRule>
  </conditionalFormatting>
  <conditionalFormatting sqref="F62:BA64">
    <cfRule type="expression" dxfId="4494" priority="124719">
      <formula>(F289="x")</formula>
    </cfRule>
    <cfRule type="expression" dxfId="4493" priority="124720">
      <formula>(F290="x")</formula>
    </cfRule>
  </conditionalFormatting>
  <conditionalFormatting sqref="F62:BA64">
    <cfRule type="expression" dxfId="4492" priority="124721">
      <formula>(F317="x")</formula>
    </cfRule>
    <cfRule type="expression" dxfId="4491" priority="124722">
      <formula>(F316="x")</formula>
    </cfRule>
    <cfRule type="expression" dxfId="4490" priority="124723">
      <formula>(F320="x")</formula>
    </cfRule>
    <cfRule type="expression" dxfId="4489" priority="124724">
      <formula>(F321="x")</formula>
    </cfRule>
    <cfRule type="expression" dxfId="4488" priority="124725">
      <formula>(F322="x")</formula>
    </cfRule>
    <cfRule type="expression" dxfId="4487" priority="124726">
      <formula>(F323="x")</formula>
    </cfRule>
    <cfRule type="expression" dxfId="4486" priority="124727">
      <formula>(F326="x")</formula>
    </cfRule>
    <cfRule type="expression" dxfId="4485" priority="124728">
      <formula>(F338="x")</formula>
    </cfRule>
    <cfRule type="expression" dxfId="4484" priority="124729">
      <formula>(F325="x")</formula>
    </cfRule>
    <cfRule type="expression" dxfId="4483" priority="124730">
      <formula>(F324="x")</formula>
    </cfRule>
    <cfRule type="expression" dxfId="4482" priority="124731">
      <formula>(F339="x")</formula>
    </cfRule>
    <cfRule type="expression" dxfId="4481" priority="124732">
      <formula>(F334="x")</formula>
    </cfRule>
    <cfRule type="expression" dxfId="4480" priority="124733">
      <formula>(F337="x")</formula>
    </cfRule>
    <cfRule type="expression" dxfId="4479" priority="124734">
      <formula>(F333="x")</formula>
    </cfRule>
    <cfRule type="expression" dxfId="4478" priority="124735">
      <formula>(F336="x")</formula>
    </cfRule>
    <cfRule type="expression" dxfId="4477" priority="124736">
      <formula>(F332="x")</formula>
    </cfRule>
    <cfRule type="expression" dxfId="4476" priority="124737">
      <formula>(F335="x")</formula>
    </cfRule>
    <cfRule type="expression" dxfId="4475" priority="124738">
      <formula>(F331="x")</formula>
    </cfRule>
    <cfRule type="expression" dxfId="4474" priority="124739">
      <formula>(F330="x")</formula>
    </cfRule>
    <cfRule type="expression" dxfId="4473" priority="124740">
      <formula>(F329="x")</formula>
    </cfRule>
    <cfRule type="expression" dxfId="4472" priority="124741">
      <formula>(F327="x")</formula>
    </cfRule>
    <cfRule type="expression" dxfId="4471" priority="124742">
      <formula>(F313="x")</formula>
    </cfRule>
    <cfRule type="expression" dxfId="4470" priority="124743">
      <formula>(F312="x")</formula>
    </cfRule>
  </conditionalFormatting>
  <conditionalFormatting sqref="F62:BA64">
    <cfRule type="expression" dxfId="4469" priority="124744">
      <formula>(F342="x")</formula>
    </cfRule>
    <cfRule type="expression" dxfId="4468" priority="124745">
      <formula>(F340="x")</formula>
    </cfRule>
  </conditionalFormatting>
  <conditionalFormatting sqref="F62:BA64">
    <cfRule type="expression" dxfId="4467" priority="124746">
      <formula>(F315="x")</formula>
    </cfRule>
    <cfRule type="expression" dxfId="4466" priority="124747">
      <formula>(F306="x")</formula>
    </cfRule>
    <cfRule type="expression" dxfId="4465" priority="124748">
      <formula>(F304="x")</formula>
    </cfRule>
    <cfRule type="expression" dxfId="4464" priority="124749">
      <formula>(F311="x")</formula>
    </cfRule>
    <cfRule type="expression" dxfId="4463" priority="124750">
      <formula>(F307="x")</formula>
    </cfRule>
    <cfRule type="expression" dxfId="4462" priority="124751">
      <formula>(F301="x")</formula>
    </cfRule>
  </conditionalFormatting>
  <conditionalFormatting sqref="F62:BA64">
    <cfRule type="expression" dxfId="4461" priority="124756">
      <formula>(F269="x")</formula>
    </cfRule>
    <cfRule type="expression" dxfId="4460" priority="124757">
      <formula>(F251="x")</formula>
    </cfRule>
    <cfRule type="expression" dxfId="4459" priority="124758">
      <formula>(F250="x")</formula>
    </cfRule>
    <cfRule type="expression" dxfId="4458" priority="124759">
      <formula>(F266="x")</formula>
    </cfRule>
    <cfRule type="expression" dxfId="4457" priority="124760">
      <formula>(F275="x")</formula>
    </cfRule>
  </conditionalFormatting>
  <conditionalFormatting sqref="F62:BA64">
    <cfRule type="expression" dxfId="4456" priority="124763">
      <formula>(F278="x")</formula>
    </cfRule>
    <cfRule type="expression" dxfId="4455" priority="124764">
      <formula>(F264="x")</formula>
    </cfRule>
  </conditionalFormatting>
  <conditionalFormatting sqref="F62:BA64">
    <cfRule type="expression" dxfId="4454" priority="124768">
      <formula>(F231="x")</formula>
    </cfRule>
    <cfRule type="expression" dxfId="4453" priority="124769">
      <formula>(F247="x")</formula>
    </cfRule>
    <cfRule type="expression" dxfId="4452" priority="124770">
      <formula>(F268="x")</formula>
    </cfRule>
    <cfRule type="expression" dxfId="4451" priority="124771">
      <formula>(F230="x")</formula>
    </cfRule>
    <cfRule type="expression" dxfId="4450" priority="124772">
      <formula>(F238="x")</formula>
    </cfRule>
    <cfRule type="expression" dxfId="4449" priority="124773">
      <formula>(F276="x")</formula>
    </cfRule>
    <cfRule type="expression" dxfId="4448" priority="124774">
      <formula>(F274="x")</formula>
    </cfRule>
    <cfRule type="expression" dxfId="4447" priority="124775">
      <formula>(F267="x")</formula>
    </cfRule>
    <cfRule type="expression" dxfId="4446" priority="124776">
      <formula>(F257="x")</formula>
    </cfRule>
  </conditionalFormatting>
  <conditionalFormatting sqref="F62:BA64">
    <cfRule type="expression" dxfId="4445" priority="124785">
      <formula>(F303="x")</formula>
    </cfRule>
    <cfRule type="expression" dxfId="4444" priority="124786">
      <formula>(F299="x")</formula>
    </cfRule>
    <cfRule type="expression" dxfId="4443" priority="124787">
      <formula>(F294="x")</formula>
    </cfRule>
    <cfRule type="expression" dxfId="4442" priority="124788">
      <formula>(F298="x")</formula>
    </cfRule>
    <cfRule type="expression" dxfId="4441" priority="124789">
      <formula>(F296="x")</formula>
    </cfRule>
    <cfRule type="expression" dxfId="4440" priority="124790">
      <formula>(F300="x")</formula>
    </cfRule>
    <cfRule type="expression" dxfId="4439" priority="124791">
      <formula>(F291="x")</formula>
    </cfRule>
    <cfRule type="expression" dxfId="4438" priority="124792">
      <formula>(F302="x")</formula>
    </cfRule>
    <cfRule type="expression" dxfId="4437" priority="124793">
      <formula>(F220="x")</formula>
    </cfRule>
  </conditionalFormatting>
  <conditionalFormatting sqref="F62:BA64">
    <cfRule type="expression" dxfId="4436" priority="124833">
      <formula>(F260="x")</formula>
    </cfRule>
    <cfRule type="expression" dxfId="4435" priority="124834">
      <formula>(F259="x")</formula>
    </cfRule>
  </conditionalFormatting>
  <conditionalFormatting sqref="F83:BA83">
    <cfRule type="expression" dxfId="4434" priority="124854">
      <formula>(F359="x")</formula>
    </cfRule>
  </conditionalFormatting>
  <conditionalFormatting sqref="F85:BA90 F78:BA78 F62:BA74 F80:BA80 F32:BA40 F13:BA13 F46:BA49 F17:BA29">
    <cfRule type="expression" dxfId="4433" priority="124884">
      <formula>(F200="x")</formula>
    </cfRule>
  </conditionalFormatting>
  <conditionalFormatting sqref="F69:BA70 F83:BA83 F78:BA80 F85:BA109 F50:BA51 F20:BA44 F46:BA47">
    <cfRule type="expression" dxfId="4432" priority="124892">
      <formula>(F187="x")</formula>
    </cfRule>
  </conditionalFormatting>
  <conditionalFormatting sqref="F62:BA64">
    <cfRule type="expression" dxfId="4431" priority="124895">
      <formula>(F253="x")</formula>
    </cfRule>
    <cfRule type="expression" dxfId="4430" priority="124896">
      <formula>(F255="x")</formula>
    </cfRule>
  </conditionalFormatting>
  <conditionalFormatting sqref="F62:BA64">
    <cfRule type="expression" dxfId="4429" priority="124899">
      <formula>(F288="x")</formula>
    </cfRule>
    <cfRule type="expression" dxfId="4428" priority="124900">
      <formula>(F292="x")</formula>
    </cfRule>
    <cfRule type="expression" dxfId="4427" priority="124901">
      <formula>(F218="x")</formula>
    </cfRule>
  </conditionalFormatting>
  <conditionalFormatting sqref="F62:BA64">
    <cfRule type="expression" dxfId="4426" priority="124902">
      <formula>(F242="x")</formula>
    </cfRule>
    <cfRule type="expression" dxfId="4425" priority="124903">
      <formula>(F262="x")</formula>
    </cfRule>
    <cfRule type="expression" dxfId="4424" priority="124904">
      <formula>(F280="x")</formula>
    </cfRule>
    <cfRule type="expression" dxfId="4423" priority="124905">
      <formula>(F239="x")</formula>
    </cfRule>
    <cfRule type="expression" dxfId="4422" priority="124906">
      <formula>(F272="x")</formula>
    </cfRule>
    <cfRule type="expression" dxfId="4421" priority="124907">
      <formula>(F286="x")</formula>
    </cfRule>
    <cfRule type="expression" dxfId="4420" priority="124908">
      <formula>(F284="x")</formula>
    </cfRule>
    <cfRule type="expression" dxfId="4419" priority="124909">
      <formula>(F282="x")</formula>
    </cfRule>
    <cfRule type="expression" dxfId="4418" priority="124910">
      <formula>(F271="x")</formula>
    </cfRule>
    <cfRule type="expression" dxfId="4417" priority="124911">
      <formula>(F270="x")</formula>
    </cfRule>
    <cfRule type="expression" dxfId="4416" priority="124912">
      <formula>(F265="x")</formula>
    </cfRule>
    <cfRule type="expression" dxfId="4415" priority="124913">
      <formula>(F233="x")</formula>
    </cfRule>
    <cfRule type="expression" dxfId="4414" priority="124914">
      <formula>(F232="x")</formula>
    </cfRule>
    <cfRule type="expression" dxfId="4413" priority="124915">
      <formula>(F227="x")</formula>
    </cfRule>
    <cfRule type="expression" dxfId="4412" priority="124916">
      <formula>(F263="x")</formula>
    </cfRule>
    <cfRule type="expression" dxfId="4411" priority="124917">
      <formula>(F223="x")</formula>
    </cfRule>
    <cfRule type="expression" dxfId="4410" priority="124918">
      <formula>(F246="x")</formula>
    </cfRule>
    <cfRule type="expression" dxfId="4409" priority="124919">
      <formula>(F236="x")</formula>
    </cfRule>
    <cfRule type="expression" dxfId="4408" priority="124920">
      <formula>(F234="x")</formula>
    </cfRule>
    <cfRule type="expression" dxfId="4407" priority="124921">
      <formula>(F228="x")</formula>
    </cfRule>
    <cfRule type="expression" dxfId="4406" priority="124922">
      <formula>(F252="x")</formula>
    </cfRule>
    <cfRule type="expression" dxfId="4405" priority="124923">
      <formula>(F240="x")</formula>
    </cfRule>
    <cfRule type="expression" dxfId="4404" priority="124924">
      <formula>(F277="x")</formula>
    </cfRule>
    <cfRule type="expression" dxfId="4403" priority="124925">
      <formula>(F237="x")</formula>
    </cfRule>
  </conditionalFormatting>
  <conditionalFormatting sqref="F62:BA64">
    <cfRule type="expression" dxfId="4402" priority="124926">
      <formula>(#REF!="x")</formula>
    </cfRule>
    <cfRule type="expression" dxfId="4401" priority="124927">
      <formula>(F224="x")</formula>
    </cfRule>
    <cfRule type="expression" dxfId="4400" priority="124928">
      <formula>(F222="x")</formula>
    </cfRule>
  </conditionalFormatting>
  <conditionalFormatting sqref="F62:BA64">
    <cfRule type="expression" dxfId="4399" priority="124929">
      <formula>(F229="x")</formula>
    </cfRule>
    <cfRule type="expression" dxfId="4398" priority="124930">
      <formula>(F207="x")</formula>
    </cfRule>
  </conditionalFormatting>
  <conditionalFormatting sqref="F92:BA95">
    <cfRule type="expression" dxfId="4397" priority="124933">
      <formula>(F231="x")</formula>
    </cfRule>
    <cfRule type="expression" dxfId="4396" priority="124934">
      <formula>(F230="x")</formula>
    </cfRule>
  </conditionalFormatting>
  <conditionalFormatting sqref="F64:BA64">
    <cfRule type="expression" dxfId="4395" priority="124936">
      <formula>(F188="x")</formula>
    </cfRule>
  </conditionalFormatting>
  <conditionalFormatting sqref="F62:BA64 F69:BA70 F75:BA77 F15:BA51 F12:BA13">
    <cfRule type="expression" dxfId="4394" priority="124949">
      <formula>(F198="x")</formula>
    </cfRule>
  </conditionalFormatting>
  <conditionalFormatting sqref="F14:BA44">
    <cfRule type="expression" dxfId="4393" priority="124959">
      <formula>(F342="x")</formula>
    </cfRule>
    <cfRule type="expression" dxfId="4392" priority="124960">
      <formula>(F346="x")</formula>
    </cfRule>
    <cfRule type="expression" dxfId="4391" priority="124961">
      <formula>(F341="x")</formula>
    </cfRule>
  </conditionalFormatting>
  <conditionalFormatting sqref="F12:BA44">
    <cfRule type="expression" dxfId="4390" priority="124962">
      <formula>(F338="x")</formula>
    </cfRule>
  </conditionalFormatting>
  <conditionalFormatting sqref="F69:BA70">
    <cfRule type="expression" dxfId="4389" priority="125088">
      <formula>(F382="x")</formula>
    </cfRule>
  </conditionalFormatting>
  <conditionalFormatting sqref="F52:BA61">
    <cfRule type="expression" dxfId="4388" priority="125221">
      <formula>(F306="x")</formula>
    </cfRule>
  </conditionalFormatting>
  <conditionalFormatting sqref="F71:BA74">
    <cfRule type="expression" dxfId="4387" priority="125223">
      <formula>(F360="x")</formula>
    </cfRule>
    <cfRule type="expression" dxfId="4386" priority="125224">
      <formula>(F364="x")</formula>
    </cfRule>
  </conditionalFormatting>
  <conditionalFormatting sqref="F52:BA52">
    <cfRule type="expression" dxfId="4385" priority="125237">
      <formula>(F362="x")</formula>
    </cfRule>
    <cfRule type="expression" dxfId="4384" priority="125238">
      <formula>(F361="x")</formula>
    </cfRule>
  </conditionalFormatting>
  <conditionalFormatting sqref="F71:BA74">
    <cfRule type="expression" dxfId="4383" priority="125241">
      <formula>(F359="x")</formula>
    </cfRule>
    <cfRule type="expression" dxfId="4382" priority="125242">
      <formula>(F358="x")</formula>
    </cfRule>
  </conditionalFormatting>
  <conditionalFormatting sqref="F14:BA44">
    <cfRule type="expression" dxfId="4381" priority="125246">
      <formula>(F258="x")</formula>
    </cfRule>
    <cfRule type="expression" dxfId="4380" priority="125247">
      <formula>(F259="x")</formula>
    </cfRule>
  </conditionalFormatting>
  <conditionalFormatting sqref="F71:BA74">
    <cfRule type="expression" dxfId="4379" priority="125248">
      <formula>(F331="x")</formula>
    </cfRule>
    <cfRule type="expression" dxfId="4378" priority="125249">
      <formula>(F330="x")</formula>
    </cfRule>
    <cfRule type="expression" dxfId="4377" priority="125250">
      <formula>(F334="x")</formula>
    </cfRule>
    <cfRule type="expression" dxfId="4376" priority="125251">
      <formula>(F335="x")</formula>
    </cfRule>
    <cfRule type="expression" dxfId="4375" priority="125252">
      <formula>(F336="x")</formula>
    </cfRule>
    <cfRule type="expression" dxfId="4374" priority="125253">
      <formula>(F337="x")</formula>
    </cfRule>
    <cfRule type="expression" dxfId="4373" priority="125254">
      <formula>(F340="x")</formula>
    </cfRule>
    <cfRule type="expression" dxfId="4372" priority="125255">
      <formula>(F352="x")</formula>
    </cfRule>
    <cfRule type="expression" dxfId="4371" priority="125256">
      <formula>(F339="x")</formula>
    </cfRule>
    <cfRule type="expression" dxfId="4370" priority="125257">
      <formula>(F338="x")</formula>
    </cfRule>
    <cfRule type="expression" dxfId="4369" priority="125258">
      <formula>(F353="x")</formula>
    </cfRule>
    <cfRule type="expression" dxfId="4368" priority="125259">
      <formula>(F348="x")</formula>
    </cfRule>
    <cfRule type="expression" dxfId="4367" priority="125260">
      <formula>(F351="x")</formula>
    </cfRule>
    <cfRule type="expression" dxfId="4366" priority="125261">
      <formula>(F347="x")</formula>
    </cfRule>
    <cfRule type="expression" dxfId="4365" priority="125262">
      <formula>(F350="x")</formula>
    </cfRule>
    <cfRule type="expression" dxfId="4364" priority="125263">
      <formula>(F346="x")</formula>
    </cfRule>
    <cfRule type="expression" dxfId="4363" priority="125264">
      <formula>(F349="x")</formula>
    </cfRule>
    <cfRule type="expression" dxfId="4362" priority="125265">
      <formula>(F345="x")</formula>
    </cfRule>
    <cfRule type="expression" dxfId="4361" priority="125266">
      <formula>(F344="x")</formula>
    </cfRule>
    <cfRule type="expression" dxfId="4360" priority="125267">
      <formula>(F343="x")</formula>
    </cfRule>
    <cfRule type="expression" dxfId="4359" priority="125268">
      <formula>(F341="x")</formula>
    </cfRule>
    <cfRule type="expression" dxfId="4358" priority="125269">
      <formula>(F327="x")</formula>
    </cfRule>
    <cfRule type="expression" dxfId="4357" priority="125270">
      <formula>(F326="x")</formula>
    </cfRule>
  </conditionalFormatting>
  <conditionalFormatting sqref="F71:BA74">
    <cfRule type="expression" dxfId="4356" priority="125271">
      <formula>(F356="x")</formula>
    </cfRule>
    <cfRule type="expression" dxfId="4355" priority="125272">
      <formula>(F354="x")</formula>
    </cfRule>
  </conditionalFormatting>
  <conditionalFormatting sqref="F71:BA74">
    <cfRule type="expression" dxfId="4354" priority="125273">
      <formula>(F329="x")</formula>
    </cfRule>
    <cfRule type="expression" dxfId="4353" priority="125274">
      <formula>(F320="x")</formula>
    </cfRule>
    <cfRule type="expression" dxfId="4352" priority="125275">
      <formula>(F318="x")</formula>
    </cfRule>
    <cfRule type="expression" dxfId="4351" priority="125276">
      <formula>(F325="x")</formula>
    </cfRule>
    <cfRule type="expression" dxfId="4350" priority="125277">
      <formula>(F321="x")</formula>
    </cfRule>
    <cfRule type="expression" dxfId="4349" priority="125278">
      <formula>(F315="x")</formula>
    </cfRule>
  </conditionalFormatting>
  <conditionalFormatting sqref="F71:BA74">
    <cfRule type="expression" dxfId="4348" priority="125279">
      <formula>(F283="x")</formula>
    </cfRule>
    <cfRule type="expression" dxfId="4347" priority="125280">
      <formula>(F265="x")</formula>
    </cfRule>
    <cfRule type="expression" dxfId="4346" priority="125281">
      <formula>(F264="x")</formula>
    </cfRule>
    <cfRule type="expression" dxfId="4345" priority="125282">
      <formula>(F280="x")</formula>
    </cfRule>
    <cfRule type="expression" dxfId="4344" priority="125283">
      <formula>(F289="x")</formula>
    </cfRule>
  </conditionalFormatting>
  <conditionalFormatting sqref="F71:BA74">
    <cfRule type="expression" dxfId="4343" priority="125284">
      <formula>(F292="x")</formula>
    </cfRule>
    <cfRule type="expression" dxfId="4342" priority="125285">
      <formula>(F278="x")</formula>
    </cfRule>
  </conditionalFormatting>
  <conditionalFormatting sqref="F71:BA74">
    <cfRule type="expression" dxfId="4341" priority="125286">
      <formula>(F245="x")</formula>
    </cfRule>
    <cfRule type="expression" dxfId="4340" priority="125287">
      <formula>(F261="x")</formula>
    </cfRule>
    <cfRule type="expression" dxfId="4339" priority="125288">
      <formula>(F282="x")</formula>
    </cfRule>
    <cfRule type="expression" dxfId="4338" priority="125289">
      <formula>(F244="x")</formula>
    </cfRule>
    <cfRule type="expression" dxfId="4337" priority="125290">
      <formula>(F252="x")</formula>
    </cfRule>
    <cfRule type="expression" dxfId="4336" priority="125291">
      <formula>(F290="x")</formula>
    </cfRule>
    <cfRule type="expression" dxfId="4335" priority="125292">
      <formula>(F288="x")</formula>
    </cfRule>
    <cfRule type="expression" dxfId="4334" priority="125293">
      <formula>(F281="x")</formula>
    </cfRule>
    <cfRule type="expression" dxfId="4333" priority="125294">
      <formula>(F271="x")</formula>
    </cfRule>
  </conditionalFormatting>
  <conditionalFormatting sqref="F71:BA74">
    <cfRule type="expression" dxfId="4332" priority="125295">
      <formula>(F317="x")</formula>
    </cfRule>
    <cfRule type="expression" dxfId="4331" priority="125296">
      <formula>(F313="x")</formula>
    </cfRule>
    <cfRule type="expression" dxfId="4330" priority="125297">
      <formula>(F308="x")</formula>
    </cfRule>
    <cfRule type="expression" dxfId="4329" priority="125298">
      <formula>(F312="x")</formula>
    </cfRule>
    <cfRule type="expression" dxfId="4328" priority="125299">
      <formula>(F310="x")</formula>
    </cfRule>
    <cfRule type="expression" dxfId="4327" priority="125300">
      <formula>(F314="x")</formula>
    </cfRule>
    <cfRule type="expression" dxfId="4326" priority="125301">
      <formula>(F305="x")</formula>
    </cfRule>
    <cfRule type="expression" dxfId="4325" priority="125302">
      <formula>(F316="x")</formula>
    </cfRule>
    <cfRule type="expression" dxfId="4324" priority="125303">
      <formula>(F234="x")</formula>
    </cfRule>
  </conditionalFormatting>
  <conditionalFormatting sqref="F71:BA74">
    <cfRule type="expression" dxfId="4323" priority="125307">
      <formula>(F267="x")</formula>
    </cfRule>
    <cfRule type="expression" dxfId="4322" priority="125308">
      <formula>(F269="x")</formula>
    </cfRule>
  </conditionalFormatting>
  <conditionalFormatting sqref="F104:BA104 F96:BA102 F16:BA44 F48:BA54 F11:BA13">
    <cfRule type="expression" dxfId="4321" priority="125309">
      <formula>(F187="x")</formula>
    </cfRule>
  </conditionalFormatting>
  <conditionalFormatting sqref="F71:BA74">
    <cfRule type="expression" dxfId="4320" priority="125311">
      <formula>(F302="x")</formula>
    </cfRule>
    <cfRule type="expression" dxfId="4319" priority="125312">
      <formula>(F306="x")</formula>
    </cfRule>
    <cfRule type="expression" dxfId="4318" priority="125313">
      <formula>(F232="x")</formula>
    </cfRule>
  </conditionalFormatting>
  <conditionalFormatting sqref="F71:BA74">
    <cfRule type="expression" dxfId="4317" priority="125314">
      <formula>(F256="x")</formula>
    </cfRule>
    <cfRule type="expression" dxfId="4316" priority="125315">
      <formula>(F276="x")</formula>
    </cfRule>
    <cfRule type="expression" dxfId="4315" priority="125316">
      <formula>(F294="x")</formula>
    </cfRule>
    <cfRule type="expression" dxfId="4314" priority="125317">
      <formula>(F253="x")</formula>
    </cfRule>
    <cfRule type="expression" dxfId="4313" priority="125318">
      <formula>(F286="x")</formula>
    </cfRule>
    <cfRule type="expression" dxfId="4312" priority="125319">
      <formula>(F300="x")</formula>
    </cfRule>
    <cfRule type="expression" dxfId="4311" priority="125320">
      <formula>(F298="x")</formula>
    </cfRule>
    <cfRule type="expression" dxfId="4310" priority="125321">
      <formula>(F296="x")</formula>
    </cfRule>
    <cfRule type="expression" dxfId="4309" priority="125322">
      <formula>(F285="x")</formula>
    </cfRule>
    <cfRule type="expression" dxfId="4308" priority="125323">
      <formula>(F284="x")</formula>
    </cfRule>
    <cfRule type="expression" dxfId="4307" priority="125324">
      <formula>(F279="x")</formula>
    </cfRule>
    <cfRule type="expression" dxfId="4306" priority="125325">
      <formula>(F247="x")</formula>
    </cfRule>
    <cfRule type="expression" dxfId="4305" priority="125326">
      <formula>(F246="x")</formula>
    </cfRule>
    <cfRule type="expression" dxfId="4304" priority="125327">
      <formula>(F241="x")</formula>
    </cfRule>
    <cfRule type="expression" dxfId="4303" priority="125328">
      <formula>(F277="x")</formula>
    </cfRule>
    <cfRule type="expression" dxfId="4302" priority="125329">
      <formula>(F237="x")</formula>
    </cfRule>
    <cfRule type="expression" dxfId="4301" priority="125330">
      <formula>(F260="x")</formula>
    </cfRule>
    <cfRule type="expression" dxfId="4300" priority="125331">
      <formula>(F250="x")</formula>
    </cfRule>
    <cfRule type="expression" dxfId="4299" priority="125332">
      <formula>(F248="x")</formula>
    </cfRule>
    <cfRule type="expression" dxfId="4298" priority="125333">
      <formula>(F242="x")</formula>
    </cfRule>
    <cfRule type="expression" dxfId="4297" priority="125334">
      <formula>(F266="x")</formula>
    </cfRule>
    <cfRule type="expression" dxfId="4296" priority="125335">
      <formula>(F254="x")</formula>
    </cfRule>
    <cfRule type="expression" dxfId="4295" priority="125336">
      <formula>(F291="x")</formula>
    </cfRule>
    <cfRule type="expression" dxfId="4294" priority="125337">
      <formula>(F251="x")</formula>
    </cfRule>
  </conditionalFormatting>
  <conditionalFormatting sqref="F71:BA74">
    <cfRule type="expression" dxfId="4293" priority="125338">
      <formula>(#REF!="x")</formula>
    </cfRule>
    <cfRule type="expression" dxfId="4292" priority="125339">
      <formula>(F238="x")</formula>
    </cfRule>
    <cfRule type="expression" dxfId="4291" priority="125340">
      <formula>(F236="x")</formula>
    </cfRule>
  </conditionalFormatting>
  <conditionalFormatting sqref="F17:BA44">
    <cfRule type="expression" dxfId="4290" priority="125359">
      <formula>(F360="x")</formula>
    </cfRule>
    <cfRule type="expression" dxfId="4289" priority="125360">
      <formula>(F361="x")</formula>
    </cfRule>
  </conditionalFormatting>
  <conditionalFormatting sqref="F17:BA44">
    <cfRule type="expression" dxfId="4288" priority="125364">
      <formula>(F379="x")</formula>
    </cfRule>
  </conditionalFormatting>
  <conditionalFormatting sqref="F17:BA44">
    <cfRule type="expression" dxfId="4287" priority="125368">
      <formula>(F376="x")</formula>
    </cfRule>
  </conditionalFormatting>
  <conditionalFormatting sqref="F17:BA44">
    <cfRule type="expression" dxfId="4286" priority="125376">
      <formula>(F359="x")</formula>
    </cfRule>
  </conditionalFormatting>
  <conditionalFormatting sqref="F17:BA44">
    <cfRule type="expression" dxfId="4285" priority="125379">
      <formula>(F354="x")</formula>
    </cfRule>
    <cfRule type="expression" dxfId="4284" priority="125380">
      <formula>(F358="x")</formula>
    </cfRule>
  </conditionalFormatting>
  <conditionalFormatting sqref="F17:BA44">
    <cfRule type="expression" dxfId="4283" priority="125386">
      <formula>(F368="x")</formula>
    </cfRule>
    <cfRule type="expression" dxfId="4282" priority="125387">
      <formula>(F367="x")</formula>
    </cfRule>
    <cfRule type="expression" dxfId="4281" priority="125388">
      <formula>(F364="x")</formula>
    </cfRule>
    <cfRule type="expression" dxfId="4280" priority="125389">
      <formula>(F363="x")</formula>
    </cfRule>
    <cfRule type="expression" dxfId="4279" priority="125390">
      <formula>(F362="x")</formula>
    </cfRule>
  </conditionalFormatting>
  <conditionalFormatting sqref="F17:BA44">
    <cfRule type="expression" dxfId="4278" priority="125398">
      <formula>(F374="x")</formula>
    </cfRule>
    <cfRule type="expression" dxfId="4277" priority="125399">
      <formula>(F369="x")</formula>
    </cfRule>
    <cfRule type="expression" dxfId="4276" priority="125400">
      <formula>(F373="x")</formula>
    </cfRule>
    <cfRule type="expression" dxfId="4275" priority="125401">
      <formula>(F370="x")</formula>
    </cfRule>
    <cfRule type="expression" dxfId="4274" priority="125402">
      <formula>(F372="x")</formula>
    </cfRule>
    <cfRule type="expression" dxfId="4273" priority="125403">
      <formula>(F365="x")</formula>
    </cfRule>
    <cfRule type="expression" dxfId="4272" priority="125404">
      <formula>(F366="x")</formula>
    </cfRule>
  </conditionalFormatting>
  <conditionalFormatting sqref="F17:BA44">
    <cfRule type="expression" dxfId="4271" priority="125407">
      <formula>(F378="x")</formula>
    </cfRule>
    <cfRule type="expression" dxfId="4270" priority="125408">
      <formula>(F377="x")</formula>
    </cfRule>
  </conditionalFormatting>
  <conditionalFormatting sqref="F17:BA44">
    <cfRule type="expression" dxfId="4269" priority="125413">
      <formula>(F353="x")</formula>
    </cfRule>
    <cfRule type="expression" dxfId="4268" priority="125414">
      <formula>(F352="x")</formula>
    </cfRule>
  </conditionalFormatting>
  <conditionalFormatting sqref="F17:BA44">
    <cfRule type="expression" dxfId="4267" priority="125418">
      <formula>(F356="x")</formula>
    </cfRule>
  </conditionalFormatting>
  <conditionalFormatting sqref="F45:BA45">
    <cfRule type="expression" dxfId="4266" priority="125431">
      <formula>(F322="x")</formula>
    </cfRule>
    <cfRule type="expression" dxfId="4265" priority="125432">
      <formula>(F323="x")</formula>
    </cfRule>
  </conditionalFormatting>
  <conditionalFormatting sqref="F17:BA44">
    <cfRule type="expression" dxfId="4264" priority="125456">
      <formula>(F325="x")</formula>
    </cfRule>
    <cfRule type="expression" dxfId="4263" priority="125457">
      <formula>(F324="x")</formula>
    </cfRule>
    <cfRule type="expression" dxfId="4262" priority="125458">
      <formula>(F328="x")</formula>
    </cfRule>
    <cfRule type="expression" dxfId="4261" priority="125459">
      <formula>(F329="x")</formula>
    </cfRule>
    <cfRule type="expression" dxfId="4260" priority="125460">
      <formula>(F330="x")</formula>
    </cfRule>
    <cfRule type="expression" dxfId="4259" priority="125461">
      <formula>(F331="x")</formula>
    </cfRule>
    <cfRule type="expression" dxfId="4258" priority="125462">
      <formula>(F334="x")</formula>
    </cfRule>
    <cfRule type="expression" dxfId="4257" priority="125463">
      <formula>(F346="x")</formula>
    </cfRule>
    <cfRule type="expression" dxfId="4256" priority="125464">
      <formula>(F333="x")</formula>
    </cfRule>
    <cfRule type="expression" dxfId="4255" priority="125465">
      <formula>(F332="x")</formula>
    </cfRule>
    <cfRule type="expression" dxfId="4254" priority="125466">
      <formula>(F347="x")</formula>
    </cfRule>
    <cfRule type="expression" dxfId="4253" priority="125467">
      <formula>(F342="x")</formula>
    </cfRule>
    <cfRule type="expression" dxfId="4252" priority="125468">
      <formula>(F345="x")</formula>
    </cfRule>
    <cfRule type="expression" dxfId="4251" priority="125469">
      <formula>(F341="x")</formula>
    </cfRule>
    <cfRule type="expression" dxfId="4250" priority="125470">
      <formula>(F344="x")</formula>
    </cfRule>
    <cfRule type="expression" dxfId="4249" priority="125471">
      <formula>(F340="x")</formula>
    </cfRule>
    <cfRule type="expression" dxfId="4248" priority="125472">
      <formula>(F343="x")</formula>
    </cfRule>
    <cfRule type="expression" dxfId="4247" priority="125473">
      <formula>(F339="x")</formula>
    </cfRule>
    <cfRule type="expression" dxfId="4246" priority="125474">
      <formula>(F338="x")</formula>
    </cfRule>
    <cfRule type="expression" dxfId="4245" priority="125475">
      <formula>(F337="x")</formula>
    </cfRule>
    <cfRule type="expression" dxfId="4244" priority="125476">
      <formula>(F335="x")</formula>
    </cfRule>
    <cfRule type="expression" dxfId="4243" priority="125477">
      <formula>(F321="x")</formula>
    </cfRule>
    <cfRule type="expression" dxfId="4242" priority="125478">
      <formula>(F320="x")</formula>
    </cfRule>
  </conditionalFormatting>
  <conditionalFormatting sqref="F17:BA44">
    <cfRule type="expression" dxfId="4241" priority="125481">
      <formula>(F350="x")</formula>
    </cfRule>
    <cfRule type="expression" dxfId="4240" priority="125482">
      <formula>(F348="x")</formula>
    </cfRule>
  </conditionalFormatting>
  <conditionalFormatting sqref="F17:BA44">
    <cfRule type="expression" dxfId="4239" priority="125489">
      <formula>(F323="x")</formula>
    </cfRule>
    <cfRule type="expression" dxfId="4238" priority="125490">
      <formula>(F314="x")</formula>
    </cfRule>
    <cfRule type="expression" dxfId="4237" priority="125491">
      <formula>(F312="x")</formula>
    </cfRule>
    <cfRule type="expression" dxfId="4236" priority="125492">
      <formula>(F319="x")</formula>
    </cfRule>
    <cfRule type="expression" dxfId="4235" priority="125493">
      <formula>(F315="x")</formula>
    </cfRule>
    <cfRule type="expression" dxfId="4234" priority="125494">
      <formula>(F309="x")</formula>
    </cfRule>
  </conditionalFormatting>
  <conditionalFormatting sqref="F17:BA44">
    <cfRule type="expression" dxfId="4233" priority="125500">
      <formula>(F277="x")</formula>
    </cfRule>
    <cfRule type="expression" dxfId="4232" priority="125501">
      <formula>(F259="x")</formula>
    </cfRule>
    <cfRule type="expression" dxfId="4231" priority="125502">
      <formula>(F258="x")</formula>
    </cfRule>
    <cfRule type="expression" dxfId="4230" priority="125503">
      <formula>(F274="x")</formula>
    </cfRule>
    <cfRule type="expression" dxfId="4229" priority="125504">
      <formula>(F283="x")</formula>
    </cfRule>
  </conditionalFormatting>
  <conditionalFormatting sqref="F17:BA44">
    <cfRule type="expression" dxfId="4228" priority="125507">
      <formula>(F286="x")</formula>
    </cfRule>
    <cfRule type="expression" dxfId="4227" priority="125508">
      <formula>(F272="x")</formula>
    </cfRule>
  </conditionalFormatting>
  <conditionalFormatting sqref="F17:BA44">
    <cfRule type="expression" dxfId="4226" priority="125520">
      <formula>(F239="x")</formula>
    </cfRule>
    <cfRule type="expression" dxfId="4225" priority="125521">
      <formula>(F255="x")</formula>
    </cfRule>
    <cfRule type="expression" dxfId="4224" priority="125522">
      <formula>(F276="x")</formula>
    </cfRule>
    <cfRule type="expression" dxfId="4223" priority="125523">
      <formula>(F238="x")</formula>
    </cfRule>
    <cfRule type="expression" dxfId="4222" priority="125524">
      <formula>(F246="x")</formula>
    </cfRule>
    <cfRule type="expression" dxfId="4221" priority="125525">
      <formula>(F284="x")</formula>
    </cfRule>
    <cfRule type="expression" dxfId="4220" priority="125526">
      <formula>(F282="x")</formula>
    </cfRule>
    <cfRule type="expression" dxfId="4219" priority="125527">
      <formula>(F275="x")</formula>
    </cfRule>
    <cfRule type="expression" dxfId="4218" priority="125528">
      <formula>(F265="x")</formula>
    </cfRule>
  </conditionalFormatting>
  <conditionalFormatting sqref="F17:BA44">
    <cfRule type="expression" dxfId="4217" priority="125542">
      <formula>(F311="x")</formula>
    </cfRule>
    <cfRule type="expression" dxfId="4216" priority="125543">
      <formula>(F307="x")</formula>
    </cfRule>
    <cfRule type="expression" dxfId="4215" priority="125544">
      <formula>(F302="x")</formula>
    </cfRule>
    <cfRule type="expression" dxfId="4214" priority="125545">
      <formula>(F306="x")</formula>
    </cfRule>
    <cfRule type="expression" dxfId="4213" priority="125546">
      <formula>(F304="x")</formula>
    </cfRule>
    <cfRule type="expression" dxfId="4212" priority="125547">
      <formula>(F308="x")</formula>
    </cfRule>
    <cfRule type="expression" dxfId="4211" priority="125548">
      <formula>(F299="x")</formula>
    </cfRule>
    <cfRule type="expression" dxfId="4210" priority="125549">
      <formula>(F310="x")</formula>
    </cfRule>
    <cfRule type="expression" dxfId="4209" priority="125550">
      <formula>(F228="x")</formula>
    </cfRule>
  </conditionalFormatting>
  <conditionalFormatting sqref="F17:BA44">
    <cfRule type="expression" dxfId="4208" priority="125587">
      <formula>(F268="x")</formula>
    </cfRule>
    <cfRule type="expression" dxfId="4207" priority="125588">
      <formula>(F267="x")</formula>
    </cfRule>
  </conditionalFormatting>
  <conditionalFormatting sqref="F17:BA44">
    <cfRule type="expression" dxfId="4206" priority="125641">
      <formula>(F261="x")</formula>
    </cfRule>
    <cfRule type="expression" dxfId="4205" priority="125642">
      <formula>(F263="x")</formula>
    </cfRule>
  </conditionalFormatting>
  <conditionalFormatting sqref="F17:BA44">
    <cfRule type="expression" dxfId="4204" priority="125650">
      <formula>(F296="x")</formula>
    </cfRule>
    <cfRule type="expression" dxfId="4203" priority="125651">
      <formula>(F300="x")</formula>
    </cfRule>
    <cfRule type="expression" dxfId="4202" priority="125652">
      <formula>(F226="x")</formula>
    </cfRule>
  </conditionalFormatting>
  <conditionalFormatting sqref="F17:BA44">
    <cfRule type="expression" dxfId="4201" priority="125677">
      <formula>(F250="x")</formula>
    </cfRule>
    <cfRule type="expression" dxfId="4200" priority="125678">
      <formula>(F270="x")</formula>
    </cfRule>
    <cfRule type="expression" dxfId="4199" priority="125679">
      <formula>(F288="x")</formula>
    </cfRule>
    <cfRule type="expression" dxfId="4198" priority="125680">
      <formula>(F247="x")</formula>
    </cfRule>
    <cfRule type="expression" dxfId="4197" priority="125681">
      <formula>(F280="x")</formula>
    </cfRule>
    <cfRule type="expression" dxfId="4196" priority="125682">
      <formula>(F294="x")</formula>
    </cfRule>
    <cfRule type="expression" dxfId="4195" priority="125683">
      <formula>(F292="x")</formula>
    </cfRule>
    <cfRule type="expression" dxfId="4194" priority="125684">
      <formula>(F290="x")</formula>
    </cfRule>
    <cfRule type="expression" dxfId="4193" priority="125685">
      <formula>(F279="x")</formula>
    </cfRule>
    <cfRule type="expression" dxfId="4192" priority="125686">
      <formula>(F278="x")</formula>
    </cfRule>
    <cfRule type="expression" dxfId="4191" priority="125687">
      <formula>(F273="x")</formula>
    </cfRule>
    <cfRule type="expression" dxfId="4190" priority="125688">
      <formula>(F241="x")</formula>
    </cfRule>
    <cfRule type="expression" dxfId="4189" priority="125689">
      <formula>(F240="x")</formula>
    </cfRule>
    <cfRule type="expression" dxfId="4188" priority="125690">
      <formula>(F235="x")</formula>
    </cfRule>
    <cfRule type="expression" dxfId="4187" priority="125691">
      <formula>(F271="x")</formula>
    </cfRule>
    <cfRule type="expression" dxfId="4186" priority="125692">
      <formula>(F231="x")</formula>
    </cfRule>
    <cfRule type="expression" dxfId="4185" priority="125693">
      <formula>(F254="x")</formula>
    </cfRule>
    <cfRule type="expression" dxfId="4184" priority="125694">
      <formula>(F244="x")</formula>
    </cfRule>
    <cfRule type="expression" dxfId="4183" priority="125695">
      <formula>(F242="x")</formula>
    </cfRule>
    <cfRule type="expression" dxfId="4182" priority="125696">
      <formula>(F236="x")</formula>
    </cfRule>
    <cfRule type="expression" dxfId="4181" priority="125697">
      <formula>(F260="x")</formula>
    </cfRule>
    <cfRule type="expression" dxfId="4180" priority="125698">
      <formula>(F248="x")</formula>
    </cfRule>
    <cfRule type="expression" dxfId="4179" priority="125699">
      <formula>(F285="x")</formula>
    </cfRule>
    <cfRule type="expression" dxfId="4178" priority="125700">
      <formula>(F245="x")</formula>
    </cfRule>
  </conditionalFormatting>
  <conditionalFormatting sqref="F17:BA44">
    <cfRule type="expression" dxfId="4177" priority="125704">
      <formula>(#REF!="x")</formula>
    </cfRule>
    <cfRule type="expression" dxfId="4176" priority="125705">
      <formula>(F232="x")</formula>
    </cfRule>
    <cfRule type="expression" dxfId="4175" priority="125706">
      <formula>(F230="x")</formula>
    </cfRule>
  </conditionalFormatting>
  <conditionalFormatting sqref="F17:BA44">
    <cfRule type="expression" dxfId="4174" priority="125709">
      <formula>(F237="x")</formula>
    </cfRule>
    <cfRule type="expression" dxfId="4173" priority="125710">
      <formula>(F215="x")</formula>
    </cfRule>
  </conditionalFormatting>
  <conditionalFormatting sqref="F17:BA44">
    <cfRule type="expression" dxfId="4172" priority="125717">
      <formula>(F208="x")</formula>
    </cfRule>
    <cfRule type="expression" dxfId="4171" priority="125718">
      <formula>(F207="x")</formula>
    </cfRule>
  </conditionalFormatting>
  <conditionalFormatting sqref="F17:BA44">
    <cfRule type="expression" dxfId="4170" priority="125725">
      <formula>(F193="x")</formula>
    </cfRule>
    <cfRule type="expression" dxfId="4169" priority="125726">
      <formula>(F192="x")</formula>
    </cfRule>
  </conditionalFormatting>
  <conditionalFormatting sqref="F17:BA44">
    <cfRule type="expression" dxfId="4168" priority="125729">
      <formula>(F251="x")</formula>
    </cfRule>
    <cfRule type="expression" dxfId="4167" priority="125730">
      <formula>(F190="x")</formula>
    </cfRule>
  </conditionalFormatting>
  <conditionalFormatting sqref="F65:BA68">
    <cfRule type="expression" dxfId="4166" priority="125733">
      <formula>(F332="x")</formula>
    </cfRule>
  </conditionalFormatting>
  <conditionalFormatting sqref="F75:BA77 F69:BA70 F50:BA51 F10:BA44">
    <cfRule type="expression" dxfId="4165" priority="125745">
      <formula>(F260="x")</formula>
    </cfRule>
  </conditionalFormatting>
  <conditionalFormatting sqref="F62:BA68">
    <cfRule type="expression" dxfId="4164" priority="125750">
      <formula>(F319="x")</formula>
    </cfRule>
  </conditionalFormatting>
  <conditionalFormatting sqref="F65:BA68">
    <cfRule type="expression" dxfId="4163" priority="125752">
      <formula>(F356="x")</formula>
    </cfRule>
    <cfRule type="expression" dxfId="4162" priority="125753">
      <formula>(F357="x")</formula>
    </cfRule>
  </conditionalFormatting>
  <conditionalFormatting sqref="F65:BA68">
    <cfRule type="expression" dxfId="4161" priority="125771">
      <formula>(F355="x")</formula>
    </cfRule>
  </conditionalFormatting>
  <conditionalFormatting sqref="F65:BA68">
    <cfRule type="expression" dxfId="4160" priority="125773">
      <formula>(F350="x")</formula>
    </cfRule>
    <cfRule type="expression" dxfId="4159" priority="125774">
      <formula>(F354="x")</formula>
    </cfRule>
  </conditionalFormatting>
  <conditionalFormatting sqref="F65:BA68">
    <cfRule type="expression" dxfId="4158" priority="125775">
      <formula>(F364="x")</formula>
    </cfRule>
    <cfRule type="expression" dxfId="4157" priority="125776">
      <formula>(F363="x")</formula>
    </cfRule>
    <cfRule type="expression" dxfId="4156" priority="125777">
      <formula>(F360="x")</formula>
    </cfRule>
    <cfRule type="expression" dxfId="4155" priority="125778">
      <formula>(F359="x")</formula>
    </cfRule>
    <cfRule type="expression" dxfId="4154" priority="125779">
      <formula>(F358="x")</formula>
    </cfRule>
  </conditionalFormatting>
  <conditionalFormatting sqref="F65:BA68">
    <cfRule type="expression" dxfId="4153" priority="125780">
      <formula>(F370="x")</formula>
    </cfRule>
    <cfRule type="expression" dxfId="4152" priority="125781">
      <formula>(F365="x")</formula>
    </cfRule>
    <cfRule type="expression" dxfId="4151" priority="125782">
      <formula>(F369="x")</formula>
    </cfRule>
    <cfRule type="expression" dxfId="4150" priority="125783">
      <formula>(F366="x")</formula>
    </cfRule>
    <cfRule type="expression" dxfId="4149" priority="125784">
      <formula>(F368="x")</formula>
    </cfRule>
    <cfRule type="expression" dxfId="4148" priority="125785">
      <formula>(F361="x")</formula>
    </cfRule>
    <cfRule type="expression" dxfId="4147" priority="125786">
      <formula>(F362="x")</formula>
    </cfRule>
  </conditionalFormatting>
  <conditionalFormatting sqref="F65:BA68">
    <cfRule type="expression" dxfId="4146" priority="125793">
      <formula>(F349="x")</formula>
    </cfRule>
    <cfRule type="expression" dxfId="4145" priority="125794">
      <formula>(F348="x")</formula>
    </cfRule>
  </conditionalFormatting>
  <conditionalFormatting sqref="F65:BA68">
    <cfRule type="expression" dxfId="4144" priority="125821">
      <formula>(F258="x")</formula>
    </cfRule>
  </conditionalFormatting>
  <conditionalFormatting sqref="F65:BA68">
    <cfRule type="expression" dxfId="4143" priority="125836">
      <formula>(F309="x")</formula>
    </cfRule>
  </conditionalFormatting>
  <conditionalFormatting sqref="F65:BA68">
    <cfRule type="expression" dxfId="4142" priority="125847">
      <formula>(F293="x")</formula>
    </cfRule>
    <cfRule type="expression" dxfId="4141" priority="125848">
      <formula>(F294="x")</formula>
    </cfRule>
  </conditionalFormatting>
  <conditionalFormatting sqref="F65:BA68">
    <cfRule type="expression" dxfId="4140" priority="125849">
      <formula>(F321="x")</formula>
    </cfRule>
    <cfRule type="expression" dxfId="4139" priority="125850">
      <formula>(F320="x")</formula>
    </cfRule>
    <cfRule type="expression" dxfId="4138" priority="125851">
      <formula>(F324="x")</formula>
    </cfRule>
    <cfRule type="expression" dxfId="4137" priority="125852">
      <formula>(F325="x")</formula>
    </cfRule>
    <cfRule type="expression" dxfId="4136" priority="125853">
      <formula>(F326="x")</formula>
    </cfRule>
    <cfRule type="expression" dxfId="4135" priority="125854">
      <formula>(F327="x")</formula>
    </cfRule>
    <cfRule type="expression" dxfId="4134" priority="125855">
      <formula>(F330="x")</formula>
    </cfRule>
    <cfRule type="expression" dxfId="4133" priority="125856">
      <formula>(F342="x")</formula>
    </cfRule>
    <cfRule type="expression" dxfId="4132" priority="125857">
      <formula>(F329="x")</formula>
    </cfRule>
    <cfRule type="expression" dxfId="4131" priority="125858">
      <formula>(F328="x")</formula>
    </cfRule>
    <cfRule type="expression" dxfId="4130" priority="125859">
      <formula>(F343="x")</formula>
    </cfRule>
    <cfRule type="expression" dxfId="4129" priority="125860">
      <formula>(F338="x")</formula>
    </cfRule>
    <cfRule type="expression" dxfId="4128" priority="125861">
      <formula>(F341="x")</formula>
    </cfRule>
    <cfRule type="expression" dxfId="4127" priority="125862">
      <formula>(F337="x")</formula>
    </cfRule>
    <cfRule type="expression" dxfId="4126" priority="125863">
      <formula>(F340="x")</formula>
    </cfRule>
    <cfRule type="expression" dxfId="4125" priority="125864">
      <formula>(F336="x")</formula>
    </cfRule>
    <cfRule type="expression" dxfId="4124" priority="125865">
      <formula>(F339="x")</formula>
    </cfRule>
    <cfRule type="expression" dxfId="4123" priority="125866">
      <formula>(F335="x")</formula>
    </cfRule>
    <cfRule type="expression" dxfId="4122" priority="125867">
      <formula>(F334="x")</formula>
    </cfRule>
    <cfRule type="expression" dxfId="4121" priority="125868">
      <formula>(F333="x")</formula>
    </cfRule>
    <cfRule type="expression" dxfId="4120" priority="125869">
      <formula>(F331="x")</formula>
    </cfRule>
    <cfRule type="expression" dxfId="4119" priority="125870">
      <formula>(F317="x")</formula>
    </cfRule>
    <cfRule type="expression" dxfId="4118" priority="125871">
      <formula>(F316="x")</formula>
    </cfRule>
  </conditionalFormatting>
  <conditionalFormatting sqref="F65:BA68">
    <cfRule type="expression" dxfId="4117" priority="125872">
      <formula>(F346="x")</formula>
    </cfRule>
    <cfRule type="expression" dxfId="4116" priority="125873">
      <formula>(F344="x")</formula>
    </cfRule>
  </conditionalFormatting>
  <conditionalFormatting sqref="F65:BA68">
    <cfRule type="expression" dxfId="4115" priority="125874">
      <formula>(F319="x")</formula>
    </cfRule>
    <cfRule type="expression" dxfId="4114" priority="125875">
      <formula>(F310="x")</formula>
    </cfRule>
    <cfRule type="expression" dxfId="4113" priority="125876">
      <formula>(F308="x")</formula>
    </cfRule>
    <cfRule type="expression" dxfId="4112" priority="125877">
      <formula>(F315="x")</formula>
    </cfRule>
    <cfRule type="expression" dxfId="4111" priority="125878">
      <formula>(F311="x")</formula>
    </cfRule>
    <cfRule type="expression" dxfId="4110" priority="125879">
      <formula>(F305="x")</formula>
    </cfRule>
  </conditionalFormatting>
  <conditionalFormatting sqref="F65:BA68">
    <cfRule type="expression" dxfId="4109" priority="125880">
      <formula>(F273="x")</formula>
    </cfRule>
    <cfRule type="expression" dxfId="4108" priority="125881">
      <formula>(F255="x")</formula>
    </cfRule>
    <cfRule type="expression" dxfId="4107" priority="125882">
      <formula>(F254="x")</formula>
    </cfRule>
    <cfRule type="expression" dxfId="4106" priority="125883">
      <formula>(F270="x")</formula>
    </cfRule>
    <cfRule type="expression" dxfId="4105" priority="125884">
      <formula>(F279="x")</formula>
    </cfRule>
  </conditionalFormatting>
  <conditionalFormatting sqref="F65:BA68">
    <cfRule type="expression" dxfId="4104" priority="125887">
      <formula>(F282="x")</formula>
    </cfRule>
    <cfRule type="expression" dxfId="4103" priority="125888">
      <formula>(F268="x")</formula>
    </cfRule>
  </conditionalFormatting>
  <conditionalFormatting sqref="F65:BA68">
    <cfRule type="expression" dxfId="4102" priority="125891">
      <formula>(F235="x")</formula>
    </cfRule>
    <cfRule type="expression" dxfId="4101" priority="125892">
      <formula>(F251="x")</formula>
    </cfRule>
    <cfRule type="expression" dxfId="4100" priority="125893">
      <formula>(F272="x")</formula>
    </cfRule>
    <cfRule type="expression" dxfId="4099" priority="125894">
      <formula>(F234="x")</formula>
    </cfRule>
    <cfRule type="expression" dxfId="4098" priority="125895">
      <formula>(F242="x")</formula>
    </cfRule>
    <cfRule type="expression" dxfId="4097" priority="125896">
      <formula>(F280="x")</formula>
    </cfRule>
    <cfRule type="expression" dxfId="4096" priority="125897">
      <formula>(F278="x")</formula>
    </cfRule>
    <cfRule type="expression" dxfId="4095" priority="125898">
      <formula>(F271="x")</formula>
    </cfRule>
    <cfRule type="expression" dxfId="4094" priority="125899">
      <formula>(F261="x")</formula>
    </cfRule>
  </conditionalFormatting>
  <conditionalFormatting sqref="F65:BA68">
    <cfRule type="expression" dxfId="4093" priority="125909">
      <formula>(F307="x")</formula>
    </cfRule>
    <cfRule type="expression" dxfId="4092" priority="125910">
      <formula>(F303="x")</formula>
    </cfRule>
    <cfRule type="expression" dxfId="4091" priority="125911">
      <formula>(F298="x")</formula>
    </cfRule>
    <cfRule type="expression" dxfId="4090" priority="125912">
      <formula>(F302="x")</formula>
    </cfRule>
    <cfRule type="expression" dxfId="4089" priority="125913">
      <formula>(F300="x")</formula>
    </cfRule>
    <cfRule type="expression" dxfId="4088" priority="125914">
      <formula>(F304="x")</formula>
    </cfRule>
    <cfRule type="expression" dxfId="4087" priority="125915">
      <formula>(F295="x")</formula>
    </cfRule>
    <cfRule type="expression" dxfId="4086" priority="125916">
      <formula>(F306="x")</formula>
    </cfRule>
    <cfRule type="expression" dxfId="4085" priority="125917">
      <formula>(F224="x")</formula>
    </cfRule>
  </conditionalFormatting>
  <conditionalFormatting sqref="F65:BA68">
    <cfRule type="expression" dxfId="4084" priority="125964">
      <formula>(F264="x")</formula>
    </cfRule>
    <cfRule type="expression" dxfId="4083" priority="125965">
      <formula>(F263="x")</formula>
    </cfRule>
  </conditionalFormatting>
  <conditionalFormatting sqref="F65:BA68">
    <cfRule type="expression" dxfId="4082" priority="126023">
      <formula>(F260="x")</formula>
    </cfRule>
  </conditionalFormatting>
  <conditionalFormatting sqref="F85:BA90 F78:BA80 F69:BA70 F62:BA64 F33:BA44 F15:BA29 F12:BA13 F48:BA51">
    <cfRule type="expression" dxfId="4081" priority="126029">
      <formula>(F237="x")</formula>
    </cfRule>
  </conditionalFormatting>
  <conditionalFormatting sqref="F65:BA68 F103:BA104 F85:BA90 F10:BA13 F15:BA45">
    <cfRule type="expression" dxfId="4080" priority="126040">
      <formula>(F222="x")</formula>
    </cfRule>
  </conditionalFormatting>
  <conditionalFormatting sqref="F62:BA68">
    <cfRule type="expression" dxfId="4079" priority="126043">
      <formula>(F226="x")</formula>
    </cfRule>
  </conditionalFormatting>
  <conditionalFormatting sqref="F65:BA68">
    <cfRule type="expression" dxfId="4078" priority="126046">
      <formula>(F257="x")</formula>
    </cfRule>
    <cfRule type="expression" dxfId="4077" priority="126047">
      <formula>(F259="x")</formula>
    </cfRule>
  </conditionalFormatting>
  <conditionalFormatting sqref="F105:BA105">
    <cfRule type="expression" dxfId="4076" priority="126049">
      <formula>(F281="x")</formula>
    </cfRule>
  </conditionalFormatting>
  <conditionalFormatting sqref="F65:BA68">
    <cfRule type="expression" dxfId="4075" priority="126052">
      <formula>(F292="x")</formula>
    </cfRule>
    <cfRule type="expression" dxfId="4074" priority="126053">
      <formula>(F296="x")</formula>
    </cfRule>
    <cfRule type="expression" dxfId="4073" priority="126054">
      <formula>(F222="x")</formula>
    </cfRule>
  </conditionalFormatting>
  <conditionalFormatting sqref="F65:BA68">
    <cfRule type="expression" dxfId="4072" priority="126055">
      <formula>(F246="x")</formula>
    </cfRule>
    <cfRule type="expression" dxfId="4071" priority="126056">
      <formula>(F266="x")</formula>
    </cfRule>
    <cfRule type="expression" dxfId="4070" priority="126057">
      <formula>(F284="x")</formula>
    </cfRule>
    <cfRule type="expression" dxfId="4069" priority="126058">
      <formula>(F243="x")</formula>
    </cfRule>
    <cfRule type="expression" dxfId="4068" priority="126059">
      <formula>(F276="x")</formula>
    </cfRule>
    <cfRule type="expression" dxfId="4067" priority="126060">
      <formula>(F290="x")</formula>
    </cfRule>
    <cfRule type="expression" dxfId="4066" priority="126061">
      <formula>(F288="x")</formula>
    </cfRule>
    <cfRule type="expression" dxfId="4065" priority="126062">
      <formula>(F286="x")</formula>
    </cfRule>
    <cfRule type="expression" dxfId="4064" priority="126063">
      <formula>(F275="x")</formula>
    </cfRule>
    <cfRule type="expression" dxfId="4063" priority="126064">
      <formula>(F274="x")</formula>
    </cfRule>
    <cfRule type="expression" dxfId="4062" priority="126065">
      <formula>(F269="x")</formula>
    </cfRule>
    <cfRule type="expression" dxfId="4061" priority="126066">
      <formula>(F237="x")</formula>
    </cfRule>
    <cfRule type="expression" dxfId="4060" priority="126067">
      <formula>(F236="x")</formula>
    </cfRule>
    <cfRule type="expression" dxfId="4059" priority="126068">
      <formula>(F231="x")</formula>
    </cfRule>
    <cfRule type="expression" dxfId="4058" priority="126069">
      <formula>(F267="x")</formula>
    </cfRule>
    <cfRule type="expression" dxfId="4057" priority="126070">
      <formula>(F227="x")</formula>
    </cfRule>
    <cfRule type="expression" dxfId="4056" priority="126071">
      <formula>(F250="x")</formula>
    </cfRule>
    <cfRule type="expression" dxfId="4055" priority="126072">
      <formula>(F240="x")</formula>
    </cfRule>
    <cfRule type="expression" dxfId="4054" priority="126073">
      <formula>(F238="x")</formula>
    </cfRule>
    <cfRule type="expression" dxfId="4053" priority="126074">
      <formula>(F232="x")</formula>
    </cfRule>
    <cfRule type="expression" dxfId="4052" priority="126075">
      <formula>(F256="x")</formula>
    </cfRule>
    <cfRule type="expression" dxfId="4051" priority="126076">
      <formula>(F244="x")</formula>
    </cfRule>
    <cfRule type="expression" dxfId="4050" priority="126077">
      <formula>(F281="x")</formula>
    </cfRule>
    <cfRule type="expression" dxfId="4049" priority="126078">
      <formula>(F241="x")</formula>
    </cfRule>
  </conditionalFormatting>
  <conditionalFormatting sqref="F65:BA68">
    <cfRule type="expression" dxfId="4048" priority="126079">
      <formula>(#REF!="x")</formula>
    </cfRule>
    <cfRule type="expression" dxfId="4047" priority="126080">
      <formula>(F228="x")</formula>
    </cfRule>
    <cfRule type="expression" dxfId="4046" priority="126081">
      <formula>(F226="x")</formula>
    </cfRule>
  </conditionalFormatting>
  <conditionalFormatting sqref="F65:BA68">
    <cfRule type="expression" dxfId="4045" priority="126082">
      <formula>(F233="x")</formula>
    </cfRule>
    <cfRule type="expression" dxfId="4044" priority="126083">
      <formula>(F211="x")</formula>
    </cfRule>
  </conditionalFormatting>
  <conditionalFormatting sqref="F65:BA68">
    <cfRule type="expression" dxfId="4043" priority="126087">
      <formula>(F204="x")</formula>
    </cfRule>
    <cfRule type="expression" dxfId="4042" priority="126088">
      <formula>(F203="x")</formula>
    </cfRule>
  </conditionalFormatting>
  <conditionalFormatting sqref="F85:BA91 F60:BA62 F103:BA105 F71:BA82">
    <cfRule type="expression" dxfId="4041" priority="126090">
      <formula>(F186="x")</formula>
    </cfRule>
  </conditionalFormatting>
  <conditionalFormatting sqref="F65:BA68">
    <cfRule type="expression" dxfId="4040" priority="126091">
      <formula>(F189="x")</formula>
    </cfRule>
    <cfRule type="expression" dxfId="4039" priority="126092">
      <formula>(F188="x")</formula>
    </cfRule>
  </conditionalFormatting>
  <conditionalFormatting sqref="F66:BA68">
    <cfRule type="expression" dxfId="4038" priority="126093">
      <formula>(F248="x")</formula>
    </cfRule>
    <cfRule type="expression" dxfId="4037" priority="126094">
      <formula>(F187="x")</formula>
    </cfRule>
  </conditionalFormatting>
  <conditionalFormatting sqref="F92:BA95">
    <cfRule type="expression" dxfId="4036" priority="126108">
      <formula>(F287="x")</formula>
    </cfRule>
  </conditionalFormatting>
  <conditionalFormatting sqref="F52:BA54">
    <cfRule type="expression" dxfId="4035" priority="126207">
      <formula>(F268="x")</formula>
    </cfRule>
  </conditionalFormatting>
  <conditionalFormatting sqref="F11:BA13">
    <cfRule type="expression" dxfId="4034" priority="126236">
      <formula>(F293="x")</formula>
    </cfRule>
  </conditionalFormatting>
  <conditionalFormatting sqref="F18:BA44">
    <cfRule type="expression" dxfId="4033" priority="126426">
      <formula>(F371="x")</formula>
    </cfRule>
    <cfRule type="expression" dxfId="4032" priority="126427">
      <formula>(F372="x")</formula>
    </cfRule>
  </conditionalFormatting>
  <conditionalFormatting sqref="F18:BA44">
    <cfRule type="expression" dxfId="4031" priority="126431">
      <formula>(F386="x")</formula>
    </cfRule>
  </conditionalFormatting>
  <conditionalFormatting sqref="F18:BA44">
    <cfRule type="expression" dxfId="4030" priority="126433">
      <formula>(F387="x")</formula>
    </cfRule>
  </conditionalFormatting>
  <conditionalFormatting sqref="F18:BA44">
    <cfRule type="expression" dxfId="4029" priority="126437">
      <formula>(F362="x")</formula>
    </cfRule>
  </conditionalFormatting>
  <conditionalFormatting sqref="F18:BA44">
    <cfRule type="expression" dxfId="4028" priority="126441">
      <formula>(F370="x")</formula>
    </cfRule>
  </conditionalFormatting>
  <conditionalFormatting sqref="F18:BA44">
    <cfRule type="expression" dxfId="4027" priority="126444">
      <formula>(F365="x")</formula>
    </cfRule>
    <cfRule type="expression" dxfId="4026" priority="126445">
      <formula>(F369="x")</formula>
    </cfRule>
  </conditionalFormatting>
  <conditionalFormatting sqref="F18:BA44">
    <cfRule type="expression" dxfId="4025" priority="126451">
      <formula>(F379="x")</formula>
    </cfRule>
    <cfRule type="expression" dxfId="4024" priority="126452">
      <formula>(F378="x")</formula>
    </cfRule>
    <cfRule type="expression" dxfId="4023" priority="126453">
      <formula>(F375="x")</formula>
    </cfRule>
    <cfRule type="expression" dxfId="4022" priority="126454">
      <formula>(F374="x")</formula>
    </cfRule>
    <cfRule type="expression" dxfId="4021" priority="126455">
      <formula>(F373="x")</formula>
    </cfRule>
  </conditionalFormatting>
  <conditionalFormatting sqref="F18:BA44">
    <cfRule type="expression" dxfId="4020" priority="126463">
      <formula>(F385="x")</formula>
    </cfRule>
    <cfRule type="expression" dxfId="4019" priority="126464">
      <formula>(F380="x")</formula>
    </cfRule>
    <cfRule type="expression" dxfId="4018" priority="126465">
      <formula>(F384="x")</formula>
    </cfRule>
    <cfRule type="expression" dxfId="4017" priority="126466">
      <formula>(F381="x")</formula>
    </cfRule>
    <cfRule type="expression" dxfId="4016" priority="126467">
      <formula>(F383="x")</formula>
    </cfRule>
    <cfRule type="expression" dxfId="4015" priority="126468">
      <formula>(F376="x")</formula>
    </cfRule>
    <cfRule type="expression" dxfId="4014" priority="126469">
      <formula>(F377="x")</formula>
    </cfRule>
  </conditionalFormatting>
  <conditionalFormatting sqref="F18:BA44">
    <cfRule type="expression" dxfId="4013" priority="126472">
      <formula>(F389="x")</formula>
    </cfRule>
    <cfRule type="expression" dxfId="4012" priority="126473">
      <formula>(F388="x")</formula>
    </cfRule>
  </conditionalFormatting>
  <conditionalFormatting sqref="F18:BA44">
    <cfRule type="expression" dxfId="4011" priority="126475">
      <formula>(F366="x")</formula>
    </cfRule>
  </conditionalFormatting>
  <conditionalFormatting sqref="F18:BA44">
    <cfRule type="expression" dxfId="4010" priority="126478">
      <formula>(F364="x")</formula>
    </cfRule>
    <cfRule type="expression" dxfId="4009" priority="126479">
      <formula>(F363="x")</formula>
    </cfRule>
  </conditionalFormatting>
  <conditionalFormatting sqref="F62:BA64">
    <cfRule type="expression" dxfId="4008" priority="126481">
      <formula>(F367="x")</formula>
    </cfRule>
  </conditionalFormatting>
  <conditionalFormatting sqref="F18:BA44">
    <cfRule type="expression" dxfId="4007" priority="126521">
      <formula>(F336="x")</formula>
    </cfRule>
    <cfRule type="expression" dxfId="4006" priority="126522">
      <formula>(F335="x")</formula>
    </cfRule>
    <cfRule type="expression" dxfId="4005" priority="126523">
      <formula>(F339="x")</formula>
    </cfRule>
    <cfRule type="expression" dxfId="4004" priority="126524">
      <formula>(F340="x")</formula>
    </cfRule>
    <cfRule type="expression" dxfId="4003" priority="126525">
      <formula>(F341="x")</formula>
    </cfRule>
    <cfRule type="expression" dxfId="4002" priority="126526">
      <formula>(F342="x")</formula>
    </cfRule>
    <cfRule type="expression" dxfId="4001" priority="126527">
      <formula>(F345="x")</formula>
    </cfRule>
    <cfRule type="expression" dxfId="4000" priority="126528">
      <formula>(F357="x")</formula>
    </cfRule>
    <cfRule type="expression" dxfId="3999" priority="126529">
      <formula>(F344="x")</formula>
    </cfRule>
    <cfRule type="expression" dxfId="3998" priority="126530">
      <formula>(F343="x")</formula>
    </cfRule>
    <cfRule type="expression" dxfId="3997" priority="126531">
      <formula>(F358="x")</formula>
    </cfRule>
    <cfRule type="expression" dxfId="3996" priority="126532">
      <formula>(F353="x")</formula>
    </cfRule>
    <cfRule type="expression" dxfId="3995" priority="126533">
      <formula>(F356="x")</formula>
    </cfRule>
    <cfRule type="expression" dxfId="3994" priority="126534">
      <formula>(F352="x")</formula>
    </cfRule>
    <cfRule type="expression" dxfId="3993" priority="126535">
      <formula>(F355="x")</formula>
    </cfRule>
    <cfRule type="expression" dxfId="3992" priority="126536">
      <formula>(F351="x")</formula>
    </cfRule>
    <cfRule type="expression" dxfId="3991" priority="126537">
      <formula>(F354="x")</formula>
    </cfRule>
    <cfRule type="expression" dxfId="3990" priority="126538">
      <formula>(F350="x")</formula>
    </cfRule>
    <cfRule type="expression" dxfId="3989" priority="126539">
      <formula>(F349="x")</formula>
    </cfRule>
    <cfRule type="expression" dxfId="3988" priority="126540">
      <formula>(F348="x")</formula>
    </cfRule>
    <cfRule type="expression" dxfId="3987" priority="126541">
      <formula>(F346="x")</formula>
    </cfRule>
    <cfRule type="expression" dxfId="3986" priority="126542">
      <formula>(F332="x")</formula>
    </cfRule>
    <cfRule type="expression" dxfId="3985" priority="126543">
      <formula>(F331="x")</formula>
    </cfRule>
  </conditionalFormatting>
  <conditionalFormatting sqref="F18:BA44">
    <cfRule type="expression" dxfId="3984" priority="126546">
      <formula>(F361="x")</formula>
    </cfRule>
    <cfRule type="expression" dxfId="3983" priority="126547">
      <formula>(F359="x")</formula>
    </cfRule>
  </conditionalFormatting>
  <conditionalFormatting sqref="F18:BA44">
    <cfRule type="expression" dxfId="3982" priority="126554">
      <formula>(F334="x")</formula>
    </cfRule>
    <cfRule type="expression" dxfId="3981" priority="126555">
      <formula>(F325="x")</formula>
    </cfRule>
    <cfRule type="expression" dxfId="3980" priority="126556">
      <formula>(F323="x")</formula>
    </cfRule>
    <cfRule type="expression" dxfId="3979" priority="126557">
      <formula>(F330="x")</formula>
    </cfRule>
    <cfRule type="expression" dxfId="3978" priority="126558">
      <formula>(F326="x")</formula>
    </cfRule>
    <cfRule type="expression" dxfId="3977" priority="126559">
      <formula>(F320="x")</formula>
    </cfRule>
  </conditionalFormatting>
  <conditionalFormatting sqref="F18:BA44">
    <cfRule type="expression" dxfId="3976" priority="126565">
      <formula>(F288="x")</formula>
    </cfRule>
    <cfRule type="expression" dxfId="3975" priority="126566">
      <formula>(F270="x")</formula>
    </cfRule>
    <cfRule type="expression" dxfId="3974" priority="126567">
      <formula>(F269="x")</formula>
    </cfRule>
    <cfRule type="expression" dxfId="3973" priority="126568">
      <formula>(F285="x")</formula>
    </cfRule>
    <cfRule type="expression" dxfId="3972" priority="126569">
      <formula>(F294="x")</formula>
    </cfRule>
  </conditionalFormatting>
  <conditionalFormatting sqref="F18:BA44">
    <cfRule type="expression" dxfId="3971" priority="126572">
      <formula>(F297="x")</formula>
    </cfRule>
    <cfRule type="expression" dxfId="3970" priority="126573">
      <formula>(F283="x")</formula>
    </cfRule>
  </conditionalFormatting>
  <conditionalFormatting sqref="F18:BA44">
    <cfRule type="expression" dxfId="3969" priority="126585">
      <formula>(F250="x")</formula>
    </cfRule>
    <cfRule type="expression" dxfId="3968" priority="126586">
      <formula>(F266="x")</formula>
    </cfRule>
    <cfRule type="expression" dxfId="3967" priority="126587">
      <formula>(F287="x")</formula>
    </cfRule>
    <cfRule type="expression" dxfId="3966" priority="126588">
      <formula>(F249="x")</formula>
    </cfRule>
    <cfRule type="expression" dxfId="3965" priority="126589">
      <formula>(F257="x")</formula>
    </cfRule>
    <cfRule type="expression" dxfId="3964" priority="126590">
      <formula>(F295="x")</formula>
    </cfRule>
    <cfRule type="expression" dxfId="3963" priority="126591">
      <formula>(F293="x")</formula>
    </cfRule>
    <cfRule type="expression" dxfId="3962" priority="126592">
      <formula>(F286="x")</formula>
    </cfRule>
    <cfRule type="expression" dxfId="3961" priority="126593">
      <formula>(F276="x")</formula>
    </cfRule>
  </conditionalFormatting>
  <conditionalFormatting sqref="F18:BA44">
    <cfRule type="expression" dxfId="3960" priority="126607">
      <formula>(F322="x")</formula>
    </cfRule>
    <cfRule type="expression" dxfId="3959" priority="126608">
      <formula>(F318="x")</formula>
    </cfRule>
    <cfRule type="expression" dxfId="3958" priority="126609">
      <formula>(F313="x")</formula>
    </cfRule>
    <cfRule type="expression" dxfId="3957" priority="126610">
      <formula>(F317="x")</formula>
    </cfRule>
    <cfRule type="expression" dxfId="3956" priority="126611">
      <formula>(F315="x")</formula>
    </cfRule>
    <cfRule type="expression" dxfId="3955" priority="126612">
      <formula>(F319="x")</formula>
    </cfRule>
    <cfRule type="expression" dxfId="3954" priority="126613">
      <formula>(F310="x")</formula>
    </cfRule>
    <cfRule type="expression" dxfId="3953" priority="126614">
      <formula>(F321="x")</formula>
    </cfRule>
    <cfRule type="expression" dxfId="3952" priority="126615">
      <formula>(F239="x")</formula>
    </cfRule>
  </conditionalFormatting>
  <conditionalFormatting sqref="F18:BA44">
    <cfRule type="expression" dxfId="3951" priority="126639">
      <formula>(F382="x")</formula>
    </cfRule>
  </conditionalFormatting>
  <conditionalFormatting sqref="F18:BA44">
    <cfRule type="expression" dxfId="3950" priority="126652">
      <formula>(F279="x")</formula>
    </cfRule>
    <cfRule type="expression" dxfId="3949" priority="126653">
      <formula>(F278="x")</formula>
    </cfRule>
  </conditionalFormatting>
  <conditionalFormatting sqref="F18:BA44">
    <cfRule type="expression" dxfId="3948" priority="126682">
      <formula>(F196="x")</formula>
    </cfRule>
    <cfRule type="expression" dxfId="3947" priority="126683">
      <formula>(F197="x")</formula>
    </cfRule>
  </conditionalFormatting>
  <conditionalFormatting sqref="F18:BA44">
    <cfRule type="expression" dxfId="3946" priority="126724">
      <formula>(F272="x")</formula>
    </cfRule>
    <cfRule type="expression" dxfId="3945" priority="126725">
      <formula>(F274="x")</formula>
    </cfRule>
  </conditionalFormatting>
  <conditionalFormatting sqref="F18:BA44">
    <cfRule type="expression" dxfId="3944" priority="126737">
      <formula>(F307="x")</formula>
    </cfRule>
    <cfRule type="expression" dxfId="3943" priority="126738">
      <formula>(F311="x")</formula>
    </cfRule>
    <cfRule type="expression" dxfId="3942" priority="126739">
      <formula>(F237="x")</formula>
    </cfRule>
  </conditionalFormatting>
  <conditionalFormatting sqref="F18:BA44">
    <cfRule type="expression" dxfId="3941" priority="126764">
      <formula>(F261="x")</formula>
    </cfRule>
    <cfRule type="expression" dxfId="3940" priority="126765">
      <formula>(F281="x")</formula>
    </cfRule>
    <cfRule type="expression" dxfId="3939" priority="126766">
      <formula>(F299="x")</formula>
    </cfRule>
    <cfRule type="expression" dxfId="3938" priority="126767">
      <formula>(F258="x")</formula>
    </cfRule>
    <cfRule type="expression" dxfId="3937" priority="126768">
      <formula>(F291="x")</formula>
    </cfRule>
    <cfRule type="expression" dxfId="3936" priority="126769">
      <formula>(F305="x")</formula>
    </cfRule>
    <cfRule type="expression" dxfId="3935" priority="126770">
      <formula>(F303="x")</formula>
    </cfRule>
    <cfRule type="expression" dxfId="3934" priority="126771">
      <formula>(F301="x")</formula>
    </cfRule>
    <cfRule type="expression" dxfId="3933" priority="126772">
      <formula>(F290="x")</formula>
    </cfRule>
    <cfRule type="expression" dxfId="3932" priority="126773">
      <formula>(F289="x")</formula>
    </cfRule>
    <cfRule type="expression" dxfId="3931" priority="126774">
      <formula>(F284="x")</formula>
    </cfRule>
    <cfRule type="expression" dxfId="3930" priority="126775">
      <formula>(F252="x")</formula>
    </cfRule>
    <cfRule type="expression" dxfId="3929" priority="126776">
      <formula>(F251="x")</formula>
    </cfRule>
    <cfRule type="expression" dxfId="3928" priority="126777">
      <formula>(F246="x")</formula>
    </cfRule>
    <cfRule type="expression" dxfId="3927" priority="126778">
      <formula>(F282="x")</formula>
    </cfRule>
    <cfRule type="expression" dxfId="3926" priority="126779">
      <formula>(F242="x")</formula>
    </cfRule>
    <cfRule type="expression" dxfId="3925" priority="126780">
      <formula>(F265="x")</formula>
    </cfRule>
    <cfRule type="expression" dxfId="3924" priority="126781">
      <formula>(F255="x")</formula>
    </cfRule>
    <cfRule type="expression" dxfId="3923" priority="126782">
      <formula>(F253="x")</formula>
    </cfRule>
    <cfRule type="expression" dxfId="3922" priority="126783">
      <formula>(F247="x")</formula>
    </cfRule>
    <cfRule type="expression" dxfId="3921" priority="126784">
      <formula>(F271="x")</formula>
    </cfRule>
    <cfRule type="expression" dxfId="3920" priority="126785">
      <formula>(F259="x")</formula>
    </cfRule>
    <cfRule type="expression" dxfId="3919" priority="126786">
      <formula>(F296="x")</formula>
    </cfRule>
    <cfRule type="expression" dxfId="3918" priority="126787">
      <formula>(F256="x")</formula>
    </cfRule>
  </conditionalFormatting>
  <conditionalFormatting sqref="F18:BA44">
    <cfRule type="expression" dxfId="3917" priority="126791">
      <formula>(#REF!="x")</formula>
    </cfRule>
    <cfRule type="expression" dxfId="3916" priority="126792">
      <formula>(F243="x")</formula>
    </cfRule>
    <cfRule type="expression" dxfId="3915" priority="126793">
      <formula>(F241="x")</formula>
    </cfRule>
  </conditionalFormatting>
  <conditionalFormatting sqref="F18:BA44">
    <cfRule type="expression" dxfId="3914" priority="126796">
      <formula>(F248="x")</formula>
    </cfRule>
    <cfRule type="expression" dxfId="3913" priority="126797">
      <formula>(F226="x")</formula>
    </cfRule>
  </conditionalFormatting>
  <conditionalFormatting sqref="F18:BA44">
    <cfRule type="expression" dxfId="3912" priority="126804">
      <formula>(F219="x")</formula>
    </cfRule>
    <cfRule type="expression" dxfId="3911" priority="126805">
      <formula>(F218="x")</formula>
    </cfRule>
  </conditionalFormatting>
  <conditionalFormatting sqref="F18:BA44">
    <cfRule type="expression" dxfId="3910" priority="126816">
      <formula>(F262="x")</formula>
    </cfRule>
    <cfRule type="expression" dxfId="3909" priority="126817">
      <formula>(F201="x")</formula>
    </cfRule>
  </conditionalFormatting>
  <conditionalFormatting sqref="F92:BA95 F52:BA54 F83:BA83 F75:BA77 F16:BA44 F11:BA11 F48:BA49 F13:BA13">
    <cfRule type="expression" dxfId="3908" priority="126926">
      <formula>(F200="x")</formula>
    </cfRule>
  </conditionalFormatting>
  <conditionalFormatting sqref="F71:BA74">
    <cfRule type="expression" dxfId="3907" priority="127062">
      <formula>(F274="x")</formula>
    </cfRule>
    <cfRule type="expression" dxfId="3906" priority="127063">
      <formula>(F273="x")</formula>
    </cfRule>
  </conditionalFormatting>
  <conditionalFormatting sqref="F71:BA74">
    <cfRule type="expression" dxfId="3905" priority="127082">
      <formula>(F191="x")</formula>
    </cfRule>
    <cfRule type="expression" dxfId="3904" priority="127083">
      <formula>(F192="x")</formula>
    </cfRule>
  </conditionalFormatting>
  <conditionalFormatting sqref="F65:BA68">
    <cfRule type="expression" dxfId="3903" priority="127103">
      <formula>(F345="x")</formula>
    </cfRule>
  </conditionalFormatting>
  <conditionalFormatting sqref="F83:BA83 F80:BA80 F55:BA64 F69:BA70 F10:BA13 F33:BA40 F20:BA30 F46:BA49">
    <cfRule type="expression" dxfId="3902" priority="127147">
      <formula>(F231="x")</formula>
    </cfRule>
  </conditionalFormatting>
  <conditionalFormatting sqref="F71:BA74">
    <cfRule type="expression" dxfId="3901" priority="127200">
      <formula>(F243="x")</formula>
    </cfRule>
    <cfRule type="expression" dxfId="3900" priority="127201">
      <formula>(F221="x")</formula>
    </cfRule>
  </conditionalFormatting>
  <conditionalFormatting sqref="F55:BA84 F91:BA105 F50:BA53 F34:BA47">
    <cfRule type="expression" dxfId="3899" priority="127205">
      <formula>(F185="x")</formula>
    </cfRule>
  </conditionalFormatting>
  <conditionalFormatting sqref="F71:BA74">
    <cfRule type="expression" dxfId="3898" priority="127206">
      <formula>(F214="x")</formula>
    </cfRule>
    <cfRule type="expression" dxfId="3897" priority="127207">
      <formula>(F213="x")</formula>
    </cfRule>
  </conditionalFormatting>
  <conditionalFormatting sqref="F52:BA54 F91:BA91 F62:BA76 F103:BA105 F78:BA84">
    <cfRule type="expression" dxfId="3896" priority="127209">
      <formula>(F188="x")</formula>
    </cfRule>
  </conditionalFormatting>
  <conditionalFormatting sqref="F71:BA74">
    <cfRule type="expression" dxfId="3895" priority="127211">
      <formula>(F199="x")</formula>
    </cfRule>
    <cfRule type="expression" dxfId="3894" priority="127212">
      <formula>(F198="x")</formula>
    </cfRule>
  </conditionalFormatting>
  <conditionalFormatting sqref="F71:BA74">
    <cfRule type="expression" dxfId="3893" priority="127213">
      <formula>(F257="x")</formula>
    </cfRule>
    <cfRule type="expression" dxfId="3892" priority="127214">
      <formula>(F196="x")</formula>
    </cfRule>
  </conditionalFormatting>
  <conditionalFormatting sqref="D10:D109">
    <cfRule type="colorScale" priority="127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:E109">
    <cfRule type="colorScale" priority="127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BA44">
    <cfRule type="expression" dxfId="3891" priority="127234">
      <formula>(F321="x")</formula>
    </cfRule>
    <cfRule type="expression" dxfId="3890" priority="127235">
      <formula>(F323="x")</formula>
    </cfRule>
  </conditionalFormatting>
  <conditionalFormatting sqref="F19:BA44">
    <cfRule type="expression" dxfId="3889" priority="127274">
      <formula>(F310="x")</formula>
    </cfRule>
    <cfRule type="expression" dxfId="3888" priority="127275">
      <formula>(F330="x")</formula>
    </cfRule>
    <cfRule type="expression" dxfId="3887" priority="127276">
      <formula>(F348="x")</formula>
    </cfRule>
    <cfRule type="expression" dxfId="3886" priority="127277">
      <formula>(F307="x")</formula>
    </cfRule>
    <cfRule type="expression" dxfId="3885" priority="127278">
      <formula>(F340="x")</formula>
    </cfRule>
    <cfRule type="expression" dxfId="3884" priority="127279">
      <formula>(F354="x")</formula>
    </cfRule>
    <cfRule type="expression" dxfId="3883" priority="127280">
      <formula>(F352="x")</formula>
    </cfRule>
    <cfRule type="expression" dxfId="3882" priority="127281">
      <formula>(F350="x")</formula>
    </cfRule>
    <cfRule type="expression" dxfId="3881" priority="127282">
      <formula>(F339="x")</formula>
    </cfRule>
    <cfRule type="expression" dxfId="3880" priority="127283">
      <formula>(F338="x")</formula>
    </cfRule>
    <cfRule type="expression" dxfId="3879" priority="127284">
      <formula>(F333="x")</formula>
    </cfRule>
    <cfRule type="expression" dxfId="3878" priority="127285">
      <formula>(F301="x")</formula>
    </cfRule>
    <cfRule type="expression" dxfId="3877" priority="127286">
      <formula>(F300="x")</formula>
    </cfRule>
    <cfRule type="expression" dxfId="3876" priority="127287">
      <formula>(F295="x")</formula>
    </cfRule>
    <cfRule type="expression" dxfId="3875" priority="127288">
      <formula>(F331="x")</formula>
    </cfRule>
    <cfRule type="expression" dxfId="3874" priority="127289">
      <formula>(F291="x")</formula>
    </cfRule>
    <cfRule type="expression" dxfId="3873" priority="127290">
      <formula>(F314="x")</formula>
    </cfRule>
    <cfRule type="expression" dxfId="3872" priority="127291">
      <formula>(F304="x")</formula>
    </cfRule>
    <cfRule type="expression" dxfId="3871" priority="127292">
      <formula>(F302="x")</formula>
    </cfRule>
    <cfRule type="expression" dxfId="3870" priority="127293">
      <formula>(F296="x")</formula>
    </cfRule>
    <cfRule type="expression" dxfId="3869" priority="127294">
      <formula>(F320="x")</formula>
    </cfRule>
    <cfRule type="expression" dxfId="3868" priority="127295">
      <formula>(F308="x")</formula>
    </cfRule>
    <cfRule type="expression" dxfId="3867" priority="127296">
      <formula>(F345="x")</formula>
    </cfRule>
    <cfRule type="expression" dxfId="3866" priority="127297">
      <formula>(F305="x")</formula>
    </cfRule>
  </conditionalFormatting>
  <conditionalFormatting sqref="F19:BA44">
    <cfRule type="expression" dxfId="3865" priority="127301">
      <formula>(#REF!="x")</formula>
    </cfRule>
    <cfRule type="expression" dxfId="3864" priority="127302">
      <formula>(F292="x")</formula>
    </cfRule>
    <cfRule type="expression" dxfId="3863" priority="127303">
      <formula>(F290="x")</formula>
    </cfRule>
  </conditionalFormatting>
  <conditionalFormatting sqref="F19:BA44">
    <cfRule type="expression" dxfId="3862" priority="127322">
      <formula>(F297="x")</formula>
    </cfRule>
    <cfRule type="expression" dxfId="3861" priority="127323">
      <formula>(F275="x")</formula>
    </cfRule>
  </conditionalFormatting>
  <conditionalFormatting sqref="F19:BA44">
    <cfRule type="expression" dxfId="3860" priority="127346">
      <formula>(F268="x")</formula>
    </cfRule>
    <cfRule type="expression" dxfId="3859" priority="127347">
      <formula>(F267="x")</formula>
    </cfRule>
  </conditionalFormatting>
  <conditionalFormatting sqref="F19:BA44">
    <cfRule type="expression" dxfId="3858" priority="127372">
      <formula>(F253="x")</formula>
    </cfRule>
    <cfRule type="expression" dxfId="3857" priority="127373">
      <formula>(F252="x")</formula>
    </cfRule>
  </conditionalFormatting>
  <conditionalFormatting sqref="F19:BA44">
    <cfRule type="expression" dxfId="3856" priority="127376">
      <formula>(F311="x")</formula>
    </cfRule>
    <cfRule type="expression" dxfId="3855" priority="127377">
      <formula>(F250="x")</formula>
    </cfRule>
  </conditionalFormatting>
  <conditionalFormatting sqref="F19:BA44">
    <cfRule type="expression" dxfId="3854" priority="127408">
      <formula>(F228="x")</formula>
    </cfRule>
    <cfRule type="expression" dxfId="3853" priority="127409">
      <formula>(F229="x")</formula>
    </cfRule>
  </conditionalFormatting>
  <conditionalFormatting sqref="F19:BA44">
    <cfRule type="expression" dxfId="3852" priority="127419">
      <formula>(F334="x")</formula>
    </cfRule>
    <cfRule type="expression" dxfId="3851" priority="127420">
      <formula>(F240="x")</formula>
    </cfRule>
    <cfRule type="expression" dxfId="3850" priority="127421">
      <formula>(F337="x")</formula>
    </cfRule>
    <cfRule type="expression" dxfId="3849" priority="127422">
      <formula>(F319="x")</formula>
    </cfRule>
    <cfRule type="expression" dxfId="3848" priority="127423">
      <formula>(F318="x")</formula>
    </cfRule>
  </conditionalFormatting>
  <conditionalFormatting sqref="F19:BA44">
    <cfRule type="expression" dxfId="3847" priority="127427">
      <formula>(F322="x")</formula>
    </cfRule>
    <cfRule type="expression" dxfId="3846" priority="127428">
      <formula>(F332="x")</formula>
    </cfRule>
    <cfRule type="expression" dxfId="3845" priority="127429">
      <formula>(F346="x")</formula>
    </cfRule>
  </conditionalFormatting>
  <conditionalFormatting sqref="F19:BA44">
    <cfRule type="expression" dxfId="3844" priority="127433">
      <formula>(F249="x")</formula>
    </cfRule>
    <cfRule type="expression" dxfId="3843" priority="127434">
      <formula>(F259="x")</formula>
    </cfRule>
    <cfRule type="expression" dxfId="3842" priority="127435">
      <formula>(F258="x")</formula>
    </cfRule>
  </conditionalFormatting>
  <conditionalFormatting sqref="F19:BA44">
    <cfRule type="expression" dxfId="3841" priority="127450">
      <formula>(F225="x")</formula>
    </cfRule>
    <cfRule type="expression" dxfId="3840" priority="127451">
      <formula>(F325="x")</formula>
    </cfRule>
    <cfRule type="expression" dxfId="3839" priority="127452">
      <formula>(F326="x")</formula>
    </cfRule>
    <cfRule type="expression" dxfId="3838" priority="127453">
      <formula>(F306="x")</formula>
    </cfRule>
    <cfRule type="expression" dxfId="3837" priority="127454">
      <formula>(F316="x")</formula>
    </cfRule>
    <cfRule type="expression" dxfId="3836" priority="127455">
      <formula>(F315="x")</formula>
    </cfRule>
    <cfRule type="expression" dxfId="3835" priority="127456">
      <formula>(F344="x")</formula>
    </cfRule>
    <cfRule type="expression" dxfId="3834" priority="127457">
      <formula>(F342="x")</formula>
    </cfRule>
    <cfRule type="expression" dxfId="3833" priority="127458">
      <formula>(F335="x")</formula>
    </cfRule>
    <cfRule type="expression" dxfId="3832" priority="127459">
      <formula>(F222="x")</formula>
    </cfRule>
  </conditionalFormatting>
  <conditionalFormatting sqref="F19:BA44">
    <cfRule type="expression" dxfId="3831" priority="127462">
      <formula>(F299="x")</formula>
    </cfRule>
    <cfRule type="expression" dxfId="3830" priority="127463">
      <formula>(F298="x")</formula>
    </cfRule>
  </conditionalFormatting>
  <conditionalFormatting sqref="F19:BA44">
    <cfRule type="expression" dxfId="3829" priority="127466">
      <formula>(F353="x")</formula>
    </cfRule>
    <cfRule type="expression" dxfId="3828" priority="127467">
      <formula>(F223="x")</formula>
    </cfRule>
  </conditionalFormatting>
  <conditionalFormatting sqref="F19:BA44">
    <cfRule type="expression" dxfId="3827" priority="127474">
      <formula>(F246="x")</formula>
    </cfRule>
    <cfRule type="expression" dxfId="3826" priority="127475">
      <formula>(F236="x")</formula>
    </cfRule>
    <cfRule type="expression" dxfId="3825" priority="127476">
      <formula>(F327="x")</formula>
    </cfRule>
    <cfRule type="expression" dxfId="3824" priority="127477">
      <formula>(F317="x")</formula>
    </cfRule>
    <cfRule type="expression" dxfId="3823" priority="127478">
      <formula>(F245="x")</formula>
    </cfRule>
    <cfRule type="expression" dxfId="3822" priority="127479">
      <formula>(F220="x")</formula>
    </cfRule>
  </conditionalFormatting>
  <conditionalFormatting sqref="F19:BA44">
    <cfRule type="expression" dxfId="3821" priority="127482">
      <formula>(F336="x")</formula>
    </cfRule>
    <cfRule type="expression" dxfId="3820" priority="127483">
      <formula>(F221="x")</formula>
    </cfRule>
  </conditionalFormatting>
  <conditionalFormatting sqref="F52:BA52">
    <cfRule type="expression" dxfId="3819" priority="127490">
      <formula>(F339="x")</formula>
    </cfRule>
    <cfRule type="expression" dxfId="3818" priority="127491">
      <formula>(F340="x")</formula>
    </cfRule>
  </conditionalFormatting>
  <conditionalFormatting sqref="F19:BA44">
    <cfRule type="expression" dxfId="3817" priority="127499">
      <formula>(F239="x")</formula>
    </cfRule>
    <cfRule type="expression" dxfId="3816" priority="127500">
      <formula>(F214="x")</formula>
    </cfRule>
    <cfRule type="expression" dxfId="3815" priority="127501">
      <formula>(F215="x")</formula>
    </cfRule>
  </conditionalFormatting>
  <conditionalFormatting sqref="F19:BA44">
    <cfRule type="expression" dxfId="3814" priority="127506">
      <formula>(F212="x")</formula>
    </cfRule>
    <cfRule type="expression" dxfId="3813" priority="127507">
      <formula>(F213="x")</formula>
    </cfRule>
    <cfRule type="expression" dxfId="3812" priority="127508">
      <formula>(F359="x")</formula>
    </cfRule>
    <cfRule type="expression" dxfId="3811" priority="127509">
      <formula>(F358="x")</formula>
    </cfRule>
  </conditionalFormatting>
  <conditionalFormatting sqref="F106:BA109">
    <cfRule type="expression" dxfId="3810" priority="127644">
      <formula>(#REF!="x")</formula>
    </cfRule>
    <cfRule type="expression" dxfId="3809" priority="127645">
      <formula>(F288="x")</formula>
    </cfRule>
    <cfRule type="expression" dxfId="3808" priority="127646">
      <formula>(F286="x")</formula>
    </cfRule>
  </conditionalFormatting>
  <conditionalFormatting sqref="F69:BA74 F62:BA64 F91:BA109 F76:BA84 F30:BA44">
    <cfRule type="expression" dxfId="3807" priority="127699">
      <formula>(F189="x")</formula>
    </cfRule>
  </conditionalFormatting>
  <conditionalFormatting sqref="F106:BA109">
    <cfRule type="expression" dxfId="3806" priority="127703">
      <formula>(F264="x")</formula>
    </cfRule>
    <cfRule type="expression" dxfId="3805" priority="127704">
      <formula>(F263="x")</formula>
    </cfRule>
  </conditionalFormatting>
  <conditionalFormatting sqref="F106:BA109">
    <cfRule type="expression" dxfId="3804" priority="127709">
      <formula>(F257="x")</formula>
    </cfRule>
  </conditionalFormatting>
  <conditionalFormatting sqref="F106:BA109">
    <cfRule type="expression" dxfId="3803" priority="127746">
      <formula>(F295="x")</formula>
    </cfRule>
    <cfRule type="expression" dxfId="3802" priority="127747">
      <formula>(F294="x")</formula>
    </cfRule>
  </conditionalFormatting>
  <conditionalFormatting sqref="F51:BA61 F13:BA44">
    <cfRule type="expression" dxfId="3801" priority="127748">
      <formula>(F296="x")</formula>
    </cfRule>
  </conditionalFormatting>
  <conditionalFormatting sqref="F12:BA13">
    <cfRule type="expression" dxfId="3800" priority="127759">
      <formula>(F287="x")</formula>
    </cfRule>
  </conditionalFormatting>
  <conditionalFormatting sqref="F11:BA13 F16:BA44">
    <cfRule type="expression" dxfId="3799" priority="127765">
      <formula>(F339="x")</formula>
    </cfRule>
  </conditionalFormatting>
  <conditionalFormatting sqref="F10:BA13">
    <cfRule type="expression" dxfId="3798" priority="127770">
      <formula>(F318="x")</formula>
    </cfRule>
  </conditionalFormatting>
  <conditionalFormatting sqref="F11:BA13">
    <cfRule type="expression" dxfId="3797" priority="127888">
      <formula>(F203="x")</formula>
    </cfRule>
  </conditionalFormatting>
  <conditionalFormatting sqref="F11:BA13">
    <cfRule type="expression" dxfId="3796" priority="127910">
      <formula>(F194="x")</formula>
    </cfRule>
  </conditionalFormatting>
  <conditionalFormatting sqref="F21:BA44">
    <cfRule type="expression" dxfId="3795" priority="127914">
      <formula>(F359="x")</formula>
    </cfRule>
    <cfRule type="expression" dxfId="3794" priority="127915">
      <formula>(F363="x")</formula>
    </cfRule>
    <cfRule type="expression" dxfId="3793" priority="127916">
      <formula>(F358="x")</formula>
    </cfRule>
  </conditionalFormatting>
  <conditionalFormatting sqref="F21:BA44">
    <cfRule type="expression" dxfId="3792" priority="127925">
      <formula>(F361="x")</formula>
    </cfRule>
    <cfRule type="expression" dxfId="3791" priority="127926">
      <formula>(F360="x")</formula>
    </cfRule>
  </conditionalFormatting>
  <conditionalFormatting sqref="F21:BA44">
    <cfRule type="expression" dxfId="3790" priority="127932">
      <formula>(F366="x")</formula>
    </cfRule>
    <cfRule type="expression" dxfId="3789" priority="127933">
      <formula>(F365="x")</formula>
    </cfRule>
    <cfRule type="expression" dxfId="3788" priority="127934">
      <formula>(F364="x")</formula>
    </cfRule>
  </conditionalFormatting>
  <conditionalFormatting sqref="F21:BA44">
    <cfRule type="expression" dxfId="3787" priority="127945">
      <formula>(F367="x")</formula>
    </cfRule>
    <cfRule type="expression" dxfId="3786" priority="127946">
      <formula>(F368="x")</formula>
    </cfRule>
  </conditionalFormatting>
  <conditionalFormatting sqref="F21:BA44">
    <cfRule type="expression" dxfId="3785" priority="127991">
      <formula>(F338="x")</formula>
    </cfRule>
    <cfRule type="expression" dxfId="3784" priority="127992">
      <formula>(F339="x")</formula>
    </cfRule>
  </conditionalFormatting>
  <conditionalFormatting sqref="F20:BA44">
    <cfRule type="expression" dxfId="3783" priority="128005">
      <formula>(F331="x")</formula>
    </cfRule>
    <cfRule type="expression" dxfId="3782" priority="128006">
      <formula>(F335="x")</formula>
    </cfRule>
  </conditionalFormatting>
  <conditionalFormatting sqref="F21:BA44">
    <cfRule type="expression" dxfId="3781" priority="128012">
      <formula>(F346="x")</formula>
    </cfRule>
    <cfRule type="expression" dxfId="3780" priority="128013">
      <formula>(F345="x")</formula>
    </cfRule>
    <cfRule type="expression" dxfId="3779" priority="128014">
      <formula>(F342="x")</formula>
    </cfRule>
    <cfRule type="expression" dxfId="3778" priority="128015">
      <formula>(F341="x")</formula>
    </cfRule>
    <cfRule type="expression" dxfId="3777" priority="128016">
      <formula>(F340="x")</formula>
    </cfRule>
  </conditionalFormatting>
  <conditionalFormatting sqref="F21:BA44">
    <cfRule type="expression" dxfId="3776" priority="128024">
      <formula>(F352="x")</formula>
    </cfRule>
    <cfRule type="expression" dxfId="3775" priority="128025">
      <formula>(F347="x")</formula>
    </cfRule>
    <cfRule type="expression" dxfId="3774" priority="128026">
      <formula>(F351="x")</formula>
    </cfRule>
    <cfRule type="expression" dxfId="3773" priority="128027">
      <formula>(F348="x")</formula>
    </cfRule>
    <cfRule type="expression" dxfId="3772" priority="128028">
      <formula>(F350="x")</formula>
    </cfRule>
    <cfRule type="expression" dxfId="3771" priority="128029">
      <formula>(F343="x")</formula>
    </cfRule>
    <cfRule type="expression" dxfId="3770" priority="128030">
      <formula>(F344="x")</formula>
    </cfRule>
  </conditionalFormatting>
  <conditionalFormatting sqref="F21:BA44">
    <cfRule type="expression" dxfId="3769" priority="128033">
      <formula>(F356="x")</formula>
    </cfRule>
    <cfRule type="expression" dxfId="3768" priority="128034">
      <formula>(F355="x")</formula>
    </cfRule>
  </conditionalFormatting>
  <conditionalFormatting sqref="F20:BA44">
    <cfRule type="expression" dxfId="3767" priority="128039">
      <formula>(F330="x")</formula>
    </cfRule>
    <cfRule type="expression" dxfId="3766" priority="128040">
      <formula>(F329="x")</formula>
    </cfRule>
  </conditionalFormatting>
  <conditionalFormatting sqref="F20:BA44">
    <cfRule type="expression" dxfId="3765" priority="128045">
      <formula>(F274="x")</formula>
    </cfRule>
    <cfRule type="expression" dxfId="3764" priority="128046">
      <formula>(F275="x")</formula>
    </cfRule>
  </conditionalFormatting>
  <conditionalFormatting sqref="F20:BA44">
    <cfRule type="expression" dxfId="3763" priority="128070">
      <formula>(F302="x")</formula>
    </cfRule>
    <cfRule type="expression" dxfId="3762" priority="128071">
      <formula>(F301="x")</formula>
    </cfRule>
    <cfRule type="expression" dxfId="3761" priority="128072">
      <formula>(F305="x")</formula>
    </cfRule>
    <cfRule type="expression" dxfId="3760" priority="128073">
      <formula>(F306="x")</formula>
    </cfRule>
    <cfRule type="expression" dxfId="3759" priority="128074">
      <formula>(F307="x")</formula>
    </cfRule>
    <cfRule type="expression" dxfId="3758" priority="128075">
      <formula>(F308="x")</formula>
    </cfRule>
    <cfRule type="expression" dxfId="3757" priority="128076">
      <formula>(F311="x")</formula>
    </cfRule>
    <cfRule type="expression" dxfId="3756" priority="128077">
      <formula>(F323="x")</formula>
    </cfRule>
    <cfRule type="expression" dxfId="3755" priority="128078">
      <formula>(F310="x")</formula>
    </cfRule>
    <cfRule type="expression" dxfId="3754" priority="128079">
      <formula>(F309="x")</formula>
    </cfRule>
    <cfRule type="expression" dxfId="3753" priority="128080">
      <formula>(F324="x")</formula>
    </cfRule>
    <cfRule type="expression" dxfId="3752" priority="128081">
      <formula>(F319="x")</formula>
    </cfRule>
    <cfRule type="expression" dxfId="3751" priority="128082">
      <formula>(F322="x")</formula>
    </cfRule>
    <cfRule type="expression" dxfId="3750" priority="128083">
      <formula>(F318="x")</formula>
    </cfRule>
    <cfRule type="expression" dxfId="3749" priority="128084">
      <formula>(F321="x")</formula>
    </cfRule>
    <cfRule type="expression" dxfId="3748" priority="128085">
      <formula>(F317="x")</formula>
    </cfRule>
    <cfRule type="expression" dxfId="3747" priority="128086">
      <formula>(F320="x")</formula>
    </cfRule>
    <cfRule type="expression" dxfId="3746" priority="128087">
      <formula>(F316="x")</formula>
    </cfRule>
    <cfRule type="expression" dxfId="3745" priority="128088">
      <formula>(F315="x")</formula>
    </cfRule>
    <cfRule type="expression" dxfId="3744" priority="128089">
      <formula>(F314="x")</formula>
    </cfRule>
    <cfRule type="expression" dxfId="3743" priority="128090">
      <formula>(F312="x")</formula>
    </cfRule>
    <cfRule type="expression" dxfId="3742" priority="128091">
      <formula>(F298="x")</formula>
    </cfRule>
    <cfRule type="expression" dxfId="3741" priority="128092">
      <formula>(F297="x")</formula>
    </cfRule>
  </conditionalFormatting>
  <conditionalFormatting sqref="F20:BA44">
    <cfRule type="expression" dxfId="3740" priority="128095">
      <formula>(F327="x")</formula>
    </cfRule>
    <cfRule type="expression" dxfId="3739" priority="128096">
      <formula>(F325="x")</formula>
    </cfRule>
  </conditionalFormatting>
  <conditionalFormatting sqref="F20:BA44">
    <cfRule type="expression" dxfId="3738" priority="128103">
      <formula>(F300="x")</formula>
    </cfRule>
    <cfRule type="expression" dxfId="3737" priority="128104">
      <formula>(F291="x")</formula>
    </cfRule>
    <cfRule type="expression" dxfId="3736" priority="128105">
      <formula>(F289="x")</formula>
    </cfRule>
    <cfRule type="expression" dxfId="3735" priority="128106">
      <formula>(F296="x")</formula>
    </cfRule>
    <cfRule type="expression" dxfId="3734" priority="128107">
      <formula>(F292="x")</formula>
    </cfRule>
    <cfRule type="expression" dxfId="3733" priority="128108">
      <formula>(F286="x")</formula>
    </cfRule>
  </conditionalFormatting>
  <conditionalFormatting sqref="F20:BA44">
    <cfRule type="expression" dxfId="3732" priority="128114">
      <formula>(F254="x")</formula>
    </cfRule>
    <cfRule type="expression" dxfId="3731" priority="128115">
      <formula>(F236="x")</formula>
    </cfRule>
    <cfRule type="expression" dxfId="3730" priority="128116">
      <formula>(F235="x")</formula>
    </cfRule>
    <cfRule type="expression" dxfId="3729" priority="128117">
      <formula>(F251="x")</formula>
    </cfRule>
    <cfRule type="expression" dxfId="3728" priority="128118">
      <formula>(F260="x")</formula>
    </cfRule>
  </conditionalFormatting>
  <conditionalFormatting sqref="F20:BA44">
    <cfRule type="expression" dxfId="3727" priority="128121">
      <formula>(F263="x")</formula>
    </cfRule>
    <cfRule type="expression" dxfId="3726" priority="128122">
      <formula>(F249="x")</formula>
    </cfRule>
  </conditionalFormatting>
  <conditionalFormatting sqref="F20:BA44">
    <cfRule type="expression" dxfId="3725" priority="128132">
      <formula>(F216="x")</formula>
    </cfRule>
    <cfRule type="expression" dxfId="3724" priority="128133">
      <formula>(F232="x")</formula>
    </cfRule>
    <cfRule type="expression" dxfId="3723" priority="128134">
      <formula>(F253="x")</formula>
    </cfRule>
    <cfRule type="expression" dxfId="3722" priority="128135">
      <formula>(F215="x")</formula>
    </cfRule>
    <cfRule type="expression" dxfId="3721" priority="128136">
      <formula>(F223="x")</formula>
    </cfRule>
    <cfRule type="expression" dxfId="3720" priority="128137">
      <formula>(F261="x")</formula>
    </cfRule>
    <cfRule type="expression" dxfId="3719" priority="128138">
      <formula>(F259="x")</formula>
    </cfRule>
    <cfRule type="expression" dxfId="3718" priority="128139">
      <formula>(F252="x")</formula>
    </cfRule>
    <cfRule type="expression" dxfId="3717" priority="128140">
      <formula>(F242="x")</formula>
    </cfRule>
  </conditionalFormatting>
  <conditionalFormatting sqref="F20:BA44">
    <cfRule type="expression" dxfId="3716" priority="128150">
      <formula>(F288="x")</formula>
    </cfRule>
    <cfRule type="expression" dxfId="3715" priority="128151">
      <formula>(F284="x")</formula>
    </cfRule>
    <cfRule type="expression" dxfId="3714" priority="128152">
      <formula>(F279="x")</formula>
    </cfRule>
    <cfRule type="expression" dxfId="3713" priority="128153">
      <formula>(F283="x")</formula>
    </cfRule>
    <cfRule type="expression" dxfId="3712" priority="128154">
      <formula>(F281="x")</formula>
    </cfRule>
    <cfRule type="expression" dxfId="3711" priority="128155">
      <formula>(F285="x")</formula>
    </cfRule>
    <cfRule type="expression" dxfId="3710" priority="128156">
      <formula>(F276="x")</formula>
    </cfRule>
    <cfRule type="expression" dxfId="3709" priority="128157">
      <formula>(F287="x")</formula>
    </cfRule>
    <cfRule type="expression" dxfId="3708" priority="128158">
      <formula>(F205="x")</formula>
    </cfRule>
  </conditionalFormatting>
  <conditionalFormatting sqref="F20:BA44">
    <cfRule type="expression" dxfId="3707" priority="128171">
      <formula>(F238="x")</formula>
    </cfRule>
    <cfRule type="expression" dxfId="3706" priority="128172">
      <formula>(F240="x")</formula>
    </cfRule>
  </conditionalFormatting>
  <conditionalFormatting sqref="F20:BA44">
    <cfRule type="expression" dxfId="3705" priority="128178">
      <formula>(F273="x")</formula>
    </cfRule>
    <cfRule type="expression" dxfId="3704" priority="128179">
      <formula>(F277="x")</formula>
    </cfRule>
    <cfRule type="expression" dxfId="3703" priority="128180">
      <formula>(F203="x")</formula>
    </cfRule>
  </conditionalFormatting>
  <conditionalFormatting sqref="F20:BA44">
    <cfRule type="expression" dxfId="3702" priority="128205">
      <formula>(F227="x")</formula>
    </cfRule>
    <cfRule type="expression" dxfId="3701" priority="128206">
      <formula>(F247="x")</formula>
    </cfRule>
    <cfRule type="expression" dxfId="3700" priority="128207">
      <formula>(F265="x")</formula>
    </cfRule>
    <cfRule type="expression" dxfId="3699" priority="128208">
      <formula>(F224="x")</formula>
    </cfRule>
    <cfRule type="expression" dxfId="3698" priority="128209">
      <formula>(F257="x")</formula>
    </cfRule>
    <cfRule type="expression" dxfId="3697" priority="128210">
      <formula>(F271="x")</formula>
    </cfRule>
    <cfRule type="expression" dxfId="3696" priority="128211">
      <formula>(F269="x")</formula>
    </cfRule>
    <cfRule type="expression" dxfId="3695" priority="128212">
      <formula>(F267="x")</formula>
    </cfRule>
    <cfRule type="expression" dxfId="3694" priority="128213">
      <formula>(F256="x")</formula>
    </cfRule>
    <cfRule type="expression" dxfId="3693" priority="128214">
      <formula>(F255="x")</formula>
    </cfRule>
    <cfRule type="expression" dxfId="3692" priority="128215">
      <formula>(F250="x")</formula>
    </cfRule>
    <cfRule type="expression" dxfId="3691" priority="128216">
      <formula>(F218="x")</formula>
    </cfRule>
    <cfRule type="expression" dxfId="3690" priority="128217">
      <formula>(F217="x")</formula>
    </cfRule>
    <cfRule type="expression" dxfId="3689" priority="128218">
      <formula>(F212="x")</formula>
    </cfRule>
    <cfRule type="expression" dxfId="3688" priority="128219">
      <formula>(F248="x")</formula>
    </cfRule>
    <cfRule type="expression" dxfId="3687" priority="128220">
      <formula>(F208="x")</formula>
    </cfRule>
    <cfRule type="expression" dxfId="3686" priority="128221">
      <formula>(F231="x")</formula>
    </cfRule>
    <cfRule type="expression" dxfId="3685" priority="128222">
      <formula>(F221="x")</formula>
    </cfRule>
    <cfRule type="expression" dxfId="3684" priority="128223">
      <formula>(F219="x")</formula>
    </cfRule>
    <cfRule type="expression" dxfId="3683" priority="128224">
      <formula>(F213="x")</formula>
    </cfRule>
    <cfRule type="expression" dxfId="3682" priority="128225">
      <formula>(F237="x")</formula>
    </cfRule>
    <cfRule type="expression" dxfId="3681" priority="128226">
      <formula>(F225="x")</formula>
    </cfRule>
    <cfRule type="expression" dxfId="3680" priority="128227">
      <formula>(F262="x")</formula>
    </cfRule>
    <cfRule type="expression" dxfId="3679" priority="128228">
      <formula>(F222="x")</formula>
    </cfRule>
  </conditionalFormatting>
  <conditionalFormatting sqref="F20:BA44">
    <cfRule type="expression" dxfId="3678" priority="128232">
      <formula>(#REF!="x")</formula>
    </cfRule>
    <cfRule type="expression" dxfId="3677" priority="128233">
      <formula>(F209="x")</formula>
    </cfRule>
    <cfRule type="expression" dxfId="3676" priority="128234">
      <formula>(F207="x")</formula>
    </cfRule>
  </conditionalFormatting>
  <conditionalFormatting sqref="F20:BA44">
    <cfRule type="expression" dxfId="3675" priority="128237">
      <formula>(F214="x")</formula>
    </cfRule>
    <cfRule type="expression" dxfId="3674" priority="128238">
      <formula>(F192="x")</formula>
    </cfRule>
  </conditionalFormatting>
  <conditionalFormatting sqref="F52:BA64">
    <cfRule type="expression" dxfId="3673" priority="128403">
      <formula>(F231="x")</formula>
    </cfRule>
  </conditionalFormatting>
  <conditionalFormatting sqref="F48:BA48">
    <cfRule type="expression" dxfId="3672" priority="128412">
      <formula>(F351="x")</formula>
    </cfRule>
    <cfRule type="expression" dxfId="3671" priority="128413">
      <formula>(F350="x")</formula>
    </cfRule>
  </conditionalFormatting>
  <conditionalFormatting sqref="F21:BA44">
    <cfRule type="expression" dxfId="3670" priority="128443">
      <formula>(F334="x")</formula>
    </cfRule>
  </conditionalFormatting>
  <conditionalFormatting sqref="F52:BA54">
    <cfRule type="expression" dxfId="3669" priority="128623">
      <formula>(F330="x")</formula>
    </cfRule>
  </conditionalFormatting>
  <conditionalFormatting sqref="F57:BA64 F75:BA80 F91:BA91 F84:BA84 F15:BA29 F13:BA13 F31:BA44">
    <cfRule type="expression" dxfId="3668" priority="128626">
      <formula>(F207="x")</formula>
    </cfRule>
  </conditionalFormatting>
  <conditionalFormatting sqref="F62:BA70">
    <cfRule type="expression" dxfId="3667" priority="128663">
      <formula>(F309="x")</formula>
    </cfRule>
  </conditionalFormatting>
  <conditionalFormatting sqref="F52:BA61">
    <cfRule type="expression" dxfId="3666" priority="128786">
      <formula>(F336="x")</formula>
    </cfRule>
  </conditionalFormatting>
  <conditionalFormatting sqref="F22:BA44">
    <cfRule type="expression" dxfId="3665" priority="128883">
      <formula>(F342="x")</formula>
    </cfRule>
    <cfRule type="expression" dxfId="3664" priority="128884">
      <formula>(F343="x")</formula>
    </cfRule>
  </conditionalFormatting>
  <conditionalFormatting sqref="F22:BA44">
    <cfRule type="expression" dxfId="3663" priority="128891">
      <formula>(F336="x")</formula>
    </cfRule>
    <cfRule type="expression" dxfId="3662" priority="128892">
      <formula>(F340="x")</formula>
    </cfRule>
  </conditionalFormatting>
  <conditionalFormatting sqref="F22:BA44">
    <cfRule type="expression" dxfId="3661" priority="128898">
      <formula>(F350="x")</formula>
    </cfRule>
    <cfRule type="expression" dxfId="3660" priority="128899">
      <formula>(F349="x")</formula>
    </cfRule>
    <cfRule type="expression" dxfId="3659" priority="128900">
      <formula>(F346="x")</formula>
    </cfRule>
    <cfRule type="expression" dxfId="3658" priority="128901">
      <formula>(F345="x")</formula>
    </cfRule>
    <cfRule type="expression" dxfId="3657" priority="128902">
      <formula>(F344="x")</formula>
    </cfRule>
  </conditionalFormatting>
  <conditionalFormatting sqref="F22:BA44">
    <cfRule type="expression" dxfId="3656" priority="128910">
      <formula>(F356="x")</formula>
    </cfRule>
    <cfRule type="expression" dxfId="3655" priority="128911">
      <formula>(F351="x")</formula>
    </cfRule>
    <cfRule type="expression" dxfId="3654" priority="128912">
      <formula>(F355="x")</formula>
    </cfRule>
    <cfRule type="expression" dxfId="3653" priority="128913">
      <formula>(F352="x")</formula>
    </cfRule>
    <cfRule type="expression" dxfId="3652" priority="128914">
      <formula>(F354="x")</formula>
    </cfRule>
    <cfRule type="expression" dxfId="3651" priority="128915">
      <formula>(F347="x")</formula>
    </cfRule>
    <cfRule type="expression" dxfId="3650" priority="128916">
      <formula>(F348="x")</formula>
    </cfRule>
  </conditionalFormatting>
  <conditionalFormatting sqref="F22:BA44">
    <cfRule type="expression" dxfId="3649" priority="128921">
      <formula>(F335="x")</formula>
    </cfRule>
    <cfRule type="expression" dxfId="3648" priority="128922">
      <formula>(F334="x")</formula>
    </cfRule>
  </conditionalFormatting>
  <conditionalFormatting sqref="F22:BA44">
    <cfRule type="expression" dxfId="3647" priority="128927">
      <formula>(F279="x")</formula>
    </cfRule>
    <cfRule type="expression" dxfId="3646" priority="128928">
      <formula>(F280="x")</formula>
    </cfRule>
  </conditionalFormatting>
  <conditionalFormatting sqref="F22:BA44">
    <cfRule type="expression" dxfId="3645" priority="128952">
      <formula>(F307="x")</formula>
    </cfRule>
    <cfRule type="expression" dxfId="3644" priority="128953">
      <formula>(F306="x")</formula>
    </cfRule>
    <cfRule type="expression" dxfId="3643" priority="128954">
      <formula>(F310="x")</formula>
    </cfRule>
    <cfRule type="expression" dxfId="3642" priority="128955">
      <formula>(F311="x")</formula>
    </cfRule>
    <cfRule type="expression" dxfId="3641" priority="128956">
      <formula>(F312="x")</formula>
    </cfRule>
    <cfRule type="expression" dxfId="3640" priority="128957">
      <formula>(F313="x")</formula>
    </cfRule>
    <cfRule type="expression" dxfId="3639" priority="128958">
      <formula>(F316="x")</formula>
    </cfRule>
    <cfRule type="expression" dxfId="3638" priority="128959">
      <formula>(F328="x")</formula>
    </cfRule>
    <cfRule type="expression" dxfId="3637" priority="128960">
      <formula>(F315="x")</formula>
    </cfRule>
    <cfRule type="expression" dxfId="3636" priority="128961">
      <formula>(F314="x")</formula>
    </cfRule>
    <cfRule type="expression" dxfId="3635" priority="128962">
      <formula>(F329="x")</formula>
    </cfRule>
    <cfRule type="expression" dxfId="3634" priority="128963">
      <formula>(F324="x")</formula>
    </cfRule>
    <cfRule type="expression" dxfId="3633" priority="128964">
      <formula>(F327="x")</formula>
    </cfRule>
    <cfRule type="expression" dxfId="3632" priority="128965">
      <formula>(F323="x")</formula>
    </cfRule>
    <cfRule type="expression" dxfId="3631" priority="128966">
      <formula>(F326="x")</formula>
    </cfRule>
    <cfRule type="expression" dxfId="3630" priority="128967">
      <formula>(F322="x")</formula>
    </cfRule>
    <cfRule type="expression" dxfId="3629" priority="128968">
      <formula>(F325="x")</formula>
    </cfRule>
    <cfRule type="expression" dxfId="3628" priority="128969">
      <formula>(F321="x")</formula>
    </cfRule>
    <cfRule type="expression" dxfId="3627" priority="128970">
      <formula>(F320="x")</formula>
    </cfRule>
    <cfRule type="expression" dxfId="3626" priority="128971">
      <formula>(F319="x")</formula>
    </cfRule>
    <cfRule type="expression" dxfId="3625" priority="128972">
      <formula>(F317="x")</formula>
    </cfRule>
    <cfRule type="expression" dxfId="3624" priority="128973">
      <formula>(F303="x")</formula>
    </cfRule>
    <cfRule type="expression" dxfId="3623" priority="128974">
      <formula>(F302="x")</formula>
    </cfRule>
  </conditionalFormatting>
  <conditionalFormatting sqref="F22:BA44">
    <cfRule type="expression" dxfId="3622" priority="128977">
      <formula>(F332="x")</formula>
    </cfRule>
    <cfRule type="expression" dxfId="3621" priority="128978">
      <formula>(F330="x")</formula>
    </cfRule>
  </conditionalFormatting>
  <conditionalFormatting sqref="F22:BA44">
    <cfRule type="expression" dxfId="3620" priority="128985">
      <formula>(F305="x")</formula>
    </cfRule>
    <cfRule type="expression" dxfId="3619" priority="128986">
      <formula>(F296="x")</formula>
    </cfRule>
    <cfRule type="expression" dxfId="3618" priority="128987">
      <formula>(F294="x")</formula>
    </cfRule>
    <cfRule type="expression" dxfId="3617" priority="128988">
      <formula>(F301="x")</formula>
    </cfRule>
    <cfRule type="expression" dxfId="3616" priority="128989">
      <formula>(F297="x")</formula>
    </cfRule>
    <cfRule type="expression" dxfId="3615" priority="128990">
      <formula>(F291="x")</formula>
    </cfRule>
  </conditionalFormatting>
  <conditionalFormatting sqref="F22:BA44">
    <cfRule type="expression" dxfId="3614" priority="128996">
      <formula>(F259="x")</formula>
    </cfRule>
    <cfRule type="expression" dxfId="3613" priority="128997">
      <formula>(F241="x")</formula>
    </cfRule>
    <cfRule type="expression" dxfId="3612" priority="128998">
      <formula>(F240="x")</formula>
    </cfRule>
    <cfRule type="expression" dxfId="3611" priority="128999">
      <formula>(F256="x")</formula>
    </cfRule>
    <cfRule type="expression" dxfId="3610" priority="129000">
      <formula>(F265="x")</formula>
    </cfRule>
  </conditionalFormatting>
  <conditionalFormatting sqref="F22:BA44">
    <cfRule type="expression" dxfId="3609" priority="129003">
      <formula>(F268="x")</formula>
    </cfRule>
    <cfRule type="expression" dxfId="3608" priority="129004">
      <formula>(F254="x")</formula>
    </cfRule>
  </conditionalFormatting>
  <conditionalFormatting sqref="F22:BA44">
    <cfRule type="expression" dxfId="3607" priority="129014">
      <formula>(F221="x")</formula>
    </cfRule>
    <cfRule type="expression" dxfId="3606" priority="129015">
      <formula>(F237="x")</formula>
    </cfRule>
    <cfRule type="expression" dxfId="3605" priority="129016">
      <formula>(F258="x")</formula>
    </cfRule>
    <cfRule type="expression" dxfId="3604" priority="129017">
      <formula>(F220="x")</formula>
    </cfRule>
    <cfRule type="expression" dxfId="3603" priority="129018">
      <formula>(F228="x")</formula>
    </cfRule>
    <cfRule type="expression" dxfId="3602" priority="129019">
      <formula>(F266="x")</formula>
    </cfRule>
    <cfRule type="expression" dxfId="3601" priority="129020">
      <formula>(F264="x")</formula>
    </cfRule>
    <cfRule type="expression" dxfId="3600" priority="129021">
      <formula>(F257="x")</formula>
    </cfRule>
    <cfRule type="expression" dxfId="3599" priority="129022">
      <formula>(F247="x")</formula>
    </cfRule>
  </conditionalFormatting>
  <conditionalFormatting sqref="F22:BA44">
    <cfRule type="expression" dxfId="3598" priority="129032">
      <formula>(F293="x")</formula>
    </cfRule>
    <cfRule type="expression" dxfId="3597" priority="129033">
      <formula>(F289="x")</formula>
    </cfRule>
    <cfRule type="expression" dxfId="3596" priority="129034">
      <formula>(F284="x")</formula>
    </cfRule>
    <cfRule type="expression" dxfId="3595" priority="129035">
      <formula>(F288="x")</formula>
    </cfRule>
    <cfRule type="expression" dxfId="3594" priority="129036">
      <formula>(F286="x")</formula>
    </cfRule>
    <cfRule type="expression" dxfId="3593" priority="129037">
      <formula>(F290="x")</formula>
    </cfRule>
    <cfRule type="expression" dxfId="3592" priority="129038">
      <formula>(F281="x")</formula>
    </cfRule>
    <cfRule type="expression" dxfId="3591" priority="129039">
      <formula>(F292="x")</formula>
    </cfRule>
    <cfRule type="expression" dxfId="3590" priority="129040">
      <formula>(F210="x")</formula>
    </cfRule>
  </conditionalFormatting>
  <conditionalFormatting sqref="F22:BA44">
    <cfRule type="expression" dxfId="3589" priority="129049">
      <formula>(F243="x")</formula>
    </cfRule>
    <cfRule type="expression" dxfId="3588" priority="129050">
      <formula>(F245="x")</formula>
    </cfRule>
  </conditionalFormatting>
  <conditionalFormatting sqref="F22:BA44">
    <cfRule type="expression" dxfId="3587" priority="129054">
      <formula>(F278="x")</formula>
    </cfRule>
    <cfRule type="expression" dxfId="3586" priority="129055">
      <formula>(F282="x")</formula>
    </cfRule>
    <cfRule type="expression" dxfId="3585" priority="129056">
      <formula>(F208="x")</formula>
    </cfRule>
  </conditionalFormatting>
  <conditionalFormatting sqref="F22:BA44">
    <cfRule type="expression" dxfId="3584" priority="129081">
      <formula>(F232="x")</formula>
    </cfRule>
    <cfRule type="expression" dxfId="3583" priority="129082">
      <formula>(F252="x")</formula>
    </cfRule>
    <cfRule type="expression" dxfId="3582" priority="129083">
      <formula>(F270="x")</formula>
    </cfRule>
    <cfRule type="expression" dxfId="3581" priority="129084">
      <formula>(F229="x")</formula>
    </cfRule>
    <cfRule type="expression" dxfId="3580" priority="129085">
      <formula>(F262="x")</formula>
    </cfRule>
    <cfRule type="expression" dxfId="3579" priority="129086">
      <formula>(F276="x")</formula>
    </cfRule>
    <cfRule type="expression" dxfId="3578" priority="129087">
      <formula>(F274="x")</formula>
    </cfRule>
    <cfRule type="expression" dxfId="3577" priority="129088">
      <formula>(F272="x")</formula>
    </cfRule>
    <cfRule type="expression" dxfId="3576" priority="129089">
      <formula>(F261="x")</formula>
    </cfRule>
    <cfRule type="expression" dxfId="3575" priority="129090">
      <formula>(F260="x")</formula>
    </cfRule>
    <cfRule type="expression" dxfId="3574" priority="129091">
      <formula>(F255="x")</formula>
    </cfRule>
    <cfRule type="expression" dxfId="3573" priority="129092">
      <formula>(F223="x")</formula>
    </cfRule>
    <cfRule type="expression" dxfId="3572" priority="129093">
      <formula>(F222="x")</formula>
    </cfRule>
    <cfRule type="expression" dxfId="3571" priority="129094">
      <formula>(F217="x")</formula>
    </cfRule>
    <cfRule type="expression" dxfId="3570" priority="129095">
      <formula>(F253="x")</formula>
    </cfRule>
    <cfRule type="expression" dxfId="3569" priority="129096">
      <formula>(F213="x")</formula>
    </cfRule>
    <cfRule type="expression" dxfId="3568" priority="129097">
      <formula>(F236="x")</formula>
    </cfRule>
    <cfRule type="expression" dxfId="3567" priority="129098">
      <formula>(F226="x")</formula>
    </cfRule>
    <cfRule type="expression" dxfId="3566" priority="129099">
      <formula>(F224="x")</formula>
    </cfRule>
    <cfRule type="expression" dxfId="3565" priority="129100">
      <formula>(F218="x")</formula>
    </cfRule>
    <cfRule type="expression" dxfId="3564" priority="129101">
      <formula>(F242="x")</formula>
    </cfRule>
    <cfRule type="expression" dxfId="3563" priority="129102">
      <formula>(F230="x")</formula>
    </cfRule>
    <cfRule type="expression" dxfId="3562" priority="129103">
      <formula>(F267="x")</formula>
    </cfRule>
    <cfRule type="expression" dxfId="3561" priority="129104">
      <formula>(F227="x")</formula>
    </cfRule>
  </conditionalFormatting>
  <conditionalFormatting sqref="F22:BA44">
    <cfRule type="expression" dxfId="3560" priority="129108">
      <formula>(#REF!="x")</formula>
    </cfRule>
    <cfRule type="expression" dxfId="3559" priority="129109">
      <formula>(F214="x")</formula>
    </cfRule>
    <cfRule type="expression" dxfId="3558" priority="129110">
      <formula>(F212="x")</formula>
    </cfRule>
  </conditionalFormatting>
  <conditionalFormatting sqref="F22:BA44">
    <cfRule type="expression" dxfId="3557" priority="129113">
      <formula>(F219="x")</formula>
    </cfRule>
    <cfRule type="expression" dxfId="3556" priority="129114">
      <formula>(F197="x")</formula>
    </cfRule>
  </conditionalFormatting>
  <conditionalFormatting sqref="F22:BA44">
    <cfRule type="expression" dxfId="3555" priority="129117">
      <formula>(F190="x")</formula>
    </cfRule>
    <cfRule type="expression" dxfId="3554" priority="129118">
      <formula>(F189="x")</formula>
    </cfRule>
  </conditionalFormatting>
  <conditionalFormatting sqref="F52:BA54">
    <cfRule type="expression" dxfId="3553" priority="129328">
      <formula>(F230="x")</formula>
    </cfRule>
  </conditionalFormatting>
  <conditionalFormatting sqref="F54:BA54">
    <cfRule type="expression" dxfId="3552" priority="129495">
      <formula>(F341="x")</formula>
    </cfRule>
    <cfRule type="expression" dxfId="3551" priority="129496">
      <formula>(F342="x")</formula>
    </cfRule>
  </conditionalFormatting>
  <conditionalFormatting sqref="F54:BA54 F52:BA52">
    <cfRule type="expression" dxfId="3550" priority="129503">
      <formula>(F333="x")</formula>
    </cfRule>
    <cfRule type="expression" dxfId="3549" priority="129504">
      <formula>(F337="x")</formula>
    </cfRule>
  </conditionalFormatting>
  <conditionalFormatting sqref="F54:BA54 F52:BA52">
    <cfRule type="expression" dxfId="3548" priority="129507">
      <formula>(F347="x")</formula>
    </cfRule>
    <cfRule type="expression" dxfId="3547" priority="129508">
      <formula>(F346="x")</formula>
    </cfRule>
    <cfRule type="expression" dxfId="3546" priority="129509">
      <formula>(F343="x")</formula>
    </cfRule>
    <cfRule type="expression" dxfId="3545" priority="129510">
      <formula>(F342="x")</formula>
    </cfRule>
    <cfRule type="expression" dxfId="3544" priority="129511">
      <formula>(F341="x")</formula>
    </cfRule>
  </conditionalFormatting>
  <conditionalFormatting sqref="F52:BA52">
    <cfRule type="expression" dxfId="3543" priority="129517">
      <formula>(F353="x")</formula>
    </cfRule>
    <cfRule type="expression" dxfId="3542" priority="129518">
      <formula>(F348="x")</formula>
    </cfRule>
    <cfRule type="expression" dxfId="3541" priority="129519">
      <formula>(F352="x")</formula>
    </cfRule>
    <cfRule type="expression" dxfId="3540" priority="129520">
      <formula>(F349="x")</formula>
    </cfRule>
    <cfRule type="expression" dxfId="3539" priority="129521">
      <formula>(F351="x")</formula>
    </cfRule>
    <cfRule type="expression" dxfId="3538" priority="129522">
      <formula>(F344="x")</formula>
    </cfRule>
    <cfRule type="expression" dxfId="3537" priority="129523">
      <formula>(F345="x")</formula>
    </cfRule>
  </conditionalFormatting>
  <conditionalFormatting sqref="F52:BA52">
    <cfRule type="expression" dxfId="3536" priority="129524">
      <formula>(F357="x")</formula>
    </cfRule>
    <cfRule type="expression" dxfId="3535" priority="129525">
      <formula>(F356="x")</formula>
    </cfRule>
  </conditionalFormatting>
  <conditionalFormatting sqref="F52:BA54">
    <cfRule type="expression" dxfId="3534" priority="129527">
      <formula>(F332="x")</formula>
    </cfRule>
    <cfRule type="expression" dxfId="3533" priority="129528">
      <formula>(F331="x")</formula>
    </cfRule>
  </conditionalFormatting>
  <conditionalFormatting sqref="F52:BA54">
    <cfRule type="expression" dxfId="3532" priority="129529">
      <formula>(F276="x")</formula>
    </cfRule>
    <cfRule type="expression" dxfId="3531" priority="129530">
      <formula>(F277="x")</formula>
    </cfRule>
  </conditionalFormatting>
  <conditionalFormatting sqref="F52:BA54">
    <cfRule type="expression" dxfId="3530" priority="129531">
      <formula>(F304="x")</formula>
    </cfRule>
    <cfRule type="expression" dxfId="3529" priority="129532">
      <formula>(F303="x")</formula>
    </cfRule>
    <cfRule type="expression" dxfId="3528" priority="129533">
      <formula>(F307="x")</formula>
    </cfRule>
    <cfRule type="expression" dxfId="3527" priority="129534">
      <formula>(F308="x")</formula>
    </cfRule>
    <cfRule type="expression" dxfId="3526" priority="129535">
      <formula>(F309="x")</formula>
    </cfRule>
    <cfRule type="expression" dxfId="3525" priority="129536">
      <formula>(F310="x")</formula>
    </cfRule>
    <cfRule type="expression" dxfId="3524" priority="129537">
      <formula>(F313="x")</formula>
    </cfRule>
    <cfRule type="expression" dxfId="3523" priority="129538">
      <formula>(F325="x")</formula>
    </cfRule>
    <cfRule type="expression" dxfId="3522" priority="129539">
      <formula>(F312="x")</formula>
    </cfRule>
    <cfRule type="expression" dxfId="3521" priority="129540">
      <formula>(F311="x")</formula>
    </cfRule>
    <cfRule type="expression" dxfId="3520" priority="129541">
      <formula>(F326="x")</formula>
    </cfRule>
    <cfRule type="expression" dxfId="3519" priority="129542">
      <formula>(F321="x")</formula>
    </cfRule>
    <cfRule type="expression" dxfId="3518" priority="129543">
      <formula>(F324="x")</formula>
    </cfRule>
    <cfRule type="expression" dxfId="3517" priority="129544">
      <formula>(F320="x")</formula>
    </cfRule>
    <cfRule type="expression" dxfId="3516" priority="129545">
      <formula>(F323="x")</formula>
    </cfRule>
    <cfRule type="expression" dxfId="3515" priority="129546">
      <formula>(F319="x")</formula>
    </cfRule>
    <cfRule type="expression" dxfId="3514" priority="129547">
      <formula>(F322="x")</formula>
    </cfRule>
    <cfRule type="expression" dxfId="3513" priority="129548">
      <formula>(F318="x")</formula>
    </cfRule>
    <cfRule type="expression" dxfId="3512" priority="129549">
      <formula>(F317="x")</formula>
    </cfRule>
    <cfRule type="expression" dxfId="3511" priority="129550">
      <formula>(F316="x")</formula>
    </cfRule>
    <cfRule type="expression" dxfId="3510" priority="129551">
      <formula>(F314="x")</formula>
    </cfRule>
    <cfRule type="expression" dxfId="3509" priority="129552">
      <formula>(F300="x")</formula>
    </cfRule>
    <cfRule type="expression" dxfId="3508" priority="129553">
      <formula>(F299="x")</formula>
    </cfRule>
  </conditionalFormatting>
  <conditionalFormatting sqref="F52:BA54">
    <cfRule type="expression" dxfId="3507" priority="129554">
      <formula>(F329="x")</formula>
    </cfRule>
    <cfRule type="expression" dxfId="3506" priority="129555">
      <formula>(F327="x")</formula>
    </cfRule>
  </conditionalFormatting>
  <conditionalFormatting sqref="F52:BA54">
    <cfRule type="expression" dxfId="3505" priority="129556">
      <formula>(F302="x")</formula>
    </cfRule>
    <cfRule type="expression" dxfId="3504" priority="129557">
      <formula>(F293="x")</formula>
    </cfRule>
    <cfRule type="expression" dxfId="3503" priority="129558">
      <formula>(F291="x")</formula>
    </cfRule>
    <cfRule type="expression" dxfId="3502" priority="129559">
      <formula>(F298="x")</formula>
    </cfRule>
    <cfRule type="expression" dxfId="3501" priority="129560">
      <formula>(F294="x")</formula>
    </cfRule>
    <cfRule type="expression" dxfId="3500" priority="129561">
      <formula>(F288="x")</formula>
    </cfRule>
  </conditionalFormatting>
  <conditionalFormatting sqref="F52:BA54">
    <cfRule type="expression" dxfId="3499" priority="129562">
      <formula>(F256="x")</formula>
    </cfRule>
    <cfRule type="expression" dxfId="3498" priority="129563">
      <formula>(F238="x")</formula>
    </cfRule>
    <cfRule type="expression" dxfId="3497" priority="129564">
      <formula>(F237="x")</formula>
    </cfRule>
    <cfRule type="expression" dxfId="3496" priority="129565">
      <formula>(F253="x")</formula>
    </cfRule>
    <cfRule type="expression" dxfId="3495" priority="129566">
      <formula>(F262="x")</formula>
    </cfRule>
  </conditionalFormatting>
  <conditionalFormatting sqref="F52:BA54">
    <cfRule type="expression" dxfId="3494" priority="129567">
      <formula>(F265="x")</formula>
    </cfRule>
    <cfRule type="expression" dxfId="3493" priority="129568">
      <formula>(F251="x")</formula>
    </cfRule>
  </conditionalFormatting>
  <conditionalFormatting sqref="F52:BA54">
    <cfRule type="expression" dxfId="3492" priority="129569">
      <formula>(F218="x")</formula>
    </cfRule>
    <cfRule type="expression" dxfId="3491" priority="129570">
      <formula>(F234="x")</formula>
    </cfRule>
    <cfRule type="expression" dxfId="3490" priority="129571">
      <formula>(F255="x")</formula>
    </cfRule>
    <cfRule type="expression" dxfId="3489" priority="129572">
      <formula>(F217="x")</formula>
    </cfRule>
    <cfRule type="expression" dxfId="3488" priority="129573">
      <formula>(F225="x")</formula>
    </cfRule>
    <cfRule type="expression" dxfId="3487" priority="129574">
      <formula>(F263="x")</formula>
    </cfRule>
    <cfRule type="expression" dxfId="3486" priority="129575">
      <formula>(F261="x")</formula>
    </cfRule>
    <cfRule type="expression" dxfId="3485" priority="129576">
      <formula>(F254="x")</formula>
    </cfRule>
    <cfRule type="expression" dxfId="3484" priority="129577">
      <formula>(F244="x")</formula>
    </cfRule>
  </conditionalFormatting>
  <conditionalFormatting sqref="F52:BA54">
    <cfRule type="expression" dxfId="3483" priority="129578">
      <formula>(F290="x")</formula>
    </cfRule>
    <cfRule type="expression" dxfId="3482" priority="129579">
      <formula>(F286="x")</formula>
    </cfRule>
    <cfRule type="expression" dxfId="3481" priority="129580">
      <formula>(F281="x")</formula>
    </cfRule>
    <cfRule type="expression" dxfId="3480" priority="129581">
      <formula>(F285="x")</formula>
    </cfRule>
    <cfRule type="expression" dxfId="3479" priority="129582">
      <formula>(F283="x")</formula>
    </cfRule>
    <cfRule type="expression" dxfId="3478" priority="129583">
      <formula>(F287="x")</formula>
    </cfRule>
    <cfRule type="expression" dxfId="3477" priority="129584">
      <formula>(F278="x")</formula>
    </cfRule>
    <cfRule type="expression" dxfId="3476" priority="129585">
      <formula>(F289="x")</formula>
    </cfRule>
    <cfRule type="expression" dxfId="3475" priority="129586">
      <formula>(F207="x")</formula>
    </cfRule>
  </conditionalFormatting>
  <conditionalFormatting sqref="F52:BA54">
    <cfRule type="expression" dxfId="3474" priority="129590">
      <formula>(F240="x")</formula>
    </cfRule>
    <cfRule type="expression" dxfId="3473" priority="129591">
      <formula>(F242="x")</formula>
    </cfRule>
  </conditionalFormatting>
  <conditionalFormatting sqref="F52:BA54">
    <cfRule type="expression" dxfId="3472" priority="129592">
      <formula>(F275="x")</formula>
    </cfRule>
    <cfRule type="expression" dxfId="3471" priority="129593">
      <formula>(F279="x")</formula>
    </cfRule>
    <cfRule type="expression" dxfId="3470" priority="129594">
      <formula>(F205="x")</formula>
    </cfRule>
  </conditionalFormatting>
  <conditionalFormatting sqref="F52:BA54">
    <cfRule type="expression" dxfId="3469" priority="129595">
      <formula>(F229="x")</formula>
    </cfRule>
    <cfRule type="expression" dxfId="3468" priority="129596">
      <formula>(F249="x")</formula>
    </cfRule>
    <cfRule type="expression" dxfId="3467" priority="129597">
      <formula>(F267="x")</formula>
    </cfRule>
    <cfRule type="expression" dxfId="3466" priority="129598">
      <formula>(F226="x")</formula>
    </cfRule>
    <cfRule type="expression" dxfId="3465" priority="129599">
      <formula>(F259="x")</formula>
    </cfRule>
    <cfRule type="expression" dxfId="3464" priority="129600">
      <formula>(F273="x")</formula>
    </cfRule>
    <cfRule type="expression" dxfId="3463" priority="129601">
      <formula>(F271="x")</formula>
    </cfRule>
    <cfRule type="expression" dxfId="3462" priority="129602">
      <formula>(F269="x")</formula>
    </cfRule>
    <cfRule type="expression" dxfId="3461" priority="129603">
      <formula>(F258="x")</formula>
    </cfRule>
    <cfRule type="expression" dxfId="3460" priority="129604">
      <formula>(F257="x")</formula>
    </cfRule>
    <cfRule type="expression" dxfId="3459" priority="129605">
      <formula>(F252="x")</formula>
    </cfRule>
    <cfRule type="expression" dxfId="3458" priority="129606">
      <formula>(F220="x")</formula>
    </cfRule>
    <cfRule type="expression" dxfId="3457" priority="129607">
      <formula>(F219="x")</formula>
    </cfRule>
    <cfRule type="expression" dxfId="3456" priority="129608">
      <formula>(F214="x")</formula>
    </cfRule>
    <cfRule type="expression" dxfId="3455" priority="129609">
      <formula>(F250="x")</formula>
    </cfRule>
    <cfRule type="expression" dxfId="3454" priority="129610">
      <formula>(F210="x")</formula>
    </cfRule>
    <cfRule type="expression" dxfId="3453" priority="129611">
      <formula>(F233="x")</formula>
    </cfRule>
    <cfRule type="expression" dxfId="3452" priority="129612">
      <formula>(F223="x")</formula>
    </cfRule>
    <cfRule type="expression" dxfId="3451" priority="129613">
      <formula>(F221="x")</formula>
    </cfRule>
    <cfRule type="expression" dxfId="3450" priority="129614">
      <formula>(F215="x")</formula>
    </cfRule>
    <cfRule type="expression" dxfId="3449" priority="129615">
      <formula>(F239="x")</formula>
    </cfRule>
    <cfRule type="expression" dxfId="3448" priority="129616">
      <formula>(F227="x")</formula>
    </cfRule>
    <cfRule type="expression" dxfId="3447" priority="129617">
      <formula>(F264="x")</formula>
    </cfRule>
    <cfRule type="expression" dxfId="3446" priority="129618">
      <formula>(F224="x")</formula>
    </cfRule>
  </conditionalFormatting>
  <conditionalFormatting sqref="F52:BA54">
    <cfRule type="expression" dxfId="3445" priority="129619">
      <formula>(#REF!="x")</formula>
    </cfRule>
    <cfRule type="expression" dxfId="3444" priority="129620">
      <formula>(F211="x")</formula>
    </cfRule>
    <cfRule type="expression" dxfId="3443" priority="129621">
      <formula>(F209="x")</formula>
    </cfRule>
  </conditionalFormatting>
  <conditionalFormatting sqref="F52:BA54">
    <cfRule type="expression" dxfId="3442" priority="129622">
      <formula>(F216="x")</formula>
    </cfRule>
    <cfRule type="expression" dxfId="3441" priority="129623">
      <formula>(F194="x")</formula>
    </cfRule>
  </conditionalFormatting>
  <conditionalFormatting sqref="F85:BA90">
    <cfRule type="expression" dxfId="3440" priority="129624">
      <formula>(F222="x")</formula>
    </cfRule>
    <cfRule type="expression" dxfId="3439" priority="129625">
      <formula>(F221="x")</formula>
    </cfRule>
  </conditionalFormatting>
  <conditionalFormatting sqref="F31:BA44">
    <cfRule type="expression" dxfId="3438" priority="129645">
      <formula>(F355="x")</formula>
    </cfRule>
    <cfRule type="expression" dxfId="3437" priority="129646">
      <formula>(F354="x")</formula>
    </cfRule>
  </conditionalFormatting>
  <conditionalFormatting sqref="F23:BA44">
    <cfRule type="expression" dxfId="3436" priority="130024">
      <formula>(F194="x")</formula>
    </cfRule>
    <cfRule type="expression" dxfId="3435" priority="130025">
      <formula>(F193="x")</formula>
    </cfRule>
  </conditionalFormatting>
  <conditionalFormatting sqref="F23:BA44">
    <cfRule type="expression" dxfId="3434" priority="130028">
      <formula>(F252="x")</formula>
    </cfRule>
    <cfRule type="expression" dxfId="3433" priority="130029">
      <formula>(F191="x")</formula>
    </cfRule>
  </conditionalFormatting>
  <conditionalFormatting sqref="F92:BA95 F84:BA84 F15:BA45 F10:BA13">
    <cfRule type="expression" dxfId="3432" priority="130194">
      <formula>(F220="x")</formula>
    </cfRule>
  </conditionalFormatting>
  <conditionalFormatting sqref="F52:BA61">
    <cfRule type="expression" dxfId="3431" priority="130210">
      <formula>(F297="x")</formula>
    </cfRule>
  </conditionalFormatting>
  <conditionalFormatting sqref="F83:BA83 F65:BA68 F52:BA54 F71:BA77 F19:BA45 F10:BA13">
    <cfRule type="expression" dxfId="3430" priority="130301">
      <formula>(F263="x")</formula>
    </cfRule>
  </conditionalFormatting>
  <conditionalFormatting sqref="F65:BA68 F81:BA82 F91:BA91 F71:BA74 F15:BA44 F13:BA13 F11:BA11 F48:BA51">
    <cfRule type="expression" dxfId="3429" priority="130336">
      <formula>(F199="x")</formula>
    </cfRule>
  </conditionalFormatting>
  <conditionalFormatting sqref="F55:BA68 F80:BA82 F15:BA44">
    <cfRule type="expression" dxfId="3428" priority="130357">
      <formula>(F302="x")</formula>
    </cfRule>
  </conditionalFormatting>
  <conditionalFormatting sqref="F65:BA68">
    <cfRule type="expression" dxfId="3427" priority="130469">
      <formula>(F372="x")</formula>
    </cfRule>
  </conditionalFormatting>
  <conditionalFormatting sqref="F53:BA55">
    <cfRule type="expression" dxfId="3426" priority="130625">
      <formula>(F247="x")</formula>
    </cfRule>
  </conditionalFormatting>
  <conditionalFormatting sqref="F10:BA11">
    <cfRule type="expression" dxfId="3425" priority="130628">
      <formula>(F293="x")</formula>
    </cfRule>
  </conditionalFormatting>
  <conditionalFormatting sqref="F14:BA44">
    <cfRule type="expression" dxfId="3424" priority="130630">
      <formula>(F321="x")</formula>
    </cfRule>
    <cfRule type="expression" dxfId="3423" priority="130631">
      <formula>(F322="x")</formula>
    </cfRule>
  </conditionalFormatting>
  <conditionalFormatting sqref="F14:BA44">
    <cfRule type="expression" dxfId="3422" priority="130632">
      <formula>(F315="x")</formula>
    </cfRule>
    <cfRule type="expression" dxfId="3421" priority="130633">
      <formula>(F319="x")</formula>
    </cfRule>
  </conditionalFormatting>
  <conditionalFormatting sqref="F14:BA44">
    <cfRule type="expression" dxfId="3420" priority="130634">
      <formula>(F329="x")</formula>
    </cfRule>
    <cfRule type="expression" dxfId="3419" priority="130635">
      <formula>(F328="x")</formula>
    </cfRule>
    <cfRule type="expression" dxfId="3418" priority="130636">
      <formula>(F325="x")</formula>
    </cfRule>
    <cfRule type="expression" dxfId="3417" priority="130637">
      <formula>(F324="x")</formula>
    </cfRule>
    <cfRule type="expression" dxfId="3416" priority="130638">
      <formula>(F323="x")</formula>
    </cfRule>
  </conditionalFormatting>
  <conditionalFormatting sqref="F14:BA44">
    <cfRule type="expression" dxfId="3415" priority="130639">
      <formula>(F335="x")</formula>
    </cfRule>
    <cfRule type="expression" dxfId="3414" priority="130640">
      <formula>(F330="x")</formula>
    </cfRule>
    <cfRule type="expression" dxfId="3413" priority="130641">
      <formula>(F334="x")</formula>
    </cfRule>
    <cfRule type="expression" dxfId="3412" priority="130642">
      <formula>(F331="x")</formula>
    </cfRule>
    <cfRule type="expression" dxfId="3411" priority="130643">
      <formula>(F333="x")</formula>
    </cfRule>
    <cfRule type="expression" dxfId="3410" priority="130644">
      <formula>(F326="x")</formula>
    </cfRule>
    <cfRule type="expression" dxfId="3409" priority="130645">
      <formula>(F327="x")</formula>
    </cfRule>
  </conditionalFormatting>
  <conditionalFormatting sqref="F14:BA44">
    <cfRule type="expression" dxfId="3408" priority="130646">
      <formula>(F314="x")</formula>
    </cfRule>
    <cfRule type="expression" dxfId="3407" priority="130647">
      <formula>(F313="x")</formula>
    </cfRule>
  </conditionalFormatting>
  <conditionalFormatting sqref="F14:BA44">
    <cfRule type="expression" dxfId="3406" priority="130648">
      <formula>(F286="x")</formula>
    </cfRule>
    <cfRule type="expression" dxfId="3405" priority="130649">
      <formula>(F285="x")</formula>
    </cfRule>
    <cfRule type="expression" dxfId="3404" priority="130650">
      <formula>(F289="x")</formula>
    </cfRule>
    <cfRule type="expression" dxfId="3403" priority="130651">
      <formula>(F290="x")</formula>
    </cfRule>
    <cfRule type="expression" dxfId="3402" priority="130652">
      <formula>(F291="x")</formula>
    </cfRule>
    <cfRule type="expression" dxfId="3401" priority="130653">
      <formula>(F292="x")</formula>
    </cfRule>
    <cfRule type="expression" dxfId="3400" priority="130654">
      <formula>(F295="x")</formula>
    </cfRule>
    <cfRule type="expression" dxfId="3399" priority="130655">
      <formula>(F307="x")</formula>
    </cfRule>
    <cfRule type="expression" dxfId="3398" priority="130656">
      <formula>(F294="x")</formula>
    </cfRule>
    <cfRule type="expression" dxfId="3397" priority="130657">
      <formula>(F293="x")</formula>
    </cfRule>
    <cfRule type="expression" dxfId="3396" priority="130658">
      <formula>(F308="x")</formula>
    </cfRule>
    <cfRule type="expression" dxfId="3395" priority="130659">
      <formula>(F303="x")</formula>
    </cfRule>
    <cfRule type="expression" dxfId="3394" priority="130660">
      <formula>(F306="x")</formula>
    </cfRule>
    <cfRule type="expression" dxfId="3393" priority="130661">
      <formula>(F302="x")</formula>
    </cfRule>
    <cfRule type="expression" dxfId="3392" priority="130662">
      <formula>(F305="x")</formula>
    </cfRule>
    <cfRule type="expression" dxfId="3391" priority="130663">
      <formula>(F301="x")</formula>
    </cfRule>
    <cfRule type="expression" dxfId="3390" priority="130664">
      <formula>(F304="x")</formula>
    </cfRule>
    <cfRule type="expression" dxfId="3389" priority="130665">
      <formula>(F300="x")</formula>
    </cfRule>
    <cfRule type="expression" dxfId="3388" priority="130666">
      <formula>(F299="x")</formula>
    </cfRule>
    <cfRule type="expression" dxfId="3387" priority="130667">
      <formula>(F298="x")</formula>
    </cfRule>
    <cfRule type="expression" dxfId="3386" priority="130668">
      <formula>(F296="x")</formula>
    </cfRule>
    <cfRule type="expression" dxfId="3385" priority="130669">
      <formula>(F282="x")</formula>
    </cfRule>
    <cfRule type="expression" dxfId="3384" priority="130670">
      <formula>(F281="x")</formula>
    </cfRule>
  </conditionalFormatting>
  <conditionalFormatting sqref="F14:BA44">
    <cfRule type="expression" dxfId="3383" priority="130671">
      <formula>(F311="x")</formula>
    </cfRule>
    <cfRule type="expression" dxfId="3382" priority="130672">
      <formula>(F309="x")</formula>
    </cfRule>
  </conditionalFormatting>
  <conditionalFormatting sqref="F83:BA83">
    <cfRule type="expression" dxfId="3381" priority="130673">
      <formula>(F346="x")</formula>
    </cfRule>
    <cfRule type="expression" dxfId="3380" priority="130674">
      <formula>(F337="x")</formula>
    </cfRule>
    <cfRule type="expression" dxfId="3379" priority="130675">
      <formula>(F335="x")</formula>
    </cfRule>
    <cfRule type="expression" dxfId="3378" priority="130676">
      <formula>(F342="x")</formula>
    </cfRule>
    <cfRule type="expression" dxfId="3377" priority="130677">
      <formula>(F338="x")</formula>
    </cfRule>
    <cfRule type="expression" dxfId="3376" priority="130678">
      <formula>(F332="x")</formula>
    </cfRule>
  </conditionalFormatting>
  <conditionalFormatting sqref="F14:BA44">
    <cfRule type="expression" dxfId="3375" priority="130679">
      <formula>(F238="x")</formula>
    </cfRule>
    <cfRule type="expression" dxfId="3374" priority="130680">
      <formula>(F220="x")</formula>
    </cfRule>
    <cfRule type="expression" dxfId="3373" priority="130681">
      <formula>(F219="x")</formula>
    </cfRule>
    <cfRule type="expression" dxfId="3372" priority="130682">
      <formula>(F235="x")</formula>
    </cfRule>
    <cfRule type="expression" dxfId="3371" priority="130683">
      <formula>(F244="x")</formula>
    </cfRule>
  </conditionalFormatting>
  <conditionalFormatting sqref="F14:BA44">
    <cfRule type="expression" dxfId="3370" priority="130684">
      <formula>(F247="x")</formula>
    </cfRule>
    <cfRule type="expression" dxfId="3369" priority="130685">
      <formula>(F233="x")</formula>
    </cfRule>
  </conditionalFormatting>
  <conditionalFormatting sqref="F14:BA44">
    <cfRule type="expression" dxfId="3368" priority="130686">
      <formula>(F200="x")</formula>
    </cfRule>
    <cfRule type="expression" dxfId="3367" priority="130687">
      <formula>(F216="x")</formula>
    </cfRule>
    <cfRule type="expression" dxfId="3366" priority="130688">
      <formula>(F237="x")</formula>
    </cfRule>
    <cfRule type="expression" dxfId="3365" priority="130689">
      <formula>(F199="x")</formula>
    </cfRule>
    <cfRule type="expression" dxfId="3364" priority="130690">
      <formula>(F207="x")</formula>
    </cfRule>
    <cfRule type="expression" dxfId="3363" priority="130691">
      <formula>(F245="x")</formula>
    </cfRule>
    <cfRule type="expression" dxfId="3362" priority="130692">
      <formula>(F243="x")</formula>
    </cfRule>
    <cfRule type="expression" dxfId="3361" priority="130693">
      <formula>(F236="x")</formula>
    </cfRule>
    <cfRule type="expression" dxfId="3360" priority="130694">
      <formula>(F226="x")</formula>
    </cfRule>
  </conditionalFormatting>
  <conditionalFormatting sqref="F14:BA44">
    <cfRule type="expression" dxfId="3359" priority="130695">
      <formula>(F272="x")</formula>
    </cfRule>
    <cfRule type="expression" dxfId="3358" priority="130696">
      <formula>(F268="x")</formula>
    </cfRule>
    <cfRule type="expression" dxfId="3357" priority="130697">
      <formula>(F263="x")</formula>
    </cfRule>
    <cfRule type="expression" dxfId="3356" priority="130698">
      <formula>(F267="x")</formula>
    </cfRule>
    <cfRule type="expression" dxfId="3355" priority="130699">
      <formula>(F265="x")</formula>
    </cfRule>
    <cfRule type="expression" dxfId="3354" priority="130700">
      <formula>(F269="x")</formula>
    </cfRule>
    <cfRule type="expression" dxfId="3353" priority="130701">
      <formula>(F260="x")</formula>
    </cfRule>
    <cfRule type="expression" dxfId="3352" priority="130702">
      <formula>(F271="x")</formula>
    </cfRule>
    <cfRule type="expression" dxfId="3351" priority="130703">
      <formula>(F189="x")</formula>
    </cfRule>
  </conditionalFormatting>
  <conditionalFormatting sqref="F14:BA44">
    <cfRule type="expression" dxfId="3350" priority="130704">
      <formula>(F222="x")</formula>
    </cfRule>
    <cfRule type="expression" dxfId="3349" priority="130705">
      <formula>(F224="x")</formula>
    </cfRule>
  </conditionalFormatting>
  <conditionalFormatting sqref="F50:BA54 F13:BA13 F16:BA44 F11:BA11">
    <cfRule type="expression" dxfId="3348" priority="130706">
      <formula>(F202="x")</formula>
    </cfRule>
  </conditionalFormatting>
  <conditionalFormatting sqref="F14:BA44">
    <cfRule type="expression" dxfId="3347" priority="130708">
      <formula>(F257="x")</formula>
    </cfRule>
    <cfRule type="expression" dxfId="3346" priority="130709">
      <formula>(F261="x")</formula>
    </cfRule>
    <cfRule type="expression" dxfId="3345" priority="130710">
      <formula>(F187="x")</formula>
    </cfRule>
  </conditionalFormatting>
  <conditionalFormatting sqref="F14:BA44">
    <cfRule type="expression" dxfId="3344" priority="130711">
      <formula>(F211="x")</formula>
    </cfRule>
    <cfRule type="expression" dxfId="3343" priority="130712">
      <formula>(F231="x")</formula>
    </cfRule>
    <cfRule type="expression" dxfId="3342" priority="130713">
      <formula>(F249="x")</formula>
    </cfRule>
    <cfRule type="expression" dxfId="3341" priority="130714">
      <formula>(F208="x")</formula>
    </cfRule>
    <cfRule type="expression" dxfId="3340" priority="130715">
      <formula>(F241="x")</formula>
    </cfRule>
    <cfRule type="expression" dxfId="3339" priority="130716">
      <formula>(F255="x")</formula>
    </cfRule>
    <cfRule type="expression" dxfId="3338" priority="130717">
      <formula>(F253="x")</formula>
    </cfRule>
    <cfRule type="expression" dxfId="3337" priority="130718">
      <formula>(F251="x")</formula>
    </cfRule>
    <cfRule type="expression" dxfId="3336" priority="130719">
      <formula>(F240="x")</formula>
    </cfRule>
    <cfRule type="expression" dxfId="3335" priority="130720">
      <formula>(F239="x")</formula>
    </cfRule>
    <cfRule type="expression" dxfId="3334" priority="130721">
      <formula>(F234="x")</formula>
    </cfRule>
    <cfRule type="expression" dxfId="3333" priority="130722">
      <formula>(F202="x")</formula>
    </cfRule>
    <cfRule type="expression" dxfId="3332" priority="130723">
      <formula>(F201="x")</formula>
    </cfRule>
    <cfRule type="expression" dxfId="3331" priority="130724">
      <formula>(F196="x")</formula>
    </cfRule>
    <cfRule type="expression" dxfId="3330" priority="130725">
      <formula>(F232="x")</formula>
    </cfRule>
    <cfRule type="expression" dxfId="3329" priority="130726">
      <formula>(F192="x")</formula>
    </cfRule>
    <cfRule type="expression" dxfId="3328" priority="130727">
      <formula>(F215="x")</formula>
    </cfRule>
    <cfRule type="expression" dxfId="3327" priority="130728">
      <formula>(F205="x")</formula>
    </cfRule>
    <cfRule type="expression" dxfId="3326" priority="130729">
      <formula>(F203="x")</formula>
    </cfRule>
    <cfRule type="expression" dxfId="3325" priority="130730">
      <formula>(F197="x")</formula>
    </cfRule>
    <cfRule type="expression" dxfId="3324" priority="130731">
      <formula>(F221="x")</formula>
    </cfRule>
    <cfRule type="expression" dxfId="3323" priority="130732">
      <formula>(F209="x")</formula>
    </cfRule>
    <cfRule type="expression" dxfId="3322" priority="130733">
      <formula>(F246="x")</formula>
    </cfRule>
    <cfRule type="expression" dxfId="3321" priority="130734">
      <formula>(F206="x")</formula>
    </cfRule>
  </conditionalFormatting>
  <conditionalFormatting sqref="F14:BA44">
    <cfRule type="expression" dxfId="3320" priority="130735">
      <formula>(#REF!="x")</formula>
    </cfRule>
    <cfRule type="expression" dxfId="3319" priority="130736">
      <formula>(F193="x")</formula>
    </cfRule>
    <cfRule type="expression" dxfId="3318" priority="130737">
      <formula>(F191="x")</formula>
    </cfRule>
  </conditionalFormatting>
  <conditionalFormatting sqref="F84:BA84">
    <cfRule type="expression" dxfId="3317" priority="130749">
      <formula>(F347="x")</formula>
    </cfRule>
  </conditionalFormatting>
  <conditionalFormatting sqref="F20:BA44">
    <cfRule type="expression" dxfId="3316" priority="130917">
      <formula>(F334="x")</formula>
    </cfRule>
  </conditionalFormatting>
  <conditionalFormatting sqref="F81:BA82">
    <cfRule type="expression" dxfId="3315" priority="130927">
      <formula>(F263="x")</formula>
    </cfRule>
  </conditionalFormatting>
  <conditionalFormatting sqref="F24:BA44">
    <cfRule type="expression" dxfId="3314" priority="130944">
      <formula>(F375="x")</formula>
    </cfRule>
    <cfRule type="expression" dxfId="3313" priority="130945">
      <formula>(F376="x")</formula>
    </cfRule>
  </conditionalFormatting>
  <conditionalFormatting sqref="F24:BA44">
    <cfRule type="expression" dxfId="3312" priority="130949">
      <formula>(F390="x")</formula>
    </cfRule>
  </conditionalFormatting>
  <conditionalFormatting sqref="F24:BA44">
    <cfRule type="expression" dxfId="3311" priority="130951">
      <formula>(F391="x")</formula>
    </cfRule>
  </conditionalFormatting>
  <conditionalFormatting sqref="F24:BA44">
    <cfRule type="expression" dxfId="3310" priority="130960">
      <formula>(F369="x")</formula>
    </cfRule>
    <cfRule type="expression" dxfId="3309" priority="130961">
      <formula>(F373="x")</formula>
    </cfRule>
  </conditionalFormatting>
  <conditionalFormatting sqref="F24:BA44">
    <cfRule type="expression" dxfId="3308" priority="130967">
      <formula>(F383="x")</formula>
    </cfRule>
    <cfRule type="expression" dxfId="3307" priority="130968">
      <formula>(F382="x")</formula>
    </cfRule>
    <cfRule type="expression" dxfId="3306" priority="130969">
      <formula>(F379="x")</formula>
    </cfRule>
    <cfRule type="expression" dxfId="3305" priority="130970">
      <formula>(F378="x")</formula>
    </cfRule>
    <cfRule type="expression" dxfId="3304" priority="130971">
      <formula>(F377="x")</formula>
    </cfRule>
  </conditionalFormatting>
  <conditionalFormatting sqref="F24:BA44">
    <cfRule type="expression" dxfId="3303" priority="130979">
      <formula>(F389="x")</formula>
    </cfRule>
    <cfRule type="expression" dxfId="3302" priority="130980">
      <formula>(F384="x")</formula>
    </cfRule>
    <cfRule type="expression" dxfId="3301" priority="130981">
      <formula>(F388="x")</formula>
    </cfRule>
    <cfRule type="expression" dxfId="3300" priority="130982">
      <formula>(F385="x")</formula>
    </cfRule>
    <cfRule type="expression" dxfId="3299" priority="130983">
      <formula>(F387="x")</formula>
    </cfRule>
    <cfRule type="expression" dxfId="3298" priority="130984">
      <formula>(F380="x")</formula>
    </cfRule>
    <cfRule type="expression" dxfId="3297" priority="130985">
      <formula>(F381="x")</formula>
    </cfRule>
  </conditionalFormatting>
  <conditionalFormatting sqref="F24:BA44">
    <cfRule type="expression" dxfId="3296" priority="130988">
      <formula>(F393="x")</formula>
    </cfRule>
    <cfRule type="expression" dxfId="3295" priority="130989">
      <formula>(F392="x")</formula>
    </cfRule>
  </conditionalFormatting>
  <conditionalFormatting sqref="F24:BA44">
    <cfRule type="expression" dxfId="3294" priority="130991">
      <formula>(F370="x")</formula>
    </cfRule>
  </conditionalFormatting>
  <conditionalFormatting sqref="F24:BA44">
    <cfRule type="expression" dxfId="3293" priority="130999">
      <formula>(F371="x")</formula>
    </cfRule>
  </conditionalFormatting>
  <conditionalFormatting sqref="F24:BA44">
    <cfRule type="expression" dxfId="3292" priority="131039">
      <formula>(F340="x")</formula>
    </cfRule>
    <cfRule type="expression" dxfId="3291" priority="131040">
      <formula>(F339="x")</formula>
    </cfRule>
    <cfRule type="expression" dxfId="3290" priority="131041">
      <formula>(F343="x")</formula>
    </cfRule>
    <cfRule type="expression" dxfId="3289" priority="131042">
      <formula>(F344="x")</formula>
    </cfRule>
    <cfRule type="expression" dxfId="3288" priority="131043">
      <formula>(F345="x")</formula>
    </cfRule>
    <cfRule type="expression" dxfId="3287" priority="131044">
      <formula>(F346="x")</formula>
    </cfRule>
    <cfRule type="expression" dxfId="3286" priority="131045">
      <formula>(F349="x")</formula>
    </cfRule>
    <cfRule type="expression" dxfId="3285" priority="131046">
      <formula>(F361="x")</formula>
    </cfRule>
    <cfRule type="expression" dxfId="3284" priority="131047">
      <formula>(F348="x")</formula>
    </cfRule>
    <cfRule type="expression" dxfId="3283" priority="131048">
      <formula>(F347="x")</formula>
    </cfRule>
    <cfRule type="expression" dxfId="3282" priority="131049">
      <formula>(F362="x")</formula>
    </cfRule>
    <cfRule type="expression" dxfId="3281" priority="131050">
      <formula>(F357="x")</formula>
    </cfRule>
    <cfRule type="expression" dxfId="3280" priority="131051">
      <formula>(F360="x")</formula>
    </cfRule>
    <cfRule type="expression" dxfId="3279" priority="131052">
      <formula>(F356="x")</formula>
    </cfRule>
    <cfRule type="expression" dxfId="3278" priority="131053">
      <formula>(F359="x")</formula>
    </cfRule>
    <cfRule type="expression" dxfId="3277" priority="131054">
      <formula>(F355="x")</formula>
    </cfRule>
    <cfRule type="expression" dxfId="3276" priority="131055">
      <formula>(F358="x")</formula>
    </cfRule>
    <cfRule type="expression" dxfId="3275" priority="131056">
      <formula>(F354="x")</formula>
    </cfRule>
    <cfRule type="expression" dxfId="3274" priority="131057">
      <formula>(F353="x")</formula>
    </cfRule>
    <cfRule type="expression" dxfId="3273" priority="131058">
      <formula>(F352="x")</formula>
    </cfRule>
    <cfRule type="expression" dxfId="3272" priority="131059">
      <formula>(F350="x")</formula>
    </cfRule>
    <cfRule type="expression" dxfId="3271" priority="131060">
      <formula>(F336="x")</formula>
    </cfRule>
    <cfRule type="expression" dxfId="3270" priority="131061">
      <formula>(F335="x")</formula>
    </cfRule>
  </conditionalFormatting>
  <conditionalFormatting sqref="F24:BA44">
    <cfRule type="expression" dxfId="3269" priority="131064">
      <formula>(F365="x")</formula>
    </cfRule>
    <cfRule type="expression" dxfId="3268" priority="131065">
      <formula>(F363="x")</formula>
    </cfRule>
  </conditionalFormatting>
  <conditionalFormatting sqref="F24:BA44">
    <cfRule type="expression" dxfId="3267" priority="131072">
      <formula>(F338="x")</formula>
    </cfRule>
    <cfRule type="expression" dxfId="3266" priority="131073">
      <formula>(F329="x")</formula>
    </cfRule>
    <cfRule type="expression" dxfId="3265" priority="131074">
      <formula>(F327="x")</formula>
    </cfRule>
    <cfRule type="expression" dxfId="3264" priority="131075">
      <formula>(F334="x")</formula>
    </cfRule>
    <cfRule type="expression" dxfId="3263" priority="131076">
      <formula>(F330="x")</formula>
    </cfRule>
    <cfRule type="expression" dxfId="3262" priority="131077">
      <formula>(F324="x")</formula>
    </cfRule>
  </conditionalFormatting>
  <conditionalFormatting sqref="F24:BA44">
    <cfRule type="expression" dxfId="3261" priority="131083">
      <formula>(F292="x")</formula>
    </cfRule>
    <cfRule type="expression" dxfId="3260" priority="131084">
      <formula>(F274="x")</formula>
    </cfRule>
    <cfRule type="expression" dxfId="3259" priority="131085">
      <formula>(F273="x")</formula>
    </cfRule>
    <cfRule type="expression" dxfId="3258" priority="131086">
      <formula>(F289="x")</formula>
    </cfRule>
    <cfRule type="expression" dxfId="3257" priority="131087">
      <formula>(F298="x")</formula>
    </cfRule>
  </conditionalFormatting>
  <conditionalFormatting sqref="F24:BA44">
    <cfRule type="expression" dxfId="3256" priority="131090">
      <formula>(F301="x")</formula>
    </cfRule>
    <cfRule type="expression" dxfId="3255" priority="131091">
      <formula>(F287="x")</formula>
    </cfRule>
  </conditionalFormatting>
  <conditionalFormatting sqref="F24:BA44">
    <cfRule type="expression" dxfId="3254" priority="131103">
      <formula>(F254="x")</formula>
    </cfRule>
    <cfRule type="expression" dxfId="3253" priority="131104">
      <formula>(F270="x")</formula>
    </cfRule>
    <cfRule type="expression" dxfId="3252" priority="131105">
      <formula>(F291="x")</formula>
    </cfRule>
    <cfRule type="expression" dxfId="3251" priority="131106">
      <formula>(F253="x")</formula>
    </cfRule>
    <cfRule type="expression" dxfId="3250" priority="131107">
      <formula>(F261="x")</formula>
    </cfRule>
    <cfRule type="expression" dxfId="3249" priority="131108">
      <formula>(F299="x")</formula>
    </cfRule>
    <cfRule type="expression" dxfId="3248" priority="131109">
      <formula>(F297="x")</formula>
    </cfRule>
    <cfRule type="expression" dxfId="3247" priority="131110">
      <formula>(F290="x")</formula>
    </cfRule>
    <cfRule type="expression" dxfId="3246" priority="131111">
      <formula>(F280="x")</formula>
    </cfRule>
  </conditionalFormatting>
  <conditionalFormatting sqref="F24:BA44">
    <cfRule type="expression" dxfId="3245" priority="131125">
      <formula>(F326="x")</formula>
    </cfRule>
    <cfRule type="expression" dxfId="3244" priority="131126">
      <formula>(F322="x")</formula>
    </cfRule>
    <cfRule type="expression" dxfId="3243" priority="131127">
      <formula>(F317="x")</formula>
    </cfRule>
    <cfRule type="expression" dxfId="3242" priority="131128">
      <formula>(F321="x")</formula>
    </cfRule>
    <cfRule type="expression" dxfId="3241" priority="131129">
      <formula>(F319="x")</formula>
    </cfRule>
    <cfRule type="expression" dxfId="3240" priority="131130">
      <formula>(F323="x")</formula>
    </cfRule>
    <cfRule type="expression" dxfId="3239" priority="131131">
      <formula>(F314="x")</formula>
    </cfRule>
    <cfRule type="expression" dxfId="3238" priority="131132">
      <formula>(F325="x")</formula>
    </cfRule>
    <cfRule type="expression" dxfId="3237" priority="131133">
      <formula>(F243="x")</formula>
    </cfRule>
  </conditionalFormatting>
  <conditionalFormatting sqref="F24:BA44">
    <cfRule type="expression" dxfId="3236" priority="131168">
      <formula>(F283="x")</formula>
    </cfRule>
    <cfRule type="expression" dxfId="3235" priority="131169">
      <formula>(F282="x")</formula>
    </cfRule>
  </conditionalFormatting>
  <conditionalFormatting sqref="F24:BA44">
    <cfRule type="expression" dxfId="3234" priority="131194">
      <formula>(F200="x")</formula>
    </cfRule>
    <cfRule type="expression" dxfId="3233" priority="131195">
      <formula>(F201="x")</formula>
    </cfRule>
  </conditionalFormatting>
  <conditionalFormatting sqref="F24:BA44">
    <cfRule type="expression" dxfId="3232" priority="131248">
      <formula>(F276="x")</formula>
    </cfRule>
    <cfRule type="expression" dxfId="3231" priority="131249">
      <formula>(F278="x")</formula>
    </cfRule>
  </conditionalFormatting>
  <conditionalFormatting sqref="F24:BA44">
    <cfRule type="expression" dxfId="3230" priority="131257">
      <formula>(F311="x")</formula>
    </cfRule>
    <cfRule type="expression" dxfId="3229" priority="131258">
      <formula>(F315="x")</formula>
    </cfRule>
    <cfRule type="expression" dxfId="3228" priority="131259">
      <formula>(F241="x")</formula>
    </cfRule>
  </conditionalFormatting>
  <conditionalFormatting sqref="F24:BA44">
    <cfRule type="expression" dxfId="3227" priority="131284">
      <formula>(F265="x")</formula>
    </cfRule>
    <cfRule type="expression" dxfId="3226" priority="131285">
      <formula>(F285="x")</formula>
    </cfRule>
    <cfRule type="expression" dxfId="3225" priority="131286">
      <formula>(F303="x")</formula>
    </cfRule>
    <cfRule type="expression" dxfId="3224" priority="131287">
      <formula>(F262="x")</formula>
    </cfRule>
    <cfRule type="expression" dxfId="3223" priority="131288">
      <formula>(F295="x")</formula>
    </cfRule>
    <cfRule type="expression" dxfId="3222" priority="131289">
      <formula>(F309="x")</formula>
    </cfRule>
    <cfRule type="expression" dxfId="3221" priority="131290">
      <formula>(F307="x")</formula>
    </cfRule>
    <cfRule type="expression" dxfId="3220" priority="131291">
      <formula>(F305="x")</formula>
    </cfRule>
    <cfRule type="expression" dxfId="3219" priority="131292">
      <formula>(F294="x")</formula>
    </cfRule>
    <cfRule type="expression" dxfId="3218" priority="131293">
      <formula>(F293="x")</formula>
    </cfRule>
    <cfRule type="expression" dxfId="3217" priority="131294">
      <formula>(F288="x")</formula>
    </cfRule>
    <cfRule type="expression" dxfId="3216" priority="131295">
      <formula>(F256="x")</formula>
    </cfRule>
    <cfRule type="expression" dxfId="3215" priority="131296">
      <formula>(F255="x")</formula>
    </cfRule>
    <cfRule type="expression" dxfId="3214" priority="131297">
      <formula>(F250="x")</formula>
    </cfRule>
    <cfRule type="expression" dxfId="3213" priority="131298">
      <formula>(F286="x")</formula>
    </cfRule>
    <cfRule type="expression" dxfId="3212" priority="131299">
      <formula>(F246="x")</formula>
    </cfRule>
    <cfRule type="expression" dxfId="3211" priority="131300">
      <formula>(F269="x")</formula>
    </cfRule>
    <cfRule type="expression" dxfId="3210" priority="131301">
      <formula>(F259="x")</formula>
    </cfRule>
    <cfRule type="expression" dxfId="3209" priority="131302">
      <formula>(F257="x")</formula>
    </cfRule>
    <cfRule type="expression" dxfId="3208" priority="131303">
      <formula>(F251="x")</formula>
    </cfRule>
    <cfRule type="expression" dxfId="3207" priority="131304">
      <formula>(F275="x")</formula>
    </cfRule>
    <cfRule type="expression" dxfId="3206" priority="131305">
      <formula>(F263="x")</formula>
    </cfRule>
    <cfRule type="expression" dxfId="3205" priority="131306">
      <formula>(F300="x")</formula>
    </cfRule>
    <cfRule type="expression" dxfId="3204" priority="131307">
      <formula>(F260="x")</formula>
    </cfRule>
  </conditionalFormatting>
  <conditionalFormatting sqref="F24:BA44">
    <cfRule type="expression" dxfId="3203" priority="131311">
      <formula>(#REF!="x")</formula>
    </cfRule>
    <cfRule type="expression" dxfId="3202" priority="131312">
      <formula>(F247="x")</formula>
    </cfRule>
    <cfRule type="expression" dxfId="3201" priority="131313">
      <formula>(F245="x")</formula>
    </cfRule>
  </conditionalFormatting>
  <conditionalFormatting sqref="F24:BA44">
    <cfRule type="expression" dxfId="3200" priority="131316">
      <formula>(F252="x")</formula>
    </cfRule>
    <cfRule type="expression" dxfId="3199" priority="131317">
      <formula>(F230="x")</formula>
    </cfRule>
  </conditionalFormatting>
  <conditionalFormatting sqref="F24:BA44">
    <cfRule type="expression" dxfId="3198" priority="131322">
      <formula>(F223="x")</formula>
    </cfRule>
    <cfRule type="expression" dxfId="3197" priority="131323">
      <formula>(F222="x")</formula>
    </cfRule>
  </conditionalFormatting>
  <conditionalFormatting sqref="F24:BA44">
    <cfRule type="expression" dxfId="3196" priority="131330">
      <formula>(F208="x")</formula>
    </cfRule>
    <cfRule type="expression" dxfId="3195" priority="131331">
      <formula>(F207="x")</formula>
    </cfRule>
  </conditionalFormatting>
  <conditionalFormatting sqref="F24:BA44">
    <cfRule type="expression" dxfId="3194" priority="131334">
      <formula>(F266="x")</formula>
    </cfRule>
    <cfRule type="expression" dxfId="3193" priority="131335">
      <formula>(F205="x")</formula>
    </cfRule>
  </conditionalFormatting>
  <conditionalFormatting sqref="F55:BA61">
    <cfRule type="expression" dxfId="3192" priority="131348">
      <formula>(F305="x")</formula>
    </cfRule>
  </conditionalFormatting>
  <conditionalFormatting sqref="F71:BA77">
    <cfRule type="expression" dxfId="3191" priority="131395">
      <formula>(F270="x")</formula>
    </cfRule>
  </conditionalFormatting>
  <conditionalFormatting sqref="F75:BA77">
    <cfRule type="expression" dxfId="3190" priority="131425">
      <formula>(F337="x")</formula>
    </cfRule>
    <cfRule type="expression" dxfId="3189" priority="131426">
      <formula>(F336="x")</formula>
    </cfRule>
    <cfRule type="expression" dxfId="3188" priority="131427">
      <formula>(F340="x")</formula>
    </cfRule>
    <cfRule type="expression" dxfId="3187" priority="131428">
      <formula>(F341="x")</formula>
    </cfRule>
    <cfRule type="expression" dxfId="3186" priority="131429">
      <formula>(F342="x")</formula>
    </cfRule>
    <cfRule type="expression" dxfId="3185" priority="131430">
      <formula>(F343="x")</formula>
    </cfRule>
    <cfRule type="expression" dxfId="3184" priority="131431">
      <formula>(F346="x")</formula>
    </cfRule>
    <cfRule type="expression" dxfId="3183" priority="131432">
      <formula>(F358="x")</formula>
    </cfRule>
    <cfRule type="expression" dxfId="3182" priority="131433">
      <formula>(F345="x")</formula>
    </cfRule>
    <cfRule type="expression" dxfId="3181" priority="131434">
      <formula>(F344="x")</formula>
    </cfRule>
    <cfRule type="expression" dxfId="3180" priority="131435">
      <formula>(F359="x")</formula>
    </cfRule>
    <cfRule type="expression" dxfId="3179" priority="131436">
      <formula>(F354="x")</formula>
    </cfRule>
    <cfRule type="expression" dxfId="3178" priority="131437">
      <formula>(F357="x")</formula>
    </cfRule>
    <cfRule type="expression" dxfId="3177" priority="131438">
      <formula>(F353="x")</formula>
    </cfRule>
    <cfRule type="expression" dxfId="3176" priority="131439">
      <formula>(F356="x")</formula>
    </cfRule>
    <cfRule type="expression" dxfId="3175" priority="131440">
      <formula>(F352="x")</formula>
    </cfRule>
    <cfRule type="expression" dxfId="3174" priority="131441">
      <formula>(F355="x")</formula>
    </cfRule>
    <cfRule type="expression" dxfId="3173" priority="131442">
      <formula>(F351="x")</formula>
    </cfRule>
    <cfRule type="expression" dxfId="3172" priority="131443">
      <formula>(F350="x")</formula>
    </cfRule>
    <cfRule type="expression" dxfId="3171" priority="131444">
      <formula>(F349="x")</formula>
    </cfRule>
    <cfRule type="expression" dxfId="3170" priority="131445">
      <formula>(F347="x")</formula>
    </cfRule>
    <cfRule type="expression" dxfId="3169" priority="131446">
      <formula>(F333="x")</formula>
    </cfRule>
    <cfRule type="expression" dxfId="3168" priority="131447">
      <formula>(F332="x")</formula>
    </cfRule>
  </conditionalFormatting>
  <conditionalFormatting sqref="F75:BA77">
    <cfRule type="expression" dxfId="3167" priority="131448">
      <formula>(F335="x")</formula>
    </cfRule>
    <cfRule type="expression" dxfId="3166" priority="131449">
      <formula>(F326="x")</formula>
    </cfRule>
    <cfRule type="expression" dxfId="3165" priority="131450">
      <formula>(F324="x")</formula>
    </cfRule>
    <cfRule type="expression" dxfId="3164" priority="131451">
      <formula>(F331="x")</formula>
    </cfRule>
    <cfRule type="expression" dxfId="3163" priority="131452">
      <formula>(F327="x")</formula>
    </cfRule>
    <cfRule type="expression" dxfId="3162" priority="131453">
      <formula>(F321="x")</formula>
    </cfRule>
  </conditionalFormatting>
  <conditionalFormatting sqref="F75:BA77">
    <cfRule type="expression" dxfId="3161" priority="131458">
      <formula>(F289="x")</formula>
    </cfRule>
    <cfRule type="expression" dxfId="3160" priority="131459">
      <formula>(F271="x")</formula>
    </cfRule>
    <cfRule type="expression" dxfId="3159" priority="131460">
      <formula>(F270="x")</formula>
    </cfRule>
    <cfRule type="expression" dxfId="3158" priority="131461">
      <formula>(F286="x")</formula>
    </cfRule>
    <cfRule type="expression" dxfId="3157" priority="131462">
      <formula>(F295="x")</formula>
    </cfRule>
  </conditionalFormatting>
  <conditionalFormatting sqref="F75:BA77">
    <cfRule type="expression" dxfId="3156" priority="131465">
      <formula>(F298="x")</formula>
    </cfRule>
    <cfRule type="expression" dxfId="3155" priority="131466">
      <formula>(F284="x")</formula>
    </cfRule>
  </conditionalFormatting>
  <conditionalFormatting sqref="F75:BA77">
    <cfRule type="expression" dxfId="3154" priority="131471">
      <formula>(F251="x")</formula>
    </cfRule>
    <cfRule type="expression" dxfId="3153" priority="131472">
      <formula>(F267="x")</formula>
    </cfRule>
    <cfRule type="expression" dxfId="3152" priority="131473">
      <formula>(F288="x")</formula>
    </cfRule>
    <cfRule type="expression" dxfId="3151" priority="131474">
      <formula>(F250="x")</formula>
    </cfRule>
    <cfRule type="expression" dxfId="3150" priority="131475">
      <formula>(F258="x")</formula>
    </cfRule>
    <cfRule type="expression" dxfId="3149" priority="131476">
      <formula>(F296="x")</formula>
    </cfRule>
    <cfRule type="expression" dxfId="3148" priority="131477">
      <formula>(F294="x")</formula>
    </cfRule>
    <cfRule type="expression" dxfId="3147" priority="131478">
      <formula>(F287="x")</formula>
    </cfRule>
    <cfRule type="expression" dxfId="3146" priority="131479">
      <formula>(F277="x")</formula>
    </cfRule>
  </conditionalFormatting>
  <conditionalFormatting sqref="F75:BA77">
    <cfRule type="expression" dxfId="3145" priority="131494">
      <formula>(F323="x")</formula>
    </cfRule>
    <cfRule type="expression" dxfId="3144" priority="131495">
      <formula>(F319="x")</formula>
    </cfRule>
    <cfRule type="expression" dxfId="3143" priority="131496">
      <formula>(F314="x")</formula>
    </cfRule>
    <cfRule type="expression" dxfId="3142" priority="131497">
      <formula>(F318="x")</formula>
    </cfRule>
    <cfRule type="expression" dxfId="3141" priority="131498">
      <formula>(F316="x")</formula>
    </cfRule>
    <cfRule type="expression" dxfId="3140" priority="131499">
      <formula>(F320="x")</formula>
    </cfRule>
    <cfRule type="expression" dxfId="3139" priority="131500">
      <formula>(F311="x")</formula>
    </cfRule>
    <cfRule type="expression" dxfId="3138" priority="131501">
      <formula>(F322="x")</formula>
    </cfRule>
    <cfRule type="expression" dxfId="3137" priority="131502">
      <formula>(F240="x")</formula>
    </cfRule>
  </conditionalFormatting>
  <conditionalFormatting sqref="F75:BA77">
    <cfRule type="expression" dxfId="3136" priority="131561">
      <formula>(F280="x")</formula>
    </cfRule>
    <cfRule type="expression" dxfId="3135" priority="131562">
      <formula>(F279="x")</formula>
    </cfRule>
  </conditionalFormatting>
  <conditionalFormatting sqref="F75:BA77">
    <cfRule type="expression" dxfId="3134" priority="131584">
      <formula>(F197="x")</formula>
    </cfRule>
    <cfRule type="expression" dxfId="3133" priority="131585">
      <formula>(F198="x")</formula>
    </cfRule>
  </conditionalFormatting>
  <conditionalFormatting sqref="F52:BA52">
    <cfRule type="expression" dxfId="3132" priority="131611">
      <formula>(F334="x")</formula>
    </cfRule>
  </conditionalFormatting>
  <conditionalFormatting sqref="F71:BA77 F13:BA13 F16:BA40 F11:BA11 F48:BA49">
    <cfRule type="expression" dxfId="3131" priority="131661">
      <formula>(F212="x")</formula>
    </cfRule>
  </conditionalFormatting>
  <conditionalFormatting sqref="F105:BA105">
    <cfRule type="expression" dxfId="3130" priority="131671">
      <formula>(F335="x")</formula>
    </cfRule>
  </conditionalFormatting>
  <conditionalFormatting sqref="F75:BA77">
    <cfRule type="expression" dxfId="3129" priority="131687">
      <formula>(F273="x")</formula>
    </cfRule>
    <cfRule type="expression" dxfId="3128" priority="131688">
      <formula>(F275="x")</formula>
    </cfRule>
  </conditionalFormatting>
  <conditionalFormatting sqref="F75:BA77">
    <cfRule type="expression" dxfId="3127" priority="131697">
      <formula>(F308="x")</formula>
    </cfRule>
    <cfRule type="expression" dxfId="3126" priority="131698">
      <formula>(F312="x")</formula>
    </cfRule>
    <cfRule type="expression" dxfId="3125" priority="131699">
      <formula>(F238="x")</formula>
    </cfRule>
  </conditionalFormatting>
  <conditionalFormatting sqref="F75:BA77">
    <cfRule type="expression" dxfId="3124" priority="131700">
      <formula>(F262="x")</formula>
    </cfRule>
    <cfRule type="expression" dxfId="3123" priority="131701">
      <formula>(F282="x")</formula>
    </cfRule>
    <cfRule type="expression" dxfId="3122" priority="131702">
      <formula>(F300="x")</formula>
    </cfRule>
    <cfRule type="expression" dxfId="3121" priority="131703">
      <formula>(F259="x")</formula>
    </cfRule>
    <cfRule type="expression" dxfId="3120" priority="131704">
      <formula>(F292="x")</formula>
    </cfRule>
    <cfRule type="expression" dxfId="3119" priority="131705">
      <formula>(F306="x")</formula>
    </cfRule>
    <cfRule type="expression" dxfId="3118" priority="131706">
      <formula>(F304="x")</formula>
    </cfRule>
    <cfRule type="expression" dxfId="3117" priority="131707">
      <formula>(F302="x")</formula>
    </cfRule>
    <cfRule type="expression" dxfId="3116" priority="131708">
      <formula>(F291="x")</formula>
    </cfRule>
    <cfRule type="expression" dxfId="3115" priority="131709">
      <formula>(F290="x")</formula>
    </cfRule>
    <cfRule type="expression" dxfId="3114" priority="131710">
      <formula>(F285="x")</formula>
    </cfRule>
    <cfRule type="expression" dxfId="3113" priority="131711">
      <formula>(F253="x")</formula>
    </cfRule>
    <cfRule type="expression" dxfId="3112" priority="131712">
      <formula>(F252="x")</formula>
    </cfRule>
    <cfRule type="expression" dxfId="3111" priority="131713">
      <formula>(F247="x")</formula>
    </cfRule>
    <cfRule type="expression" dxfId="3110" priority="131714">
      <formula>(F283="x")</formula>
    </cfRule>
    <cfRule type="expression" dxfId="3109" priority="131715">
      <formula>(F243="x")</formula>
    </cfRule>
    <cfRule type="expression" dxfId="3108" priority="131716">
      <formula>(F266="x")</formula>
    </cfRule>
    <cfRule type="expression" dxfId="3107" priority="131717">
      <formula>(F256="x")</formula>
    </cfRule>
    <cfRule type="expression" dxfId="3106" priority="131718">
      <formula>(F254="x")</formula>
    </cfRule>
    <cfRule type="expression" dxfId="3105" priority="131719">
      <formula>(F248="x")</formula>
    </cfRule>
    <cfRule type="expression" dxfId="3104" priority="131720">
      <formula>(F272="x")</formula>
    </cfRule>
    <cfRule type="expression" dxfId="3103" priority="131721">
      <formula>(F260="x")</formula>
    </cfRule>
    <cfRule type="expression" dxfId="3102" priority="131722">
      <formula>(F297="x")</formula>
    </cfRule>
    <cfRule type="expression" dxfId="3101" priority="131723">
      <formula>(F257="x")</formula>
    </cfRule>
  </conditionalFormatting>
  <conditionalFormatting sqref="F75:BA77">
    <cfRule type="expression" dxfId="3100" priority="131724">
      <formula>(#REF!="x")</formula>
    </cfRule>
    <cfRule type="expression" dxfId="3099" priority="131725">
      <formula>(F244="x")</formula>
    </cfRule>
    <cfRule type="expression" dxfId="3098" priority="131726">
      <formula>(F242="x")</formula>
    </cfRule>
  </conditionalFormatting>
  <conditionalFormatting sqref="F75:BA77">
    <cfRule type="expression" dxfId="3097" priority="131727">
      <formula>(F249="x")</formula>
    </cfRule>
    <cfRule type="expression" dxfId="3096" priority="131728">
      <formula>(F227="x")</formula>
    </cfRule>
  </conditionalFormatting>
  <conditionalFormatting sqref="F75:BA77">
    <cfRule type="expression" dxfId="3095" priority="131731">
      <formula>(F220="x")</formula>
    </cfRule>
    <cfRule type="expression" dxfId="3094" priority="131732">
      <formula>(F219="x")</formula>
    </cfRule>
  </conditionalFormatting>
  <conditionalFormatting sqref="F75:BA77">
    <cfRule type="expression" dxfId="3093" priority="131737">
      <formula>(F205="x")</formula>
    </cfRule>
    <cfRule type="expression" dxfId="3092" priority="131738">
      <formula>(F204="x")</formula>
    </cfRule>
  </conditionalFormatting>
  <conditionalFormatting sqref="F75:BA77">
    <cfRule type="expression" dxfId="3091" priority="131739">
      <formula>(F263="x")</formula>
    </cfRule>
    <cfRule type="expression" dxfId="3090" priority="131740">
      <formula>(F202="x")</formula>
    </cfRule>
  </conditionalFormatting>
  <conditionalFormatting sqref="F58:BA74 F92:BA105 F81:BA82">
    <cfRule type="expression" dxfId="3089" priority="131741">
      <formula>(F188="x")</formula>
    </cfRule>
  </conditionalFormatting>
  <conditionalFormatting sqref="F25:BA44">
    <cfRule type="expression" dxfId="3088" priority="131795">
      <formula>(F349="x")</formula>
    </cfRule>
    <cfRule type="expression" dxfId="3087" priority="131796">
      <formula>(F348="x")</formula>
    </cfRule>
    <cfRule type="expression" dxfId="3086" priority="131797">
      <formula>(F352="x")</formula>
    </cfRule>
    <cfRule type="expression" dxfId="3085" priority="131798">
      <formula>(F353="x")</formula>
    </cfRule>
    <cfRule type="expression" dxfId="3084" priority="131799">
      <formula>(F354="x")</formula>
    </cfRule>
    <cfRule type="expression" dxfId="3083" priority="131800">
      <formula>(F355="x")</formula>
    </cfRule>
    <cfRule type="expression" dxfId="3082" priority="131801">
      <formula>(F358="x")</formula>
    </cfRule>
    <cfRule type="expression" dxfId="3081" priority="131802">
      <formula>(F370="x")</formula>
    </cfRule>
    <cfRule type="expression" dxfId="3080" priority="131803">
      <formula>(F357="x")</formula>
    </cfRule>
    <cfRule type="expression" dxfId="3079" priority="131804">
      <formula>(F356="x")</formula>
    </cfRule>
    <cfRule type="expression" dxfId="3078" priority="131805">
      <formula>(F371="x")</formula>
    </cfRule>
    <cfRule type="expression" dxfId="3077" priority="131806">
      <formula>(F366="x")</formula>
    </cfRule>
    <cfRule type="expression" dxfId="3076" priority="131807">
      <formula>(F369="x")</formula>
    </cfRule>
    <cfRule type="expression" dxfId="3075" priority="131808">
      <formula>(F365="x")</formula>
    </cfRule>
    <cfRule type="expression" dxfId="3074" priority="131809">
      <formula>(F368="x")</formula>
    </cfRule>
    <cfRule type="expression" dxfId="3073" priority="131810">
      <formula>(F364="x")</formula>
    </cfRule>
    <cfRule type="expression" dxfId="3072" priority="131811">
      <formula>(F367="x")</formula>
    </cfRule>
    <cfRule type="expression" dxfId="3071" priority="131812">
      <formula>(F363="x")</formula>
    </cfRule>
    <cfRule type="expression" dxfId="3070" priority="131813">
      <formula>(F362="x")</formula>
    </cfRule>
    <cfRule type="expression" dxfId="3069" priority="131814">
      <formula>(F361="x")</formula>
    </cfRule>
    <cfRule type="expression" dxfId="3068" priority="131815">
      <formula>(F359="x")</formula>
    </cfRule>
    <cfRule type="expression" dxfId="3067" priority="131816">
      <formula>(F345="x")</formula>
    </cfRule>
    <cfRule type="expression" dxfId="3066" priority="131817">
      <formula>(F344="x")</formula>
    </cfRule>
  </conditionalFormatting>
  <conditionalFormatting sqref="F25:BA44">
    <cfRule type="expression" dxfId="3065" priority="131824">
      <formula>(F347="x")</formula>
    </cfRule>
    <cfRule type="expression" dxfId="3064" priority="131825">
      <formula>(F338="x")</formula>
    </cfRule>
    <cfRule type="expression" dxfId="3063" priority="131826">
      <formula>(F336="x")</formula>
    </cfRule>
    <cfRule type="expression" dxfId="3062" priority="131827">
      <formula>(F343="x")</formula>
    </cfRule>
    <cfRule type="expression" dxfId="3061" priority="131828">
      <formula>(F339="x")</formula>
    </cfRule>
    <cfRule type="expression" dxfId="3060" priority="131829">
      <formula>(F333="x")</formula>
    </cfRule>
  </conditionalFormatting>
  <conditionalFormatting sqref="F25:BA44">
    <cfRule type="expression" dxfId="3059" priority="131841">
      <formula>(F335="x")</formula>
    </cfRule>
    <cfRule type="expression" dxfId="3058" priority="131842">
      <formula>(F331="x")</formula>
    </cfRule>
    <cfRule type="expression" dxfId="3057" priority="131843">
      <formula>(F326="x")</formula>
    </cfRule>
    <cfRule type="expression" dxfId="3056" priority="131844">
      <formula>(F330="x")</formula>
    </cfRule>
    <cfRule type="expression" dxfId="3055" priority="131845">
      <formula>(F328="x")</formula>
    </cfRule>
    <cfRule type="expression" dxfId="3054" priority="131846">
      <formula>(F332="x")</formula>
    </cfRule>
    <cfRule type="expression" dxfId="3053" priority="131847">
      <formula>(F323="x")</formula>
    </cfRule>
    <cfRule type="expression" dxfId="3052" priority="131848">
      <formula>(F334="x")</formula>
    </cfRule>
    <cfRule type="expression" dxfId="3051" priority="131849">
      <formula>(F252="x")</formula>
    </cfRule>
  </conditionalFormatting>
  <conditionalFormatting sqref="F25:BA44">
    <cfRule type="expression" dxfId="3050" priority="131900">
      <formula>(F209="x")</formula>
    </cfRule>
    <cfRule type="expression" dxfId="3049" priority="131901">
      <formula>(F210="x")</formula>
    </cfRule>
  </conditionalFormatting>
  <conditionalFormatting sqref="F25:BA44">
    <cfRule type="expression" dxfId="3048" priority="131934">
      <formula>(F327="x")</formula>
    </cfRule>
    <cfRule type="expression" dxfId="3047" priority="131935">
      <formula>(F322="x")</formula>
    </cfRule>
  </conditionalFormatting>
  <conditionalFormatting sqref="F25:BA44">
    <cfRule type="expression" dxfId="3046" priority="131960">
      <formula>(F285="x")</formula>
    </cfRule>
    <cfRule type="expression" dxfId="3045" priority="131961">
      <formula>(F287="x")</formula>
    </cfRule>
  </conditionalFormatting>
  <conditionalFormatting sqref="F25:BA44">
    <cfRule type="expression" dxfId="3044" priority="131971">
      <formula>(F320="x")</formula>
    </cfRule>
    <cfRule type="expression" dxfId="3043" priority="131972">
      <formula>(F324="x")</formula>
    </cfRule>
    <cfRule type="expression" dxfId="3042" priority="131973">
      <formula>(F250="x")</formula>
    </cfRule>
  </conditionalFormatting>
  <conditionalFormatting sqref="F25:BA44">
    <cfRule type="expression" dxfId="3041" priority="131998">
      <formula>(F274="x")</formula>
    </cfRule>
    <cfRule type="expression" dxfId="3040" priority="131999">
      <formula>(F294="x")</formula>
    </cfRule>
    <cfRule type="expression" dxfId="3039" priority="132000">
      <formula>(F312="x")</formula>
    </cfRule>
    <cfRule type="expression" dxfId="3038" priority="132001">
      <formula>(F271="x")</formula>
    </cfRule>
    <cfRule type="expression" dxfId="3037" priority="132002">
      <formula>(F304="x")</formula>
    </cfRule>
    <cfRule type="expression" dxfId="3036" priority="132003">
      <formula>(F318="x")</formula>
    </cfRule>
    <cfRule type="expression" dxfId="3035" priority="132004">
      <formula>(F316="x")</formula>
    </cfRule>
    <cfRule type="expression" dxfId="3034" priority="132005">
      <formula>(F314="x")</formula>
    </cfRule>
    <cfRule type="expression" dxfId="3033" priority="132006">
      <formula>(F303="x")</formula>
    </cfRule>
    <cfRule type="expression" dxfId="3032" priority="132007">
      <formula>(F302="x")</formula>
    </cfRule>
    <cfRule type="expression" dxfId="3031" priority="132008">
      <formula>(F297="x")</formula>
    </cfRule>
    <cfRule type="expression" dxfId="3030" priority="132009">
      <formula>(F265="x")</formula>
    </cfRule>
    <cfRule type="expression" dxfId="3029" priority="132010">
      <formula>(F264="x")</formula>
    </cfRule>
    <cfRule type="expression" dxfId="3028" priority="132011">
      <formula>(F259="x")</formula>
    </cfRule>
    <cfRule type="expression" dxfId="3027" priority="132012">
      <formula>(F295="x")</formula>
    </cfRule>
    <cfRule type="expression" dxfId="3026" priority="132013">
      <formula>(F255="x")</formula>
    </cfRule>
    <cfRule type="expression" dxfId="3025" priority="132014">
      <formula>(F278="x")</formula>
    </cfRule>
    <cfRule type="expression" dxfId="3024" priority="132015">
      <formula>(F268="x")</formula>
    </cfRule>
    <cfRule type="expression" dxfId="3023" priority="132016">
      <formula>(F266="x")</formula>
    </cfRule>
    <cfRule type="expression" dxfId="3022" priority="132017">
      <formula>(F260="x")</formula>
    </cfRule>
    <cfRule type="expression" dxfId="3021" priority="132018">
      <formula>(F284="x")</formula>
    </cfRule>
    <cfRule type="expression" dxfId="3020" priority="132019">
      <formula>(F272="x")</formula>
    </cfRule>
    <cfRule type="expression" dxfId="3019" priority="132020">
      <formula>(F309="x")</formula>
    </cfRule>
    <cfRule type="expression" dxfId="3018" priority="132021">
      <formula>(F269="x")</formula>
    </cfRule>
  </conditionalFormatting>
  <conditionalFormatting sqref="F25:BA44">
    <cfRule type="expression" dxfId="3017" priority="132025">
      <formula>(#REF!="x")</formula>
    </cfRule>
    <cfRule type="expression" dxfId="3016" priority="132026">
      <formula>(F256="x")</formula>
    </cfRule>
    <cfRule type="expression" dxfId="3015" priority="132027">
      <formula>(F254="x")</formula>
    </cfRule>
  </conditionalFormatting>
  <conditionalFormatting sqref="F25:BA44">
    <cfRule type="expression" dxfId="3014" priority="132030">
      <formula>(F261="x")</formula>
    </cfRule>
    <cfRule type="expression" dxfId="3013" priority="132031">
      <formula>(F239="x")</formula>
    </cfRule>
  </conditionalFormatting>
  <conditionalFormatting sqref="F25:BA44">
    <cfRule type="expression" dxfId="3012" priority="132036">
      <formula>(F232="x")</formula>
    </cfRule>
    <cfRule type="expression" dxfId="3011" priority="132037">
      <formula>(F231="x")</formula>
    </cfRule>
  </conditionalFormatting>
  <conditionalFormatting sqref="F25:BA44">
    <cfRule type="expression" dxfId="3010" priority="132044">
      <formula>(F217="x")</formula>
    </cfRule>
    <cfRule type="expression" dxfId="3009" priority="132045">
      <formula>(F216="x")</formula>
    </cfRule>
  </conditionalFormatting>
  <conditionalFormatting sqref="F25:BA44">
    <cfRule type="expression" dxfId="3008" priority="132048">
      <formula>(F275="x")</formula>
    </cfRule>
    <cfRule type="expression" dxfId="3007" priority="132049">
      <formula>(F214="x")</formula>
    </cfRule>
  </conditionalFormatting>
  <conditionalFormatting sqref="F25:BA44">
    <cfRule type="expression" dxfId="3006" priority="132058">
      <formula>(F192="x")</formula>
    </cfRule>
    <cfRule type="expression" dxfId="3005" priority="132059">
      <formula>(F193="x")</formula>
    </cfRule>
  </conditionalFormatting>
  <conditionalFormatting sqref="F25:BA44">
    <cfRule type="expression" dxfId="3004" priority="132067">
      <formula>(F298="x")</formula>
    </cfRule>
    <cfRule type="expression" dxfId="3003" priority="132068">
      <formula>(F204="x")</formula>
    </cfRule>
    <cfRule type="expression" dxfId="3002" priority="132069">
      <formula>(F301="x")</formula>
    </cfRule>
    <cfRule type="expression" dxfId="3001" priority="132070">
      <formula>(F283="x")</formula>
    </cfRule>
    <cfRule type="expression" dxfId="3000" priority="132071">
      <formula>(F282="x")</formula>
    </cfRule>
  </conditionalFormatting>
  <conditionalFormatting sqref="F25:BA44">
    <cfRule type="expression" dxfId="2999" priority="132075">
      <formula>(F286="x")</formula>
    </cfRule>
    <cfRule type="expression" dxfId="2998" priority="132076">
      <formula>(F296="x")</formula>
    </cfRule>
    <cfRule type="expression" dxfId="2997" priority="132077">
      <formula>(F310="x")</formula>
    </cfRule>
  </conditionalFormatting>
  <conditionalFormatting sqref="F25:BA44">
    <cfRule type="expression" dxfId="2996" priority="132081">
      <formula>(F213="x")</formula>
    </cfRule>
    <cfRule type="expression" dxfId="2995" priority="132082">
      <formula>(F223="x")</formula>
    </cfRule>
    <cfRule type="expression" dxfId="2994" priority="132083">
      <formula>(F222="x")</formula>
    </cfRule>
  </conditionalFormatting>
  <conditionalFormatting sqref="F25:BA44">
    <cfRule type="expression" dxfId="2993" priority="132098">
      <formula>(F189="x")</formula>
    </cfRule>
    <cfRule type="expression" dxfId="2992" priority="132099">
      <formula>(F289="x")</formula>
    </cfRule>
    <cfRule type="expression" dxfId="2991" priority="132100">
      <formula>(F290="x")</formula>
    </cfRule>
    <cfRule type="expression" dxfId="2990" priority="132101">
      <formula>(F270="x")</formula>
    </cfRule>
    <cfRule type="expression" dxfId="2989" priority="132102">
      <formula>(F280="x")</formula>
    </cfRule>
    <cfRule type="expression" dxfId="2988" priority="132103">
      <formula>(F279="x")</formula>
    </cfRule>
    <cfRule type="expression" dxfId="2987" priority="132104">
      <formula>(F308="x")</formula>
    </cfRule>
    <cfRule type="expression" dxfId="2986" priority="132105">
      <formula>(F306="x")</formula>
    </cfRule>
    <cfRule type="expression" dxfId="2985" priority="132106">
      <formula>(F299="x")</formula>
    </cfRule>
    <cfRule type="expression" dxfId="2984" priority="132107">
      <formula>(F186="x")</formula>
    </cfRule>
  </conditionalFormatting>
  <conditionalFormatting sqref="F25:BA44">
    <cfRule type="expression" dxfId="2983" priority="132110">
      <formula>(F263="x")</formula>
    </cfRule>
    <cfRule type="expression" dxfId="2982" priority="132111">
      <formula>(F262="x")</formula>
    </cfRule>
  </conditionalFormatting>
  <conditionalFormatting sqref="F52:BA61">
    <cfRule type="expression" dxfId="2981" priority="132190">
      <formula>(F236="x")</formula>
    </cfRule>
  </conditionalFormatting>
  <conditionalFormatting sqref="F83:BA83">
    <cfRule type="expression" dxfId="2980" priority="132210">
      <formula>(F348="x")</formula>
    </cfRule>
    <cfRule type="expression" dxfId="2979" priority="132211">
      <formula>(F347="x")</formula>
    </cfRule>
    <cfRule type="expression" dxfId="2978" priority="132212">
      <formula>(F351="x")</formula>
    </cfRule>
    <cfRule type="expression" dxfId="2977" priority="132213">
      <formula>(F352="x")</formula>
    </cfRule>
    <cfRule type="expression" dxfId="2976" priority="132214">
      <formula>(F353="x")</formula>
    </cfRule>
    <cfRule type="expression" dxfId="2975" priority="132215">
      <formula>(F354="x")</formula>
    </cfRule>
    <cfRule type="expression" dxfId="2974" priority="132216">
      <formula>(F357="x")</formula>
    </cfRule>
    <cfRule type="expression" dxfId="2973" priority="132217">
      <formula>(F369="x")</formula>
    </cfRule>
    <cfRule type="expression" dxfId="2972" priority="132218">
      <formula>(F356="x")</formula>
    </cfRule>
    <cfRule type="expression" dxfId="2971" priority="132219">
      <formula>(F355="x")</formula>
    </cfRule>
    <cfRule type="expression" dxfId="2970" priority="132220">
      <formula>(F370="x")</formula>
    </cfRule>
    <cfRule type="expression" dxfId="2969" priority="132221">
      <formula>(F365="x")</formula>
    </cfRule>
    <cfRule type="expression" dxfId="2968" priority="132222">
      <formula>(F368="x")</formula>
    </cfRule>
    <cfRule type="expression" dxfId="2967" priority="132223">
      <formula>(F364="x")</formula>
    </cfRule>
    <cfRule type="expression" dxfId="2966" priority="132224">
      <formula>(F367="x")</formula>
    </cfRule>
    <cfRule type="expression" dxfId="2965" priority="132225">
      <formula>(F363="x")</formula>
    </cfRule>
    <cfRule type="expression" dxfId="2964" priority="132226">
      <formula>(F366="x")</formula>
    </cfRule>
    <cfRule type="expression" dxfId="2963" priority="132227">
      <formula>(F362="x")</formula>
    </cfRule>
    <cfRule type="expression" dxfId="2962" priority="132228">
      <formula>(F361="x")</formula>
    </cfRule>
    <cfRule type="expression" dxfId="2961" priority="132229">
      <formula>(F360="x")</formula>
    </cfRule>
    <cfRule type="expression" dxfId="2960" priority="132230">
      <formula>(F358="x")</formula>
    </cfRule>
    <cfRule type="expression" dxfId="2959" priority="132231">
      <formula>(F344="x")</formula>
    </cfRule>
    <cfRule type="expression" dxfId="2958" priority="132232">
      <formula>(F343="x")</formula>
    </cfRule>
  </conditionalFormatting>
  <conditionalFormatting sqref="F83:BA83">
    <cfRule type="expression" dxfId="2957" priority="132265">
      <formula>(F334="x")</formula>
    </cfRule>
    <cfRule type="expression" dxfId="2956" priority="132266">
      <formula>(F330="x")</formula>
    </cfRule>
    <cfRule type="expression" dxfId="2955" priority="132267">
      <formula>(F325="x")</formula>
    </cfRule>
    <cfRule type="expression" dxfId="2954" priority="132268">
      <formula>(F329="x")</formula>
    </cfRule>
    <cfRule type="expression" dxfId="2953" priority="132269">
      <formula>(F327="x")</formula>
    </cfRule>
    <cfRule type="expression" dxfId="2952" priority="132270">
      <formula>(F331="x")</formula>
    </cfRule>
    <cfRule type="expression" dxfId="2951" priority="132271">
      <formula>(F322="x")</formula>
    </cfRule>
    <cfRule type="expression" dxfId="2950" priority="132272">
      <formula>(F333="x")</formula>
    </cfRule>
    <cfRule type="expression" dxfId="2949" priority="132273">
      <formula>(F251="x")</formula>
    </cfRule>
  </conditionalFormatting>
  <conditionalFormatting sqref="F64:BA68">
    <cfRule type="expression" dxfId="2948" priority="132350">
      <formula>(F190="x")</formula>
    </cfRule>
  </conditionalFormatting>
  <conditionalFormatting sqref="F75:BA77">
    <cfRule type="expression" dxfId="2947" priority="132387">
      <formula>(F361="x")</formula>
    </cfRule>
  </conditionalFormatting>
  <conditionalFormatting sqref="F83:BA83">
    <cfRule type="expression" dxfId="2946" priority="132395">
      <formula>(F326="x")</formula>
    </cfRule>
    <cfRule type="expression" dxfId="2945" priority="132396">
      <formula>(F321="x")</formula>
    </cfRule>
  </conditionalFormatting>
  <conditionalFormatting sqref="F83:BA83 F71:BA74 F78:BA80 F14:BA45 F10:BA11">
    <cfRule type="expression" dxfId="2944" priority="132448">
      <formula>(F214="x")</formula>
    </cfRule>
  </conditionalFormatting>
  <conditionalFormatting sqref="F83:BA83">
    <cfRule type="expression" dxfId="2943" priority="132479">
      <formula>(F284="x")</formula>
    </cfRule>
    <cfRule type="expression" dxfId="2942" priority="132480">
      <formula>(F286="x")</formula>
    </cfRule>
  </conditionalFormatting>
  <conditionalFormatting sqref="F48:BA49">
    <cfRule type="expression" dxfId="2941" priority="132481">
      <formula>(F319="x")</formula>
    </cfRule>
  </conditionalFormatting>
  <conditionalFormatting sqref="F83:BA83">
    <cfRule type="expression" dxfId="2940" priority="132491">
      <formula>(F319="x")</formula>
    </cfRule>
    <cfRule type="expression" dxfId="2939" priority="132492">
      <formula>(F323="x")</formula>
    </cfRule>
    <cfRule type="expression" dxfId="2938" priority="132493">
      <formula>(F249="x")</formula>
    </cfRule>
  </conditionalFormatting>
  <conditionalFormatting sqref="F83:BA83">
    <cfRule type="expression" dxfId="2937" priority="132494">
      <formula>(F273="x")</formula>
    </cfRule>
    <cfRule type="expression" dxfId="2936" priority="132495">
      <formula>(F293="x")</formula>
    </cfRule>
    <cfRule type="expression" dxfId="2935" priority="132496">
      <formula>(F311="x")</formula>
    </cfRule>
    <cfRule type="expression" dxfId="2934" priority="132497">
      <formula>(F270="x")</formula>
    </cfRule>
    <cfRule type="expression" dxfId="2933" priority="132498">
      <formula>(F303="x")</formula>
    </cfRule>
    <cfRule type="expression" dxfId="2932" priority="132499">
      <formula>(F317="x")</formula>
    </cfRule>
    <cfRule type="expression" dxfId="2931" priority="132500">
      <formula>(F315="x")</formula>
    </cfRule>
    <cfRule type="expression" dxfId="2930" priority="132501">
      <formula>(F313="x")</formula>
    </cfRule>
    <cfRule type="expression" dxfId="2929" priority="132502">
      <formula>(F302="x")</formula>
    </cfRule>
    <cfRule type="expression" dxfId="2928" priority="132503">
      <formula>(F301="x")</formula>
    </cfRule>
    <cfRule type="expression" dxfId="2927" priority="132504">
      <formula>(F296="x")</formula>
    </cfRule>
    <cfRule type="expression" dxfId="2926" priority="132505">
      <formula>(F264="x")</formula>
    </cfRule>
    <cfRule type="expression" dxfId="2925" priority="132506">
      <formula>(F263="x")</formula>
    </cfRule>
    <cfRule type="expression" dxfId="2924" priority="132507">
      <formula>(F258="x")</formula>
    </cfRule>
    <cfRule type="expression" dxfId="2923" priority="132508">
      <formula>(F294="x")</formula>
    </cfRule>
    <cfRule type="expression" dxfId="2922" priority="132509">
      <formula>(F254="x")</formula>
    </cfRule>
    <cfRule type="expression" dxfId="2921" priority="132510">
      <formula>(F277="x")</formula>
    </cfRule>
    <cfRule type="expression" dxfId="2920" priority="132511">
      <formula>(F267="x")</formula>
    </cfRule>
    <cfRule type="expression" dxfId="2919" priority="132512">
      <formula>(F265="x")</formula>
    </cfRule>
    <cfRule type="expression" dxfId="2918" priority="132513">
      <formula>(F259="x")</formula>
    </cfRule>
    <cfRule type="expression" dxfId="2917" priority="132514">
      <formula>(F283="x")</formula>
    </cfRule>
    <cfRule type="expression" dxfId="2916" priority="132515">
      <formula>(F271="x")</formula>
    </cfRule>
    <cfRule type="expression" dxfId="2915" priority="132516">
      <formula>(F308="x")</formula>
    </cfRule>
    <cfRule type="expression" dxfId="2914" priority="132517">
      <formula>(F268="x")</formula>
    </cfRule>
  </conditionalFormatting>
  <conditionalFormatting sqref="F83:BA83">
    <cfRule type="expression" dxfId="2913" priority="132518">
      <formula>(#REF!="x")</formula>
    </cfRule>
    <cfRule type="expression" dxfId="2912" priority="132519">
      <formula>(F255="x")</formula>
    </cfRule>
    <cfRule type="expression" dxfId="2911" priority="132520">
      <formula>(F253="x")</formula>
    </cfRule>
  </conditionalFormatting>
  <conditionalFormatting sqref="F83:BA83">
    <cfRule type="expression" dxfId="2910" priority="132521">
      <formula>(F260="x")</formula>
    </cfRule>
    <cfRule type="expression" dxfId="2909" priority="132522">
      <formula>(F238="x")</formula>
    </cfRule>
  </conditionalFormatting>
  <conditionalFormatting sqref="F83:BA83">
    <cfRule type="expression" dxfId="2908" priority="132524">
      <formula>(F231="x")</formula>
    </cfRule>
    <cfRule type="expression" dxfId="2907" priority="132525">
      <formula>(F230="x")</formula>
    </cfRule>
  </conditionalFormatting>
  <conditionalFormatting sqref="F83:BA83">
    <cfRule type="expression" dxfId="2906" priority="132531">
      <formula>(F216="x")</formula>
    </cfRule>
    <cfRule type="expression" dxfId="2905" priority="132532">
      <formula>(F215="x")</formula>
    </cfRule>
  </conditionalFormatting>
  <conditionalFormatting sqref="F83:BA83">
    <cfRule type="expression" dxfId="2904" priority="132533">
      <formula>(F274="x")</formula>
    </cfRule>
    <cfRule type="expression" dxfId="2903" priority="132534">
      <formula>(F213="x")</formula>
    </cfRule>
  </conditionalFormatting>
  <conditionalFormatting sqref="F83:BA83">
    <cfRule type="expression" dxfId="2902" priority="132540">
      <formula>(F191="x")</formula>
    </cfRule>
    <cfRule type="expression" dxfId="2901" priority="132541">
      <formula>(F192="x")</formula>
    </cfRule>
  </conditionalFormatting>
  <conditionalFormatting sqref="F83:BA83">
    <cfRule type="expression" dxfId="2900" priority="132544">
      <formula>(F297="x")</formula>
    </cfRule>
    <cfRule type="expression" dxfId="2899" priority="132545">
      <formula>(F203="x")</formula>
    </cfRule>
    <cfRule type="expression" dxfId="2898" priority="132546">
      <formula>(F300="x")</formula>
    </cfRule>
    <cfRule type="expression" dxfId="2897" priority="132547">
      <formula>(F282="x")</formula>
    </cfRule>
    <cfRule type="expression" dxfId="2896" priority="132548">
      <formula>(F281="x")</formula>
    </cfRule>
  </conditionalFormatting>
  <conditionalFormatting sqref="F83:BA83">
    <cfRule type="expression" dxfId="2895" priority="132549">
      <formula>(F285="x")</formula>
    </cfRule>
    <cfRule type="expression" dxfId="2894" priority="132550">
      <formula>(F295="x")</formula>
    </cfRule>
    <cfRule type="expression" dxfId="2893" priority="132551">
      <formula>(F309="x")</formula>
    </cfRule>
  </conditionalFormatting>
  <conditionalFormatting sqref="F83:BA83">
    <cfRule type="expression" dxfId="2892" priority="132552">
      <formula>(F212="x")</formula>
    </cfRule>
    <cfRule type="expression" dxfId="2891" priority="132553">
      <formula>(F222="x")</formula>
    </cfRule>
    <cfRule type="expression" dxfId="2890" priority="132554">
      <formula>(F221="x")</formula>
    </cfRule>
  </conditionalFormatting>
  <conditionalFormatting sqref="F83:BA83">
    <cfRule type="expression" dxfId="2889" priority="132557">
      <formula>(F188="x")</formula>
    </cfRule>
    <cfRule type="expression" dxfId="2888" priority="132558">
      <formula>(F288="x")</formula>
    </cfRule>
    <cfRule type="expression" dxfId="2887" priority="132559">
      <formula>(F289="x")</formula>
    </cfRule>
    <cfRule type="expression" dxfId="2886" priority="132560">
      <formula>(F269="x")</formula>
    </cfRule>
    <cfRule type="expression" dxfId="2885" priority="132561">
      <formula>(F279="x")</formula>
    </cfRule>
    <cfRule type="expression" dxfId="2884" priority="132562">
      <formula>(F278="x")</formula>
    </cfRule>
    <cfRule type="expression" dxfId="2883" priority="132563">
      <formula>(F307="x")</formula>
    </cfRule>
    <cfRule type="expression" dxfId="2882" priority="132564">
      <formula>(F305="x")</formula>
    </cfRule>
    <cfRule type="expression" dxfId="2881" priority="132565">
      <formula>(F298="x")</formula>
    </cfRule>
    <cfRule type="expression" dxfId="2880" priority="132566">
      <formula>(F185="x")</formula>
    </cfRule>
  </conditionalFormatting>
  <conditionalFormatting sqref="F25:BA44">
    <cfRule type="expression" dxfId="2879" priority="132580">
      <formula>(F350="x")</formula>
    </cfRule>
  </conditionalFormatting>
  <conditionalFormatting sqref="F11:BA11">
    <cfRule type="expression" dxfId="2878" priority="132589">
      <formula>(F317="x")</formula>
    </cfRule>
  </conditionalFormatting>
  <conditionalFormatting sqref="F14:BA44">
    <cfRule type="expression" dxfId="2877" priority="132591">
      <formula>(F339="x")</formula>
    </cfRule>
    <cfRule type="expression" dxfId="2876" priority="132592">
      <formula>(F338="x")</formula>
    </cfRule>
  </conditionalFormatting>
  <conditionalFormatting sqref="F69:BA70">
    <cfRule type="expression" dxfId="2875" priority="132737">
      <formula>(F374="x")</formula>
    </cfRule>
  </conditionalFormatting>
  <conditionalFormatting sqref="F26:BA44">
    <cfRule type="expression" dxfId="2874" priority="132789">
      <formula>(F351="x")</formula>
    </cfRule>
    <cfRule type="expression" dxfId="2873" priority="132790">
      <formula>(F350="x")</formula>
    </cfRule>
    <cfRule type="expression" dxfId="2872" priority="132791">
      <formula>(F354="x")</formula>
    </cfRule>
    <cfRule type="expression" dxfId="2871" priority="132792">
      <formula>(F355="x")</formula>
    </cfRule>
    <cfRule type="expression" dxfId="2870" priority="132793">
      <formula>(F356="x")</formula>
    </cfRule>
    <cfRule type="expression" dxfId="2869" priority="132794">
      <formula>(F357="x")</formula>
    </cfRule>
    <cfRule type="expression" dxfId="2868" priority="132795">
      <formula>(F360="x")</formula>
    </cfRule>
    <cfRule type="expression" dxfId="2867" priority="132796">
      <formula>(F372="x")</formula>
    </cfRule>
    <cfRule type="expression" dxfId="2866" priority="132797">
      <formula>(F359="x")</formula>
    </cfRule>
    <cfRule type="expression" dxfId="2865" priority="132798">
      <formula>(F358="x")</formula>
    </cfRule>
    <cfRule type="expression" dxfId="2864" priority="132799">
      <formula>(F373="x")</formula>
    </cfRule>
    <cfRule type="expression" dxfId="2863" priority="132800">
      <formula>(F368="x")</formula>
    </cfRule>
    <cfRule type="expression" dxfId="2862" priority="132801">
      <formula>(F371="x")</formula>
    </cfRule>
    <cfRule type="expression" dxfId="2861" priority="132802">
      <formula>(F367="x")</formula>
    </cfRule>
    <cfRule type="expression" dxfId="2860" priority="132803">
      <formula>(F370="x")</formula>
    </cfRule>
    <cfRule type="expression" dxfId="2859" priority="132804">
      <formula>(F366="x")</formula>
    </cfRule>
    <cfRule type="expression" dxfId="2858" priority="132805">
      <formula>(F369="x")</formula>
    </cfRule>
    <cfRule type="expression" dxfId="2857" priority="132806">
      <formula>(F365="x")</formula>
    </cfRule>
    <cfRule type="expression" dxfId="2856" priority="132807">
      <formula>(F364="x")</formula>
    </cfRule>
    <cfRule type="expression" dxfId="2855" priority="132808">
      <formula>(F363="x")</formula>
    </cfRule>
    <cfRule type="expression" dxfId="2854" priority="132809">
      <formula>(F361="x")</formula>
    </cfRule>
    <cfRule type="expression" dxfId="2853" priority="132810">
      <formula>(F347="x")</formula>
    </cfRule>
    <cfRule type="expression" dxfId="2852" priority="132811">
      <formula>(F346="x")</formula>
    </cfRule>
  </conditionalFormatting>
  <conditionalFormatting sqref="F26:BA44">
    <cfRule type="expression" dxfId="2851" priority="132818">
      <formula>(F349="x")</formula>
    </cfRule>
    <cfRule type="expression" dxfId="2850" priority="132819">
      <formula>(F340="x")</formula>
    </cfRule>
    <cfRule type="expression" dxfId="2849" priority="132820">
      <formula>(F338="x")</formula>
    </cfRule>
    <cfRule type="expression" dxfId="2848" priority="132821">
      <formula>(F345="x")</formula>
    </cfRule>
    <cfRule type="expression" dxfId="2847" priority="132822">
      <formula>(F341="x")</formula>
    </cfRule>
    <cfRule type="expression" dxfId="2846" priority="132823">
      <formula>(F335="x")</formula>
    </cfRule>
  </conditionalFormatting>
  <conditionalFormatting sqref="F26:BA44">
    <cfRule type="expression" dxfId="2845" priority="132835">
      <formula>(F337="x")</formula>
    </cfRule>
    <cfRule type="expression" dxfId="2844" priority="132836">
      <formula>(F333="x")</formula>
    </cfRule>
    <cfRule type="expression" dxfId="2843" priority="132837">
      <formula>(F328="x")</formula>
    </cfRule>
    <cfRule type="expression" dxfId="2842" priority="132838">
      <formula>(F332="x")</formula>
    </cfRule>
    <cfRule type="expression" dxfId="2841" priority="132839">
      <formula>(F330="x")</formula>
    </cfRule>
    <cfRule type="expression" dxfId="2840" priority="132840">
      <formula>(F334="x")</formula>
    </cfRule>
    <cfRule type="expression" dxfId="2839" priority="132841">
      <formula>(F325="x")</formula>
    </cfRule>
    <cfRule type="expression" dxfId="2838" priority="132842">
      <formula>(F336="x")</formula>
    </cfRule>
    <cfRule type="expression" dxfId="2837" priority="132843">
      <formula>(F254="x")</formula>
    </cfRule>
  </conditionalFormatting>
  <conditionalFormatting sqref="F26:BA44">
    <cfRule type="expression" dxfId="2836" priority="132922">
      <formula>(F329="x")</formula>
    </cfRule>
    <cfRule type="expression" dxfId="2835" priority="132923">
      <formula>(F324="x")</formula>
    </cfRule>
  </conditionalFormatting>
  <conditionalFormatting sqref="F26:BA44">
    <cfRule type="expression" dxfId="2834" priority="132948">
      <formula>(F287="x")</formula>
    </cfRule>
    <cfRule type="expression" dxfId="2833" priority="132949">
      <formula>(F289="x")</formula>
    </cfRule>
  </conditionalFormatting>
  <conditionalFormatting sqref="F26:BA44">
    <cfRule type="expression" dxfId="2832" priority="132957">
      <formula>(F322="x")</formula>
    </cfRule>
    <cfRule type="expression" dxfId="2831" priority="132958">
      <formula>(F326="x")</formula>
    </cfRule>
    <cfRule type="expression" dxfId="2830" priority="132959">
      <formula>(F252="x")</formula>
    </cfRule>
  </conditionalFormatting>
  <conditionalFormatting sqref="F26:BA44">
    <cfRule type="expression" dxfId="2829" priority="132984">
      <formula>(F276="x")</formula>
    </cfRule>
    <cfRule type="expression" dxfId="2828" priority="132985">
      <formula>(F296="x")</formula>
    </cfRule>
    <cfRule type="expression" dxfId="2827" priority="132986">
      <formula>(F314="x")</formula>
    </cfRule>
    <cfRule type="expression" dxfId="2826" priority="132987">
      <formula>(F273="x")</formula>
    </cfRule>
    <cfRule type="expression" dxfId="2825" priority="132988">
      <formula>(F306="x")</formula>
    </cfRule>
    <cfRule type="expression" dxfId="2824" priority="132989">
      <formula>(F320="x")</formula>
    </cfRule>
    <cfRule type="expression" dxfId="2823" priority="132990">
      <formula>(F318="x")</formula>
    </cfRule>
    <cfRule type="expression" dxfId="2822" priority="132991">
      <formula>(F316="x")</formula>
    </cfRule>
    <cfRule type="expression" dxfId="2821" priority="132992">
      <formula>(F305="x")</formula>
    </cfRule>
    <cfRule type="expression" dxfId="2820" priority="132993">
      <formula>(F304="x")</formula>
    </cfRule>
    <cfRule type="expression" dxfId="2819" priority="132994">
      <formula>(F299="x")</formula>
    </cfRule>
    <cfRule type="expression" dxfId="2818" priority="132995">
      <formula>(F267="x")</formula>
    </cfRule>
    <cfRule type="expression" dxfId="2817" priority="132996">
      <formula>(F266="x")</formula>
    </cfRule>
    <cfRule type="expression" dxfId="2816" priority="132997">
      <formula>(F261="x")</formula>
    </cfRule>
    <cfRule type="expression" dxfId="2815" priority="132998">
      <formula>(F297="x")</formula>
    </cfRule>
    <cfRule type="expression" dxfId="2814" priority="132999">
      <formula>(F257="x")</formula>
    </cfRule>
    <cfRule type="expression" dxfId="2813" priority="133000">
      <formula>(F280="x")</formula>
    </cfRule>
    <cfRule type="expression" dxfId="2812" priority="133001">
      <formula>(F270="x")</formula>
    </cfRule>
    <cfRule type="expression" dxfId="2811" priority="133002">
      <formula>(F268="x")</formula>
    </cfRule>
    <cfRule type="expression" dxfId="2810" priority="133003">
      <formula>(F262="x")</formula>
    </cfRule>
    <cfRule type="expression" dxfId="2809" priority="133004">
      <formula>(F286="x")</formula>
    </cfRule>
    <cfRule type="expression" dxfId="2808" priority="133005">
      <formula>(F274="x")</formula>
    </cfRule>
    <cfRule type="expression" dxfId="2807" priority="133006">
      <formula>(F311="x")</formula>
    </cfRule>
    <cfRule type="expression" dxfId="2806" priority="133007">
      <formula>(F271="x")</formula>
    </cfRule>
  </conditionalFormatting>
  <conditionalFormatting sqref="F26:BA44">
    <cfRule type="expression" dxfId="2805" priority="133011">
      <formula>(#REF!="x")</formula>
    </cfRule>
    <cfRule type="expression" dxfId="2804" priority="133012">
      <formula>(F258="x")</formula>
    </cfRule>
    <cfRule type="expression" dxfId="2803" priority="133013">
      <formula>(F256="x")</formula>
    </cfRule>
  </conditionalFormatting>
  <conditionalFormatting sqref="F26:BA44">
    <cfRule type="expression" dxfId="2802" priority="133016">
      <formula>(F263="x")</formula>
    </cfRule>
    <cfRule type="expression" dxfId="2801" priority="133017">
      <formula>(F241="x")</formula>
    </cfRule>
  </conditionalFormatting>
  <conditionalFormatting sqref="F26:BA44">
    <cfRule type="expression" dxfId="2800" priority="133030">
      <formula>(F219="x")</formula>
    </cfRule>
    <cfRule type="expression" dxfId="2799" priority="133031">
      <formula>(F218="x")</formula>
    </cfRule>
  </conditionalFormatting>
  <conditionalFormatting sqref="F26:BA44">
    <cfRule type="expression" dxfId="2798" priority="133034">
      <formula>(F277="x")</formula>
    </cfRule>
    <cfRule type="expression" dxfId="2797" priority="133035">
      <formula>(F216="x")</formula>
    </cfRule>
  </conditionalFormatting>
  <conditionalFormatting sqref="F26:BA44">
    <cfRule type="expression" dxfId="2796" priority="133044">
      <formula>(F194="x")</formula>
    </cfRule>
    <cfRule type="expression" dxfId="2795" priority="133045">
      <formula>(F195="x")</formula>
    </cfRule>
  </conditionalFormatting>
  <conditionalFormatting sqref="F26:BA44">
    <cfRule type="expression" dxfId="2794" priority="133051">
      <formula>(F300="x")</formula>
    </cfRule>
    <cfRule type="expression" dxfId="2793" priority="133052">
      <formula>(F206="x")</formula>
    </cfRule>
    <cfRule type="expression" dxfId="2792" priority="133053">
      <formula>(F303="x")</formula>
    </cfRule>
    <cfRule type="expression" dxfId="2791" priority="133054">
      <formula>(F285="x")</formula>
    </cfRule>
    <cfRule type="expression" dxfId="2790" priority="133055">
      <formula>(F284="x")</formula>
    </cfRule>
  </conditionalFormatting>
  <conditionalFormatting sqref="F26:BA44">
    <cfRule type="expression" dxfId="2789" priority="133059">
      <formula>(F288="x")</formula>
    </cfRule>
    <cfRule type="expression" dxfId="2788" priority="133060">
      <formula>(F298="x")</formula>
    </cfRule>
    <cfRule type="expression" dxfId="2787" priority="133061">
      <formula>(F312="x")</formula>
    </cfRule>
  </conditionalFormatting>
  <conditionalFormatting sqref="F26:BA44">
    <cfRule type="expression" dxfId="2786" priority="133065">
      <formula>(F215="x")</formula>
    </cfRule>
    <cfRule type="expression" dxfId="2785" priority="133066">
      <formula>(F225="x")</formula>
    </cfRule>
    <cfRule type="expression" dxfId="2784" priority="133067">
      <formula>(F224="x")</formula>
    </cfRule>
  </conditionalFormatting>
  <conditionalFormatting sqref="F26:BA44">
    <cfRule type="expression" dxfId="2783" priority="133080">
      <formula>(F191="x")</formula>
    </cfRule>
    <cfRule type="expression" dxfId="2782" priority="133081">
      <formula>(F291="x")</formula>
    </cfRule>
    <cfRule type="expression" dxfId="2781" priority="133082">
      <formula>(F292="x")</formula>
    </cfRule>
    <cfRule type="expression" dxfId="2780" priority="133083">
      <formula>(F272="x")</formula>
    </cfRule>
    <cfRule type="expression" dxfId="2779" priority="133084">
      <formula>(F282="x")</formula>
    </cfRule>
    <cfRule type="expression" dxfId="2778" priority="133085">
      <formula>(F281="x")</formula>
    </cfRule>
    <cfRule type="expression" dxfId="2777" priority="133086">
      <formula>(F310="x")</formula>
    </cfRule>
    <cfRule type="expression" dxfId="2776" priority="133087">
      <formula>(F308="x")</formula>
    </cfRule>
    <cfRule type="expression" dxfId="2775" priority="133088">
      <formula>(F301="x")</formula>
    </cfRule>
    <cfRule type="expression" dxfId="2774" priority="133089">
      <formula>(F188="x")</formula>
    </cfRule>
  </conditionalFormatting>
  <conditionalFormatting sqref="F26:BA44">
    <cfRule type="expression" dxfId="2773" priority="133092">
      <formula>(F265="x")</formula>
    </cfRule>
    <cfRule type="expression" dxfId="2772" priority="133093">
      <formula>(F264="x")</formula>
    </cfRule>
  </conditionalFormatting>
  <conditionalFormatting sqref="F26:BA44">
    <cfRule type="expression" dxfId="2771" priority="133096">
      <formula>(F319="x")</formula>
    </cfRule>
    <cfRule type="expression" dxfId="2770" priority="133097">
      <formula>(F189="x")</formula>
    </cfRule>
  </conditionalFormatting>
  <conditionalFormatting sqref="F26:BA44">
    <cfRule type="expression" dxfId="2769" priority="133104">
      <formula>(F212="x")</formula>
    </cfRule>
    <cfRule type="expression" dxfId="2768" priority="133105">
      <formula>(F202="x")</formula>
    </cfRule>
    <cfRule type="expression" dxfId="2767" priority="133106">
      <formula>(F293="x")</formula>
    </cfRule>
    <cfRule type="expression" dxfId="2766" priority="133107">
      <formula>(F283="x")</formula>
    </cfRule>
    <cfRule type="expression" dxfId="2765" priority="133108">
      <formula>(F211="x")</formula>
    </cfRule>
    <cfRule type="expression" dxfId="2764" priority="133109">
      <formula>(F186="x")</formula>
    </cfRule>
  </conditionalFormatting>
  <conditionalFormatting sqref="F84:BA84">
    <cfRule type="expression" dxfId="2763" priority="133197">
      <formula>(F350="x")</formula>
    </cfRule>
    <cfRule type="expression" dxfId="2762" priority="133198">
      <formula>(F349="x")</formula>
    </cfRule>
    <cfRule type="expression" dxfId="2761" priority="133199">
      <formula>(F353="x")</formula>
    </cfRule>
    <cfRule type="expression" dxfId="2760" priority="133200">
      <formula>(F354="x")</formula>
    </cfRule>
    <cfRule type="expression" dxfId="2759" priority="133201">
      <formula>(F355="x")</formula>
    </cfRule>
    <cfRule type="expression" dxfId="2758" priority="133202">
      <formula>(F356="x")</formula>
    </cfRule>
    <cfRule type="expression" dxfId="2757" priority="133203">
      <formula>(F359="x")</formula>
    </cfRule>
    <cfRule type="expression" dxfId="2756" priority="133204">
      <formula>(F371="x")</formula>
    </cfRule>
    <cfRule type="expression" dxfId="2755" priority="133205">
      <formula>(F358="x")</formula>
    </cfRule>
    <cfRule type="expression" dxfId="2754" priority="133206">
      <formula>(F357="x")</formula>
    </cfRule>
    <cfRule type="expression" dxfId="2753" priority="133207">
      <formula>(F372="x")</formula>
    </cfRule>
    <cfRule type="expression" dxfId="2752" priority="133208">
      <formula>(F367="x")</formula>
    </cfRule>
    <cfRule type="expression" dxfId="2751" priority="133209">
      <formula>(F370="x")</formula>
    </cfRule>
    <cfRule type="expression" dxfId="2750" priority="133210">
      <formula>(F366="x")</formula>
    </cfRule>
    <cfRule type="expression" dxfId="2749" priority="133211">
      <formula>(F369="x")</formula>
    </cfRule>
    <cfRule type="expression" dxfId="2748" priority="133212">
      <formula>(F365="x")</formula>
    </cfRule>
    <cfRule type="expression" dxfId="2747" priority="133213">
      <formula>(F368="x")</formula>
    </cfRule>
    <cfRule type="expression" dxfId="2746" priority="133214">
      <formula>(F364="x")</formula>
    </cfRule>
    <cfRule type="expression" dxfId="2745" priority="133215">
      <formula>(F363="x")</formula>
    </cfRule>
    <cfRule type="expression" dxfId="2744" priority="133216">
      <formula>(F362="x")</formula>
    </cfRule>
    <cfRule type="expression" dxfId="2743" priority="133217">
      <formula>(F360="x")</formula>
    </cfRule>
    <cfRule type="expression" dxfId="2742" priority="133218">
      <formula>(F346="x")</formula>
    </cfRule>
    <cfRule type="expression" dxfId="2741" priority="133219">
      <formula>(F345="x")</formula>
    </cfRule>
  </conditionalFormatting>
  <conditionalFormatting sqref="F84:BA84">
    <cfRule type="expression" dxfId="2740" priority="133220">
      <formula>(F348="x")</formula>
    </cfRule>
    <cfRule type="expression" dxfId="2739" priority="133221">
      <formula>(F339="x")</formula>
    </cfRule>
    <cfRule type="expression" dxfId="2738" priority="133222">
      <formula>(F337="x")</formula>
    </cfRule>
    <cfRule type="expression" dxfId="2737" priority="133223">
      <formula>(F344="x")</formula>
    </cfRule>
    <cfRule type="expression" dxfId="2736" priority="133224">
      <formula>(F340="x")</formula>
    </cfRule>
    <cfRule type="expression" dxfId="2735" priority="133225">
      <formula>(F334="x")</formula>
    </cfRule>
  </conditionalFormatting>
  <conditionalFormatting sqref="F84:BA84">
    <cfRule type="expression" dxfId="2734" priority="133242">
      <formula>(F336="x")</formula>
    </cfRule>
    <cfRule type="expression" dxfId="2733" priority="133243">
      <formula>(F332="x")</formula>
    </cfRule>
    <cfRule type="expression" dxfId="2732" priority="133244">
      <formula>(F327="x")</formula>
    </cfRule>
    <cfRule type="expression" dxfId="2731" priority="133245">
      <formula>(F331="x")</formula>
    </cfRule>
    <cfRule type="expression" dxfId="2730" priority="133246">
      <formula>(F329="x")</formula>
    </cfRule>
    <cfRule type="expression" dxfId="2729" priority="133247">
      <formula>(F333="x")</formula>
    </cfRule>
    <cfRule type="expression" dxfId="2728" priority="133248">
      <formula>(F324="x")</formula>
    </cfRule>
    <cfRule type="expression" dxfId="2727" priority="133249">
      <formula>(F335="x")</formula>
    </cfRule>
    <cfRule type="expression" dxfId="2726" priority="133250">
      <formula>(F253="x")</formula>
    </cfRule>
  </conditionalFormatting>
  <conditionalFormatting sqref="F84:BA84">
    <cfRule type="expression" dxfId="2725" priority="133377">
      <formula>(F328="x")</formula>
    </cfRule>
    <cfRule type="expression" dxfId="2724" priority="133378">
      <formula>(F323="x")</formula>
    </cfRule>
  </conditionalFormatting>
  <conditionalFormatting sqref="F75:BA77">
    <cfRule type="expression" dxfId="2723" priority="133398">
      <formula>(F315="x")</formula>
    </cfRule>
  </conditionalFormatting>
  <conditionalFormatting sqref="F84:BA84 F80:BA82 F50:BA51 F17:BA44 F13:BA13 F46:BA47">
    <cfRule type="expression" dxfId="2722" priority="133425">
      <formula>(F218="x")</formula>
    </cfRule>
  </conditionalFormatting>
  <conditionalFormatting sqref="F105:BA105">
    <cfRule type="expression" dxfId="2721" priority="133435">
      <formula>(F337="x")</formula>
    </cfRule>
  </conditionalFormatting>
  <conditionalFormatting sqref="F84:BA84 F71:BA74 F52:BA54 F65:BA68 F81:BA82 F16:BA45 F10:BA13">
    <cfRule type="expression" dxfId="2720" priority="133448">
      <formula>(F232="x")</formula>
    </cfRule>
  </conditionalFormatting>
  <conditionalFormatting sqref="F84:BA84">
    <cfRule type="expression" dxfId="2719" priority="133455">
      <formula>(F286="x")</formula>
    </cfRule>
    <cfRule type="expression" dxfId="2718" priority="133456">
      <formula>(F288="x")</formula>
    </cfRule>
  </conditionalFormatting>
  <conditionalFormatting sqref="F84:BA84">
    <cfRule type="expression" dxfId="2717" priority="133465">
      <formula>(F321="x")</formula>
    </cfRule>
    <cfRule type="expression" dxfId="2716" priority="133466">
      <formula>(F325="x")</formula>
    </cfRule>
    <cfRule type="expression" dxfId="2715" priority="133467">
      <formula>(F251="x")</formula>
    </cfRule>
  </conditionalFormatting>
  <conditionalFormatting sqref="F84:BA84">
    <cfRule type="expression" dxfId="2714" priority="133468">
      <formula>(F275="x")</formula>
    </cfRule>
    <cfRule type="expression" dxfId="2713" priority="133469">
      <formula>(F295="x")</formula>
    </cfRule>
    <cfRule type="expression" dxfId="2712" priority="133470">
      <formula>(F313="x")</formula>
    </cfRule>
    <cfRule type="expression" dxfId="2711" priority="133471">
      <formula>(F272="x")</formula>
    </cfRule>
    <cfRule type="expression" dxfId="2710" priority="133472">
      <formula>(F305="x")</formula>
    </cfRule>
    <cfRule type="expression" dxfId="2709" priority="133473">
      <formula>(F319="x")</formula>
    </cfRule>
    <cfRule type="expression" dxfId="2708" priority="133474">
      <formula>(F317="x")</formula>
    </cfRule>
    <cfRule type="expression" dxfId="2707" priority="133475">
      <formula>(F315="x")</formula>
    </cfRule>
    <cfRule type="expression" dxfId="2706" priority="133476">
      <formula>(F304="x")</formula>
    </cfRule>
    <cfRule type="expression" dxfId="2705" priority="133477">
      <formula>(F303="x")</formula>
    </cfRule>
    <cfRule type="expression" dxfId="2704" priority="133478">
      <formula>(F298="x")</formula>
    </cfRule>
    <cfRule type="expression" dxfId="2703" priority="133479">
      <formula>(F266="x")</formula>
    </cfRule>
    <cfRule type="expression" dxfId="2702" priority="133480">
      <formula>(F265="x")</formula>
    </cfRule>
    <cfRule type="expression" dxfId="2701" priority="133481">
      <formula>(F260="x")</formula>
    </cfRule>
    <cfRule type="expression" dxfId="2700" priority="133482">
      <formula>(F296="x")</formula>
    </cfRule>
    <cfRule type="expression" dxfId="2699" priority="133483">
      <formula>(F256="x")</formula>
    </cfRule>
    <cfRule type="expression" dxfId="2698" priority="133484">
      <formula>(F279="x")</formula>
    </cfRule>
    <cfRule type="expression" dxfId="2697" priority="133485">
      <formula>(F269="x")</formula>
    </cfRule>
    <cfRule type="expression" dxfId="2696" priority="133486">
      <formula>(F267="x")</formula>
    </cfRule>
    <cfRule type="expression" dxfId="2695" priority="133487">
      <formula>(F261="x")</formula>
    </cfRule>
    <cfRule type="expression" dxfId="2694" priority="133488">
      <formula>(F285="x")</formula>
    </cfRule>
    <cfRule type="expression" dxfId="2693" priority="133489">
      <formula>(F273="x")</formula>
    </cfRule>
    <cfRule type="expression" dxfId="2692" priority="133490">
      <formula>(F310="x")</formula>
    </cfRule>
    <cfRule type="expression" dxfId="2691" priority="133491">
      <formula>(F270="x")</formula>
    </cfRule>
  </conditionalFormatting>
  <conditionalFormatting sqref="F84:BA84">
    <cfRule type="expression" dxfId="2690" priority="133492">
      <formula>(#REF!="x")</formula>
    </cfRule>
    <cfRule type="expression" dxfId="2689" priority="133493">
      <formula>(F257="x")</formula>
    </cfRule>
    <cfRule type="expression" dxfId="2688" priority="133494">
      <formula>(F255="x")</formula>
    </cfRule>
  </conditionalFormatting>
  <conditionalFormatting sqref="F84:BA84">
    <cfRule type="expression" dxfId="2687" priority="133495">
      <formula>(F262="x")</formula>
    </cfRule>
    <cfRule type="expression" dxfId="2686" priority="133496">
      <formula>(F240="x")</formula>
    </cfRule>
  </conditionalFormatting>
  <conditionalFormatting sqref="F84:BA84">
    <cfRule type="expression" dxfId="2685" priority="133500">
      <formula>(F233="x")</formula>
    </cfRule>
    <cfRule type="expression" dxfId="2684" priority="133501">
      <formula>(F232="x")</formula>
    </cfRule>
  </conditionalFormatting>
  <conditionalFormatting sqref="F84:BA84">
    <cfRule type="expression" dxfId="2683" priority="133505">
      <formula>(F218="x")</formula>
    </cfRule>
    <cfRule type="expression" dxfId="2682" priority="133506">
      <formula>(F217="x")</formula>
    </cfRule>
  </conditionalFormatting>
  <conditionalFormatting sqref="F84:BA84">
    <cfRule type="expression" dxfId="2681" priority="133507">
      <formula>(F276="x")</formula>
    </cfRule>
    <cfRule type="expression" dxfId="2680" priority="133508">
      <formula>(F215="x")</formula>
    </cfRule>
  </conditionalFormatting>
  <conditionalFormatting sqref="F87:BA91 F80:BA85 F103:BA105 F71:BA78">
    <cfRule type="expression" dxfId="2679" priority="133511">
      <formula>(F186="x")</formula>
    </cfRule>
  </conditionalFormatting>
  <conditionalFormatting sqref="F84:BA84">
    <cfRule type="expression" dxfId="2678" priority="133512">
      <formula>(F193="x")</formula>
    </cfRule>
    <cfRule type="expression" dxfId="2677" priority="133513">
      <formula>(F194="x")</formula>
    </cfRule>
  </conditionalFormatting>
  <conditionalFormatting sqref="F84:BA84">
    <cfRule type="expression" dxfId="2676" priority="133514">
      <formula>(F299="x")</formula>
    </cfRule>
    <cfRule type="expression" dxfId="2675" priority="133515">
      <formula>(F205="x")</formula>
    </cfRule>
    <cfRule type="expression" dxfId="2674" priority="133516">
      <formula>(F302="x")</formula>
    </cfRule>
    <cfRule type="expression" dxfId="2673" priority="133517">
      <formula>(F284="x")</formula>
    </cfRule>
    <cfRule type="expression" dxfId="2672" priority="133518">
      <formula>(F283="x")</formula>
    </cfRule>
  </conditionalFormatting>
  <conditionalFormatting sqref="F84:BA84">
    <cfRule type="expression" dxfId="2671" priority="133519">
      <formula>(F287="x")</formula>
    </cfRule>
    <cfRule type="expression" dxfId="2670" priority="133520">
      <formula>(F297="x")</formula>
    </cfRule>
    <cfRule type="expression" dxfId="2669" priority="133521">
      <formula>(F311="x")</formula>
    </cfRule>
  </conditionalFormatting>
  <conditionalFormatting sqref="F84:BA84">
    <cfRule type="expression" dxfId="2668" priority="133522">
      <formula>(F214="x")</formula>
    </cfRule>
    <cfRule type="expression" dxfId="2667" priority="133523">
      <formula>(F224="x")</formula>
    </cfRule>
    <cfRule type="expression" dxfId="2666" priority="133524">
      <formula>(F223="x")</formula>
    </cfRule>
  </conditionalFormatting>
  <conditionalFormatting sqref="F84:BA84 F82:BA82 F92:BA105 F80:BA80">
    <cfRule type="expression" dxfId="2665" priority="133525">
      <formula>(F185="x")</formula>
    </cfRule>
  </conditionalFormatting>
  <conditionalFormatting sqref="F84:BA84">
    <cfRule type="expression" dxfId="2664" priority="133528">
      <formula>(F190="x")</formula>
    </cfRule>
    <cfRule type="expression" dxfId="2663" priority="133529">
      <formula>(F290="x")</formula>
    </cfRule>
    <cfRule type="expression" dxfId="2662" priority="133530">
      <formula>(F291="x")</formula>
    </cfRule>
    <cfRule type="expression" dxfId="2661" priority="133531">
      <formula>(F271="x")</formula>
    </cfRule>
    <cfRule type="expression" dxfId="2660" priority="133532">
      <formula>(F281="x")</formula>
    </cfRule>
    <cfRule type="expression" dxfId="2659" priority="133533">
      <formula>(F280="x")</formula>
    </cfRule>
    <cfRule type="expression" dxfId="2658" priority="133534">
      <formula>(F309="x")</formula>
    </cfRule>
    <cfRule type="expression" dxfId="2657" priority="133535">
      <formula>(F307="x")</formula>
    </cfRule>
    <cfRule type="expression" dxfId="2656" priority="133536">
      <formula>(F300="x")</formula>
    </cfRule>
    <cfRule type="expression" dxfId="2655" priority="133537">
      <formula>(F187="x")</formula>
    </cfRule>
  </conditionalFormatting>
  <conditionalFormatting sqref="F84:BA84">
    <cfRule type="expression" dxfId="2654" priority="133538">
      <formula>(F264="x")</formula>
    </cfRule>
    <cfRule type="expression" dxfId="2653" priority="133539">
      <formula>(F263="x")</formula>
    </cfRule>
  </conditionalFormatting>
  <conditionalFormatting sqref="F84:BA84">
    <cfRule type="expression" dxfId="2652" priority="133544">
      <formula>(F318="x")</formula>
    </cfRule>
    <cfRule type="expression" dxfId="2651" priority="133545">
      <formula>(F188="x")</formula>
    </cfRule>
  </conditionalFormatting>
  <conditionalFormatting sqref="F19:BA44">
    <cfRule type="expression" dxfId="2650" priority="133559">
      <formula>(F343="x")</formula>
    </cfRule>
  </conditionalFormatting>
  <conditionalFormatting sqref="F13:BA13">
    <cfRule type="expression" dxfId="2649" priority="133571">
      <formula>(F318="x")</formula>
    </cfRule>
  </conditionalFormatting>
  <conditionalFormatting sqref="F26:BA44">
    <cfRule type="expression" dxfId="2648" priority="133866">
      <formula>(F234="x")</formula>
    </cfRule>
    <cfRule type="expression" dxfId="2647" priority="133867">
      <formula>(F233="x")</formula>
    </cfRule>
  </conditionalFormatting>
  <conditionalFormatting sqref="F27:BA44">
    <cfRule type="expression" dxfId="2646" priority="133974">
      <formula>(F296="x")</formula>
    </cfRule>
    <cfRule type="expression" dxfId="2645" priority="133975">
      <formula>(F298="x")</formula>
    </cfRule>
  </conditionalFormatting>
  <conditionalFormatting sqref="F27:BA44">
    <cfRule type="expression" dxfId="2644" priority="133985">
      <formula>(F331="x")</formula>
    </cfRule>
    <cfRule type="expression" dxfId="2643" priority="133986">
      <formula>(F335="x")</formula>
    </cfRule>
    <cfRule type="expression" dxfId="2642" priority="133987">
      <formula>(F261="x")</formula>
    </cfRule>
  </conditionalFormatting>
  <conditionalFormatting sqref="F27:BA44">
    <cfRule type="expression" dxfId="2641" priority="134012">
      <formula>(F285="x")</formula>
    </cfRule>
    <cfRule type="expression" dxfId="2640" priority="134013">
      <formula>(F305="x")</formula>
    </cfRule>
    <cfRule type="expression" dxfId="2639" priority="134014">
      <formula>(F323="x")</formula>
    </cfRule>
    <cfRule type="expression" dxfId="2638" priority="134015">
      <formula>(F282="x")</formula>
    </cfRule>
    <cfRule type="expression" dxfId="2637" priority="134016">
      <formula>(F315="x")</formula>
    </cfRule>
    <cfRule type="expression" dxfId="2636" priority="134017">
      <formula>(F329="x")</formula>
    </cfRule>
    <cfRule type="expression" dxfId="2635" priority="134018">
      <formula>(F327="x")</formula>
    </cfRule>
    <cfRule type="expression" dxfId="2634" priority="134019">
      <formula>(F325="x")</formula>
    </cfRule>
    <cfRule type="expression" dxfId="2633" priority="134020">
      <formula>(F314="x")</formula>
    </cfRule>
    <cfRule type="expression" dxfId="2632" priority="134021">
      <formula>(F313="x")</formula>
    </cfRule>
    <cfRule type="expression" dxfId="2631" priority="134022">
      <formula>(F308="x")</formula>
    </cfRule>
    <cfRule type="expression" dxfId="2630" priority="134023">
      <formula>(F276="x")</formula>
    </cfRule>
    <cfRule type="expression" dxfId="2629" priority="134024">
      <formula>(F275="x")</formula>
    </cfRule>
    <cfRule type="expression" dxfId="2628" priority="134025">
      <formula>(F270="x")</formula>
    </cfRule>
    <cfRule type="expression" dxfId="2627" priority="134026">
      <formula>(F306="x")</formula>
    </cfRule>
    <cfRule type="expression" dxfId="2626" priority="134027">
      <formula>(F266="x")</formula>
    </cfRule>
    <cfRule type="expression" dxfId="2625" priority="134028">
      <formula>(F289="x")</formula>
    </cfRule>
    <cfRule type="expression" dxfId="2624" priority="134029">
      <formula>(F279="x")</formula>
    </cfRule>
    <cfRule type="expression" dxfId="2623" priority="134030">
      <formula>(F277="x")</formula>
    </cfRule>
    <cfRule type="expression" dxfId="2622" priority="134031">
      <formula>(F271="x")</formula>
    </cfRule>
    <cfRule type="expression" dxfId="2621" priority="134032">
      <formula>(F295="x")</formula>
    </cfRule>
    <cfRule type="expression" dxfId="2620" priority="134033">
      <formula>(F283="x")</formula>
    </cfRule>
    <cfRule type="expression" dxfId="2619" priority="134034">
      <formula>(F320="x")</formula>
    </cfRule>
    <cfRule type="expression" dxfId="2618" priority="134035">
      <formula>(F280="x")</formula>
    </cfRule>
  </conditionalFormatting>
  <conditionalFormatting sqref="F27:BA44">
    <cfRule type="expression" dxfId="2617" priority="134039">
      <formula>(#REF!="x")</formula>
    </cfRule>
    <cfRule type="expression" dxfId="2616" priority="134040">
      <formula>(F267="x")</formula>
    </cfRule>
    <cfRule type="expression" dxfId="2615" priority="134041">
      <formula>(F265="x")</formula>
    </cfRule>
  </conditionalFormatting>
  <conditionalFormatting sqref="F27:BA44">
    <cfRule type="expression" dxfId="2614" priority="134044">
      <formula>(F272="x")</formula>
    </cfRule>
    <cfRule type="expression" dxfId="2613" priority="134045">
      <formula>(F250="x")</formula>
    </cfRule>
  </conditionalFormatting>
  <conditionalFormatting sqref="F27:BA44">
    <cfRule type="expression" dxfId="2612" priority="134050">
      <formula>(F243="x")</formula>
    </cfRule>
    <cfRule type="expression" dxfId="2611" priority="134051">
      <formula>(F242="x")</formula>
    </cfRule>
  </conditionalFormatting>
  <conditionalFormatting sqref="F27:BA44">
    <cfRule type="expression" dxfId="2610" priority="134062">
      <formula>(F286="x")</formula>
    </cfRule>
    <cfRule type="expression" dxfId="2609" priority="134063">
      <formula>(F225="x")</formula>
    </cfRule>
  </conditionalFormatting>
  <conditionalFormatting sqref="F27:BA44">
    <cfRule type="expression" dxfId="2608" priority="134079">
      <formula>(F309="x")</formula>
    </cfRule>
    <cfRule type="expression" dxfId="2607" priority="134080">
      <formula>(F215="x")</formula>
    </cfRule>
    <cfRule type="expression" dxfId="2606" priority="134081">
      <formula>(F312="x")</formula>
    </cfRule>
    <cfRule type="expression" dxfId="2605" priority="134082">
      <formula>(F294="x")</formula>
    </cfRule>
    <cfRule type="expression" dxfId="2604" priority="134083">
      <formula>(F293="x")</formula>
    </cfRule>
  </conditionalFormatting>
  <conditionalFormatting sqref="F27:BA44">
    <cfRule type="expression" dxfId="2603" priority="134087">
      <formula>(F297="x")</formula>
    </cfRule>
    <cfRule type="expression" dxfId="2602" priority="134088">
      <formula>(F307="x")</formula>
    </cfRule>
    <cfRule type="expression" dxfId="2601" priority="134089">
      <formula>(F321="x")</formula>
    </cfRule>
  </conditionalFormatting>
  <conditionalFormatting sqref="F27:BA44">
    <cfRule type="expression" dxfId="2600" priority="134093">
      <formula>(F224="x")</formula>
    </cfRule>
    <cfRule type="expression" dxfId="2599" priority="134094">
      <formula>(F234="x")</formula>
    </cfRule>
    <cfRule type="expression" dxfId="2598" priority="134095">
      <formula>(F233="x")</formula>
    </cfRule>
  </conditionalFormatting>
  <conditionalFormatting sqref="F27:BA44">
    <cfRule type="expression" dxfId="2597" priority="134110">
      <formula>(F200="x")</formula>
    </cfRule>
    <cfRule type="expression" dxfId="2596" priority="134111">
      <formula>(F300="x")</formula>
    </cfRule>
    <cfRule type="expression" dxfId="2595" priority="134112">
      <formula>(F301="x")</formula>
    </cfRule>
    <cfRule type="expression" dxfId="2594" priority="134113">
      <formula>(F281="x")</formula>
    </cfRule>
    <cfRule type="expression" dxfId="2593" priority="134114">
      <formula>(F291="x")</formula>
    </cfRule>
    <cfRule type="expression" dxfId="2592" priority="134115">
      <formula>(F290="x")</formula>
    </cfRule>
    <cfRule type="expression" dxfId="2591" priority="134116">
      <formula>(F319="x")</formula>
    </cfRule>
    <cfRule type="expression" dxfId="2590" priority="134117">
      <formula>(F317="x")</formula>
    </cfRule>
    <cfRule type="expression" dxfId="2589" priority="134118">
      <formula>(F310="x")</formula>
    </cfRule>
    <cfRule type="expression" dxfId="2588" priority="134119">
      <formula>(F197="x")</formula>
    </cfRule>
  </conditionalFormatting>
  <conditionalFormatting sqref="F27:BA44">
    <cfRule type="expression" dxfId="2587" priority="134126">
      <formula>(F328="x")</formula>
    </cfRule>
    <cfRule type="expression" dxfId="2586" priority="134127">
      <formula>(F198="x")</formula>
    </cfRule>
  </conditionalFormatting>
  <conditionalFormatting sqref="F27:BA44">
    <cfRule type="expression" dxfId="2585" priority="134134">
      <formula>(F221="x")</formula>
    </cfRule>
    <cfRule type="expression" dxfId="2584" priority="134135">
      <formula>(F211="x")</formula>
    </cfRule>
    <cfRule type="expression" dxfId="2583" priority="134136">
      <formula>(F302="x")</formula>
    </cfRule>
    <cfRule type="expression" dxfId="2582" priority="134137">
      <formula>(F292="x")</formula>
    </cfRule>
    <cfRule type="expression" dxfId="2581" priority="134138">
      <formula>(F220="x")</formula>
    </cfRule>
    <cfRule type="expression" dxfId="2580" priority="134139">
      <formula>(F195="x")</formula>
    </cfRule>
  </conditionalFormatting>
  <conditionalFormatting sqref="F27:BA44">
    <cfRule type="expression" dxfId="2579" priority="134142">
      <formula>(F311="x")</formula>
    </cfRule>
    <cfRule type="expression" dxfId="2578" priority="134143">
      <formula>(F196="x")</formula>
    </cfRule>
  </conditionalFormatting>
  <conditionalFormatting sqref="F27:BA44">
    <cfRule type="expression" dxfId="2577" priority="134146">
      <formula>(F287="x")</formula>
    </cfRule>
    <cfRule type="expression" dxfId="2576" priority="134147">
      <formula>(F288="x")</formula>
    </cfRule>
  </conditionalFormatting>
  <conditionalFormatting sqref="F27:BA44">
    <cfRule type="expression" dxfId="2575" priority="134153">
      <formula>(F214="x")</formula>
    </cfRule>
    <cfRule type="expression" dxfId="2574" priority="134154">
      <formula>(F189="x")</formula>
    </cfRule>
    <cfRule type="expression" dxfId="2573" priority="134155">
      <formula>(F190="x")</formula>
    </cfRule>
  </conditionalFormatting>
  <conditionalFormatting sqref="F85:BA90 F52:BA53 F81:BA83 F16:BA45 F11:BA13">
    <cfRule type="expression" dxfId="2572" priority="134205">
      <formula>(F219="x")</formula>
    </cfRule>
  </conditionalFormatting>
  <conditionalFormatting sqref="F85:BA90">
    <cfRule type="expression" dxfId="2571" priority="134466">
      <formula>(F290="x")</formula>
    </cfRule>
    <cfRule type="expression" dxfId="2570" priority="134467">
      <formula>(F292="x")</formula>
    </cfRule>
  </conditionalFormatting>
  <conditionalFormatting sqref="F85:BA90">
    <cfRule type="expression" dxfId="2569" priority="134478">
      <formula>(F325="x")</formula>
    </cfRule>
    <cfRule type="expression" dxfId="2568" priority="134479">
      <formula>(F329="x")</formula>
    </cfRule>
    <cfRule type="expression" dxfId="2567" priority="134480">
      <formula>(F255="x")</formula>
    </cfRule>
  </conditionalFormatting>
  <conditionalFormatting sqref="F85:BA90">
    <cfRule type="expression" dxfId="2566" priority="134481">
      <formula>(F279="x")</formula>
    </cfRule>
    <cfRule type="expression" dxfId="2565" priority="134482">
      <formula>(F299="x")</formula>
    </cfRule>
    <cfRule type="expression" dxfId="2564" priority="134483">
      <formula>(F317="x")</formula>
    </cfRule>
    <cfRule type="expression" dxfId="2563" priority="134484">
      <formula>(F276="x")</formula>
    </cfRule>
    <cfRule type="expression" dxfId="2562" priority="134485">
      <formula>(F309="x")</formula>
    </cfRule>
    <cfRule type="expression" dxfId="2561" priority="134486">
      <formula>(F323="x")</formula>
    </cfRule>
    <cfRule type="expression" dxfId="2560" priority="134487">
      <formula>(F321="x")</formula>
    </cfRule>
    <cfRule type="expression" dxfId="2559" priority="134488">
      <formula>(F319="x")</formula>
    </cfRule>
    <cfRule type="expression" dxfId="2558" priority="134489">
      <formula>(F308="x")</formula>
    </cfRule>
    <cfRule type="expression" dxfId="2557" priority="134490">
      <formula>(F307="x")</formula>
    </cfRule>
    <cfRule type="expression" dxfId="2556" priority="134491">
      <formula>(F302="x")</formula>
    </cfRule>
    <cfRule type="expression" dxfId="2555" priority="134492">
      <formula>(F270="x")</formula>
    </cfRule>
    <cfRule type="expression" dxfId="2554" priority="134493">
      <formula>(F269="x")</formula>
    </cfRule>
    <cfRule type="expression" dxfId="2553" priority="134494">
      <formula>(F264="x")</formula>
    </cfRule>
    <cfRule type="expression" dxfId="2552" priority="134495">
      <formula>(F300="x")</formula>
    </cfRule>
    <cfRule type="expression" dxfId="2551" priority="134496">
      <formula>(F260="x")</formula>
    </cfRule>
    <cfRule type="expression" dxfId="2550" priority="134497">
      <formula>(F283="x")</formula>
    </cfRule>
    <cfRule type="expression" dxfId="2549" priority="134498">
      <formula>(F273="x")</formula>
    </cfRule>
    <cfRule type="expression" dxfId="2548" priority="134499">
      <formula>(F271="x")</formula>
    </cfRule>
    <cfRule type="expression" dxfId="2547" priority="134500">
      <formula>(F265="x")</formula>
    </cfRule>
    <cfRule type="expression" dxfId="2546" priority="134501">
      <formula>(F289="x")</formula>
    </cfRule>
    <cfRule type="expression" dxfId="2545" priority="134502">
      <formula>(F277="x")</formula>
    </cfRule>
    <cfRule type="expression" dxfId="2544" priority="134503">
      <formula>(F314="x")</formula>
    </cfRule>
    <cfRule type="expression" dxfId="2543" priority="134504">
      <formula>(F274="x")</formula>
    </cfRule>
  </conditionalFormatting>
  <conditionalFormatting sqref="F85:BA90">
    <cfRule type="expression" dxfId="2542" priority="134505">
      <formula>(#REF!="x")</formula>
    </cfRule>
    <cfRule type="expression" dxfId="2541" priority="134506">
      <formula>(F261="x")</formula>
    </cfRule>
    <cfRule type="expression" dxfId="2540" priority="134507">
      <formula>(F259="x")</formula>
    </cfRule>
  </conditionalFormatting>
  <conditionalFormatting sqref="F85:BA90">
    <cfRule type="expression" dxfId="2539" priority="134508">
      <formula>(F266="x")</formula>
    </cfRule>
    <cfRule type="expression" dxfId="2538" priority="134509">
      <formula>(F244="x")</formula>
    </cfRule>
  </conditionalFormatting>
  <conditionalFormatting sqref="F85:BA105 F71:BA83 F50:BA68 F38:BA44">
    <cfRule type="expression" dxfId="2537" priority="134510">
      <formula>(F187="x")</formula>
    </cfRule>
  </conditionalFormatting>
  <conditionalFormatting sqref="F85:BA90">
    <cfRule type="expression" dxfId="2536" priority="134513">
      <formula>(F237="x")</formula>
    </cfRule>
    <cfRule type="expression" dxfId="2535" priority="134514">
      <formula>(F236="x")</formula>
    </cfRule>
  </conditionalFormatting>
  <conditionalFormatting sqref="F50:BA50">
    <cfRule type="expression" dxfId="2534" priority="134515">
      <formula>(F187="x")</formula>
    </cfRule>
  </conditionalFormatting>
  <conditionalFormatting sqref="F105:BA105 F85:BA95 F48:BA83 F46:BA46">
    <cfRule type="expression" dxfId="2533" priority="134518">
      <formula>(F186="x")</formula>
    </cfRule>
  </conditionalFormatting>
  <conditionalFormatting sqref="F85:BA90">
    <cfRule type="expression" dxfId="2532" priority="134522">
      <formula>(F280="x")</formula>
    </cfRule>
    <cfRule type="expression" dxfId="2531" priority="134523">
      <formula>(F219="x")</formula>
    </cfRule>
  </conditionalFormatting>
  <conditionalFormatting sqref="F85:BA90">
    <cfRule type="expression" dxfId="2530" priority="134531">
      <formula>(F197="x")</formula>
    </cfRule>
    <cfRule type="expression" dxfId="2529" priority="134532">
      <formula>(F198="x")</formula>
    </cfRule>
  </conditionalFormatting>
  <conditionalFormatting sqref="F85:BA90">
    <cfRule type="expression" dxfId="2528" priority="134533">
      <formula>(F303="x")</formula>
    </cfRule>
    <cfRule type="expression" dxfId="2527" priority="134534">
      <formula>(F209="x")</formula>
    </cfRule>
    <cfRule type="expression" dxfId="2526" priority="134535">
      <formula>(F306="x")</formula>
    </cfRule>
    <cfRule type="expression" dxfId="2525" priority="134536">
      <formula>(F288="x")</formula>
    </cfRule>
    <cfRule type="expression" dxfId="2524" priority="134537">
      <formula>(F287="x")</formula>
    </cfRule>
  </conditionalFormatting>
  <conditionalFormatting sqref="F85:BA90">
    <cfRule type="expression" dxfId="2523" priority="134538">
      <formula>(F291="x")</formula>
    </cfRule>
    <cfRule type="expression" dxfId="2522" priority="134539">
      <formula>(F301="x")</formula>
    </cfRule>
    <cfRule type="expression" dxfId="2521" priority="134540">
      <formula>(F315="x")</formula>
    </cfRule>
  </conditionalFormatting>
  <conditionalFormatting sqref="F85:BA90">
    <cfRule type="expression" dxfId="2520" priority="134541">
      <formula>(F218="x")</formula>
    </cfRule>
    <cfRule type="expression" dxfId="2519" priority="134542">
      <formula>(F228="x")</formula>
    </cfRule>
    <cfRule type="expression" dxfId="2518" priority="134543">
      <formula>(F227="x")</formula>
    </cfRule>
  </conditionalFormatting>
  <conditionalFormatting sqref="F84:BA90">
    <cfRule type="expression" dxfId="2517" priority="134544">
      <formula>(F192="x")</formula>
    </cfRule>
  </conditionalFormatting>
  <conditionalFormatting sqref="F85:BA90">
    <cfRule type="expression" dxfId="2516" priority="134547">
      <formula>(F194="x")</formula>
    </cfRule>
    <cfRule type="expression" dxfId="2515" priority="134548">
      <formula>(F294="x")</formula>
    </cfRule>
    <cfRule type="expression" dxfId="2514" priority="134549">
      <formula>(F295="x")</formula>
    </cfRule>
    <cfRule type="expression" dxfId="2513" priority="134550">
      <formula>(F275="x")</formula>
    </cfRule>
    <cfRule type="expression" dxfId="2512" priority="134551">
      <formula>(F285="x")</formula>
    </cfRule>
    <cfRule type="expression" dxfId="2511" priority="134552">
      <formula>(F284="x")</formula>
    </cfRule>
    <cfRule type="expression" dxfId="2510" priority="134553">
      <formula>(F313="x")</formula>
    </cfRule>
    <cfRule type="expression" dxfId="2509" priority="134554">
      <formula>(F311="x")</formula>
    </cfRule>
    <cfRule type="expression" dxfId="2508" priority="134555">
      <formula>(F304="x")</formula>
    </cfRule>
    <cfRule type="expression" dxfId="2507" priority="134556">
      <formula>(F191="x")</formula>
    </cfRule>
  </conditionalFormatting>
  <conditionalFormatting sqref="F85:BA90">
    <cfRule type="expression" dxfId="2506" priority="134557">
      <formula>(F268="x")</formula>
    </cfRule>
    <cfRule type="expression" dxfId="2505" priority="134558">
      <formula>(F267="x")</formula>
    </cfRule>
  </conditionalFormatting>
  <conditionalFormatting sqref="F85:BA90">
    <cfRule type="expression" dxfId="2504" priority="134563">
      <formula>(F322="x")</formula>
    </cfRule>
    <cfRule type="expression" dxfId="2503" priority="134564">
      <formula>(F192="x")</formula>
    </cfRule>
  </conditionalFormatting>
  <conditionalFormatting sqref="F85:BA90">
    <cfRule type="expression" dxfId="2502" priority="134565">
      <formula>(F215="x")</formula>
    </cfRule>
    <cfRule type="expression" dxfId="2501" priority="134566">
      <formula>(F205="x")</formula>
    </cfRule>
    <cfRule type="expression" dxfId="2500" priority="134567">
      <formula>(F296="x")</formula>
    </cfRule>
    <cfRule type="expression" dxfId="2499" priority="134568">
      <formula>(F286="x")</formula>
    </cfRule>
    <cfRule type="expression" dxfId="2498" priority="134569">
      <formula>(F214="x")</formula>
    </cfRule>
    <cfRule type="expression" dxfId="2497" priority="134570">
      <formula>(F189="x")</formula>
    </cfRule>
  </conditionalFormatting>
  <conditionalFormatting sqref="F85:BA90">
    <cfRule type="expression" dxfId="2496" priority="134571">
      <formula>(F305="x")</formula>
    </cfRule>
    <cfRule type="expression" dxfId="2495" priority="134572">
      <formula>(F190="x")</formula>
    </cfRule>
  </conditionalFormatting>
  <conditionalFormatting sqref="F85:BA90">
    <cfRule type="expression" dxfId="2494" priority="134573">
      <formula>(F281="x")</formula>
    </cfRule>
    <cfRule type="expression" dxfId="2493" priority="134574">
      <formula>(F282="x")</formula>
    </cfRule>
  </conditionalFormatting>
  <conditionalFormatting sqref="F88:BA90">
    <cfRule type="expression" dxfId="2492" priority="134575">
      <formula>(F188="x")</formula>
    </cfRule>
  </conditionalFormatting>
  <conditionalFormatting sqref="F89:BA90">
    <cfRule type="expression" dxfId="2491" priority="134576">
      <formula>(F212="x")</formula>
    </cfRule>
    <cfRule type="expression" dxfId="2490" priority="134577">
      <formula>(F187="x")</formula>
    </cfRule>
    <cfRule type="expression" dxfId="2489" priority="134578">
      <formula>(F188="x")</formula>
    </cfRule>
  </conditionalFormatting>
  <conditionalFormatting sqref="F10:BA11 F14:BA44">
    <cfRule type="expression" dxfId="2488" priority="134593">
      <formula>(F333="x")</formula>
    </cfRule>
  </conditionalFormatting>
  <conditionalFormatting sqref="F10:BA11">
    <cfRule type="expression" dxfId="2487" priority="134607">
      <formula>(F314="x")</formula>
    </cfRule>
  </conditionalFormatting>
  <conditionalFormatting sqref="F28:BA44">
    <cfRule type="expression" dxfId="2486" priority="134716">
      <formula>(F303="x")</formula>
    </cfRule>
    <cfRule type="expression" dxfId="2485" priority="134717">
      <formula>(F305="x")</formula>
    </cfRule>
  </conditionalFormatting>
  <conditionalFormatting sqref="F28:BA44">
    <cfRule type="expression" dxfId="2484" priority="134725">
      <formula>(F338="x")</formula>
    </cfRule>
    <cfRule type="expression" dxfId="2483" priority="134726">
      <formula>(F342="x")</formula>
    </cfRule>
    <cfRule type="expression" dxfId="2482" priority="134727">
      <formula>(F268="x")</formula>
    </cfRule>
  </conditionalFormatting>
  <conditionalFormatting sqref="F28:BA44">
    <cfRule type="expression" dxfId="2481" priority="134752">
      <formula>(F292="x")</formula>
    </cfRule>
    <cfRule type="expression" dxfId="2480" priority="134753">
      <formula>(F312="x")</formula>
    </cfRule>
    <cfRule type="expression" dxfId="2479" priority="134754">
      <formula>(F330="x")</formula>
    </cfRule>
    <cfRule type="expression" dxfId="2478" priority="134755">
      <formula>(F289="x")</formula>
    </cfRule>
    <cfRule type="expression" dxfId="2477" priority="134756">
      <formula>(F322="x")</formula>
    </cfRule>
    <cfRule type="expression" dxfId="2476" priority="134757">
      <formula>(F336="x")</formula>
    </cfRule>
    <cfRule type="expression" dxfId="2475" priority="134758">
      <formula>(F334="x")</formula>
    </cfRule>
    <cfRule type="expression" dxfId="2474" priority="134759">
      <formula>(F332="x")</formula>
    </cfRule>
    <cfRule type="expression" dxfId="2473" priority="134760">
      <formula>(F321="x")</formula>
    </cfRule>
    <cfRule type="expression" dxfId="2472" priority="134761">
      <formula>(F320="x")</formula>
    </cfRule>
    <cfRule type="expression" dxfId="2471" priority="134762">
      <formula>(F315="x")</formula>
    </cfRule>
    <cfRule type="expression" dxfId="2470" priority="134763">
      <formula>(F283="x")</formula>
    </cfRule>
    <cfRule type="expression" dxfId="2469" priority="134764">
      <formula>(F282="x")</formula>
    </cfRule>
    <cfRule type="expression" dxfId="2468" priority="134765">
      <formula>(F277="x")</formula>
    </cfRule>
    <cfRule type="expression" dxfId="2467" priority="134766">
      <formula>(F313="x")</formula>
    </cfRule>
    <cfRule type="expression" dxfId="2466" priority="134767">
      <formula>(F273="x")</formula>
    </cfRule>
    <cfRule type="expression" dxfId="2465" priority="134768">
      <formula>(F296="x")</formula>
    </cfRule>
    <cfRule type="expression" dxfId="2464" priority="134769">
      <formula>(F286="x")</formula>
    </cfRule>
    <cfRule type="expression" dxfId="2463" priority="134770">
      <formula>(F284="x")</formula>
    </cfRule>
    <cfRule type="expression" dxfId="2462" priority="134771">
      <formula>(F278="x")</formula>
    </cfRule>
    <cfRule type="expression" dxfId="2461" priority="134772">
      <formula>(F302="x")</formula>
    </cfRule>
    <cfRule type="expression" dxfId="2460" priority="134773">
      <formula>(F290="x")</formula>
    </cfRule>
    <cfRule type="expression" dxfId="2459" priority="134774">
      <formula>(F327="x")</formula>
    </cfRule>
    <cfRule type="expression" dxfId="2458" priority="134775">
      <formula>(F287="x")</formula>
    </cfRule>
  </conditionalFormatting>
  <conditionalFormatting sqref="F28:BA44">
    <cfRule type="expression" dxfId="2457" priority="134779">
      <formula>(#REF!="x")</formula>
    </cfRule>
    <cfRule type="expression" dxfId="2456" priority="134780">
      <formula>(F274="x")</formula>
    </cfRule>
    <cfRule type="expression" dxfId="2455" priority="134781">
      <formula>(F272="x")</formula>
    </cfRule>
  </conditionalFormatting>
  <conditionalFormatting sqref="F28:BA44">
    <cfRule type="expression" dxfId="2454" priority="134784">
      <formula>(F279="x")</formula>
    </cfRule>
    <cfRule type="expression" dxfId="2453" priority="134785">
      <formula>(F257="x")</formula>
    </cfRule>
  </conditionalFormatting>
  <conditionalFormatting sqref="F28:BA44">
    <cfRule type="expression" dxfId="2452" priority="134790">
      <formula>(F250="x")</formula>
    </cfRule>
    <cfRule type="expression" dxfId="2451" priority="134791">
      <formula>(F249="x")</formula>
    </cfRule>
  </conditionalFormatting>
  <conditionalFormatting sqref="F28:BA44">
    <cfRule type="expression" dxfId="2450" priority="134802">
      <formula>(F293="x")</formula>
    </cfRule>
    <cfRule type="expression" dxfId="2449" priority="134803">
      <formula>(F232="x")</formula>
    </cfRule>
  </conditionalFormatting>
  <conditionalFormatting sqref="F28:BA44">
    <cfRule type="expression" dxfId="2448" priority="134812">
      <formula>(F210="x")</formula>
    </cfRule>
    <cfRule type="expression" dxfId="2447" priority="134813">
      <formula>(F211="x")</formula>
    </cfRule>
  </conditionalFormatting>
  <conditionalFormatting sqref="F28:BA44">
    <cfRule type="expression" dxfId="2446" priority="134819">
      <formula>(F316="x")</formula>
    </cfRule>
    <cfRule type="expression" dxfId="2445" priority="134820">
      <formula>(F222="x")</formula>
    </cfRule>
    <cfRule type="expression" dxfId="2444" priority="134821">
      <formula>(F319="x")</formula>
    </cfRule>
    <cfRule type="expression" dxfId="2443" priority="134822">
      <formula>(F301="x")</formula>
    </cfRule>
    <cfRule type="expression" dxfId="2442" priority="134823">
      <formula>(F300="x")</formula>
    </cfRule>
  </conditionalFormatting>
  <conditionalFormatting sqref="F28:BA44">
    <cfRule type="expression" dxfId="2441" priority="134827">
      <formula>(F304="x")</formula>
    </cfRule>
    <cfRule type="expression" dxfId="2440" priority="134828">
      <formula>(F314="x")</formula>
    </cfRule>
    <cfRule type="expression" dxfId="2439" priority="134829">
      <formula>(F328="x")</formula>
    </cfRule>
  </conditionalFormatting>
  <conditionalFormatting sqref="F28:BA44">
    <cfRule type="expression" dxfId="2438" priority="134833">
      <formula>(F231="x")</formula>
    </cfRule>
    <cfRule type="expression" dxfId="2437" priority="134834">
      <formula>(F241="x")</formula>
    </cfRule>
    <cfRule type="expression" dxfId="2436" priority="134835">
      <formula>(F240="x")</formula>
    </cfRule>
  </conditionalFormatting>
  <conditionalFormatting sqref="F28:BA44">
    <cfRule type="expression" dxfId="2435" priority="134850">
      <formula>(F207="x")</formula>
    </cfRule>
    <cfRule type="expression" dxfId="2434" priority="134851">
      <formula>(F307="x")</formula>
    </cfRule>
    <cfRule type="expression" dxfId="2433" priority="134852">
      <formula>(F308="x")</formula>
    </cfRule>
    <cfRule type="expression" dxfId="2432" priority="134853">
      <formula>(F288="x")</formula>
    </cfRule>
    <cfRule type="expression" dxfId="2431" priority="134854">
      <formula>(F298="x")</formula>
    </cfRule>
    <cfRule type="expression" dxfId="2430" priority="134855">
      <formula>(F297="x")</formula>
    </cfRule>
    <cfRule type="expression" dxfId="2429" priority="134856">
      <formula>(F326="x")</formula>
    </cfRule>
    <cfRule type="expression" dxfId="2428" priority="134857">
      <formula>(F324="x")</formula>
    </cfRule>
    <cfRule type="expression" dxfId="2427" priority="134858">
      <formula>(F317="x")</formula>
    </cfRule>
    <cfRule type="expression" dxfId="2426" priority="134859">
      <formula>(F204="x")</formula>
    </cfRule>
  </conditionalFormatting>
  <conditionalFormatting sqref="F28:BA44">
    <cfRule type="expression" dxfId="2425" priority="134862">
      <formula>(F281="x")</formula>
    </cfRule>
    <cfRule type="expression" dxfId="2424" priority="134863">
      <formula>(F280="x")</formula>
    </cfRule>
  </conditionalFormatting>
  <conditionalFormatting sqref="F28:BA44">
    <cfRule type="expression" dxfId="2423" priority="134866">
      <formula>(F335="x")</formula>
    </cfRule>
    <cfRule type="expression" dxfId="2422" priority="134867">
      <formula>(F205="x")</formula>
    </cfRule>
  </conditionalFormatting>
  <conditionalFormatting sqref="F28:BA44">
    <cfRule type="expression" dxfId="2421" priority="134874">
      <formula>(F228="x")</formula>
    </cfRule>
    <cfRule type="expression" dxfId="2420" priority="134875">
      <formula>(F218="x")</formula>
    </cfRule>
    <cfRule type="expression" dxfId="2419" priority="134876">
      <formula>(F309="x")</formula>
    </cfRule>
    <cfRule type="expression" dxfId="2418" priority="134877">
      <formula>(F299="x")</formula>
    </cfRule>
    <cfRule type="expression" dxfId="2417" priority="134878">
      <formula>(F227="x")</formula>
    </cfRule>
    <cfRule type="expression" dxfId="2416" priority="134879">
      <formula>(F202="x")</formula>
    </cfRule>
  </conditionalFormatting>
  <conditionalFormatting sqref="F28:BA44">
    <cfRule type="expression" dxfId="2415" priority="134882">
      <formula>(F318="x")</formula>
    </cfRule>
    <cfRule type="expression" dxfId="2414" priority="134883">
      <formula>(F203="x")</formula>
    </cfRule>
  </conditionalFormatting>
  <conditionalFormatting sqref="F28:BA44">
    <cfRule type="expression" dxfId="2413" priority="134886">
      <formula>(F294="x")</formula>
    </cfRule>
    <cfRule type="expression" dxfId="2412" priority="134887">
      <formula>(F295="x")</formula>
    </cfRule>
  </conditionalFormatting>
  <conditionalFormatting sqref="F28:BA44">
    <cfRule type="expression" dxfId="2411" priority="134893">
      <formula>(F221="x")</formula>
    </cfRule>
    <cfRule type="expression" dxfId="2410" priority="134894">
      <formula>(F196="x")</formula>
    </cfRule>
    <cfRule type="expression" dxfId="2409" priority="134895">
      <formula>(F197="x")</formula>
    </cfRule>
  </conditionalFormatting>
  <conditionalFormatting sqref="F92:BA95">
    <cfRule type="expression" dxfId="2408" priority="135215">
      <formula>(F299="x")</formula>
    </cfRule>
    <cfRule type="expression" dxfId="2407" priority="135216">
      <formula>(F301="x")</formula>
    </cfRule>
  </conditionalFormatting>
  <conditionalFormatting sqref="F92:BA95">
    <cfRule type="expression" dxfId="2406" priority="135223">
      <formula>(F334="x")</formula>
    </cfRule>
    <cfRule type="expression" dxfId="2405" priority="135224">
      <formula>(F338="x")</formula>
    </cfRule>
    <cfRule type="expression" dxfId="2404" priority="135225">
      <formula>(F264="x")</formula>
    </cfRule>
  </conditionalFormatting>
  <conditionalFormatting sqref="F92:BA95">
    <cfRule type="expression" dxfId="2403" priority="135226">
      <formula>(F288="x")</formula>
    </cfRule>
    <cfRule type="expression" dxfId="2402" priority="135227">
      <formula>(F308="x")</formula>
    </cfRule>
    <cfRule type="expression" dxfId="2401" priority="135228">
      <formula>(F326="x")</formula>
    </cfRule>
    <cfRule type="expression" dxfId="2400" priority="135229">
      <formula>(F285="x")</formula>
    </cfRule>
    <cfRule type="expression" dxfId="2399" priority="135230">
      <formula>(F318="x")</formula>
    </cfRule>
    <cfRule type="expression" dxfId="2398" priority="135231">
      <formula>(F332="x")</formula>
    </cfRule>
    <cfRule type="expression" dxfId="2397" priority="135232">
      <formula>(F330="x")</formula>
    </cfRule>
    <cfRule type="expression" dxfId="2396" priority="135233">
      <formula>(F328="x")</formula>
    </cfRule>
    <cfRule type="expression" dxfId="2395" priority="135234">
      <formula>(F317="x")</formula>
    </cfRule>
    <cfRule type="expression" dxfId="2394" priority="135235">
      <formula>(F316="x")</formula>
    </cfRule>
    <cfRule type="expression" dxfId="2393" priority="135236">
      <formula>(F311="x")</formula>
    </cfRule>
    <cfRule type="expression" dxfId="2392" priority="135237">
      <formula>(F279="x")</formula>
    </cfRule>
    <cfRule type="expression" dxfId="2391" priority="135238">
      <formula>(F278="x")</formula>
    </cfRule>
    <cfRule type="expression" dxfId="2390" priority="135239">
      <formula>(F273="x")</formula>
    </cfRule>
    <cfRule type="expression" dxfId="2389" priority="135240">
      <formula>(F309="x")</formula>
    </cfRule>
    <cfRule type="expression" dxfId="2388" priority="135241">
      <formula>(F269="x")</formula>
    </cfRule>
    <cfRule type="expression" dxfId="2387" priority="135242">
      <formula>(F292="x")</formula>
    </cfRule>
    <cfRule type="expression" dxfId="2386" priority="135243">
      <formula>(F282="x")</formula>
    </cfRule>
    <cfRule type="expression" dxfId="2385" priority="135244">
      <formula>(F280="x")</formula>
    </cfRule>
    <cfRule type="expression" dxfId="2384" priority="135245">
      <formula>(F274="x")</formula>
    </cfRule>
    <cfRule type="expression" dxfId="2383" priority="135246">
      <formula>(F298="x")</formula>
    </cfRule>
    <cfRule type="expression" dxfId="2382" priority="135247">
      <formula>(F286="x")</formula>
    </cfRule>
    <cfRule type="expression" dxfId="2381" priority="135248">
      <formula>(F323="x")</formula>
    </cfRule>
    <cfRule type="expression" dxfId="2380" priority="135249">
      <formula>(F283="x")</formula>
    </cfRule>
  </conditionalFormatting>
  <conditionalFormatting sqref="F92:BA95">
    <cfRule type="expression" dxfId="2379" priority="135250">
      <formula>(#REF!="x")</formula>
    </cfRule>
    <cfRule type="expression" dxfId="2378" priority="135251">
      <formula>(F270="x")</formula>
    </cfRule>
    <cfRule type="expression" dxfId="2377" priority="135252">
      <formula>(F268="x")</formula>
    </cfRule>
  </conditionalFormatting>
  <conditionalFormatting sqref="F92:BA95">
    <cfRule type="expression" dxfId="2376" priority="135253">
      <formula>(F275="x")</formula>
    </cfRule>
    <cfRule type="expression" dxfId="2375" priority="135254">
      <formula>(F253="x")</formula>
    </cfRule>
  </conditionalFormatting>
  <conditionalFormatting sqref="F92:BA95">
    <cfRule type="expression" dxfId="2374" priority="135257">
      <formula>(F246="x")</formula>
    </cfRule>
    <cfRule type="expression" dxfId="2373" priority="135258">
      <formula>(F245="x")</formula>
    </cfRule>
  </conditionalFormatting>
  <conditionalFormatting sqref="F92:BA95">
    <cfRule type="expression" dxfId="2372" priority="135265">
      <formula>(F289="x")</formula>
    </cfRule>
    <cfRule type="expression" dxfId="2371" priority="135266">
      <formula>(F228="x")</formula>
    </cfRule>
  </conditionalFormatting>
  <conditionalFormatting sqref="F92:BA95">
    <cfRule type="expression" dxfId="2370" priority="135275">
      <formula>(F206="x")</formula>
    </cfRule>
    <cfRule type="expression" dxfId="2369" priority="135276">
      <formula>(F207="x")</formula>
    </cfRule>
  </conditionalFormatting>
  <conditionalFormatting sqref="F92:BA95">
    <cfRule type="expression" dxfId="2368" priority="135277">
      <formula>(F312="x")</formula>
    </cfRule>
    <cfRule type="expression" dxfId="2367" priority="135278">
      <formula>(F218="x")</formula>
    </cfRule>
    <cfRule type="expression" dxfId="2366" priority="135279">
      <formula>(F315="x")</formula>
    </cfRule>
    <cfRule type="expression" dxfId="2365" priority="135280">
      <formula>(F297="x")</formula>
    </cfRule>
    <cfRule type="expression" dxfId="2364" priority="135281">
      <formula>(F296="x")</formula>
    </cfRule>
  </conditionalFormatting>
  <conditionalFormatting sqref="F92:BA95">
    <cfRule type="expression" dxfId="2363" priority="135282">
      <formula>(F300="x")</formula>
    </cfRule>
    <cfRule type="expression" dxfId="2362" priority="135283">
      <formula>(F310="x")</formula>
    </cfRule>
    <cfRule type="expression" dxfId="2361" priority="135284">
      <formula>(F324="x")</formula>
    </cfRule>
  </conditionalFormatting>
  <conditionalFormatting sqref="F92:BA95">
    <cfRule type="expression" dxfId="2360" priority="135285">
      <formula>(F227="x")</formula>
    </cfRule>
    <cfRule type="expression" dxfId="2359" priority="135286">
      <formula>(F237="x")</formula>
    </cfRule>
    <cfRule type="expression" dxfId="2358" priority="135287">
      <formula>(F236="x")</formula>
    </cfRule>
  </conditionalFormatting>
  <conditionalFormatting sqref="F92:BA95 F76:BA83 F85:BA90">
    <cfRule type="expression" dxfId="2357" priority="135288">
      <formula>(F186="x")</formula>
    </cfRule>
  </conditionalFormatting>
  <conditionalFormatting sqref="F92:BA95">
    <cfRule type="expression" dxfId="2356" priority="135292">
      <formula>(F203="x")</formula>
    </cfRule>
    <cfRule type="expression" dxfId="2355" priority="135293">
      <formula>(F303="x")</formula>
    </cfRule>
    <cfRule type="expression" dxfId="2354" priority="135294">
      <formula>(F304="x")</formula>
    </cfRule>
    <cfRule type="expression" dxfId="2353" priority="135295">
      <formula>(F284="x")</formula>
    </cfRule>
    <cfRule type="expression" dxfId="2352" priority="135296">
      <formula>(F294="x")</formula>
    </cfRule>
    <cfRule type="expression" dxfId="2351" priority="135297">
      <formula>(F293="x")</formula>
    </cfRule>
    <cfRule type="expression" dxfId="2350" priority="135298">
      <formula>(F322="x")</formula>
    </cfRule>
    <cfRule type="expression" dxfId="2349" priority="135299">
      <formula>(F320="x")</formula>
    </cfRule>
    <cfRule type="expression" dxfId="2348" priority="135300">
      <formula>(F313="x")</formula>
    </cfRule>
    <cfRule type="expression" dxfId="2347" priority="135301">
      <formula>(F200="x")</formula>
    </cfRule>
  </conditionalFormatting>
  <conditionalFormatting sqref="F92:BA95">
    <cfRule type="expression" dxfId="2346" priority="135302">
      <formula>(F277="x")</formula>
    </cfRule>
    <cfRule type="expression" dxfId="2345" priority="135303">
      <formula>(F276="x")</formula>
    </cfRule>
  </conditionalFormatting>
  <conditionalFormatting sqref="F92:BA95">
    <cfRule type="expression" dxfId="2344" priority="135308">
      <formula>(F331="x")</formula>
    </cfRule>
    <cfRule type="expression" dxfId="2343" priority="135309">
      <formula>(F201="x")</formula>
    </cfRule>
  </conditionalFormatting>
  <conditionalFormatting sqref="F92:BA95">
    <cfRule type="expression" dxfId="2342" priority="135310">
      <formula>(F224="x")</formula>
    </cfRule>
    <cfRule type="expression" dxfId="2341" priority="135311">
      <formula>(F214="x")</formula>
    </cfRule>
    <cfRule type="expression" dxfId="2340" priority="135312">
      <formula>(F305="x")</formula>
    </cfRule>
    <cfRule type="expression" dxfId="2339" priority="135313">
      <formula>(F295="x")</formula>
    </cfRule>
    <cfRule type="expression" dxfId="2338" priority="135314">
      <formula>(F223="x")</formula>
    </cfRule>
    <cfRule type="expression" dxfId="2337" priority="135315">
      <formula>(F198="x")</formula>
    </cfRule>
  </conditionalFormatting>
  <conditionalFormatting sqref="F92:BA95">
    <cfRule type="expression" dxfId="2336" priority="135316">
      <formula>(F314="x")</formula>
    </cfRule>
    <cfRule type="expression" dxfId="2335" priority="135317">
      <formula>(F199="x")</formula>
    </cfRule>
  </conditionalFormatting>
  <conditionalFormatting sqref="F92:BA95">
    <cfRule type="expression" dxfId="2334" priority="135318">
      <formula>(F290="x")</formula>
    </cfRule>
    <cfRule type="expression" dxfId="2333" priority="135319">
      <formula>(F291="x")</formula>
    </cfRule>
  </conditionalFormatting>
  <conditionalFormatting sqref="F86:BA95">
    <cfRule type="expression" dxfId="2332" priority="135320">
      <formula>(F188="x")</formula>
    </cfRule>
  </conditionalFormatting>
  <conditionalFormatting sqref="F92:BA95">
    <cfRule type="expression" dxfId="2331" priority="135322">
      <formula>(F217="x")</formula>
    </cfRule>
    <cfRule type="expression" dxfId="2330" priority="135323">
      <formula>(F192="x")</formula>
    </cfRule>
    <cfRule type="expression" dxfId="2329" priority="135324">
      <formula>(F193="x")</formula>
    </cfRule>
  </conditionalFormatting>
  <conditionalFormatting sqref="F42:BA47">
    <cfRule type="expression" dxfId="2328" priority="135332">
      <formula>(F315="x")</formula>
    </cfRule>
  </conditionalFormatting>
  <conditionalFormatting sqref="F12:BA44">
    <cfRule type="expression" dxfId="2327" priority="135337">
      <formula>(F334="x")</formula>
    </cfRule>
  </conditionalFormatting>
  <conditionalFormatting sqref="F14:BA44">
    <cfRule type="expression" dxfId="2326" priority="135385">
      <formula>(F284="x")</formula>
    </cfRule>
    <cfRule type="expression" dxfId="2325" priority="135386">
      <formula>(F275="x")</formula>
    </cfRule>
    <cfRule type="expression" dxfId="2324" priority="135387">
      <formula>(F273="x")</formula>
    </cfRule>
    <cfRule type="expression" dxfId="2323" priority="135388">
      <formula>(F280="x")</formula>
    </cfRule>
    <cfRule type="expression" dxfId="2322" priority="135389">
      <formula>(F276="x")</formula>
    </cfRule>
    <cfRule type="expression" dxfId="2321" priority="135390">
      <formula>(F270="x")</formula>
    </cfRule>
  </conditionalFormatting>
  <conditionalFormatting sqref="F29:BA44">
    <cfRule type="expression" dxfId="2320" priority="135403">
      <formula>(F316="x")</formula>
    </cfRule>
    <cfRule type="expression" dxfId="2319" priority="135404">
      <formula>(F318="x")</formula>
    </cfRule>
  </conditionalFormatting>
  <conditionalFormatting sqref="F29:BA44">
    <cfRule type="expression" dxfId="2318" priority="135443">
      <formula>(F305="x")</formula>
    </cfRule>
    <cfRule type="expression" dxfId="2317" priority="135444">
      <formula>(F325="x")</formula>
    </cfRule>
    <cfRule type="expression" dxfId="2316" priority="135445">
      <formula>(F343="x")</formula>
    </cfRule>
    <cfRule type="expression" dxfId="2315" priority="135446">
      <formula>(F302="x")</formula>
    </cfRule>
    <cfRule type="expression" dxfId="2314" priority="135447">
      <formula>(F335="x")</formula>
    </cfRule>
    <cfRule type="expression" dxfId="2313" priority="135448">
      <formula>(F349="x")</formula>
    </cfRule>
    <cfRule type="expression" dxfId="2312" priority="135449">
      <formula>(F347="x")</formula>
    </cfRule>
    <cfRule type="expression" dxfId="2311" priority="135450">
      <formula>(F345="x")</formula>
    </cfRule>
    <cfRule type="expression" dxfId="2310" priority="135451">
      <formula>(F334="x")</formula>
    </cfRule>
    <cfRule type="expression" dxfId="2309" priority="135452">
      <formula>(F333="x")</formula>
    </cfRule>
    <cfRule type="expression" dxfId="2308" priority="135453">
      <formula>(F328="x")</formula>
    </cfRule>
    <cfRule type="expression" dxfId="2307" priority="135454">
      <formula>(F296="x")</formula>
    </cfRule>
    <cfRule type="expression" dxfId="2306" priority="135455">
      <formula>(F295="x")</formula>
    </cfRule>
    <cfRule type="expression" dxfId="2305" priority="135456">
      <formula>(F290="x")</formula>
    </cfRule>
    <cfRule type="expression" dxfId="2304" priority="135457">
      <formula>(F326="x")</formula>
    </cfRule>
    <cfRule type="expression" dxfId="2303" priority="135458">
      <formula>(F286="x")</formula>
    </cfRule>
    <cfRule type="expression" dxfId="2302" priority="135459">
      <formula>(F309="x")</formula>
    </cfRule>
    <cfRule type="expression" dxfId="2301" priority="135460">
      <formula>(F299="x")</formula>
    </cfRule>
    <cfRule type="expression" dxfId="2300" priority="135461">
      <formula>(F297="x")</formula>
    </cfRule>
    <cfRule type="expression" dxfId="2299" priority="135462">
      <formula>(F291="x")</formula>
    </cfRule>
    <cfRule type="expression" dxfId="2298" priority="135463">
      <formula>(F315="x")</formula>
    </cfRule>
    <cfRule type="expression" dxfId="2297" priority="135464">
      <formula>(F303="x")</formula>
    </cfRule>
    <cfRule type="expression" dxfId="2296" priority="135465">
      <formula>(F340="x")</formula>
    </cfRule>
    <cfRule type="expression" dxfId="2295" priority="135466">
      <formula>(F300="x")</formula>
    </cfRule>
  </conditionalFormatting>
  <conditionalFormatting sqref="F29:BA44">
    <cfRule type="expression" dxfId="2294" priority="135483">
      <formula>(F292="x")</formula>
    </cfRule>
    <cfRule type="expression" dxfId="2293" priority="135484">
      <formula>(F270="x")</formula>
    </cfRule>
  </conditionalFormatting>
  <conditionalFormatting sqref="F29:BA44">
    <cfRule type="expression" dxfId="2292" priority="135523">
      <formula>(F248="x")</formula>
    </cfRule>
    <cfRule type="expression" dxfId="2291" priority="135524">
      <formula>(F247="x")</formula>
    </cfRule>
  </conditionalFormatting>
  <conditionalFormatting sqref="F29:BA44">
    <cfRule type="expression" dxfId="2290" priority="135529">
      <formula>(F306="x")</formula>
    </cfRule>
    <cfRule type="expression" dxfId="2289" priority="135530">
      <formula>(F245="x")</formula>
    </cfRule>
  </conditionalFormatting>
  <conditionalFormatting sqref="F29:BA44">
    <cfRule type="expression" dxfId="2288" priority="135559">
      <formula>(F223="x")</formula>
    </cfRule>
    <cfRule type="expression" dxfId="2287" priority="135560">
      <formula>(F224="x")</formula>
    </cfRule>
  </conditionalFormatting>
  <conditionalFormatting sqref="F29:BA44">
    <cfRule type="expression" dxfId="2286" priority="135570">
      <formula>(F329="x")</formula>
    </cfRule>
    <cfRule type="expression" dxfId="2285" priority="135571">
      <formula>(F235="x")</formula>
    </cfRule>
    <cfRule type="expression" dxfId="2284" priority="135572">
      <formula>(F332="x")</formula>
    </cfRule>
    <cfRule type="expression" dxfId="2283" priority="135573">
      <formula>(F314="x")</formula>
    </cfRule>
    <cfRule type="expression" dxfId="2282" priority="135574">
      <formula>(F313="x")</formula>
    </cfRule>
  </conditionalFormatting>
  <conditionalFormatting sqref="F29:BA44">
    <cfRule type="expression" dxfId="2281" priority="135578">
      <formula>(F317="x")</formula>
    </cfRule>
    <cfRule type="expression" dxfId="2280" priority="135579">
      <formula>(F327="x")</formula>
    </cfRule>
    <cfRule type="expression" dxfId="2279" priority="135580">
      <formula>(F341="x")</formula>
    </cfRule>
  </conditionalFormatting>
  <conditionalFormatting sqref="F29:BA44">
    <cfRule type="expression" dxfId="2278" priority="135584">
      <formula>(F244="x")</formula>
    </cfRule>
    <cfRule type="expression" dxfId="2277" priority="135585">
      <formula>(F254="x")</formula>
    </cfRule>
    <cfRule type="expression" dxfId="2276" priority="135586">
      <formula>(F253="x")</formula>
    </cfRule>
  </conditionalFormatting>
  <conditionalFormatting sqref="F29:BA44">
    <cfRule type="expression" dxfId="2275" priority="135601">
      <formula>(F220="x")</formula>
    </cfRule>
    <cfRule type="expression" dxfId="2274" priority="135602">
      <formula>(F320="x")</formula>
    </cfRule>
    <cfRule type="expression" dxfId="2273" priority="135603">
      <formula>(F321="x")</formula>
    </cfRule>
    <cfRule type="expression" dxfId="2272" priority="135604">
      <formula>(F301="x")</formula>
    </cfRule>
    <cfRule type="expression" dxfId="2271" priority="135605">
      <formula>(F311="x")</formula>
    </cfRule>
    <cfRule type="expression" dxfId="2270" priority="135606">
      <formula>(F310="x")</formula>
    </cfRule>
    <cfRule type="expression" dxfId="2269" priority="135607">
      <formula>(F339="x")</formula>
    </cfRule>
    <cfRule type="expression" dxfId="2268" priority="135608">
      <formula>(F337="x")</formula>
    </cfRule>
    <cfRule type="expression" dxfId="2267" priority="135609">
      <formula>(F330="x")</formula>
    </cfRule>
    <cfRule type="expression" dxfId="2266" priority="135610">
      <formula>(F217="x")</formula>
    </cfRule>
  </conditionalFormatting>
  <conditionalFormatting sqref="F29:BA44">
    <cfRule type="expression" dxfId="2265" priority="135613">
      <formula>(F348="x")</formula>
    </cfRule>
    <cfRule type="expression" dxfId="2264" priority="135614">
      <formula>(F218="x")</formula>
    </cfRule>
  </conditionalFormatting>
  <conditionalFormatting sqref="F29:BA44">
    <cfRule type="expression" dxfId="2263" priority="135621">
      <formula>(F241="x")</formula>
    </cfRule>
    <cfRule type="expression" dxfId="2262" priority="135622">
      <formula>(F231="x")</formula>
    </cfRule>
    <cfRule type="expression" dxfId="2261" priority="135623">
      <formula>(F322="x")</formula>
    </cfRule>
    <cfRule type="expression" dxfId="2260" priority="135624">
      <formula>(F312="x")</formula>
    </cfRule>
    <cfRule type="expression" dxfId="2259" priority="135625">
      <formula>(F240="x")</formula>
    </cfRule>
    <cfRule type="expression" dxfId="2258" priority="135626">
      <formula>(F215="x")</formula>
    </cfRule>
  </conditionalFormatting>
  <conditionalFormatting sqref="F29:BA44">
    <cfRule type="expression" dxfId="2257" priority="135629">
      <formula>(F331="x")</formula>
    </cfRule>
    <cfRule type="expression" dxfId="2256" priority="135630">
      <formula>(F216="x")</formula>
    </cfRule>
  </conditionalFormatting>
  <conditionalFormatting sqref="F29:BA44">
    <cfRule type="expression" dxfId="2255" priority="135637">
      <formula>(F307="x")</formula>
    </cfRule>
    <cfRule type="expression" dxfId="2254" priority="135638">
      <formula>(F308="x")</formula>
    </cfRule>
  </conditionalFormatting>
  <conditionalFormatting sqref="F29:BA44">
    <cfRule type="expression" dxfId="2253" priority="135646">
      <formula>(F234="x")</formula>
    </cfRule>
    <cfRule type="expression" dxfId="2252" priority="135647">
      <formula>(F209="x")</formula>
    </cfRule>
    <cfRule type="expression" dxfId="2251" priority="135648">
      <formula>(F210="x")</formula>
    </cfRule>
  </conditionalFormatting>
  <conditionalFormatting sqref="F29:BA44">
    <cfRule type="expression" dxfId="2250" priority="135653">
      <formula>(F207="x")</formula>
    </cfRule>
    <cfRule type="expression" dxfId="2249" priority="135654">
      <formula>(F208="x")</formula>
    </cfRule>
    <cfRule type="expression" dxfId="2248" priority="135655">
      <formula>(F354="x")</formula>
    </cfRule>
    <cfRule type="expression" dxfId="2247" priority="135656">
      <formula>(F353="x")</formula>
    </cfRule>
  </conditionalFormatting>
  <conditionalFormatting sqref="F29:BA44">
    <cfRule type="expression" dxfId="2246" priority="135674">
      <formula>(#REF!="x")</formula>
    </cfRule>
    <cfRule type="expression" dxfId="2245" priority="135675">
      <formula>(F287="x")</formula>
    </cfRule>
    <cfRule type="expression" dxfId="2244" priority="135676">
      <formula>(F285="x")</formula>
    </cfRule>
  </conditionalFormatting>
  <conditionalFormatting sqref="F29:BA44">
    <cfRule type="expression" dxfId="2243" priority="135689">
      <formula>(F294="x")</formula>
    </cfRule>
    <cfRule type="expression" dxfId="2242" priority="135690">
      <formula>(F293="x")</formula>
    </cfRule>
  </conditionalFormatting>
  <conditionalFormatting sqref="F105:BA105">
    <cfRule type="expression" dxfId="2241" priority="135744">
      <formula>(F315="x")</formula>
    </cfRule>
    <cfRule type="expression" dxfId="2240" priority="135745">
      <formula>(F317="x")</formula>
    </cfRule>
  </conditionalFormatting>
  <conditionalFormatting sqref="F105:BA105">
    <cfRule type="expression" dxfId="2239" priority="135796">
      <formula>(F341="x")</formula>
    </cfRule>
  </conditionalFormatting>
  <conditionalFormatting sqref="F105:BA105">
    <cfRule type="expression" dxfId="2238" priority="135807">
      <formula>(F304="x")</formula>
    </cfRule>
    <cfRule type="expression" dxfId="2237" priority="135808">
      <formula>(F324="x")</formula>
    </cfRule>
    <cfRule type="expression" dxfId="2236" priority="135809">
      <formula>(F342="x")</formula>
    </cfRule>
    <cfRule type="expression" dxfId="2235" priority="135810">
      <formula>(F301="x")</formula>
    </cfRule>
    <cfRule type="expression" dxfId="2234" priority="135811">
      <formula>(F334="x")</formula>
    </cfRule>
    <cfRule type="expression" dxfId="2233" priority="135812">
      <formula>(F348="x")</formula>
    </cfRule>
    <cfRule type="expression" dxfId="2232" priority="135813">
      <formula>(F346="x")</formula>
    </cfRule>
    <cfRule type="expression" dxfId="2231" priority="135814">
      <formula>(F344="x")</formula>
    </cfRule>
    <cfRule type="expression" dxfId="2230" priority="135815">
      <formula>(F333="x")</formula>
    </cfRule>
    <cfRule type="expression" dxfId="2229" priority="135816">
      <formula>(F332="x")</formula>
    </cfRule>
    <cfRule type="expression" dxfId="2228" priority="135817">
      <formula>(F327="x")</formula>
    </cfRule>
    <cfRule type="expression" dxfId="2227" priority="135818">
      <formula>(F295="x")</formula>
    </cfRule>
    <cfRule type="expression" dxfId="2226" priority="135819">
      <formula>(F294="x")</formula>
    </cfRule>
    <cfRule type="expression" dxfId="2225" priority="135820">
      <formula>(F289="x")</formula>
    </cfRule>
    <cfRule type="expression" dxfId="2224" priority="135821">
      <formula>(F325="x")</formula>
    </cfRule>
    <cfRule type="expression" dxfId="2223" priority="135822">
      <formula>(F285="x")</formula>
    </cfRule>
    <cfRule type="expression" dxfId="2222" priority="135823">
      <formula>(F308="x")</formula>
    </cfRule>
    <cfRule type="expression" dxfId="2221" priority="135824">
      <formula>(F298="x")</formula>
    </cfRule>
    <cfRule type="expression" dxfId="2220" priority="135825">
      <formula>(F296="x")</formula>
    </cfRule>
    <cfRule type="expression" dxfId="2219" priority="135826">
      <formula>(F290="x")</formula>
    </cfRule>
    <cfRule type="expression" dxfId="2218" priority="135827">
      <formula>(F314="x")</formula>
    </cfRule>
    <cfRule type="expression" dxfId="2217" priority="135828">
      <formula>(F302="x")</formula>
    </cfRule>
    <cfRule type="expression" dxfId="2216" priority="135829">
      <formula>(F339="x")</formula>
    </cfRule>
    <cfRule type="expression" dxfId="2215" priority="135830">
      <formula>(F299="x")</formula>
    </cfRule>
  </conditionalFormatting>
  <conditionalFormatting sqref="F105:BA105">
    <cfRule type="expression" dxfId="2214" priority="135862">
      <formula>(F291="x")</formula>
    </cfRule>
    <cfRule type="expression" dxfId="2213" priority="135863">
      <formula>(F269="x")</formula>
    </cfRule>
  </conditionalFormatting>
  <conditionalFormatting sqref="F75:BA84 F62:BA70 F92:BA105 F49:BA54 F46:BA47">
    <cfRule type="expression" dxfId="2212" priority="135919">
      <formula>(F189="x")</formula>
    </cfRule>
  </conditionalFormatting>
  <conditionalFormatting sqref="F105:BA105">
    <cfRule type="expression" dxfId="2211" priority="135924">
      <formula>(F247="x")</formula>
    </cfRule>
    <cfRule type="expression" dxfId="2210" priority="135925">
      <formula>(F246="x")</formula>
    </cfRule>
  </conditionalFormatting>
  <conditionalFormatting sqref="F105:BA105">
    <cfRule type="expression" dxfId="2209" priority="135929">
      <formula>(F305="x")</formula>
    </cfRule>
    <cfRule type="expression" dxfId="2208" priority="135930">
      <formula>(F244="x")</formula>
    </cfRule>
  </conditionalFormatting>
  <conditionalFormatting sqref="F83:BA105 F71:BA80">
    <cfRule type="expression" dxfId="2207" priority="135969">
      <formula>(F190="x")</formula>
    </cfRule>
  </conditionalFormatting>
  <conditionalFormatting sqref="F105:BA105">
    <cfRule type="expression" dxfId="2206" priority="135970">
      <formula>(F222="x")</formula>
    </cfRule>
    <cfRule type="expression" dxfId="2205" priority="135971">
      <formula>(F223="x")</formula>
    </cfRule>
  </conditionalFormatting>
  <conditionalFormatting sqref="F105:BA105">
    <cfRule type="expression" dxfId="2204" priority="135984">
      <formula>(F328="x")</formula>
    </cfRule>
    <cfRule type="expression" dxfId="2203" priority="135985">
      <formula>(F234="x")</formula>
    </cfRule>
    <cfRule type="expression" dxfId="2202" priority="135986">
      <formula>(F331="x")</formula>
    </cfRule>
    <cfRule type="expression" dxfId="2201" priority="135987">
      <formula>(F313="x")</formula>
    </cfRule>
    <cfRule type="expression" dxfId="2200" priority="135988">
      <formula>(F312="x")</formula>
    </cfRule>
  </conditionalFormatting>
  <conditionalFormatting sqref="F105:BA105">
    <cfRule type="expression" dxfId="2199" priority="135989">
      <formula>(F316="x")</formula>
    </cfRule>
    <cfRule type="expression" dxfId="2198" priority="135990">
      <formula>(F326="x")</formula>
    </cfRule>
    <cfRule type="expression" dxfId="2197" priority="135991">
      <formula>(F340="x")</formula>
    </cfRule>
  </conditionalFormatting>
  <conditionalFormatting sqref="F105:BA105">
    <cfRule type="expression" dxfId="2196" priority="135992">
      <formula>(F243="x")</formula>
    </cfRule>
    <cfRule type="expression" dxfId="2195" priority="135993">
      <formula>(F253="x")</formula>
    </cfRule>
    <cfRule type="expression" dxfId="2194" priority="135994">
      <formula>(F252="x")</formula>
    </cfRule>
  </conditionalFormatting>
  <conditionalFormatting sqref="F105:BA105 F73:BA84 F92:BA102">
    <cfRule type="expression" dxfId="2193" priority="135995">
      <formula>(F186="x")</formula>
    </cfRule>
  </conditionalFormatting>
  <conditionalFormatting sqref="F105:BA105">
    <cfRule type="expression" dxfId="2192" priority="136000">
      <formula>(F219="x")</formula>
    </cfRule>
    <cfRule type="expression" dxfId="2191" priority="136001">
      <formula>(F319="x")</formula>
    </cfRule>
    <cfRule type="expression" dxfId="2190" priority="136002">
      <formula>(F320="x")</formula>
    </cfRule>
    <cfRule type="expression" dxfId="2189" priority="136003">
      <formula>(F300="x")</formula>
    </cfRule>
    <cfRule type="expression" dxfId="2188" priority="136004">
      <formula>(F310="x")</formula>
    </cfRule>
    <cfRule type="expression" dxfId="2187" priority="136005">
      <formula>(F309="x")</formula>
    </cfRule>
    <cfRule type="expression" dxfId="2186" priority="136006">
      <formula>(F338="x")</formula>
    </cfRule>
    <cfRule type="expression" dxfId="2185" priority="136007">
      <formula>(F336="x")</formula>
    </cfRule>
    <cfRule type="expression" dxfId="2184" priority="136008">
      <formula>(F329="x")</formula>
    </cfRule>
    <cfRule type="expression" dxfId="2183" priority="136009">
      <formula>(F216="x")</formula>
    </cfRule>
  </conditionalFormatting>
  <conditionalFormatting sqref="F105:BA105">
    <cfRule type="expression" dxfId="2182" priority="136010">
      <formula>(F347="x")</formula>
    </cfRule>
    <cfRule type="expression" dxfId="2181" priority="136011">
      <formula>(F217="x")</formula>
    </cfRule>
  </conditionalFormatting>
  <conditionalFormatting sqref="F105:BA105">
    <cfRule type="expression" dxfId="2180" priority="136012">
      <formula>(F240="x")</formula>
    </cfRule>
    <cfRule type="expression" dxfId="2179" priority="136013">
      <formula>(F230="x")</formula>
    </cfRule>
    <cfRule type="expression" dxfId="2178" priority="136014">
      <formula>(F321="x")</formula>
    </cfRule>
    <cfRule type="expression" dxfId="2177" priority="136015">
      <formula>(F311="x")</formula>
    </cfRule>
    <cfRule type="expression" dxfId="2176" priority="136016">
      <formula>(F239="x")</formula>
    </cfRule>
    <cfRule type="expression" dxfId="2175" priority="136017">
      <formula>(F214="x")</formula>
    </cfRule>
  </conditionalFormatting>
  <conditionalFormatting sqref="F105:BA105">
    <cfRule type="expression" dxfId="2174" priority="136018">
      <formula>(F330="x")</formula>
    </cfRule>
    <cfRule type="expression" dxfId="2173" priority="136019">
      <formula>(F215="x")</formula>
    </cfRule>
  </conditionalFormatting>
  <conditionalFormatting sqref="F105:BA105">
    <cfRule type="expression" dxfId="2172" priority="136022">
      <formula>(F306="x")</formula>
    </cfRule>
    <cfRule type="expression" dxfId="2171" priority="136023">
      <formula>(F307="x")</formula>
    </cfRule>
  </conditionalFormatting>
  <conditionalFormatting sqref="F105:BA105">
    <cfRule type="expression" dxfId="2170" priority="136026">
      <formula>(F233="x")</formula>
    </cfRule>
    <cfRule type="expression" dxfId="2169" priority="136027">
      <formula>(F208="x")</formula>
    </cfRule>
    <cfRule type="expression" dxfId="2168" priority="136028">
      <formula>(F209="x")</formula>
    </cfRule>
  </conditionalFormatting>
  <conditionalFormatting sqref="F105:BA105">
    <cfRule type="expression" dxfId="2167" priority="136029">
      <formula>(F206="x")</formula>
    </cfRule>
    <cfRule type="expression" dxfId="2166" priority="136030">
      <formula>(F207="x")</formula>
    </cfRule>
    <cfRule type="expression" dxfId="2165" priority="136031">
      <formula>(F353="x")</formula>
    </cfRule>
    <cfRule type="expression" dxfId="2164" priority="136032">
      <formula>(F352="x")</formula>
    </cfRule>
  </conditionalFormatting>
  <conditionalFormatting sqref="F105:BA105">
    <cfRule type="expression" dxfId="2163" priority="136474">
      <formula>(#REF!="x")</formula>
    </cfRule>
    <cfRule type="expression" dxfId="2162" priority="136475">
      <formula>(F286="x")</formula>
    </cfRule>
    <cfRule type="expression" dxfId="2161" priority="136476">
      <formula>(F284="x")</formula>
    </cfRule>
  </conditionalFormatting>
  <conditionalFormatting sqref="F76:BA105 F65:BA74 F50:BA50 F30:BA44">
    <cfRule type="expression" dxfId="2160" priority="136482">
      <formula>(F188="x")</formula>
    </cfRule>
  </conditionalFormatting>
  <conditionalFormatting sqref="F105:BA105">
    <cfRule type="expression" dxfId="2159" priority="136484">
      <formula>(F262="x")</formula>
    </cfRule>
    <cfRule type="expression" dxfId="2158" priority="136485">
      <formula>(F261="x")</formula>
    </cfRule>
  </conditionalFormatting>
  <conditionalFormatting sqref="F105:BA105">
    <cfRule type="expression" dxfId="2157" priority="136488">
      <formula>(F293="x")</formula>
    </cfRule>
    <cfRule type="expression" dxfId="2156" priority="136489">
      <formula>(F292="x")</formula>
    </cfRule>
  </conditionalFormatting>
  <conditionalFormatting sqref="F16:BA44">
    <cfRule type="expression" dxfId="2155" priority="136501">
      <formula>(F288="x")</formula>
    </cfRule>
  </conditionalFormatting>
  <conditionalFormatting sqref="F10:BA11 F25:BA44">
    <cfRule type="expression" dxfId="2154" priority="136504">
      <formula>(F331="x")</formula>
    </cfRule>
  </conditionalFormatting>
  <conditionalFormatting sqref="F12:BA13 F15:BA44">
    <cfRule type="expression" dxfId="2153" priority="136509">
      <formula>(F332="x")</formula>
    </cfRule>
  </conditionalFormatting>
  <conditionalFormatting sqref="F48:BA48">
    <cfRule type="expression" dxfId="2152" priority="136519">
      <formula>(F344="x")</formula>
    </cfRule>
  </conditionalFormatting>
  <conditionalFormatting sqref="F11:BA11">
    <cfRule type="expression" dxfId="2151" priority="136972">
      <formula>(F312="x")</formula>
    </cfRule>
  </conditionalFormatting>
  <conditionalFormatting sqref="F30:BA30">
    <cfRule type="expression" dxfId="2150" priority="137087">
      <formula>(F341="x")</formula>
    </cfRule>
    <cfRule type="expression" dxfId="2149" priority="137088">
      <formula>(F199="x")</formula>
    </cfRule>
  </conditionalFormatting>
  <conditionalFormatting sqref="F69:BA70">
    <cfRule type="expression" dxfId="2148" priority="137293">
      <formula>(F300="x")</formula>
    </cfRule>
    <cfRule type="expression" dxfId="2147" priority="137294">
      <formula>(F301="x")</formula>
    </cfRule>
  </conditionalFormatting>
  <conditionalFormatting sqref="F69:BA70">
    <cfRule type="expression" dxfId="2146" priority="137324">
      <formula>(F357="x")</formula>
    </cfRule>
    <cfRule type="expression" dxfId="2145" priority="137325">
      <formula>(F361="x")</formula>
    </cfRule>
  </conditionalFormatting>
  <conditionalFormatting sqref="F69:BA70">
    <cfRule type="expression" dxfId="2144" priority="137328">
      <formula>(F356="x")</formula>
    </cfRule>
    <cfRule type="expression" dxfId="2143" priority="137329">
      <formula>(F355="x")</formula>
    </cfRule>
  </conditionalFormatting>
  <conditionalFormatting sqref="F69:BA70">
    <cfRule type="expression" dxfId="2142" priority="137366">
      <formula>(F353="x")</formula>
    </cfRule>
    <cfRule type="expression" dxfId="2141" priority="137367">
      <formula>(F351="x")</formula>
    </cfRule>
  </conditionalFormatting>
  <conditionalFormatting sqref="F69:BA70">
    <cfRule type="expression" dxfId="2140" priority="137934">
      <formula>(F328="x")</formula>
    </cfRule>
    <cfRule type="expression" dxfId="2139" priority="137935">
      <formula>(F327="x")</formula>
    </cfRule>
    <cfRule type="expression" dxfId="2138" priority="137936">
      <formula>(F331="x")</formula>
    </cfRule>
    <cfRule type="expression" dxfId="2137" priority="137937">
      <formula>(F332="x")</formula>
    </cfRule>
    <cfRule type="expression" dxfId="2136" priority="137938">
      <formula>(F333="x")</formula>
    </cfRule>
    <cfRule type="expression" dxfId="2135" priority="137939">
      <formula>(F334="x")</formula>
    </cfRule>
    <cfRule type="expression" dxfId="2134" priority="137940">
      <formula>(F337="x")</formula>
    </cfRule>
    <cfRule type="expression" dxfId="2133" priority="137941">
      <formula>(F349="x")</formula>
    </cfRule>
    <cfRule type="expression" dxfId="2132" priority="137942">
      <formula>(F336="x")</formula>
    </cfRule>
    <cfRule type="expression" dxfId="2131" priority="137943">
      <formula>(F335="x")</formula>
    </cfRule>
    <cfRule type="expression" dxfId="2130" priority="137944">
      <formula>(F350="x")</formula>
    </cfRule>
    <cfRule type="expression" dxfId="2129" priority="137945">
      <formula>(F345="x")</formula>
    </cfRule>
    <cfRule type="expression" dxfId="2128" priority="137946">
      <formula>(F348="x")</formula>
    </cfRule>
    <cfRule type="expression" dxfId="2127" priority="137947">
      <formula>(F344="x")</formula>
    </cfRule>
    <cfRule type="expression" dxfId="2126" priority="137948">
      <formula>(F347="x")</formula>
    </cfRule>
    <cfRule type="expression" dxfId="2125" priority="137949">
      <formula>(F343="x")</formula>
    </cfRule>
    <cfRule type="expression" dxfId="2124" priority="137950">
      <formula>(F346="x")</formula>
    </cfRule>
    <cfRule type="expression" dxfId="2123" priority="137951">
      <formula>(F342="x")</formula>
    </cfRule>
    <cfRule type="expression" dxfId="2122" priority="137952">
      <formula>(F341="x")</formula>
    </cfRule>
    <cfRule type="expression" dxfId="2121" priority="137953">
      <formula>(F340="x")</formula>
    </cfRule>
    <cfRule type="expression" dxfId="2120" priority="137954">
      <formula>(F338="x")</formula>
    </cfRule>
    <cfRule type="expression" dxfId="2119" priority="137955">
      <formula>(F324="x")</formula>
    </cfRule>
    <cfRule type="expression" dxfId="2118" priority="137956">
      <formula>(F323="x")</formula>
    </cfRule>
  </conditionalFormatting>
  <conditionalFormatting sqref="F69:BA70">
    <cfRule type="expression" dxfId="2117" priority="137957">
      <formula>(F326="x")</formula>
    </cfRule>
    <cfRule type="expression" dxfId="2116" priority="137958">
      <formula>(F317="x")</formula>
    </cfRule>
    <cfRule type="expression" dxfId="2115" priority="137959">
      <formula>(F315="x")</formula>
    </cfRule>
    <cfRule type="expression" dxfId="2114" priority="137960">
      <formula>(F322="x")</formula>
    </cfRule>
    <cfRule type="expression" dxfId="2113" priority="137961">
      <formula>(F318="x")</formula>
    </cfRule>
    <cfRule type="expression" dxfId="2112" priority="137962">
      <formula>(F312="x")</formula>
    </cfRule>
  </conditionalFormatting>
  <conditionalFormatting sqref="F69:BA70">
    <cfRule type="expression" dxfId="2111" priority="137963">
      <formula>(F280="x")</formula>
    </cfRule>
    <cfRule type="expression" dxfId="2110" priority="137964">
      <formula>(F262="x")</formula>
    </cfRule>
    <cfRule type="expression" dxfId="2109" priority="137965">
      <formula>(F261="x")</formula>
    </cfRule>
    <cfRule type="expression" dxfId="2108" priority="137966">
      <formula>(F277="x")</formula>
    </cfRule>
    <cfRule type="expression" dxfId="2107" priority="137967">
      <formula>(F286="x")</formula>
    </cfRule>
  </conditionalFormatting>
  <conditionalFormatting sqref="F69:BA70">
    <cfRule type="expression" dxfId="2106" priority="137968">
      <formula>(F289="x")</formula>
    </cfRule>
    <cfRule type="expression" dxfId="2105" priority="137969">
      <formula>(F275="x")</formula>
    </cfRule>
  </conditionalFormatting>
  <conditionalFormatting sqref="F69:BA70">
    <cfRule type="expression" dxfId="2104" priority="137970">
      <formula>(F242="x")</formula>
    </cfRule>
    <cfRule type="expression" dxfId="2103" priority="137971">
      <formula>(F258="x")</formula>
    </cfRule>
    <cfRule type="expression" dxfId="2102" priority="137972">
      <formula>(F279="x")</formula>
    </cfRule>
    <cfRule type="expression" dxfId="2101" priority="137973">
      <formula>(F241="x")</formula>
    </cfRule>
    <cfRule type="expression" dxfId="2100" priority="137974">
      <formula>(F249="x")</formula>
    </cfRule>
    <cfRule type="expression" dxfId="2099" priority="137975">
      <formula>(F287="x")</formula>
    </cfRule>
    <cfRule type="expression" dxfId="2098" priority="137976">
      <formula>(F285="x")</formula>
    </cfRule>
    <cfRule type="expression" dxfId="2097" priority="137977">
      <formula>(F278="x")</formula>
    </cfRule>
    <cfRule type="expression" dxfId="2096" priority="137978">
      <formula>(F268="x")</formula>
    </cfRule>
  </conditionalFormatting>
  <conditionalFormatting sqref="F69:BA70">
    <cfRule type="expression" dxfId="2095" priority="137979">
      <formula>(F314="x")</formula>
    </cfRule>
    <cfRule type="expression" dxfId="2094" priority="137980">
      <formula>(F310="x")</formula>
    </cfRule>
    <cfRule type="expression" dxfId="2093" priority="137981">
      <formula>(F305="x")</formula>
    </cfRule>
    <cfRule type="expression" dxfId="2092" priority="137982">
      <formula>(F309="x")</formula>
    </cfRule>
    <cfRule type="expression" dxfId="2091" priority="137983">
      <formula>(F307="x")</formula>
    </cfRule>
    <cfRule type="expression" dxfId="2090" priority="137984">
      <formula>(F311="x")</formula>
    </cfRule>
    <cfRule type="expression" dxfId="2089" priority="137985">
      <formula>(F302="x")</formula>
    </cfRule>
    <cfRule type="expression" dxfId="2088" priority="137986">
      <formula>(F313="x")</formula>
    </cfRule>
    <cfRule type="expression" dxfId="2087" priority="137987">
      <formula>(F231="x")</formula>
    </cfRule>
  </conditionalFormatting>
  <conditionalFormatting sqref="F69:BA70">
    <cfRule type="expression" dxfId="2086" priority="137994">
      <formula>(F264="x")</formula>
    </cfRule>
    <cfRule type="expression" dxfId="2085" priority="137995">
      <formula>(F266="x")</formula>
    </cfRule>
  </conditionalFormatting>
  <conditionalFormatting sqref="F69:BA70">
    <cfRule type="expression" dxfId="2084" priority="137996">
      <formula>(F299="x")</formula>
    </cfRule>
    <cfRule type="expression" dxfId="2083" priority="137997">
      <formula>(F303="x")</formula>
    </cfRule>
    <cfRule type="expression" dxfId="2082" priority="137998">
      <formula>(F229="x")</formula>
    </cfRule>
  </conditionalFormatting>
  <conditionalFormatting sqref="F69:BA70">
    <cfRule type="expression" dxfId="2081" priority="137999">
      <formula>(F253="x")</formula>
    </cfRule>
    <cfRule type="expression" dxfId="2080" priority="138000">
      <formula>(F273="x")</formula>
    </cfRule>
    <cfRule type="expression" dxfId="2079" priority="138001">
      <formula>(F291="x")</formula>
    </cfRule>
    <cfRule type="expression" dxfId="2078" priority="138002">
      <formula>(F250="x")</formula>
    </cfRule>
    <cfRule type="expression" dxfId="2077" priority="138003">
      <formula>(F283="x")</formula>
    </cfRule>
    <cfRule type="expression" dxfId="2076" priority="138004">
      <formula>(F297="x")</formula>
    </cfRule>
    <cfRule type="expression" dxfId="2075" priority="138005">
      <formula>(F295="x")</formula>
    </cfRule>
    <cfRule type="expression" dxfId="2074" priority="138006">
      <formula>(F293="x")</formula>
    </cfRule>
    <cfRule type="expression" dxfId="2073" priority="138007">
      <formula>(F282="x")</formula>
    </cfRule>
    <cfRule type="expression" dxfId="2072" priority="138008">
      <formula>(F281="x")</formula>
    </cfRule>
    <cfRule type="expression" dxfId="2071" priority="138009">
      <formula>(F276="x")</formula>
    </cfRule>
    <cfRule type="expression" dxfId="2070" priority="138010">
      <formula>(F244="x")</formula>
    </cfRule>
    <cfRule type="expression" dxfId="2069" priority="138011">
      <formula>(F243="x")</formula>
    </cfRule>
    <cfRule type="expression" dxfId="2068" priority="138012">
      <formula>(F238="x")</formula>
    </cfRule>
    <cfRule type="expression" dxfId="2067" priority="138013">
      <formula>(F274="x")</formula>
    </cfRule>
    <cfRule type="expression" dxfId="2066" priority="138014">
      <formula>(F234="x")</formula>
    </cfRule>
    <cfRule type="expression" dxfId="2065" priority="138015">
      <formula>(F257="x")</formula>
    </cfRule>
    <cfRule type="expression" dxfId="2064" priority="138016">
      <formula>(F247="x")</formula>
    </cfRule>
    <cfRule type="expression" dxfId="2063" priority="138017">
      <formula>(F245="x")</formula>
    </cfRule>
    <cfRule type="expression" dxfId="2062" priority="138018">
      <formula>(F239="x")</formula>
    </cfRule>
    <cfRule type="expression" dxfId="2061" priority="138019">
      <formula>(F263="x")</formula>
    </cfRule>
    <cfRule type="expression" dxfId="2060" priority="138020">
      <formula>(F251="x")</formula>
    </cfRule>
    <cfRule type="expression" dxfId="2059" priority="138021">
      <formula>(F288="x")</formula>
    </cfRule>
    <cfRule type="expression" dxfId="2058" priority="138022">
      <formula>(F248="x")</formula>
    </cfRule>
  </conditionalFormatting>
  <conditionalFormatting sqref="F69:BA70">
    <cfRule type="expression" dxfId="2057" priority="138023">
      <formula>(#REF!="x")</formula>
    </cfRule>
    <cfRule type="expression" dxfId="2056" priority="138024">
      <formula>(F235="x")</formula>
    </cfRule>
    <cfRule type="expression" dxfId="2055" priority="138025">
      <formula>(F233="x")</formula>
    </cfRule>
  </conditionalFormatting>
  <conditionalFormatting sqref="F69:BA70">
    <cfRule type="expression" dxfId="2054" priority="138026">
      <formula>(F240="x")</formula>
    </cfRule>
    <cfRule type="expression" dxfId="2053" priority="138027">
      <formula>(F218="x")</formula>
    </cfRule>
  </conditionalFormatting>
  <conditionalFormatting sqref="F10:BA44">
    <cfRule type="expression" dxfId="2052" priority="138036">
      <formula>(F283="x")</formula>
    </cfRule>
  </conditionalFormatting>
  <conditionalFormatting sqref="F30:BA30">
    <cfRule type="expression" dxfId="2051" priority="138493">
      <formula>(F330="x")</formula>
    </cfRule>
    <cfRule type="expression" dxfId="2050" priority="138494">
      <formula>(F331="x")</formula>
    </cfRule>
  </conditionalFormatting>
  <conditionalFormatting sqref="F30:BA30">
    <cfRule type="expression" dxfId="2049" priority="138495">
      <formula>(F324="x")</formula>
    </cfRule>
    <cfRule type="expression" dxfId="2048" priority="138496">
      <formula>(F328="x")</formula>
    </cfRule>
  </conditionalFormatting>
  <conditionalFormatting sqref="F30:BA30">
    <cfRule type="expression" dxfId="2047" priority="138497">
      <formula>(F338="x")</formula>
    </cfRule>
    <cfRule type="expression" dxfId="2046" priority="138498">
      <formula>(F337="x")</formula>
    </cfRule>
    <cfRule type="expression" dxfId="2045" priority="138499">
      <formula>(F334="x")</formula>
    </cfRule>
    <cfRule type="expression" dxfId="2044" priority="138500">
      <formula>(F333="x")</formula>
    </cfRule>
    <cfRule type="expression" dxfId="2043" priority="138501">
      <formula>(F332="x")</formula>
    </cfRule>
  </conditionalFormatting>
  <conditionalFormatting sqref="F30:BA30">
    <cfRule type="expression" dxfId="2042" priority="138502">
      <formula>(F344="x")</formula>
    </cfRule>
    <cfRule type="expression" dxfId="2041" priority="138503">
      <formula>(F339="x")</formula>
    </cfRule>
    <cfRule type="expression" dxfId="2040" priority="138504">
      <formula>(F343="x")</formula>
    </cfRule>
    <cfRule type="expression" dxfId="2039" priority="138505">
      <formula>(F340="x")</formula>
    </cfRule>
    <cfRule type="expression" dxfId="2038" priority="138506">
      <formula>(F342="x")</formula>
    </cfRule>
    <cfRule type="expression" dxfId="2037" priority="138507">
      <formula>(F335="x")</formula>
    </cfRule>
    <cfRule type="expression" dxfId="2036" priority="138508">
      <formula>(F336="x")</formula>
    </cfRule>
  </conditionalFormatting>
  <conditionalFormatting sqref="F30:BA30">
    <cfRule type="expression" dxfId="2035" priority="138509">
      <formula>(F323="x")</formula>
    </cfRule>
    <cfRule type="expression" dxfId="2034" priority="138510">
      <formula>(F322="x")</formula>
    </cfRule>
  </conditionalFormatting>
  <conditionalFormatting sqref="F30:BA30">
    <cfRule type="expression" dxfId="2033" priority="138511">
      <formula>(F267="x")</formula>
    </cfRule>
    <cfRule type="expression" dxfId="2032" priority="138512">
      <formula>(F268="x")</formula>
    </cfRule>
  </conditionalFormatting>
  <conditionalFormatting sqref="F30:BA30">
    <cfRule type="expression" dxfId="2031" priority="138513">
      <formula>(F295="x")</formula>
    </cfRule>
    <cfRule type="expression" dxfId="2030" priority="138514">
      <formula>(F294="x")</formula>
    </cfRule>
    <cfRule type="expression" dxfId="2029" priority="138515">
      <formula>(F298="x")</formula>
    </cfRule>
    <cfRule type="expression" dxfId="2028" priority="138516">
      <formula>(F299="x")</formula>
    </cfRule>
    <cfRule type="expression" dxfId="2027" priority="138517">
      <formula>(F300="x")</formula>
    </cfRule>
    <cfRule type="expression" dxfId="2026" priority="138518">
      <formula>(F301="x")</formula>
    </cfRule>
    <cfRule type="expression" dxfId="2025" priority="138519">
      <formula>(F304="x")</formula>
    </cfRule>
    <cfRule type="expression" dxfId="2024" priority="138520">
      <formula>(F316="x")</formula>
    </cfRule>
    <cfRule type="expression" dxfId="2023" priority="138521">
      <formula>(F303="x")</formula>
    </cfRule>
    <cfRule type="expression" dxfId="2022" priority="138522">
      <formula>(F302="x")</formula>
    </cfRule>
    <cfRule type="expression" dxfId="2021" priority="138523">
      <formula>(F317="x")</formula>
    </cfRule>
    <cfRule type="expression" dxfId="2020" priority="138524">
      <formula>(F312="x")</formula>
    </cfRule>
    <cfRule type="expression" dxfId="2019" priority="138525">
      <formula>(F315="x")</formula>
    </cfRule>
    <cfRule type="expression" dxfId="2018" priority="138526">
      <formula>(F311="x")</formula>
    </cfRule>
    <cfRule type="expression" dxfId="2017" priority="138527">
      <formula>(F314="x")</formula>
    </cfRule>
    <cfRule type="expression" dxfId="2016" priority="138528">
      <formula>(F310="x")</formula>
    </cfRule>
    <cfRule type="expression" dxfId="2015" priority="138529">
      <formula>(F313="x")</formula>
    </cfRule>
    <cfRule type="expression" dxfId="2014" priority="138530">
      <formula>(F309="x")</formula>
    </cfRule>
    <cfRule type="expression" dxfId="2013" priority="138531">
      <formula>(F308="x")</formula>
    </cfRule>
    <cfRule type="expression" dxfId="2012" priority="138532">
      <formula>(F307="x")</formula>
    </cfRule>
    <cfRule type="expression" dxfId="2011" priority="138533">
      <formula>(F305="x")</formula>
    </cfRule>
    <cfRule type="expression" dxfId="2010" priority="138534">
      <formula>(F291="x")</formula>
    </cfRule>
    <cfRule type="expression" dxfId="2009" priority="138535">
      <formula>(F290="x")</formula>
    </cfRule>
  </conditionalFormatting>
  <conditionalFormatting sqref="F30:BA30">
    <cfRule type="expression" dxfId="2008" priority="138536">
      <formula>(F320="x")</formula>
    </cfRule>
    <cfRule type="expression" dxfId="2007" priority="138537">
      <formula>(F318="x")</formula>
    </cfRule>
  </conditionalFormatting>
  <conditionalFormatting sqref="F78:BA78">
    <cfRule type="expression" dxfId="2006" priority="138538">
      <formula>(F339="x")</formula>
    </cfRule>
    <cfRule type="expression" dxfId="2005" priority="138539">
      <formula>(F330="x")</formula>
    </cfRule>
    <cfRule type="expression" dxfId="2004" priority="138540">
      <formula>(F328="x")</formula>
    </cfRule>
    <cfRule type="expression" dxfId="2003" priority="138541">
      <formula>(F335="x")</formula>
    </cfRule>
    <cfRule type="expression" dxfId="2002" priority="138542">
      <formula>(F331="x")</formula>
    </cfRule>
    <cfRule type="expression" dxfId="2001" priority="138543">
      <formula>(F325="x")</formula>
    </cfRule>
  </conditionalFormatting>
  <conditionalFormatting sqref="F30:BA30">
    <cfRule type="expression" dxfId="2000" priority="138544">
      <formula>(F247="x")</formula>
    </cfRule>
    <cfRule type="expression" dxfId="1999" priority="138545">
      <formula>(F229="x")</formula>
    </cfRule>
    <cfRule type="expression" dxfId="1998" priority="138546">
      <formula>(F228="x")</formula>
    </cfRule>
    <cfRule type="expression" dxfId="1997" priority="138547">
      <formula>(F244="x")</formula>
    </cfRule>
    <cfRule type="expression" dxfId="1996" priority="138548">
      <formula>(F253="x")</formula>
    </cfRule>
  </conditionalFormatting>
  <conditionalFormatting sqref="F30:BA30">
    <cfRule type="expression" dxfId="1995" priority="138549">
      <formula>(F256="x")</formula>
    </cfRule>
    <cfRule type="expression" dxfId="1994" priority="138550">
      <formula>(F242="x")</formula>
    </cfRule>
  </conditionalFormatting>
  <conditionalFormatting sqref="F30:BA30">
    <cfRule type="expression" dxfId="1993" priority="138551">
      <formula>(F209="x")</formula>
    </cfRule>
    <cfRule type="expression" dxfId="1992" priority="138552">
      <formula>(F225="x")</formula>
    </cfRule>
    <cfRule type="expression" dxfId="1991" priority="138553">
      <formula>(F246="x")</formula>
    </cfRule>
    <cfRule type="expression" dxfId="1990" priority="138554">
      <formula>(F208="x")</formula>
    </cfRule>
    <cfRule type="expression" dxfId="1989" priority="138555">
      <formula>(F216="x")</formula>
    </cfRule>
    <cfRule type="expression" dxfId="1988" priority="138556">
      <formula>(F254="x")</formula>
    </cfRule>
    <cfRule type="expression" dxfId="1987" priority="138557">
      <formula>(F252="x")</formula>
    </cfRule>
    <cfRule type="expression" dxfId="1986" priority="138558">
      <formula>(F245="x")</formula>
    </cfRule>
    <cfRule type="expression" dxfId="1985" priority="138559">
      <formula>(F235="x")</formula>
    </cfRule>
  </conditionalFormatting>
  <conditionalFormatting sqref="F30:BA30">
    <cfRule type="expression" dxfId="1984" priority="138560">
      <formula>(F281="x")</formula>
    </cfRule>
    <cfRule type="expression" dxfId="1983" priority="138561">
      <formula>(F277="x")</formula>
    </cfRule>
    <cfRule type="expression" dxfId="1982" priority="138562">
      <formula>(F272="x")</formula>
    </cfRule>
    <cfRule type="expression" dxfId="1981" priority="138563">
      <formula>(F276="x")</formula>
    </cfRule>
    <cfRule type="expression" dxfId="1980" priority="138564">
      <formula>(F274="x")</formula>
    </cfRule>
    <cfRule type="expression" dxfId="1979" priority="138565">
      <formula>(F278="x")</formula>
    </cfRule>
    <cfRule type="expression" dxfId="1978" priority="138566">
      <formula>(F269="x")</formula>
    </cfRule>
    <cfRule type="expression" dxfId="1977" priority="138567">
      <formula>(F280="x")</formula>
    </cfRule>
    <cfRule type="expression" dxfId="1976" priority="138568">
      <formula>(F198="x")</formula>
    </cfRule>
  </conditionalFormatting>
  <conditionalFormatting sqref="F30:BA30">
    <cfRule type="expression" dxfId="1975" priority="138571">
      <formula>(F231="x")</formula>
    </cfRule>
    <cfRule type="expression" dxfId="1974" priority="138572">
      <formula>(F233="x")</formula>
    </cfRule>
  </conditionalFormatting>
  <conditionalFormatting sqref="F30:BA30">
    <cfRule type="expression" dxfId="1973" priority="138573">
      <formula>(F266="x")</formula>
    </cfRule>
    <cfRule type="expression" dxfId="1972" priority="138574">
      <formula>(F270="x")</formula>
    </cfRule>
    <cfRule type="expression" dxfId="1971" priority="138575">
      <formula>(F196="x")</formula>
    </cfRule>
  </conditionalFormatting>
  <conditionalFormatting sqref="F30:BA30">
    <cfRule type="expression" dxfId="1970" priority="138576">
      <formula>(F220="x")</formula>
    </cfRule>
    <cfRule type="expression" dxfId="1969" priority="138577">
      <formula>(F240="x")</formula>
    </cfRule>
    <cfRule type="expression" dxfId="1968" priority="138578">
      <formula>(F258="x")</formula>
    </cfRule>
    <cfRule type="expression" dxfId="1967" priority="138579">
      <formula>(F217="x")</formula>
    </cfRule>
    <cfRule type="expression" dxfId="1966" priority="138580">
      <formula>(F250="x")</formula>
    </cfRule>
    <cfRule type="expression" dxfId="1965" priority="138581">
      <formula>(F264="x")</formula>
    </cfRule>
    <cfRule type="expression" dxfId="1964" priority="138582">
      <formula>(F262="x")</formula>
    </cfRule>
    <cfRule type="expression" dxfId="1963" priority="138583">
      <formula>(F260="x")</formula>
    </cfRule>
    <cfRule type="expression" dxfId="1962" priority="138584">
      <formula>(F249="x")</formula>
    </cfRule>
    <cfRule type="expression" dxfId="1961" priority="138585">
      <formula>(F248="x")</formula>
    </cfRule>
    <cfRule type="expression" dxfId="1960" priority="138586">
      <formula>(F243="x")</formula>
    </cfRule>
    <cfRule type="expression" dxfId="1959" priority="138587">
      <formula>(F211="x")</formula>
    </cfRule>
    <cfRule type="expression" dxfId="1958" priority="138588">
      <formula>(F210="x")</formula>
    </cfRule>
    <cfRule type="expression" dxfId="1957" priority="138589">
      <formula>(F205="x")</formula>
    </cfRule>
    <cfRule type="expression" dxfId="1956" priority="138590">
      <formula>(F241="x")</formula>
    </cfRule>
    <cfRule type="expression" dxfId="1955" priority="138591">
      <formula>(F201="x")</formula>
    </cfRule>
    <cfRule type="expression" dxfId="1954" priority="138592">
      <formula>(F224="x")</formula>
    </cfRule>
    <cfRule type="expression" dxfId="1953" priority="138593">
      <formula>(F214="x")</formula>
    </cfRule>
    <cfRule type="expression" dxfId="1952" priority="138594">
      <formula>(F212="x")</formula>
    </cfRule>
    <cfRule type="expression" dxfId="1951" priority="138595">
      <formula>(F206="x")</formula>
    </cfRule>
    <cfRule type="expression" dxfId="1950" priority="138596">
      <formula>(F230="x")</formula>
    </cfRule>
    <cfRule type="expression" dxfId="1949" priority="138597">
      <formula>(F218="x")</formula>
    </cfRule>
    <cfRule type="expression" dxfId="1948" priority="138598">
      <formula>(F255="x")</formula>
    </cfRule>
    <cfRule type="expression" dxfId="1947" priority="138599">
      <formula>(F215="x")</formula>
    </cfRule>
  </conditionalFormatting>
  <conditionalFormatting sqref="F30:BA30">
    <cfRule type="expression" dxfId="1946" priority="138600">
      <formula>(#REF!="x")</formula>
    </cfRule>
    <cfRule type="expression" dxfId="1945" priority="138601">
      <formula>(F202="x")</formula>
    </cfRule>
    <cfRule type="expression" dxfId="1944" priority="138602">
      <formula>(F200="x")</formula>
    </cfRule>
  </conditionalFormatting>
  <conditionalFormatting sqref="F32:BA44">
    <cfRule type="expression" dxfId="1943" priority="138621">
      <formula>(F299="x")</formula>
    </cfRule>
    <cfRule type="expression" dxfId="1942" priority="138622">
      <formula>(F300="x")</formula>
    </cfRule>
  </conditionalFormatting>
  <conditionalFormatting sqref="F32:BA44">
    <cfRule type="expression" dxfId="1941" priority="138685">
      <formula>(F380="x")</formula>
    </cfRule>
    <cfRule type="expression" dxfId="1940" priority="138686">
      <formula>(F379="x")</formula>
    </cfRule>
  </conditionalFormatting>
  <conditionalFormatting sqref="F32:BA44">
    <cfRule type="expression" dxfId="1939" priority="138711">
      <formula>(F356="x")</formula>
    </cfRule>
    <cfRule type="expression" dxfId="1938" priority="138712">
      <formula>(F360="x")</formula>
    </cfRule>
  </conditionalFormatting>
  <conditionalFormatting sqref="F32:BA44">
    <cfRule type="expression" dxfId="1937" priority="138718">
      <formula>(F370="x")</formula>
    </cfRule>
    <cfRule type="expression" dxfId="1936" priority="138719">
      <formula>(F369="x")</formula>
    </cfRule>
    <cfRule type="expression" dxfId="1935" priority="138720">
      <formula>(F366="x")</formula>
    </cfRule>
    <cfRule type="expression" dxfId="1934" priority="138721">
      <formula>(F365="x")</formula>
    </cfRule>
    <cfRule type="expression" dxfId="1933" priority="138722">
      <formula>(F364="x")</formula>
    </cfRule>
  </conditionalFormatting>
  <conditionalFormatting sqref="F32:BA44">
    <cfRule type="expression" dxfId="1932" priority="138730">
      <formula>(F376="x")</formula>
    </cfRule>
    <cfRule type="expression" dxfId="1931" priority="138731">
      <formula>(F371="x")</formula>
    </cfRule>
    <cfRule type="expression" dxfId="1930" priority="138732">
      <formula>(F375="x")</formula>
    </cfRule>
    <cfRule type="expression" dxfId="1929" priority="138733">
      <formula>(F372="x")</formula>
    </cfRule>
    <cfRule type="expression" dxfId="1928" priority="138734">
      <formula>(F374="x")</formula>
    </cfRule>
    <cfRule type="expression" dxfId="1927" priority="138735">
      <formula>(F367="x")</formula>
    </cfRule>
    <cfRule type="expression" dxfId="1926" priority="138736">
      <formula>(F368="x")</formula>
    </cfRule>
  </conditionalFormatting>
  <conditionalFormatting sqref="F32:BA44">
    <cfRule type="expression" dxfId="1925" priority="138739">
      <formula>(F355="x")</formula>
    </cfRule>
    <cfRule type="expression" dxfId="1924" priority="138740">
      <formula>(F354="x")</formula>
    </cfRule>
  </conditionalFormatting>
  <conditionalFormatting sqref="F32:BA44">
    <cfRule type="expression" dxfId="1923" priority="138764">
      <formula>(F327="x")</formula>
    </cfRule>
    <cfRule type="expression" dxfId="1922" priority="138765">
      <formula>(F326="x")</formula>
    </cfRule>
    <cfRule type="expression" dxfId="1921" priority="138766">
      <formula>(F330="x")</formula>
    </cfRule>
    <cfRule type="expression" dxfId="1920" priority="138767">
      <formula>(F331="x")</formula>
    </cfRule>
    <cfRule type="expression" dxfId="1919" priority="138768">
      <formula>(F332="x")</formula>
    </cfRule>
    <cfRule type="expression" dxfId="1918" priority="138769">
      <formula>(F333="x")</formula>
    </cfRule>
    <cfRule type="expression" dxfId="1917" priority="138770">
      <formula>(F336="x")</formula>
    </cfRule>
    <cfRule type="expression" dxfId="1916" priority="138771">
      <formula>(F348="x")</formula>
    </cfRule>
    <cfRule type="expression" dxfId="1915" priority="138772">
      <formula>(F335="x")</formula>
    </cfRule>
    <cfRule type="expression" dxfId="1914" priority="138773">
      <formula>(F334="x")</formula>
    </cfRule>
    <cfRule type="expression" dxfId="1913" priority="138774">
      <formula>(F349="x")</formula>
    </cfRule>
    <cfRule type="expression" dxfId="1912" priority="138775">
      <formula>(F344="x")</formula>
    </cfRule>
    <cfRule type="expression" dxfId="1911" priority="138776">
      <formula>(F347="x")</formula>
    </cfRule>
    <cfRule type="expression" dxfId="1910" priority="138777">
      <formula>(F343="x")</formula>
    </cfRule>
    <cfRule type="expression" dxfId="1909" priority="138778">
      <formula>(F346="x")</formula>
    </cfRule>
    <cfRule type="expression" dxfId="1908" priority="138779">
      <formula>(F342="x")</formula>
    </cfRule>
    <cfRule type="expression" dxfId="1907" priority="138780">
      <formula>(F345="x")</formula>
    </cfRule>
    <cfRule type="expression" dxfId="1906" priority="138781">
      <formula>(F341="x")</formula>
    </cfRule>
    <cfRule type="expression" dxfId="1905" priority="138782">
      <formula>(F340="x")</formula>
    </cfRule>
    <cfRule type="expression" dxfId="1904" priority="138783">
      <formula>(F339="x")</formula>
    </cfRule>
    <cfRule type="expression" dxfId="1903" priority="138784">
      <formula>(F337="x")</formula>
    </cfRule>
    <cfRule type="expression" dxfId="1902" priority="138785">
      <formula>(F323="x")</formula>
    </cfRule>
    <cfRule type="expression" dxfId="1901" priority="138786">
      <formula>(F322="x")</formula>
    </cfRule>
  </conditionalFormatting>
  <conditionalFormatting sqref="F32:BA44">
    <cfRule type="expression" dxfId="1900" priority="138789">
      <formula>(F352="x")</formula>
    </cfRule>
    <cfRule type="expression" dxfId="1899" priority="138790">
      <formula>(F350="x")</formula>
    </cfRule>
  </conditionalFormatting>
  <conditionalFormatting sqref="F32:BA44">
    <cfRule type="expression" dxfId="1898" priority="138797">
      <formula>(F325="x")</formula>
    </cfRule>
    <cfRule type="expression" dxfId="1897" priority="138798">
      <formula>(F316="x")</formula>
    </cfRule>
    <cfRule type="expression" dxfId="1896" priority="138799">
      <formula>(F314="x")</formula>
    </cfRule>
    <cfRule type="expression" dxfId="1895" priority="138800">
      <formula>(F321="x")</formula>
    </cfRule>
    <cfRule type="expression" dxfId="1894" priority="138801">
      <formula>(F317="x")</formula>
    </cfRule>
    <cfRule type="expression" dxfId="1893" priority="138802">
      <formula>(F311="x")</formula>
    </cfRule>
  </conditionalFormatting>
  <conditionalFormatting sqref="F32:BA44">
    <cfRule type="expression" dxfId="1892" priority="138808">
      <formula>(F279="x")</formula>
    </cfRule>
    <cfRule type="expression" dxfId="1891" priority="138809">
      <formula>(F261="x")</formula>
    </cfRule>
    <cfRule type="expression" dxfId="1890" priority="138810">
      <formula>(F260="x")</formula>
    </cfRule>
    <cfRule type="expression" dxfId="1889" priority="138811">
      <formula>(F276="x")</formula>
    </cfRule>
    <cfRule type="expression" dxfId="1888" priority="138812">
      <formula>(F285="x")</formula>
    </cfRule>
  </conditionalFormatting>
  <conditionalFormatting sqref="F32:BA44">
    <cfRule type="expression" dxfId="1887" priority="138815">
      <formula>(F288="x")</formula>
    </cfRule>
    <cfRule type="expression" dxfId="1886" priority="138816">
      <formula>(F274="x")</formula>
    </cfRule>
  </conditionalFormatting>
  <conditionalFormatting sqref="F32:BA44">
    <cfRule type="expression" dxfId="1885" priority="138826">
      <formula>(F241="x")</formula>
    </cfRule>
    <cfRule type="expression" dxfId="1884" priority="138827">
      <formula>(F257="x")</formula>
    </cfRule>
    <cfRule type="expression" dxfId="1883" priority="138828">
      <formula>(F278="x")</formula>
    </cfRule>
    <cfRule type="expression" dxfId="1882" priority="138829">
      <formula>(F240="x")</formula>
    </cfRule>
    <cfRule type="expression" dxfId="1881" priority="138830">
      <formula>(F248="x")</formula>
    </cfRule>
    <cfRule type="expression" dxfId="1880" priority="138831">
      <formula>(F286="x")</formula>
    </cfRule>
    <cfRule type="expression" dxfId="1879" priority="138832">
      <formula>(F284="x")</formula>
    </cfRule>
    <cfRule type="expression" dxfId="1878" priority="138833">
      <formula>(F277="x")</formula>
    </cfRule>
    <cfRule type="expression" dxfId="1877" priority="138834">
      <formula>(F267="x")</formula>
    </cfRule>
  </conditionalFormatting>
  <conditionalFormatting sqref="F32:BA44">
    <cfRule type="expression" dxfId="1876" priority="138844">
      <formula>(F313="x")</formula>
    </cfRule>
    <cfRule type="expression" dxfId="1875" priority="138845">
      <formula>(F309="x")</formula>
    </cfRule>
    <cfRule type="expression" dxfId="1874" priority="138846">
      <formula>(F304="x")</formula>
    </cfRule>
    <cfRule type="expression" dxfId="1873" priority="138847">
      <formula>(F308="x")</formula>
    </cfRule>
    <cfRule type="expression" dxfId="1872" priority="138848">
      <formula>(F306="x")</formula>
    </cfRule>
    <cfRule type="expression" dxfId="1871" priority="138849">
      <formula>(F310="x")</formula>
    </cfRule>
    <cfRule type="expression" dxfId="1870" priority="138850">
      <formula>(F301="x")</formula>
    </cfRule>
    <cfRule type="expression" dxfId="1869" priority="138851">
      <formula>(F312="x")</formula>
    </cfRule>
    <cfRule type="expression" dxfId="1868" priority="138852">
      <formula>(F230="x")</formula>
    </cfRule>
  </conditionalFormatting>
  <conditionalFormatting sqref="F32:BA44">
    <cfRule type="expression" dxfId="1867" priority="138855">
      <formula>(F263="x")</formula>
    </cfRule>
    <cfRule type="expression" dxfId="1866" priority="138856">
      <formula>(F265="x")</formula>
    </cfRule>
  </conditionalFormatting>
  <conditionalFormatting sqref="F32:BA44">
    <cfRule type="expression" dxfId="1865" priority="138862">
      <formula>(F298="x")</formula>
    </cfRule>
    <cfRule type="expression" dxfId="1864" priority="138863">
      <formula>(F302="x")</formula>
    </cfRule>
    <cfRule type="expression" dxfId="1863" priority="138864">
      <formula>(F228="x")</formula>
    </cfRule>
  </conditionalFormatting>
  <conditionalFormatting sqref="F32:BA44">
    <cfRule type="expression" dxfId="1862" priority="138889">
      <formula>(F252="x")</formula>
    </cfRule>
    <cfRule type="expression" dxfId="1861" priority="138890">
      <formula>(F272="x")</formula>
    </cfRule>
    <cfRule type="expression" dxfId="1860" priority="138891">
      <formula>(F290="x")</formula>
    </cfRule>
    <cfRule type="expression" dxfId="1859" priority="138892">
      <formula>(F249="x")</formula>
    </cfRule>
    <cfRule type="expression" dxfId="1858" priority="138893">
      <formula>(F282="x")</formula>
    </cfRule>
    <cfRule type="expression" dxfId="1857" priority="138894">
      <formula>(F296="x")</formula>
    </cfRule>
    <cfRule type="expression" dxfId="1856" priority="138895">
      <formula>(F294="x")</formula>
    </cfRule>
    <cfRule type="expression" dxfId="1855" priority="138896">
      <formula>(F292="x")</formula>
    </cfRule>
    <cfRule type="expression" dxfId="1854" priority="138897">
      <formula>(F281="x")</formula>
    </cfRule>
    <cfRule type="expression" dxfId="1853" priority="138898">
      <formula>(F280="x")</formula>
    </cfRule>
    <cfRule type="expression" dxfId="1852" priority="138899">
      <formula>(F275="x")</formula>
    </cfRule>
    <cfRule type="expression" dxfId="1851" priority="138900">
      <formula>(F243="x")</formula>
    </cfRule>
    <cfRule type="expression" dxfId="1850" priority="138901">
      <formula>(F242="x")</formula>
    </cfRule>
    <cfRule type="expression" dxfId="1849" priority="138902">
      <formula>(F237="x")</formula>
    </cfRule>
    <cfRule type="expression" dxfId="1848" priority="138903">
      <formula>(F273="x")</formula>
    </cfRule>
    <cfRule type="expression" dxfId="1847" priority="138904">
      <formula>(F233="x")</formula>
    </cfRule>
    <cfRule type="expression" dxfId="1846" priority="138905">
      <formula>(F256="x")</formula>
    </cfRule>
    <cfRule type="expression" dxfId="1845" priority="138906">
      <formula>(F246="x")</formula>
    </cfRule>
    <cfRule type="expression" dxfId="1844" priority="138907">
      <formula>(F244="x")</formula>
    </cfRule>
    <cfRule type="expression" dxfId="1843" priority="138908">
      <formula>(F238="x")</formula>
    </cfRule>
    <cfRule type="expression" dxfId="1842" priority="138909">
      <formula>(F262="x")</formula>
    </cfRule>
    <cfRule type="expression" dxfId="1841" priority="138910">
      <formula>(F250="x")</formula>
    </cfRule>
    <cfRule type="expression" dxfId="1840" priority="138911">
      <formula>(F287="x")</formula>
    </cfRule>
    <cfRule type="expression" dxfId="1839" priority="138912">
      <formula>(F247="x")</formula>
    </cfRule>
  </conditionalFormatting>
  <conditionalFormatting sqref="F32:BA44">
    <cfRule type="expression" dxfId="1838" priority="138916">
      <formula>(#REF!="x")</formula>
    </cfRule>
    <cfRule type="expression" dxfId="1837" priority="138917">
      <formula>(F234="x")</formula>
    </cfRule>
    <cfRule type="expression" dxfId="1836" priority="138918">
      <formula>(F232="x")</formula>
    </cfRule>
  </conditionalFormatting>
  <conditionalFormatting sqref="F32:BA44">
    <cfRule type="expression" dxfId="1835" priority="138933">
      <formula>(F187="x")</formula>
    </cfRule>
    <cfRule type="expression" dxfId="1834" priority="138934">
      <formula>(F188="x")</formula>
    </cfRule>
  </conditionalFormatting>
  <conditionalFormatting sqref="F32:BA44">
    <cfRule type="expression" dxfId="1833" priority="138939">
      <formula>(F239="x")</formula>
    </cfRule>
    <cfRule type="expression" dxfId="1832" priority="138940">
      <formula>(F217="x")</formula>
    </cfRule>
  </conditionalFormatting>
  <conditionalFormatting sqref="F32:BA44">
    <cfRule type="expression" dxfId="1831" priority="138945">
      <formula>(F210="x")</formula>
    </cfRule>
    <cfRule type="expression" dxfId="1830" priority="138946">
      <formula>(F209="x")</formula>
    </cfRule>
  </conditionalFormatting>
  <conditionalFormatting sqref="F32:BA44">
    <cfRule type="expression" dxfId="1829" priority="138951">
      <formula>(F195="x")</formula>
    </cfRule>
    <cfRule type="expression" dxfId="1828" priority="138952">
      <formula>(F194="x")</formula>
    </cfRule>
  </conditionalFormatting>
  <conditionalFormatting sqref="F32:BA44">
    <cfRule type="expression" dxfId="1827" priority="138955">
      <formula>(F253="x")</formula>
    </cfRule>
    <cfRule type="expression" dxfId="1826" priority="138956">
      <formula>(F192="x")</formula>
    </cfRule>
  </conditionalFormatting>
  <conditionalFormatting sqref="F69:BA70">
    <cfRule type="expression" dxfId="1825" priority="139215">
      <formula>(F363="x")</formula>
    </cfRule>
    <cfRule type="expression" dxfId="1824" priority="139216">
      <formula>(F364="x")</formula>
    </cfRule>
  </conditionalFormatting>
  <conditionalFormatting sqref="F15:BA44 F12:BA13">
    <cfRule type="expression" dxfId="1823" priority="139217">
      <formula>(F328="x")</formula>
    </cfRule>
  </conditionalFormatting>
  <conditionalFormatting sqref="F69:BA70">
    <cfRule type="expression" dxfId="1822" priority="139223">
      <formula>(F371="x")</formula>
    </cfRule>
    <cfRule type="expression" dxfId="1821" priority="139224">
      <formula>(F370="x")</formula>
    </cfRule>
    <cfRule type="expression" dxfId="1820" priority="139225">
      <formula>(F367="x")</formula>
    </cfRule>
    <cfRule type="expression" dxfId="1819" priority="139226">
      <formula>(F366="x")</formula>
    </cfRule>
    <cfRule type="expression" dxfId="1818" priority="139227">
      <formula>(F365="x")</formula>
    </cfRule>
  </conditionalFormatting>
  <conditionalFormatting sqref="F69:BA70">
    <cfRule type="expression" dxfId="1817" priority="139228">
      <formula>(F377="x")</formula>
    </cfRule>
    <cfRule type="expression" dxfId="1816" priority="139229">
      <formula>(F372="x")</formula>
    </cfRule>
    <cfRule type="expression" dxfId="1815" priority="139230">
      <formula>(F376="x")</formula>
    </cfRule>
    <cfRule type="expression" dxfId="1814" priority="139231">
      <formula>(F373="x")</formula>
    </cfRule>
    <cfRule type="expression" dxfId="1813" priority="139232">
      <formula>(F375="x")</formula>
    </cfRule>
    <cfRule type="expression" dxfId="1812" priority="139233">
      <formula>(F368="x")</formula>
    </cfRule>
    <cfRule type="expression" dxfId="1811" priority="139234">
      <formula>(F369="x")</formula>
    </cfRule>
  </conditionalFormatting>
  <conditionalFormatting sqref="F69:BA70">
    <cfRule type="expression" dxfId="1810" priority="139235">
      <formula>(F381="x")</formula>
    </cfRule>
    <cfRule type="expression" dxfId="1809" priority="139236">
      <formula>(F380="x")</formula>
    </cfRule>
  </conditionalFormatting>
  <conditionalFormatting sqref="F65:BA68">
    <cfRule type="expression" dxfId="1808" priority="139271">
      <formula>(F353="x")</formula>
    </cfRule>
  </conditionalFormatting>
  <conditionalFormatting sqref="F17:BA44">
    <cfRule type="expression" dxfId="1807" priority="139287">
      <formula>(F336="x")</formula>
    </cfRule>
  </conditionalFormatting>
  <conditionalFormatting sqref="F16:BA44 F11:BA13">
    <cfRule type="expression" dxfId="1806" priority="139436">
      <formula>(F326="x")</formula>
    </cfRule>
  </conditionalFormatting>
  <conditionalFormatting sqref="F30:BA30">
    <cfRule type="expression" dxfId="1805" priority="139763">
      <formula>(F348="x")</formula>
    </cfRule>
    <cfRule type="expression" dxfId="1804" priority="139764">
      <formula>(F347="x")</formula>
    </cfRule>
  </conditionalFormatting>
  <conditionalFormatting sqref="F33:BA44">
    <cfRule type="expression" dxfId="1803" priority="139766">
      <formula>(F384="x")</formula>
    </cfRule>
  </conditionalFormatting>
  <conditionalFormatting sqref="F33:BA44">
    <cfRule type="expression" dxfId="1802" priority="139789">
      <formula>(F302="x")</formula>
    </cfRule>
    <cfRule type="expression" dxfId="1801" priority="139790">
      <formula>(F303="x")</formula>
    </cfRule>
  </conditionalFormatting>
  <conditionalFormatting sqref="F33:BA44">
    <cfRule type="expression" dxfId="1800" priority="139877">
      <formula>(F365="x")</formula>
    </cfRule>
    <cfRule type="expression" dxfId="1799" priority="139878">
      <formula>(F366="x")</formula>
    </cfRule>
  </conditionalFormatting>
  <conditionalFormatting sqref="F33:BA44">
    <cfRule type="expression" dxfId="1798" priority="139888">
      <formula>(F373="x")</formula>
    </cfRule>
    <cfRule type="expression" dxfId="1797" priority="139889">
      <formula>(F372="x")</formula>
    </cfRule>
    <cfRule type="expression" dxfId="1796" priority="139890">
      <formula>(F369="x")</formula>
    </cfRule>
    <cfRule type="expression" dxfId="1795" priority="139891">
      <formula>(F368="x")</formula>
    </cfRule>
    <cfRule type="expression" dxfId="1794" priority="139892">
      <formula>(F367="x")</formula>
    </cfRule>
  </conditionalFormatting>
  <conditionalFormatting sqref="F33:BA44">
    <cfRule type="expression" dxfId="1793" priority="139900">
      <formula>(F379="x")</formula>
    </cfRule>
    <cfRule type="expression" dxfId="1792" priority="139901">
      <formula>(F374="x")</formula>
    </cfRule>
    <cfRule type="expression" dxfId="1791" priority="139902">
      <formula>(F378="x")</formula>
    </cfRule>
    <cfRule type="expression" dxfId="1790" priority="139903">
      <formula>(F375="x")</formula>
    </cfRule>
    <cfRule type="expression" dxfId="1789" priority="139904">
      <formula>(F377="x")</formula>
    </cfRule>
    <cfRule type="expression" dxfId="1788" priority="139905">
      <formula>(F370="x")</formula>
    </cfRule>
    <cfRule type="expression" dxfId="1787" priority="139906">
      <formula>(F371="x")</formula>
    </cfRule>
  </conditionalFormatting>
  <conditionalFormatting sqref="F33:BA44">
    <cfRule type="expression" dxfId="1786" priority="139909">
      <formula>(F383="x")</formula>
    </cfRule>
    <cfRule type="expression" dxfId="1785" priority="139910">
      <formula>(F382="x")</formula>
    </cfRule>
  </conditionalFormatting>
  <conditionalFormatting sqref="F33:BA44">
    <cfRule type="expression" dxfId="1784" priority="139922">
      <formula>(F376="x")</formula>
    </cfRule>
  </conditionalFormatting>
  <conditionalFormatting sqref="F33:BA44">
    <cfRule type="expression" dxfId="1783" priority="139931">
      <formula>(F359="x")</formula>
    </cfRule>
    <cfRule type="expression" dxfId="1782" priority="139932">
      <formula>(F363="x")</formula>
    </cfRule>
  </conditionalFormatting>
  <conditionalFormatting sqref="F33:BA44">
    <cfRule type="expression" dxfId="1781" priority="139960">
      <formula>(F330="x")</formula>
    </cfRule>
    <cfRule type="expression" dxfId="1780" priority="139961">
      <formula>(F329="x")</formula>
    </cfRule>
    <cfRule type="expression" dxfId="1779" priority="139962">
      <formula>(F333="x")</formula>
    </cfRule>
    <cfRule type="expression" dxfId="1778" priority="139963">
      <formula>(F334="x")</formula>
    </cfRule>
    <cfRule type="expression" dxfId="1777" priority="139964">
      <formula>(F335="x")</formula>
    </cfRule>
    <cfRule type="expression" dxfId="1776" priority="139965">
      <formula>(F336="x")</formula>
    </cfRule>
    <cfRule type="expression" dxfId="1775" priority="139966">
      <formula>(F339="x")</formula>
    </cfRule>
    <cfRule type="expression" dxfId="1774" priority="139967">
      <formula>(F351="x")</formula>
    </cfRule>
    <cfRule type="expression" dxfId="1773" priority="139968">
      <formula>(F338="x")</formula>
    </cfRule>
    <cfRule type="expression" dxfId="1772" priority="139969">
      <formula>(F337="x")</formula>
    </cfRule>
    <cfRule type="expression" dxfId="1771" priority="139970">
      <formula>(F352="x")</formula>
    </cfRule>
    <cfRule type="expression" dxfId="1770" priority="139971">
      <formula>(F347="x")</formula>
    </cfRule>
    <cfRule type="expression" dxfId="1769" priority="139972">
      <formula>(F350="x")</formula>
    </cfRule>
    <cfRule type="expression" dxfId="1768" priority="139973">
      <formula>(F346="x")</formula>
    </cfRule>
    <cfRule type="expression" dxfId="1767" priority="139974">
      <formula>(F349="x")</formula>
    </cfRule>
    <cfRule type="expression" dxfId="1766" priority="139975">
      <formula>(F345="x")</formula>
    </cfRule>
    <cfRule type="expression" dxfId="1765" priority="139976">
      <formula>(F348="x")</formula>
    </cfRule>
    <cfRule type="expression" dxfId="1764" priority="139977">
      <formula>(F344="x")</formula>
    </cfRule>
    <cfRule type="expression" dxfId="1763" priority="139978">
      <formula>(F343="x")</formula>
    </cfRule>
    <cfRule type="expression" dxfId="1762" priority="139979">
      <formula>(F342="x")</formula>
    </cfRule>
    <cfRule type="expression" dxfId="1761" priority="139980">
      <formula>(F340="x")</formula>
    </cfRule>
    <cfRule type="expression" dxfId="1760" priority="139981">
      <formula>(F326="x")</formula>
    </cfRule>
    <cfRule type="expression" dxfId="1759" priority="139982">
      <formula>(F325="x")</formula>
    </cfRule>
  </conditionalFormatting>
  <conditionalFormatting sqref="F33:BA44">
    <cfRule type="expression" dxfId="1758" priority="139985">
      <formula>(F355="x")</formula>
    </cfRule>
    <cfRule type="expression" dxfId="1757" priority="139986">
      <formula>(F353="x")</formula>
    </cfRule>
  </conditionalFormatting>
  <conditionalFormatting sqref="F33:BA44">
    <cfRule type="expression" dxfId="1756" priority="139993">
      <formula>(F328="x")</formula>
    </cfRule>
    <cfRule type="expression" dxfId="1755" priority="139994">
      <formula>(F319="x")</formula>
    </cfRule>
    <cfRule type="expression" dxfId="1754" priority="139995">
      <formula>(F317="x")</formula>
    </cfRule>
    <cfRule type="expression" dxfId="1753" priority="139996">
      <formula>(F324="x")</formula>
    </cfRule>
    <cfRule type="expression" dxfId="1752" priority="139997">
      <formula>(F320="x")</formula>
    </cfRule>
    <cfRule type="expression" dxfId="1751" priority="139998">
      <formula>(F314="x")</formula>
    </cfRule>
  </conditionalFormatting>
  <conditionalFormatting sqref="F33:BA44">
    <cfRule type="expression" dxfId="1750" priority="140004">
      <formula>(F282="x")</formula>
    </cfRule>
    <cfRule type="expression" dxfId="1749" priority="140005">
      <formula>(F264="x")</formula>
    </cfRule>
    <cfRule type="expression" dxfId="1748" priority="140006">
      <formula>(F263="x")</formula>
    </cfRule>
    <cfRule type="expression" dxfId="1747" priority="140007">
      <formula>(F279="x")</formula>
    </cfRule>
    <cfRule type="expression" dxfId="1746" priority="140008">
      <formula>(F288="x")</formula>
    </cfRule>
  </conditionalFormatting>
  <conditionalFormatting sqref="F33:BA44">
    <cfRule type="expression" dxfId="1745" priority="140011">
      <formula>(F291="x")</formula>
    </cfRule>
    <cfRule type="expression" dxfId="1744" priority="140012">
      <formula>(F277="x")</formula>
    </cfRule>
  </conditionalFormatting>
  <conditionalFormatting sqref="F33:BA44">
    <cfRule type="expression" dxfId="1743" priority="140022">
      <formula>(F244="x")</formula>
    </cfRule>
    <cfRule type="expression" dxfId="1742" priority="140023">
      <formula>(F260="x")</formula>
    </cfRule>
    <cfRule type="expression" dxfId="1741" priority="140024">
      <formula>(F281="x")</formula>
    </cfRule>
    <cfRule type="expression" dxfId="1740" priority="140025">
      <formula>(F243="x")</formula>
    </cfRule>
    <cfRule type="expression" dxfId="1739" priority="140026">
      <formula>(F251="x")</formula>
    </cfRule>
    <cfRule type="expression" dxfId="1738" priority="140027">
      <formula>(F289="x")</formula>
    </cfRule>
    <cfRule type="expression" dxfId="1737" priority="140028">
      <formula>(F287="x")</formula>
    </cfRule>
    <cfRule type="expression" dxfId="1736" priority="140029">
      <formula>(F280="x")</formula>
    </cfRule>
    <cfRule type="expression" dxfId="1735" priority="140030">
      <formula>(F270="x")</formula>
    </cfRule>
  </conditionalFormatting>
  <conditionalFormatting sqref="F33:BA44">
    <cfRule type="expression" dxfId="1734" priority="140040">
      <formula>(F316="x")</formula>
    </cfRule>
    <cfRule type="expression" dxfId="1733" priority="140041">
      <formula>(F312="x")</formula>
    </cfRule>
    <cfRule type="expression" dxfId="1732" priority="140042">
      <formula>(F307="x")</formula>
    </cfRule>
    <cfRule type="expression" dxfId="1731" priority="140043">
      <formula>(F311="x")</formula>
    </cfRule>
    <cfRule type="expression" dxfId="1730" priority="140044">
      <formula>(F309="x")</formula>
    </cfRule>
    <cfRule type="expression" dxfId="1729" priority="140045">
      <formula>(F313="x")</formula>
    </cfRule>
    <cfRule type="expression" dxfId="1728" priority="140046">
      <formula>(F304="x")</formula>
    </cfRule>
    <cfRule type="expression" dxfId="1727" priority="140047">
      <formula>(F315="x")</formula>
    </cfRule>
    <cfRule type="expression" dxfId="1726" priority="140048">
      <formula>(F233="x")</formula>
    </cfRule>
  </conditionalFormatting>
  <conditionalFormatting sqref="F33:BA44">
    <cfRule type="expression" dxfId="1725" priority="140051">
      <formula>(F266="x")</formula>
    </cfRule>
    <cfRule type="expression" dxfId="1724" priority="140052">
      <formula>(F268="x")</formula>
    </cfRule>
  </conditionalFormatting>
  <conditionalFormatting sqref="F33:BA44">
    <cfRule type="expression" dxfId="1723" priority="140056">
      <formula>(F301="x")</formula>
    </cfRule>
    <cfRule type="expression" dxfId="1722" priority="140057">
      <formula>(F305="x")</formula>
    </cfRule>
    <cfRule type="expression" dxfId="1721" priority="140058">
      <formula>(F231="x")</formula>
    </cfRule>
  </conditionalFormatting>
  <conditionalFormatting sqref="F33:BA44">
    <cfRule type="expression" dxfId="1720" priority="140083">
      <formula>(F255="x")</formula>
    </cfRule>
    <cfRule type="expression" dxfId="1719" priority="140084">
      <formula>(F275="x")</formula>
    </cfRule>
    <cfRule type="expression" dxfId="1718" priority="140085">
      <formula>(F293="x")</formula>
    </cfRule>
    <cfRule type="expression" dxfId="1717" priority="140086">
      <formula>(F252="x")</formula>
    </cfRule>
    <cfRule type="expression" dxfId="1716" priority="140087">
      <formula>(F285="x")</formula>
    </cfRule>
    <cfRule type="expression" dxfId="1715" priority="140088">
      <formula>(F299="x")</formula>
    </cfRule>
    <cfRule type="expression" dxfId="1714" priority="140089">
      <formula>(F297="x")</formula>
    </cfRule>
    <cfRule type="expression" dxfId="1713" priority="140090">
      <formula>(F295="x")</formula>
    </cfRule>
    <cfRule type="expression" dxfId="1712" priority="140091">
      <formula>(F284="x")</formula>
    </cfRule>
    <cfRule type="expression" dxfId="1711" priority="140092">
      <formula>(F283="x")</formula>
    </cfRule>
    <cfRule type="expression" dxfId="1710" priority="140093">
      <formula>(F278="x")</formula>
    </cfRule>
    <cfRule type="expression" dxfId="1709" priority="140094">
      <formula>(F246="x")</formula>
    </cfRule>
    <cfRule type="expression" dxfId="1708" priority="140095">
      <formula>(F245="x")</formula>
    </cfRule>
    <cfRule type="expression" dxfId="1707" priority="140096">
      <formula>(F240="x")</formula>
    </cfRule>
    <cfRule type="expression" dxfId="1706" priority="140097">
      <formula>(F276="x")</formula>
    </cfRule>
    <cfRule type="expression" dxfId="1705" priority="140098">
      <formula>(F236="x")</formula>
    </cfRule>
    <cfRule type="expression" dxfId="1704" priority="140099">
      <formula>(F259="x")</formula>
    </cfRule>
    <cfRule type="expression" dxfId="1703" priority="140100">
      <formula>(F249="x")</formula>
    </cfRule>
    <cfRule type="expression" dxfId="1702" priority="140101">
      <formula>(F247="x")</formula>
    </cfRule>
    <cfRule type="expression" dxfId="1701" priority="140102">
      <formula>(F241="x")</formula>
    </cfRule>
    <cfRule type="expression" dxfId="1700" priority="140103">
      <formula>(F265="x")</formula>
    </cfRule>
    <cfRule type="expression" dxfId="1699" priority="140104">
      <formula>(F253="x")</formula>
    </cfRule>
    <cfRule type="expression" dxfId="1698" priority="140105">
      <formula>(F290="x")</formula>
    </cfRule>
    <cfRule type="expression" dxfId="1697" priority="140106">
      <formula>(F250="x")</formula>
    </cfRule>
  </conditionalFormatting>
  <conditionalFormatting sqref="F33:BA44">
    <cfRule type="expression" dxfId="1696" priority="140110">
      <formula>(#REF!="x")</formula>
    </cfRule>
    <cfRule type="expression" dxfId="1695" priority="140111">
      <formula>(F237="x")</formula>
    </cfRule>
    <cfRule type="expression" dxfId="1694" priority="140112">
      <formula>(F235="x")</formula>
    </cfRule>
  </conditionalFormatting>
  <conditionalFormatting sqref="F33:BA44">
    <cfRule type="expression" dxfId="1693" priority="140115">
      <formula>(F273="x")</formula>
    </cfRule>
    <cfRule type="expression" dxfId="1692" priority="140116">
      <formula>(F272="x")</formula>
    </cfRule>
  </conditionalFormatting>
  <conditionalFormatting sqref="F33:BA44">
    <cfRule type="expression" dxfId="1691" priority="140119">
      <formula>(F190="x")</formula>
    </cfRule>
    <cfRule type="expression" dxfId="1690" priority="140120">
      <formula>(F191="x")</formula>
    </cfRule>
  </conditionalFormatting>
  <conditionalFormatting sqref="F33:BA44">
    <cfRule type="expression" dxfId="1689" priority="140123">
      <formula>(F242="x")</formula>
    </cfRule>
    <cfRule type="expression" dxfId="1688" priority="140124">
      <formula>(F220="x")</formula>
    </cfRule>
  </conditionalFormatting>
  <conditionalFormatting sqref="F33:BA44">
    <cfRule type="expression" dxfId="1687" priority="140129">
      <formula>(F213="x")</formula>
    </cfRule>
    <cfRule type="expression" dxfId="1686" priority="140130">
      <formula>(F212="x")</formula>
    </cfRule>
  </conditionalFormatting>
  <conditionalFormatting sqref="F33:BA44">
    <cfRule type="expression" dxfId="1685" priority="140135">
      <formula>(F198="x")</formula>
    </cfRule>
    <cfRule type="expression" dxfId="1684" priority="140136">
      <formula>(F197="x")</formula>
    </cfRule>
  </conditionalFormatting>
  <conditionalFormatting sqref="F33:BA44">
    <cfRule type="expression" dxfId="1683" priority="140139">
      <formula>(F256="x")</formula>
    </cfRule>
    <cfRule type="expression" dxfId="1682" priority="140140">
      <formula>(F195="x")</formula>
    </cfRule>
  </conditionalFormatting>
  <conditionalFormatting sqref="F62:BA64">
    <cfRule type="expression" dxfId="1681" priority="140761">
      <formula>(F258="x")</formula>
    </cfRule>
  </conditionalFormatting>
  <conditionalFormatting sqref="F69:BA70">
    <cfRule type="expression" dxfId="1680" priority="140875">
      <formula>(F271="x")</formula>
    </cfRule>
    <cfRule type="expression" dxfId="1679" priority="140876">
      <formula>(F270="x")</formula>
    </cfRule>
  </conditionalFormatting>
  <conditionalFormatting sqref="F69:BA70">
    <cfRule type="expression" dxfId="1678" priority="140877">
      <formula>(F188="x")</formula>
    </cfRule>
    <cfRule type="expression" dxfId="1677" priority="140878">
      <formula>(F189="x")</formula>
    </cfRule>
  </conditionalFormatting>
  <conditionalFormatting sqref="F69:BA70">
    <cfRule type="expression" dxfId="1676" priority="140887">
      <formula>(F211="x")</formula>
    </cfRule>
    <cfRule type="expression" dxfId="1675" priority="140888">
      <formula>(F210="x")</formula>
    </cfRule>
  </conditionalFormatting>
  <conditionalFormatting sqref="F69:BA70">
    <cfRule type="expression" dxfId="1674" priority="140891">
      <formula>(F196="x")</formula>
    </cfRule>
    <cfRule type="expression" dxfId="1673" priority="140892">
      <formula>(F195="x")</formula>
    </cfRule>
  </conditionalFormatting>
  <conditionalFormatting sqref="F69:BA70">
    <cfRule type="expression" dxfId="1672" priority="140893">
      <formula>(F254="x")</formula>
    </cfRule>
    <cfRule type="expression" dxfId="1671" priority="140894">
      <formula>(F193="x")</formula>
    </cfRule>
  </conditionalFormatting>
  <conditionalFormatting sqref="F69:BA70">
    <cfRule type="expression" dxfId="1670" priority="140909">
      <formula>(F352="x")</formula>
    </cfRule>
  </conditionalFormatting>
  <conditionalFormatting sqref="F34:BA44">
    <cfRule type="expression" dxfId="1669" priority="141595">
      <formula>(F370="x")</formula>
    </cfRule>
    <cfRule type="expression" dxfId="1668" priority="141596">
      <formula>(F371="x")</formula>
    </cfRule>
  </conditionalFormatting>
  <conditionalFormatting sqref="F34:BA44">
    <cfRule type="expression" dxfId="1667" priority="141604">
      <formula>(F378="x")</formula>
    </cfRule>
    <cfRule type="expression" dxfId="1666" priority="141605">
      <formula>(F377="x")</formula>
    </cfRule>
    <cfRule type="expression" dxfId="1665" priority="141606">
      <formula>(F374="x")</formula>
    </cfRule>
    <cfRule type="expression" dxfId="1664" priority="141607">
      <formula>(F373="x")</formula>
    </cfRule>
    <cfRule type="expression" dxfId="1663" priority="141608">
      <formula>(F372="x")</formula>
    </cfRule>
  </conditionalFormatting>
  <conditionalFormatting sqref="F34:BA44">
    <cfRule type="expression" dxfId="1662" priority="141616">
      <formula>(F384="x")</formula>
    </cfRule>
    <cfRule type="expression" dxfId="1661" priority="141617">
      <formula>(F379="x")</formula>
    </cfRule>
    <cfRule type="expression" dxfId="1660" priority="141618">
      <formula>(F383="x")</formula>
    </cfRule>
    <cfRule type="expression" dxfId="1659" priority="141619">
      <formula>(F380="x")</formula>
    </cfRule>
    <cfRule type="expression" dxfId="1658" priority="141620">
      <formula>(F382="x")</formula>
    </cfRule>
    <cfRule type="expression" dxfId="1657" priority="141621">
      <formula>(F375="x")</formula>
    </cfRule>
    <cfRule type="expression" dxfId="1656" priority="141622">
      <formula>(F376="x")</formula>
    </cfRule>
  </conditionalFormatting>
  <conditionalFormatting sqref="F34:BA44">
    <cfRule type="expression" dxfId="1655" priority="141625">
      <formula>(F388="x")</formula>
    </cfRule>
    <cfRule type="expression" dxfId="1654" priority="141626">
      <formula>(F387="x")</formula>
    </cfRule>
  </conditionalFormatting>
  <conditionalFormatting sqref="F34:BA44">
    <cfRule type="expression" dxfId="1653" priority="141643">
      <formula>(F364="x")</formula>
    </cfRule>
    <cfRule type="expression" dxfId="1652" priority="141644">
      <formula>(F368="x")</formula>
    </cfRule>
  </conditionalFormatting>
  <conditionalFormatting sqref="F34:BA44">
    <cfRule type="expression" dxfId="1651" priority="141647">
      <formula>(F363="x")</formula>
    </cfRule>
    <cfRule type="expression" dxfId="1650" priority="141648">
      <formula>(F362="x")</formula>
    </cfRule>
  </conditionalFormatting>
  <conditionalFormatting sqref="F34:BA44">
    <cfRule type="expression" dxfId="1649" priority="141672">
      <formula>(F335="x")</formula>
    </cfRule>
    <cfRule type="expression" dxfId="1648" priority="141673">
      <formula>(F334="x")</formula>
    </cfRule>
    <cfRule type="expression" dxfId="1647" priority="141674">
      <formula>(F338="x")</formula>
    </cfRule>
    <cfRule type="expression" dxfId="1646" priority="141675">
      <formula>(F339="x")</formula>
    </cfRule>
    <cfRule type="expression" dxfId="1645" priority="141676">
      <formula>(F340="x")</formula>
    </cfRule>
    <cfRule type="expression" dxfId="1644" priority="141677">
      <formula>(F341="x")</formula>
    </cfRule>
    <cfRule type="expression" dxfId="1643" priority="141678">
      <formula>(F344="x")</formula>
    </cfRule>
    <cfRule type="expression" dxfId="1642" priority="141679">
      <formula>(F356="x")</formula>
    </cfRule>
    <cfRule type="expression" dxfId="1641" priority="141680">
      <formula>(F343="x")</formula>
    </cfRule>
    <cfRule type="expression" dxfId="1640" priority="141681">
      <formula>(F342="x")</formula>
    </cfRule>
    <cfRule type="expression" dxfId="1639" priority="141682">
      <formula>(F357="x")</formula>
    </cfRule>
    <cfRule type="expression" dxfId="1638" priority="141683">
      <formula>(F352="x")</formula>
    </cfRule>
    <cfRule type="expression" dxfId="1637" priority="141684">
      <formula>(F355="x")</formula>
    </cfRule>
    <cfRule type="expression" dxfId="1636" priority="141685">
      <formula>(F351="x")</formula>
    </cfRule>
    <cfRule type="expression" dxfId="1635" priority="141686">
      <formula>(F354="x")</formula>
    </cfRule>
    <cfRule type="expression" dxfId="1634" priority="141687">
      <formula>(F350="x")</formula>
    </cfRule>
    <cfRule type="expression" dxfId="1633" priority="141688">
      <formula>(F353="x")</formula>
    </cfRule>
    <cfRule type="expression" dxfId="1632" priority="141689">
      <formula>(F349="x")</formula>
    </cfRule>
    <cfRule type="expression" dxfId="1631" priority="141690">
      <formula>(F348="x")</formula>
    </cfRule>
    <cfRule type="expression" dxfId="1630" priority="141691">
      <formula>(F347="x")</formula>
    </cfRule>
    <cfRule type="expression" dxfId="1629" priority="141692">
      <formula>(F345="x")</formula>
    </cfRule>
    <cfRule type="expression" dxfId="1628" priority="141693">
      <formula>(F331="x")</formula>
    </cfRule>
    <cfRule type="expression" dxfId="1627" priority="141694">
      <formula>(F330="x")</formula>
    </cfRule>
  </conditionalFormatting>
  <conditionalFormatting sqref="F34:BA44">
    <cfRule type="expression" dxfId="1626" priority="141697">
      <formula>(F360="x")</formula>
    </cfRule>
    <cfRule type="expression" dxfId="1625" priority="141698">
      <formula>(F358="x")</formula>
    </cfRule>
  </conditionalFormatting>
  <conditionalFormatting sqref="F34:BA44">
    <cfRule type="expression" dxfId="1624" priority="141705">
      <formula>(F333="x")</formula>
    </cfRule>
    <cfRule type="expression" dxfId="1623" priority="141706">
      <formula>(F324="x")</formula>
    </cfRule>
    <cfRule type="expression" dxfId="1622" priority="141707">
      <formula>(F322="x")</formula>
    </cfRule>
    <cfRule type="expression" dxfId="1621" priority="141708">
      <formula>(F329="x")</formula>
    </cfRule>
    <cfRule type="expression" dxfId="1620" priority="141709">
      <formula>(F325="x")</formula>
    </cfRule>
    <cfRule type="expression" dxfId="1619" priority="141710">
      <formula>(F319="x")</formula>
    </cfRule>
  </conditionalFormatting>
  <conditionalFormatting sqref="F34:BA44">
    <cfRule type="expression" dxfId="1618" priority="141716">
      <formula>(F287="x")</formula>
    </cfRule>
    <cfRule type="expression" dxfId="1617" priority="141717">
      <formula>(F269="x")</formula>
    </cfRule>
    <cfRule type="expression" dxfId="1616" priority="141718">
      <formula>(F268="x")</formula>
    </cfRule>
    <cfRule type="expression" dxfId="1615" priority="141719">
      <formula>(F284="x")</formula>
    </cfRule>
    <cfRule type="expression" dxfId="1614" priority="141720">
      <formula>(F293="x")</formula>
    </cfRule>
  </conditionalFormatting>
  <conditionalFormatting sqref="F34:BA44">
    <cfRule type="expression" dxfId="1613" priority="141723">
      <formula>(F296="x")</formula>
    </cfRule>
    <cfRule type="expression" dxfId="1612" priority="141724">
      <formula>(F282="x")</formula>
    </cfRule>
  </conditionalFormatting>
  <conditionalFormatting sqref="F34:BA44">
    <cfRule type="expression" dxfId="1611" priority="141734">
      <formula>(F249="x")</formula>
    </cfRule>
    <cfRule type="expression" dxfId="1610" priority="141735">
      <formula>(F265="x")</formula>
    </cfRule>
    <cfRule type="expression" dxfId="1609" priority="141736">
      <formula>(F286="x")</formula>
    </cfRule>
    <cfRule type="expression" dxfId="1608" priority="141737">
      <formula>(F248="x")</formula>
    </cfRule>
    <cfRule type="expression" dxfId="1607" priority="141738">
      <formula>(F256="x")</formula>
    </cfRule>
    <cfRule type="expression" dxfId="1606" priority="141739">
      <formula>(F294="x")</formula>
    </cfRule>
    <cfRule type="expression" dxfId="1605" priority="141740">
      <formula>(F292="x")</formula>
    </cfRule>
    <cfRule type="expression" dxfId="1604" priority="141741">
      <formula>(F285="x")</formula>
    </cfRule>
    <cfRule type="expression" dxfId="1603" priority="141742">
      <formula>(F275="x")</formula>
    </cfRule>
  </conditionalFormatting>
  <conditionalFormatting sqref="F34:BA44">
    <cfRule type="expression" dxfId="1602" priority="141752">
      <formula>(F321="x")</formula>
    </cfRule>
    <cfRule type="expression" dxfId="1601" priority="141753">
      <formula>(F317="x")</formula>
    </cfRule>
    <cfRule type="expression" dxfId="1600" priority="141754">
      <formula>(F312="x")</formula>
    </cfRule>
    <cfRule type="expression" dxfId="1599" priority="141755">
      <formula>(F316="x")</formula>
    </cfRule>
    <cfRule type="expression" dxfId="1598" priority="141756">
      <formula>(F314="x")</formula>
    </cfRule>
    <cfRule type="expression" dxfId="1597" priority="141757">
      <formula>(F318="x")</formula>
    </cfRule>
    <cfRule type="expression" dxfId="1596" priority="141758">
      <formula>(F309="x")</formula>
    </cfRule>
    <cfRule type="expression" dxfId="1595" priority="141759">
      <formula>(F320="x")</formula>
    </cfRule>
    <cfRule type="expression" dxfId="1594" priority="141760">
      <formula>(F238="x")</formula>
    </cfRule>
  </conditionalFormatting>
  <conditionalFormatting sqref="F34:BA44">
    <cfRule type="expression" dxfId="1593" priority="141763">
      <formula>(F271="x")</formula>
    </cfRule>
    <cfRule type="expression" dxfId="1592" priority="141764">
      <formula>(F273="x")</formula>
    </cfRule>
  </conditionalFormatting>
  <conditionalFormatting sqref="F34:BA44">
    <cfRule type="expression" dxfId="1591" priority="141768">
      <formula>(F306="x")</formula>
    </cfRule>
    <cfRule type="expression" dxfId="1590" priority="141769">
      <formula>(F310="x")</formula>
    </cfRule>
    <cfRule type="expression" dxfId="1589" priority="141770">
      <formula>(F236="x")</formula>
    </cfRule>
  </conditionalFormatting>
  <conditionalFormatting sqref="F34:BA44">
    <cfRule type="expression" dxfId="1588" priority="141795">
      <formula>(F260="x")</formula>
    </cfRule>
    <cfRule type="expression" dxfId="1587" priority="141796">
      <formula>(F280="x")</formula>
    </cfRule>
    <cfRule type="expression" dxfId="1586" priority="141797">
      <formula>(F298="x")</formula>
    </cfRule>
    <cfRule type="expression" dxfId="1585" priority="141798">
      <formula>(F257="x")</formula>
    </cfRule>
    <cfRule type="expression" dxfId="1584" priority="141799">
      <formula>(F290="x")</formula>
    </cfRule>
    <cfRule type="expression" dxfId="1583" priority="141800">
      <formula>(F304="x")</formula>
    </cfRule>
    <cfRule type="expression" dxfId="1582" priority="141801">
      <formula>(F302="x")</formula>
    </cfRule>
    <cfRule type="expression" dxfId="1581" priority="141802">
      <formula>(F300="x")</formula>
    </cfRule>
    <cfRule type="expression" dxfId="1580" priority="141803">
      <formula>(F289="x")</formula>
    </cfRule>
    <cfRule type="expression" dxfId="1579" priority="141804">
      <formula>(F288="x")</formula>
    </cfRule>
    <cfRule type="expression" dxfId="1578" priority="141805">
      <formula>(F283="x")</formula>
    </cfRule>
    <cfRule type="expression" dxfId="1577" priority="141806">
      <formula>(F251="x")</formula>
    </cfRule>
    <cfRule type="expression" dxfId="1576" priority="141807">
      <formula>(F250="x")</formula>
    </cfRule>
    <cfRule type="expression" dxfId="1575" priority="141808">
      <formula>(F245="x")</formula>
    </cfRule>
    <cfRule type="expression" dxfId="1574" priority="141809">
      <formula>(F281="x")</formula>
    </cfRule>
    <cfRule type="expression" dxfId="1573" priority="141810">
      <formula>(F241="x")</formula>
    </cfRule>
    <cfRule type="expression" dxfId="1572" priority="141811">
      <formula>(F264="x")</formula>
    </cfRule>
    <cfRule type="expression" dxfId="1571" priority="141812">
      <formula>(F254="x")</formula>
    </cfRule>
    <cfRule type="expression" dxfId="1570" priority="141813">
      <formula>(F252="x")</formula>
    </cfRule>
    <cfRule type="expression" dxfId="1569" priority="141814">
      <formula>(F246="x")</formula>
    </cfRule>
    <cfRule type="expression" dxfId="1568" priority="141815">
      <formula>(F270="x")</formula>
    </cfRule>
    <cfRule type="expression" dxfId="1567" priority="141816">
      <formula>(F258="x")</formula>
    </cfRule>
    <cfRule type="expression" dxfId="1566" priority="141817">
      <formula>(F295="x")</formula>
    </cfRule>
    <cfRule type="expression" dxfId="1565" priority="141818">
      <formula>(F255="x")</formula>
    </cfRule>
  </conditionalFormatting>
  <conditionalFormatting sqref="F34:BA44">
    <cfRule type="expression" dxfId="1564" priority="141822">
      <formula>(#REF!="x")</formula>
    </cfRule>
    <cfRule type="expression" dxfId="1563" priority="141823">
      <formula>(F242="x")</formula>
    </cfRule>
    <cfRule type="expression" dxfId="1562" priority="141824">
      <formula>(F240="x")</formula>
    </cfRule>
  </conditionalFormatting>
  <conditionalFormatting sqref="F34:BA44">
    <cfRule type="expression" dxfId="1561" priority="141827">
      <formula>(F278="x")</formula>
    </cfRule>
    <cfRule type="expression" dxfId="1560" priority="141828">
      <formula>(F277="x")</formula>
    </cfRule>
  </conditionalFormatting>
  <conditionalFormatting sqref="F34:BA44">
    <cfRule type="expression" dxfId="1559" priority="141831">
      <formula>(F195="x")</formula>
    </cfRule>
    <cfRule type="expression" dxfId="1558" priority="141832">
      <formula>(F196="x")</formula>
    </cfRule>
  </conditionalFormatting>
  <conditionalFormatting sqref="F34:BA44">
    <cfRule type="expression" dxfId="1557" priority="141835">
      <formula>(F247="x")</formula>
    </cfRule>
    <cfRule type="expression" dxfId="1556" priority="141836">
      <formula>(F225="x")</formula>
    </cfRule>
  </conditionalFormatting>
  <conditionalFormatting sqref="F34:BA44">
    <cfRule type="expression" dxfId="1555" priority="141847">
      <formula>(F203="x")</formula>
    </cfRule>
    <cfRule type="expression" dxfId="1554" priority="141848">
      <formula>(F202="x")</formula>
    </cfRule>
  </conditionalFormatting>
  <conditionalFormatting sqref="F34:BA44">
    <cfRule type="expression" dxfId="1553" priority="141851">
      <formula>(F261="x")</formula>
    </cfRule>
    <cfRule type="expression" dxfId="1552" priority="141852">
      <formula>(F200="x")</formula>
    </cfRule>
  </conditionalFormatting>
  <conditionalFormatting sqref="F69:BA74 F13:BA13 F18:BA44">
    <cfRule type="expression" dxfId="1551" priority="141889">
      <formula>(F304="x")</formula>
    </cfRule>
  </conditionalFormatting>
  <conditionalFormatting sqref="F69:BA70">
    <cfRule type="expression" dxfId="1550" priority="142649">
      <formula>(F267="x")</formula>
    </cfRule>
  </conditionalFormatting>
  <conditionalFormatting sqref="F55:BA64 F69:BA70 F33:BA44 F12:BA13">
    <cfRule type="expression" dxfId="1549" priority="142668">
      <formula>(F297="x")</formula>
    </cfRule>
  </conditionalFormatting>
  <conditionalFormatting sqref="F31:BA44">
    <cfRule type="expression" dxfId="1548" priority="142725">
      <formula>(F269="x")</formula>
    </cfRule>
    <cfRule type="expression" dxfId="1547" priority="142726">
      <formula>(F270="x")</formula>
    </cfRule>
  </conditionalFormatting>
  <conditionalFormatting sqref="F31:BA44">
    <cfRule type="expression" dxfId="1546" priority="142873">
      <formula>(F332="x")</formula>
    </cfRule>
    <cfRule type="expression" dxfId="1545" priority="142874">
      <formula>(F333="x")</formula>
    </cfRule>
  </conditionalFormatting>
  <conditionalFormatting sqref="F31:BA44">
    <cfRule type="expression" dxfId="1544" priority="142878">
      <formula>(F340="x")</formula>
    </cfRule>
    <cfRule type="expression" dxfId="1543" priority="142879">
      <formula>(F339="x")</formula>
    </cfRule>
    <cfRule type="expression" dxfId="1542" priority="142880">
      <formula>(F336="x")</formula>
    </cfRule>
    <cfRule type="expression" dxfId="1541" priority="142881">
      <formula>(F335="x")</formula>
    </cfRule>
    <cfRule type="expression" dxfId="1540" priority="142882">
      <formula>(F334="x")</formula>
    </cfRule>
  </conditionalFormatting>
  <conditionalFormatting sqref="F31:BA44">
    <cfRule type="expression" dxfId="1539" priority="142883">
      <formula>(F346="x")</formula>
    </cfRule>
    <cfRule type="expression" dxfId="1538" priority="142884">
      <formula>(F341="x")</formula>
    </cfRule>
    <cfRule type="expression" dxfId="1537" priority="142885">
      <formula>(F345="x")</formula>
    </cfRule>
    <cfRule type="expression" dxfId="1536" priority="142886">
      <formula>(F342="x")</formula>
    </cfRule>
    <cfRule type="expression" dxfId="1535" priority="142887">
      <formula>(F344="x")</formula>
    </cfRule>
    <cfRule type="expression" dxfId="1534" priority="142888">
      <formula>(F337="x")</formula>
    </cfRule>
    <cfRule type="expression" dxfId="1533" priority="142889">
      <formula>(F338="x")</formula>
    </cfRule>
  </conditionalFormatting>
  <conditionalFormatting sqref="F31:BA44">
    <cfRule type="expression" dxfId="1532" priority="142890">
      <formula>(F350="x")</formula>
    </cfRule>
    <cfRule type="expression" dxfId="1531" priority="142891">
      <formula>(F349="x")</formula>
    </cfRule>
  </conditionalFormatting>
  <conditionalFormatting sqref="F31:BA44">
    <cfRule type="expression" dxfId="1530" priority="143189">
      <formula>(F326="x")</formula>
    </cfRule>
    <cfRule type="expression" dxfId="1529" priority="143190">
      <formula>(F330="x")</formula>
    </cfRule>
  </conditionalFormatting>
  <conditionalFormatting sqref="F31:BA44">
    <cfRule type="expression" dxfId="1528" priority="143191">
      <formula>(F325="x")</formula>
    </cfRule>
    <cfRule type="expression" dxfId="1527" priority="143192">
      <formula>(F324="x")</formula>
    </cfRule>
  </conditionalFormatting>
  <conditionalFormatting sqref="F31:BA44">
    <cfRule type="expression" dxfId="1526" priority="143193">
      <formula>(F297="x")</formula>
    </cfRule>
    <cfRule type="expression" dxfId="1525" priority="143194">
      <formula>(F296="x")</formula>
    </cfRule>
    <cfRule type="expression" dxfId="1524" priority="143195">
      <formula>(F300="x")</formula>
    </cfRule>
    <cfRule type="expression" dxfId="1523" priority="143196">
      <formula>(F301="x")</formula>
    </cfRule>
    <cfRule type="expression" dxfId="1522" priority="143197">
      <formula>(F302="x")</formula>
    </cfRule>
    <cfRule type="expression" dxfId="1521" priority="143198">
      <formula>(F303="x")</formula>
    </cfRule>
    <cfRule type="expression" dxfId="1520" priority="143199">
      <formula>(F306="x")</formula>
    </cfRule>
    <cfRule type="expression" dxfId="1519" priority="143200">
      <formula>(F318="x")</formula>
    </cfRule>
    <cfRule type="expression" dxfId="1518" priority="143201">
      <formula>(F305="x")</formula>
    </cfRule>
    <cfRule type="expression" dxfId="1517" priority="143202">
      <formula>(F304="x")</formula>
    </cfRule>
    <cfRule type="expression" dxfId="1516" priority="143203">
      <formula>(F319="x")</formula>
    </cfRule>
    <cfRule type="expression" dxfId="1515" priority="143204">
      <formula>(F314="x")</formula>
    </cfRule>
    <cfRule type="expression" dxfId="1514" priority="143205">
      <formula>(F317="x")</formula>
    </cfRule>
    <cfRule type="expression" dxfId="1513" priority="143206">
      <formula>(F313="x")</formula>
    </cfRule>
    <cfRule type="expression" dxfId="1512" priority="143207">
      <formula>(F316="x")</formula>
    </cfRule>
    <cfRule type="expression" dxfId="1511" priority="143208">
      <formula>(F312="x")</formula>
    </cfRule>
    <cfRule type="expression" dxfId="1510" priority="143209">
      <formula>(F315="x")</formula>
    </cfRule>
    <cfRule type="expression" dxfId="1509" priority="143210">
      <formula>(F311="x")</formula>
    </cfRule>
    <cfRule type="expression" dxfId="1508" priority="143211">
      <formula>(F310="x")</formula>
    </cfRule>
    <cfRule type="expression" dxfId="1507" priority="143212">
      <formula>(F309="x")</formula>
    </cfRule>
    <cfRule type="expression" dxfId="1506" priority="143213">
      <formula>(F307="x")</formula>
    </cfRule>
    <cfRule type="expression" dxfId="1505" priority="143214">
      <formula>(F293="x")</formula>
    </cfRule>
    <cfRule type="expression" dxfId="1504" priority="143215">
      <formula>(F292="x")</formula>
    </cfRule>
  </conditionalFormatting>
  <conditionalFormatting sqref="F31:BA44">
    <cfRule type="expression" dxfId="1503" priority="143216">
      <formula>(F322="x")</formula>
    </cfRule>
    <cfRule type="expression" dxfId="1502" priority="143217">
      <formula>(F320="x")</formula>
    </cfRule>
  </conditionalFormatting>
  <conditionalFormatting sqref="F31:BA44">
    <cfRule type="expression" dxfId="1501" priority="143218">
      <formula>(F295="x")</formula>
    </cfRule>
    <cfRule type="expression" dxfId="1500" priority="143219">
      <formula>(F286="x")</formula>
    </cfRule>
    <cfRule type="expression" dxfId="1499" priority="143220">
      <formula>(F284="x")</formula>
    </cfRule>
    <cfRule type="expression" dxfId="1498" priority="143221">
      <formula>(F291="x")</formula>
    </cfRule>
    <cfRule type="expression" dxfId="1497" priority="143222">
      <formula>(F287="x")</formula>
    </cfRule>
    <cfRule type="expression" dxfId="1496" priority="143223">
      <formula>(F281="x")</formula>
    </cfRule>
  </conditionalFormatting>
  <conditionalFormatting sqref="F31:BA44">
    <cfRule type="expression" dxfId="1495" priority="143224">
      <formula>(F249="x")</formula>
    </cfRule>
    <cfRule type="expression" dxfId="1494" priority="143225">
      <formula>(F231="x")</formula>
    </cfRule>
    <cfRule type="expression" dxfId="1493" priority="143226">
      <formula>(F230="x")</formula>
    </cfRule>
    <cfRule type="expression" dxfId="1492" priority="143227">
      <formula>(F246="x")</formula>
    </cfRule>
    <cfRule type="expression" dxfId="1491" priority="143228">
      <formula>(F255="x")</formula>
    </cfRule>
  </conditionalFormatting>
  <conditionalFormatting sqref="F31:BA44">
    <cfRule type="expression" dxfId="1490" priority="143229">
      <formula>(F258="x")</formula>
    </cfRule>
    <cfRule type="expression" dxfId="1489" priority="143230">
      <formula>(F244="x")</formula>
    </cfRule>
  </conditionalFormatting>
  <conditionalFormatting sqref="F31:BA44">
    <cfRule type="expression" dxfId="1488" priority="143231">
      <formula>(F211="x")</formula>
    </cfRule>
    <cfRule type="expression" dxfId="1487" priority="143232">
      <formula>(F227="x")</formula>
    </cfRule>
    <cfRule type="expression" dxfId="1486" priority="143233">
      <formula>(F248="x")</formula>
    </cfRule>
    <cfRule type="expression" dxfId="1485" priority="143234">
      <formula>(F210="x")</formula>
    </cfRule>
    <cfRule type="expression" dxfId="1484" priority="143235">
      <formula>(F218="x")</formula>
    </cfRule>
    <cfRule type="expression" dxfId="1483" priority="143236">
      <formula>(F256="x")</formula>
    </cfRule>
    <cfRule type="expression" dxfId="1482" priority="143237">
      <formula>(F254="x")</formula>
    </cfRule>
    <cfRule type="expression" dxfId="1481" priority="143238">
      <formula>(F247="x")</formula>
    </cfRule>
    <cfRule type="expression" dxfId="1480" priority="143239">
      <formula>(F237="x")</formula>
    </cfRule>
  </conditionalFormatting>
  <conditionalFormatting sqref="F31:BA44">
    <cfRule type="expression" dxfId="1479" priority="143240">
      <formula>(F283="x")</formula>
    </cfRule>
    <cfRule type="expression" dxfId="1478" priority="143241">
      <formula>(F279="x")</formula>
    </cfRule>
    <cfRule type="expression" dxfId="1477" priority="143242">
      <formula>(F274="x")</formula>
    </cfRule>
    <cfRule type="expression" dxfId="1476" priority="143243">
      <formula>(F278="x")</formula>
    </cfRule>
    <cfRule type="expression" dxfId="1475" priority="143244">
      <formula>(F276="x")</formula>
    </cfRule>
    <cfRule type="expression" dxfId="1474" priority="143245">
      <formula>(F280="x")</formula>
    </cfRule>
    <cfRule type="expression" dxfId="1473" priority="143246">
      <formula>(F271="x")</formula>
    </cfRule>
    <cfRule type="expression" dxfId="1472" priority="143247">
      <formula>(F282="x")</formula>
    </cfRule>
    <cfRule type="expression" dxfId="1471" priority="143248">
      <formula>(F200="x")</formula>
    </cfRule>
  </conditionalFormatting>
  <conditionalFormatting sqref="F31:BA44">
    <cfRule type="expression" dxfId="1470" priority="143249">
      <formula>(F233="x")</formula>
    </cfRule>
    <cfRule type="expression" dxfId="1469" priority="143250">
      <formula>(F235="x")</formula>
    </cfRule>
  </conditionalFormatting>
  <conditionalFormatting sqref="F31:BA44">
    <cfRule type="expression" dxfId="1468" priority="143251">
      <formula>(F268="x")</formula>
    </cfRule>
    <cfRule type="expression" dxfId="1467" priority="143252">
      <formula>(F272="x")</formula>
    </cfRule>
    <cfRule type="expression" dxfId="1466" priority="143253">
      <formula>(F198="x")</formula>
    </cfRule>
  </conditionalFormatting>
  <conditionalFormatting sqref="F31:BA44">
    <cfRule type="expression" dxfId="1465" priority="143254">
      <formula>(F222="x")</formula>
    </cfRule>
    <cfRule type="expression" dxfId="1464" priority="143255">
      <formula>(F242="x")</formula>
    </cfRule>
    <cfRule type="expression" dxfId="1463" priority="143256">
      <formula>(F260="x")</formula>
    </cfRule>
    <cfRule type="expression" dxfId="1462" priority="143257">
      <formula>(F219="x")</formula>
    </cfRule>
    <cfRule type="expression" dxfId="1461" priority="143258">
      <formula>(F252="x")</formula>
    </cfRule>
    <cfRule type="expression" dxfId="1460" priority="143259">
      <formula>(F266="x")</formula>
    </cfRule>
    <cfRule type="expression" dxfId="1459" priority="143260">
      <formula>(F264="x")</formula>
    </cfRule>
    <cfRule type="expression" dxfId="1458" priority="143261">
      <formula>(F262="x")</formula>
    </cfRule>
    <cfRule type="expression" dxfId="1457" priority="143262">
      <formula>(F251="x")</formula>
    </cfRule>
    <cfRule type="expression" dxfId="1456" priority="143263">
      <formula>(F250="x")</formula>
    </cfRule>
    <cfRule type="expression" dxfId="1455" priority="143264">
      <formula>(F245="x")</formula>
    </cfRule>
    <cfRule type="expression" dxfId="1454" priority="143265">
      <formula>(F213="x")</formula>
    </cfRule>
    <cfRule type="expression" dxfId="1453" priority="143266">
      <formula>(F212="x")</formula>
    </cfRule>
    <cfRule type="expression" dxfId="1452" priority="143267">
      <formula>(F207="x")</formula>
    </cfRule>
    <cfRule type="expression" dxfId="1451" priority="143268">
      <formula>(F243="x")</formula>
    </cfRule>
    <cfRule type="expression" dxfId="1450" priority="143269">
      <formula>(F203="x")</formula>
    </cfRule>
    <cfRule type="expression" dxfId="1449" priority="143270">
      <formula>(F226="x")</formula>
    </cfRule>
    <cfRule type="expression" dxfId="1448" priority="143271">
      <formula>(F216="x")</formula>
    </cfRule>
    <cfRule type="expression" dxfId="1447" priority="143272">
      <formula>(F214="x")</formula>
    </cfRule>
    <cfRule type="expression" dxfId="1446" priority="143273">
      <formula>(F208="x")</formula>
    </cfRule>
    <cfRule type="expression" dxfId="1445" priority="143274">
      <formula>(F232="x")</formula>
    </cfRule>
    <cfRule type="expression" dxfId="1444" priority="143275">
      <formula>(F220="x")</formula>
    </cfRule>
    <cfRule type="expression" dxfId="1443" priority="143276">
      <formula>(F257="x")</formula>
    </cfRule>
    <cfRule type="expression" dxfId="1442" priority="143277">
      <formula>(F217="x")</formula>
    </cfRule>
  </conditionalFormatting>
  <conditionalFormatting sqref="F31:BA44">
    <cfRule type="expression" dxfId="1441" priority="143278">
      <formula>(#REF!="x")</formula>
    </cfRule>
    <cfRule type="expression" dxfId="1440" priority="143279">
      <formula>(F204="x")</formula>
    </cfRule>
    <cfRule type="expression" dxfId="1439" priority="143280">
      <formula>(F202="x")</formula>
    </cfRule>
  </conditionalFormatting>
  <conditionalFormatting sqref="F31:BA44">
    <cfRule type="expression" dxfId="1438" priority="143289">
      <formula>(F209="x")</formula>
    </cfRule>
    <cfRule type="expression" dxfId="1437" priority="143290">
      <formula>(F187="x")</formula>
    </cfRule>
  </conditionalFormatting>
  <conditionalFormatting sqref="F35:BA44">
    <cfRule type="expression" dxfId="1436" priority="143316">
      <formula>(F258="x")</formula>
    </cfRule>
    <cfRule type="expression" dxfId="1435" priority="143317">
      <formula>(F274="x")</formula>
    </cfRule>
    <cfRule type="expression" dxfId="1434" priority="143318">
      <formula>(F295="x")</formula>
    </cfRule>
    <cfRule type="expression" dxfId="1433" priority="143319">
      <formula>(F257="x")</formula>
    </cfRule>
    <cfRule type="expression" dxfId="1432" priority="143320">
      <formula>(F265="x")</formula>
    </cfRule>
    <cfRule type="expression" dxfId="1431" priority="143321">
      <formula>(F303="x")</formula>
    </cfRule>
    <cfRule type="expression" dxfId="1430" priority="143322">
      <formula>(F301="x")</formula>
    </cfRule>
    <cfRule type="expression" dxfId="1429" priority="143323">
      <formula>(F294="x")</formula>
    </cfRule>
    <cfRule type="expression" dxfId="1428" priority="143324">
      <formula>(F284="x")</formula>
    </cfRule>
  </conditionalFormatting>
  <conditionalFormatting sqref="F35:BA44">
    <cfRule type="expression" dxfId="1427" priority="143371">
      <formula>(F204="x")</formula>
    </cfRule>
    <cfRule type="expression" dxfId="1426" priority="143372">
      <formula>(F205="x")</formula>
    </cfRule>
  </conditionalFormatting>
  <conditionalFormatting sqref="F35:BA44">
    <cfRule type="expression" dxfId="1425" priority="143458">
      <formula>(F344="x")</formula>
    </cfRule>
    <cfRule type="expression" dxfId="1424" priority="143459">
      <formula>(F343="x")</formula>
    </cfRule>
    <cfRule type="expression" dxfId="1423" priority="143460">
      <formula>(F347="x")</formula>
    </cfRule>
    <cfRule type="expression" dxfId="1422" priority="143461">
      <formula>(F348="x")</formula>
    </cfRule>
    <cfRule type="expression" dxfId="1421" priority="143462">
      <formula>(F349="x")</formula>
    </cfRule>
    <cfRule type="expression" dxfId="1420" priority="143463">
      <formula>(F350="x")</formula>
    </cfRule>
    <cfRule type="expression" dxfId="1419" priority="143464">
      <formula>(F353="x")</formula>
    </cfRule>
    <cfRule type="expression" dxfId="1418" priority="143465">
      <formula>(F365="x")</formula>
    </cfRule>
    <cfRule type="expression" dxfId="1417" priority="143466">
      <formula>(F352="x")</formula>
    </cfRule>
    <cfRule type="expression" dxfId="1416" priority="143467">
      <formula>(F351="x")</formula>
    </cfRule>
    <cfRule type="expression" dxfId="1415" priority="143468">
      <formula>(F366="x")</formula>
    </cfRule>
    <cfRule type="expression" dxfId="1414" priority="143469">
      <formula>(F361="x")</formula>
    </cfRule>
    <cfRule type="expression" dxfId="1413" priority="143470">
      <formula>(F364="x")</formula>
    </cfRule>
    <cfRule type="expression" dxfId="1412" priority="143471">
      <formula>(F360="x")</formula>
    </cfRule>
    <cfRule type="expression" dxfId="1411" priority="143472">
      <formula>(F363="x")</formula>
    </cfRule>
    <cfRule type="expression" dxfId="1410" priority="143473">
      <formula>(F359="x")</formula>
    </cfRule>
    <cfRule type="expression" dxfId="1409" priority="143474">
      <formula>(F362="x")</formula>
    </cfRule>
    <cfRule type="expression" dxfId="1408" priority="143475">
      <formula>(F358="x")</formula>
    </cfRule>
    <cfRule type="expression" dxfId="1407" priority="143476">
      <formula>(F357="x")</formula>
    </cfRule>
    <cfRule type="expression" dxfId="1406" priority="143477">
      <formula>(F356="x")</formula>
    </cfRule>
    <cfRule type="expression" dxfId="1405" priority="143478">
      <formula>(F354="x")</formula>
    </cfRule>
    <cfRule type="expression" dxfId="1404" priority="143479">
      <formula>(F340="x")</formula>
    </cfRule>
    <cfRule type="expression" dxfId="1403" priority="143480">
      <formula>(F339="x")</formula>
    </cfRule>
  </conditionalFormatting>
  <conditionalFormatting sqref="F35:BA44">
    <cfRule type="expression" dxfId="1402" priority="143487">
      <formula>(F342="x")</formula>
    </cfRule>
    <cfRule type="expression" dxfId="1401" priority="143488">
      <formula>(F333="x")</formula>
    </cfRule>
    <cfRule type="expression" dxfId="1400" priority="143489">
      <formula>(F331="x")</formula>
    </cfRule>
    <cfRule type="expression" dxfId="1399" priority="143490">
      <formula>(F338="x")</formula>
    </cfRule>
    <cfRule type="expression" dxfId="1398" priority="143491">
      <formula>(F334="x")</formula>
    </cfRule>
    <cfRule type="expression" dxfId="1397" priority="143492">
      <formula>(F328="x")</formula>
    </cfRule>
  </conditionalFormatting>
  <conditionalFormatting sqref="F35:BA44">
    <cfRule type="expression" dxfId="1396" priority="143502">
      <formula>(F330="x")</formula>
    </cfRule>
    <cfRule type="expression" dxfId="1395" priority="143503">
      <formula>(F326="x")</formula>
    </cfRule>
    <cfRule type="expression" dxfId="1394" priority="143504">
      <formula>(F321="x")</formula>
    </cfRule>
    <cfRule type="expression" dxfId="1393" priority="143505">
      <formula>(F325="x")</formula>
    </cfRule>
    <cfRule type="expression" dxfId="1392" priority="143506">
      <formula>(F323="x")</formula>
    </cfRule>
    <cfRule type="expression" dxfId="1391" priority="143507">
      <formula>(F327="x")</formula>
    </cfRule>
    <cfRule type="expression" dxfId="1390" priority="143508">
      <formula>(F318="x")</formula>
    </cfRule>
    <cfRule type="expression" dxfId="1389" priority="143509">
      <formula>(F329="x")</formula>
    </cfRule>
    <cfRule type="expression" dxfId="1388" priority="143510">
      <formula>(F247="x")</formula>
    </cfRule>
  </conditionalFormatting>
  <conditionalFormatting sqref="F35:BA44">
    <cfRule type="expression" dxfId="1387" priority="143523">
      <formula>(F280="x")</formula>
    </cfRule>
    <cfRule type="expression" dxfId="1386" priority="143524">
      <formula>(F282="x")</formula>
    </cfRule>
  </conditionalFormatting>
  <conditionalFormatting sqref="F35:BA44">
    <cfRule type="expression" dxfId="1385" priority="143528">
      <formula>(F315="x")</formula>
    </cfRule>
    <cfRule type="expression" dxfId="1384" priority="143529">
      <formula>(F319="x")</formula>
    </cfRule>
    <cfRule type="expression" dxfId="1383" priority="143530">
      <formula>(F245="x")</formula>
    </cfRule>
  </conditionalFormatting>
  <conditionalFormatting sqref="F35:BA44">
    <cfRule type="expression" dxfId="1382" priority="143555">
      <formula>(F269="x")</formula>
    </cfRule>
    <cfRule type="expression" dxfId="1381" priority="143556">
      <formula>(F289="x")</formula>
    </cfRule>
    <cfRule type="expression" dxfId="1380" priority="143557">
      <formula>(F307="x")</formula>
    </cfRule>
    <cfRule type="expression" dxfId="1379" priority="143558">
      <formula>(F266="x")</formula>
    </cfRule>
    <cfRule type="expression" dxfId="1378" priority="143559">
      <formula>(F299="x")</formula>
    </cfRule>
    <cfRule type="expression" dxfId="1377" priority="143560">
      <formula>(F313="x")</formula>
    </cfRule>
    <cfRule type="expression" dxfId="1376" priority="143561">
      <formula>(F311="x")</formula>
    </cfRule>
    <cfRule type="expression" dxfId="1375" priority="143562">
      <formula>(F309="x")</formula>
    </cfRule>
    <cfRule type="expression" dxfId="1374" priority="143563">
      <formula>(F298="x")</formula>
    </cfRule>
    <cfRule type="expression" dxfId="1373" priority="143564">
      <formula>(F297="x")</formula>
    </cfRule>
    <cfRule type="expression" dxfId="1372" priority="143565">
      <formula>(F292="x")</formula>
    </cfRule>
    <cfRule type="expression" dxfId="1371" priority="143566">
      <formula>(F260="x")</formula>
    </cfRule>
    <cfRule type="expression" dxfId="1370" priority="143567">
      <formula>(F259="x")</formula>
    </cfRule>
    <cfRule type="expression" dxfId="1369" priority="143568">
      <formula>(F254="x")</formula>
    </cfRule>
    <cfRule type="expression" dxfId="1368" priority="143569">
      <formula>(F290="x")</formula>
    </cfRule>
    <cfRule type="expression" dxfId="1367" priority="143570">
      <formula>(F250="x")</formula>
    </cfRule>
    <cfRule type="expression" dxfId="1366" priority="143571">
      <formula>(F273="x")</formula>
    </cfRule>
    <cfRule type="expression" dxfId="1365" priority="143572">
      <formula>(F263="x")</formula>
    </cfRule>
    <cfRule type="expression" dxfId="1364" priority="143573">
      <formula>(F261="x")</formula>
    </cfRule>
    <cfRule type="expression" dxfId="1363" priority="143574">
      <formula>(F255="x")</formula>
    </cfRule>
    <cfRule type="expression" dxfId="1362" priority="143575">
      <formula>(F279="x")</formula>
    </cfRule>
    <cfRule type="expression" dxfId="1361" priority="143576">
      <formula>(F267="x")</formula>
    </cfRule>
    <cfRule type="expression" dxfId="1360" priority="143577">
      <formula>(F304="x")</formula>
    </cfRule>
    <cfRule type="expression" dxfId="1359" priority="143578">
      <formula>(F264="x")</formula>
    </cfRule>
  </conditionalFormatting>
  <conditionalFormatting sqref="F35:BA44">
    <cfRule type="expression" dxfId="1358" priority="143582">
      <formula>(#REF!="x")</formula>
    </cfRule>
    <cfRule type="expression" dxfId="1357" priority="143583">
      <formula>(F251="x")</formula>
    </cfRule>
    <cfRule type="expression" dxfId="1356" priority="143584">
      <formula>(F249="x")</formula>
    </cfRule>
  </conditionalFormatting>
  <conditionalFormatting sqref="F35:BA44">
    <cfRule type="expression" dxfId="1355" priority="143587">
      <formula>(F256="x")</formula>
    </cfRule>
    <cfRule type="expression" dxfId="1354" priority="143588">
      <formula>(F234="x")</formula>
    </cfRule>
  </conditionalFormatting>
  <conditionalFormatting sqref="F35:BA44">
    <cfRule type="expression" dxfId="1353" priority="143597">
      <formula>(F212="x")</formula>
    </cfRule>
    <cfRule type="expression" dxfId="1352" priority="143598">
      <formula>(F211="x")</formula>
    </cfRule>
  </conditionalFormatting>
  <conditionalFormatting sqref="F35:BA44">
    <cfRule type="expression" dxfId="1351" priority="143601">
      <formula>(F270="x")</formula>
    </cfRule>
    <cfRule type="expression" dxfId="1350" priority="143602">
      <formula>(F209="x")</formula>
    </cfRule>
  </conditionalFormatting>
  <conditionalFormatting sqref="F35:BA44">
    <cfRule type="expression" dxfId="1349" priority="143607">
      <formula>(F187="x")</formula>
    </cfRule>
    <cfRule type="expression" dxfId="1348" priority="143608">
      <formula>(F188="x")</formula>
    </cfRule>
  </conditionalFormatting>
  <conditionalFormatting sqref="F35:BA44">
    <cfRule type="expression" dxfId="1347" priority="143614">
      <formula>(F293="x")</formula>
    </cfRule>
    <cfRule type="expression" dxfId="1346" priority="143615">
      <formula>(F199="x")</formula>
    </cfRule>
    <cfRule type="expression" dxfId="1345" priority="143616">
      <formula>(F296="x")</formula>
    </cfRule>
    <cfRule type="expression" dxfId="1344" priority="143617">
      <formula>(F278="x")</formula>
    </cfRule>
    <cfRule type="expression" dxfId="1343" priority="143618">
      <formula>(F277="x")</formula>
    </cfRule>
  </conditionalFormatting>
  <conditionalFormatting sqref="F35:BA44">
    <cfRule type="expression" dxfId="1342" priority="143622">
      <formula>(F281="x")</formula>
    </cfRule>
    <cfRule type="expression" dxfId="1341" priority="143623">
      <formula>(F291="x")</formula>
    </cfRule>
    <cfRule type="expression" dxfId="1340" priority="143624">
      <formula>(F305="x")</formula>
    </cfRule>
  </conditionalFormatting>
  <conditionalFormatting sqref="F78:BA80">
    <cfRule type="expression" dxfId="1339" priority="143727">
      <formula>(F255="x")</formula>
    </cfRule>
    <cfRule type="expression" dxfId="1338" priority="143728">
      <formula>(F271="x")</formula>
    </cfRule>
    <cfRule type="expression" dxfId="1337" priority="143729">
      <formula>(F292="x")</formula>
    </cfRule>
    <cfRule type="expression" dxfId="1336" priority="143730">
      <formula>(F254="x")</formula>
    </cfRule>
    <cfRule type="expression" dxfId="1335" priority="143731">
      <formula>(F262="x")</formula>
    </cfRule>
    <cfRule type="expression" dxfId="1334" priority="143732">
      <formula>(F300="x")</formula>
    </cfRule>
    <cfRule type="expression" dxfId="1333" priority="143733">
      <formula>(F298="x")</formula>
    </cfRule>
    <cfRule type="expression" dxfId="1332" priority="143734">
      <formula>(F291="x")</formula>
    </cfRule>
    <cfRule type="expression" dxfId="1331" priority="143735">
      <formula>(F281="x")</formula>
    </cfRule>
  </conditionalFormatting>
  <conditionalFormatting sqref="F78:BA80">
    <cfRule type="expression" dxfId="1330" priority="143832">
      <formula>(F201="x")</formula>
    </cfRule>
    <cfRule type="expression" dxfId="1329" priority="143833">
      <formula>(F202="x")</formula>
    </cfRule>
  </conditionalFormatting>
  <conditionalFormatting sqref="F69:BA74 F80:BA80 F78:BA78 F50:BA51 F19:BA44 F10:BA13">
    <cfRule type="expression" dxfId="1328" priority="144391">
      <formula>(F261="x")</formula>
    </cfRule>
  </conditionalFormatting>
  <conditionalFormatting sqref="F80:BA80">
    <cfRule type="expression" dxfId="1327" priority="144397">
      <formula>(F341="x")</formula>
    </cfRule>
    <cfRule type="expression" dxfId="1326" priority="144398">
      <formula>(F332="x")</formula>
    </cfRule>
    <cfRule type="expression" dxfId="1325" priority="144399">
      <formula>(F330="x")</formula>
    </cfRule>
    <cfRule type="expression" dxfId="1324" priority="144400">
      <formula>(F337="x")</formula>
    </cfRule>
    <cfRule type="expression" dxfId="1323" priority="144401">
      <formula>(F333="x")</formula>
    </cfRule>
    <cfRule type="expression" dxfId="1322" priority="144402">
      <formula>(F327="x")</formula>
    </cfRule>
  </conditionalFormatting>
  <conditionalFormatting sqref="F80:BA80 F14:BA41 F10:BA11 F45:BA47">
    <cfRule type="expression" dxfId="1321" priority="144417">
      <formula>(F284="x")</formula>
    </cfRule>
  </conditionalFormatting>
  <conditionalFormatting sqref="F80:BA80">
    <cfRule type="expression" dxfId="1320" priority="144438">
      <formula>(F343="x")</formula>
    </cfRule>
    <cfRule type="expression" dxfId="1319" priority="144439">
      <formula>(F342="x")</formula>
    </cfRule>
    <cfRule type="expression" dxfId="1318" priority="144440">
      <formula>(F346="x")</formula>
    </cfRule>
    <cfRule type="expression" dxfId="1317" priority="144441">
      <formula>(F347="x")</formula>
    </cfRule>
    <cfRule type="expression" dxfId="1316" priority="144442">
      <formula>(F348="x")</formula>
    </cfRule>
    <cfRule type="expression" dxfId="1315" priority="144443">
      <formula>(F349="x")</formula>
    </cfRule>
    <cfRule type="expression" dxfId="1314" priority="144444">
      <formula>(F352="x")</formula>
    </cfRule>
    <cfRule type="expression" dxfId="1313" priority="144445">
      <formula>(F364="x")</formula>
    </cfRule>
    <cfRule type="expression" dxfId="1312" priority="144446">
      <formula>(F351="x")</formula>
    </cfRule>
    <cfRule type="expression" dxfId="1311" priority="144447">
      <formula>(F350="x")</formula>
    </cfRule>
    <cfRule type="expression" dxfId="1310" priority="144448">
      <formula>(F365="x")</formula>
    </cfRule>
    <cfRule type="expression" dxfId="1309" priority="144449">
      <formula>(F360="x")</formula>
    </cfRule>
    <cfRule type="expression" dxfId="1308" priority="144450">
      <formula>(F363="x")</formula>
    </cfRule>
    <cfRule type="expression" dxfId="1307" priority="144451">
      <formula>(F359="x")</formula>
    </cfRule>
    <cfRule type="expression" dxfId="1306" priority="144452">
      <formula>(F362="x")</formula>
    </cfRule>
    <cfRule type="expression" dxfId="1305" priority="144453">
      <formula>(F358="x")</formula>
    </cfRule>
    <cfRule type="expression" dxfId="1304" priority="144454">
      <formula>(F361="x")</formula>
    </cfRule>
    <cfRule type="expression" dxfId="1303" priority="144455">
      <formula>(F357="x")</formula>
    </cfRule>
    <cfRule type="expression" dxfId="1302" priority="144456">
      <formula>(F356="x")</formula>
    </cfRule>
    <cfRule type="expression" dxfId="1301" priority="144457">
      <formula>(F355="x")</formula>
    </cfRule>
    <cfRule type="expression" dxfId="1300" priority="144458">
      <formula>(F353="x")</formula>
    </cfRule>
    <cfRule type="expression" dxfId="1299" priority="144459">
      <formula>(F339="x")</formula>
    </cfRule>
    <cfRule type="expression" dxfId="1298" priority="144460">
      <formula>(F338="x")</formula>
    </cfRule>
  </conditionalFormatting>
  <conditionalFormatting sqref="F78:BA80">
    <cfRule type="expression" dxfId="1297" priority="144461">
      <formula>(F327="x")</formula>
    </cfRule>
    <cfRule type="expression" dxfId="1296" priority="144462">
      <formula>(F323="x")</formula>
    </cfRule>
    <cfRule type="expression" dxfId="1295" priority="144463">
      <formula>(F318="x")</formula>
    </cfRule>
    <cfRule type="expression" dxfId="1294" priority="144464">
      <formula>(F322="x")</formula>
    </cfRule>
    <cfRule type="expression" dxfId="1293" priority="144465">
      <formula>(F320="x")</formula>
    </cfRule>
    <cfRule type="expression" dxfId="1292" priority="144466">
      <formula>(F324="x")</formula>
    </cfRule>
    <cfRule type="expression" dxfId="1291" priority="144467">
      <formula>(F315="x")</formula>
    </cfRule>
    <cfRule type="expression" dxfId="1290" priority="144468">
      <formula>(F326="x")</formula>
    </cfRule>
    <cfRule type="expression" dxfId="1289" priority="144469">
      <formula>(F244="x")</formula>
    </cfRule>
  </conditionalFormatting>
  <conditionalFormatting sqref="F78:BA80 F11:BA13 F16:BA44">
    <cfRule type="expression" dxfId="1288" priority="144470">
      <formula>(F213="x")</formula>
    </cfRule>
  </conditionalFormatting>
  <conditionalFormatting sqref="F55:BA64">
    <cfRule type="expression" dxfId="1287" priority="144475">
      <formula>(F274="x")</formula>
    </cfRule>
  </conditionalFormatting>
  <conditionalFormatting sqref="F78:BA80">
    <cfRule type="expression" dxfId="1286" priority="144480">
      <formula>(F277="x")</formula>
    </cfRule>
    <cfRule type="expression" dxfId="1285" priority="144481">
      <formula>(F279="x")</formula>
    </cfRule>
  </conditionalFormatting>
  <conditionalFormatting sqref="F78:BA80">
    <cfRule type="expression" dxfId="1284" priority="144482">
      <formula>(F312="x")</formula>
    </cfRule>
    <cfRule type="expression" dxfId="1283" priority="144483">
      <formula>(F316="x")</formula>
    </cfRule>
    <cfRule type="expression" dxfId="1282" priority="144484">
      <formula>(F242="x")</formula>
    </cfRule>
  </conditionalFormatting>
  <conditionalFormatting sqref="F78:BA80">
    <cfRule type="expression" dxfId="1281" priority="144485">
      <formula>(F266="x")</formula>
    </cfRule>
    <cfRule type="expression" dxfId="1280" priority="144486">
      <formula>(F286="x")</formula>
    </cfRule>
    <cfRule type="expression" dxfId="1279" priority="144487">
      <formula>(F304="x")</formula>
    </cfRule>
    <cfRule type="expression" dxfId="1278" priority="144488">
      <formula>(F263="x")</formula>
    </cfRule>
    <cfRule type="expression" dxfId="1277" priority="144489">
      <formula>(F296="x")</formula>
    </cfRule>
    <cfRule type="expression" dxfId="1276" priority="144490">
      <formula>(F310="x")</formula>
    </cfRule>
    <cfRule type="expression" dxfId="1275" priority="144491">
      <formula>(F308="x")</formula>
    </cfRule>
    <cfRule type="expression" dxfId="1274" priority="144492">
      <formula>(F306="x")</formula>
    </cfRule>
    <cfRule type="expression" dxfId="1273" priority="144493">
      <formula>(F295="x")</formula>
    </cfRule>
    <cfRule type="expression" dxfId="1272" priority="144494">
      <formula>(F294="x")</formula>
    </cfRule>
    <cfRule type="expression" dxfId="1271" priority="144495">
      <formula>(F289="x")</formula>
    </cfRule>
    <cfRule type="expression" dxfId="1270" priority="144496">
      <formula>(F257="x")</formula>
    </cfRule>
    <cfRule type="expression" dxfId="1269" priority="144497">
      <formula>(F256="x")</formula>
    </cfRule>
    <cfRule type="expression" dxfId="1268" priority="144498">
      <formula>(F251="x")</formula>
    </cfRule>
    <cfRule type="expression" dxfId="1267" priority="144499">
      <formula>(F287="x")</formula>
    </cfRule>
    <cfRule type="expression" dxfId="1266" priority="144500">
      <formula>(F247="x")</formula>
    </cfRule>
    <cfRule type="expression" dxfId="1265" priority="144501">
      <formula>(F270="x")</formula>
    </cfRule>
    <cfRule type="expression" dxfId="1264" priority="144502">
      <formula>(F260="x")</formula>
    </cfRule>
    <cfRule type="expression" dxfId="1263" priority="144503">
      <formula>(F258="x")</formula>
    </cfRule>
    <cfRule type="expression" dxfId="1262" priority="144504">
      <formula>(F252="x")</formula>
    </cfRule>
    <cfRule type="expression" dxfId="1261" priority="144505">
      <formula>(F276="x")</formula>
    </cfRule>
    <cfRule type="expression" dxfId="1260" priority="144506">
      <formula>(F264="x")</formula>
    </cfRule>
    <cfRule type="expression" dxfId="1259" priority="144507">
      <formula>(F301="x")</formula>
    </cfRule>
    <cfRule type="expression" dxfId="1258" priority="144508">
      <formula>(F261="x")</formula>
    </cfRule>
  </conditionalFormatting>
  <conditionalFormatting sqref="F78:BA80">
    <cfRule type="expression" dxfId="1257" priority="144509">
      <formula>(#REF!="x")</formula>
    </cfRule>
    <cfRule type="expression" dxfId="1256" priority="144510">
      <formula>(F248="x")</formula>
    </cfRule>
    <cfRule type="expression" dxfId="1255" priority="144511">
      <formula>(F246="x")</formula>
    </cfRule>
  </conditionalFormatting>
  <conditionalFormatting sqref="F78:BA80">
    <cfRule type="expression" dxfId="1254" priority="144512">
      <formula>(F253="x")</formula>
    </cfRule>
    <cfRule type="expression" dxfId="1253" priority="144513">
      <formula>(F231="x")</formula>
    </cfRule>
  </conditionalFormatting>
  <conditionalFormatting sqref="F78:BA80">
    <cfRule type="expression" dxfId="1252" priority="144514">
      <formula>(F224="x")</formula>
    </cfRule>
    <cfRule type="expression" dxfId="1251" priority="144515">
      <formula>(F223="x")</formula>
    </cfRule>
  </conditionalFormatting>
  <conditionalFormatting sqref="F78:BA80">
    <cfRule type="expression" dxfId="1250" priority="144516">
      <formula>(F209="x")</formula>
    </cfRule>
    <cfRule type="expression" dxfId="1249" priority="144517">
      <formula>(F208="x")</formula>
    </cfRule>
  </conditionalFormatting>
  <conditionalFormatting sqref="F78:BA80">
    <cfRule type="expression" dxfId="1248" priority="144518">
      <formula>(F267="x")</formula>
    </cfRule>
    <cfRule type="expression" dxfId="1247" priority="144519">
      <formula>(F206="x")</formula>
    </cfRule>
  </conditionalFormatting>
  <conditionalFormatting sqref="F80:BA80">
    <cfRule type="expression" dxfId="1246" priority="144520">
      <formula>(F186="x")</formula>
    </cfRule>
    <cfRule type="expression" dxfId="1245" priority="144521">
      <formula>(F187="x")</formula>
    </cfRule>
  </conditionalFormatting>
  <conditionalFormatting sqref="F80:BA80">
    <cfRule type="expression" dxfId="1244" priority="144522">
      <formula>(F292="x")</formula>
    </cfRule>
    <cfRule type="expression" dxfId="1243" priority="144523">
      <formula>(F198="x")</formula>
    </cfRule>
    <cfRule type="expression" dxfId="1242" priority="144524">
      <formula>(F295="x")</formula>
    </cfRule>
    <cfRule type="expression" dxfId="1241" priority="144525">
      <formula>(F277="x")</formula>
    </cfRule>
    <cfRule type="expression" dxfId="1240" priority="144526">
      <formula>(F276="x")</formula>
    </cfRule>
  </conditionalFormatting>
  <conditionalFormatting sqref="F48:BA48">
    <cfRule type="expression" dxfId="1239" priority="144540">
      <formula>(F347="x")</formula>
    </cfRule>
  </conditionalFormatting>
  <conditionalFormatting sqref="F19:BA44">
    <cfRule type="expression" dxfId="1238" priority="144873">
      <formula>(F312="x")</formula>
    </cfRule>
    <cfRule type="expression" dxfId="1237" priority="144874">
      <formula>(F313="x")</formula>
    </cfRule>
  </conditionalFormatting>
  <conditionalFormatting sqref="F36:BA44">
    <cfRule type="expression" dxfId="1236" priority="144947">
      <formula>(F207="x")</formula>
    </cfRule>
    <cfRule type="expression" dxfId="1235" priority="144948">
      <formula>(F208="x")</formula>
    </cfRule>
  </conditionalFormatting>
  <conditionalFormatting sqref="F36:BA44">
    <cfRule type="expression" dxfId="1234" priority="145021">
      <formula>(F345="x")</formula>
    </cfRule>
    <cfRule type="expression" dxfId="1233" priority="145022">
      <formula>(F336="x")</formula>
    </cfRule>
    <cfRule type="expression" dxfId="1232" priority="145023">
      <formula>(F334="x")</formula>
    </cfRule>
    <cfRule type="expression" dxfId="1231" priority="145024">
      <formula>(F341="x")</formula>
    </cfRule>
    <cfRule type="expression" dxfId="1230" priority="145025">
      <formula>(F337="x")</formula>
    </cfRule>
    <cfRule type="expression" dxfId="1229" priority="145026">
      <formula>(F331="x")</formula>
    </cfRule>
  </conditionalFormatting>
  <conditionalFormatting sqref="F36:BA44">
    <cfRule type="expression" dxfId="1228" priority="145052">
      <formula>(F347="x")</formula>
    </cfRule>
    <cfRule type="expression" dxfId="1227" priority="145053">
      <formula>(F346="x")</formula>
    </cfRule>
    <cfRule type="expression" dxfId="1226" priority="145054">
      <formula>(F350="x")</formula>
    </cfRule>
    <cfRule type="expression" dxfId="1225" priority="145055">
      <formula>(F351="x")</formula>
    </cfRule>
    <cfRule type="expression" dxfId="1224" priority="145056">
      <formula>(F352="x")</formula>
    </cfRule>
    <cfRule type="expression" dxfId="1223" priority="145057">
      <formula>(F353="x")</formula>
    </cfRule>
    <cfRule type="expression" dxfId="1222" priority="145058">
      <formula>(F356="x")</formula>
    </cfRule>
    <cfRule type="expression" dxfId="1221" priority="145059">
      <formula>(F368="x")</formula>
    </cfRule>
    <cfRule type="expression" dxfId="1220" priority="145060">
      <formula>(F355="x")</formula>
    </cfRule>
    <cfRule type="expression" dxfId="1219" priority="145061">
      <formula>(F354="x")</formula>
    </cfRule>
    <cfRule type="expression" dxfId="1218" priority="145062">
      <formula>(F369="x")</formula>
    </cfRule>
    <cfRule type="expression" dxfId="1217" priority="145063">
      <formula>(F364="x")</formula>
    </cfRule>
    <cfRule type="expression" dxfId="1216" priority="145064">
      <formula>(F367="x")</formula>
    </cfRule>
    <cfRule type="expression" dxfId="1215" priority="145065">
      <formula>(F363="x")</formula>
    </cfRule>
    <cfRule type="expression" dxfId="1214" priority="145066">
      <formula>(F366="x")</formula>
    </cfRule>
    <cfRule type="expression" dxfId="1213" priority="145067">
      <formula>(F362="x")</formula>
    </cfRule>
    <cfRule type="expression" dxfId="1212" priority="145068">
      <formula>(F365="x")</formula>
    </cfRule>
    <cfRule type="expression" dxfId="1211" priority="145069">
      <formula>(F361="x")</formula>
    </cfRule>
    <cfRule type="expression" dxfId="1210" priority="145070">
      <formula>(F360="x")</formula>
    </cfRule>
    <cfRule type="expression" dxfId="1209" priority="145071">
      <formula>(F359="x")</formula>
    </cfRule>
    <cfRule type="expression" dxfId="1208" priority="145072">
      <formula>(F357="x")</formula>
    </cfRule>
    <cfRule type="expression" dxfId="1207" priority="145073">
      <formula>(F343="x")</formula>
    </cfRule>
    <cfRule type="expression" dxfId="1206" priority="145074">
      <formula>(F342="x")</formula>
    </cfRule>
  </conditionalFormatting>
  <conditionalFormatting sqref="F36:BA44">
    <cfRule type="expression" dxfId="1205" priority="145084">
      <formula>(F333="x")</formula>
    </cfRule>
    <cfRule type="expression" dxfId="1204" priority="145085">
      <formula>(F329="x")</formula>
    </cfRule>
    <cfRule type="expression" dxfId="1203" priority="145086">
      <formula>(F324="x")</formula>
    </cfRule>
    <cfRule type="expression" dxfId="1202" priority="145087">
      <formula>(F328="x")</formula>
    </cfRule>
    <cfRule type="expression" dxfId="1201" priority="145088">
      <formula>(F326="x")</formula>
    </cfRule>
    <cfRule type="expression" dxfId="1200" priority="145089">
      <formula>(F330="x")</formula>
    </cfRule>
    <cfRule type="expression" dxfId="1199" priority="145090">
      <formula>(F321="x")</formula>
    </cfRule>
    <cfRule type="expression" dxfId="1198" priority="145091">
      <formula>(F332="x")</formula>
    </cfRule>
    <cfRule type="expression" dxfId="1197" priority="145092">
      <formula>(F250="x")</formula>
    </cfRule>
  </conditionalFormatting>
  <conditionalFormatting sqref="F36:BA44">
    <cfRule type="expression" dxfId="1196" priority="145095">
      <formula>(F325="x")</formula>
    </cfRule>
    <cfRule type="expression" dxfId="1195" priority="145096">
      <formula>(F320="x")</formula>
    </cfRule>
  </conditionalFormatting>
  <conditionalFormatting sqref="F36:BA44">
    <cfRule type="expression" dxfId="1194" priority="145101">
      <formula>(F283="x")</formula>
    </cfRule>
    <cfRule type="expression" dxfId="1193" priority="145102">
      <formula>(F285="x")</formula>
    </cfRule>
  </conditionalFormatting>
  <conditionalFormatting sqref="F36:BA44">
    <cfRule type="expression" dxfId="1192" priority="145106">
      <formula>(F318="x")</formula>
    </cfRule>
    <cfRule type="expression" dxfId="1191" priority="145107">
      <formula>(F322="x")</formula>
    </cfRule>
    <cfRule type="expression" dxfId="1190" priority="145108">
      <formula>(F248="x")</formula>
    </cfRule>
  </conditionalFormatting>
  <conditionalFormatting sqref="F36:BA44">
    <cfRule type="expression" dxfId="1189" priority="145133">
      <formula>(F272="x")</formula>
    </cfRule>
    <cfRule type="expression" dxfId="1188" priority="145134">
      <formula>(F292="x")</formula>
    </cfRule>
    <cfRule type="expression" dxfId="1187" priority="145135">
      <formula>(F310="x")</formula>
    </cfRule>
    <cfRule type="expression" dxfId="1186" priority="145136">
      <formula>(F269="x")</formula>
    </cfRule>
    <cfRule type="expression" dxfId="1185" priority="145137">
      <formula>(F302="x")</formula>
    </cfRule>
    <cfRule type="expression" dxfId="1184" priority="145138">
      <formula>(F316="x")</formula>
    </cfRule>
    <cfRule type="expression" dxfId="1183" priority="145139">
      <formula>(F314="x")</formula>
    </cfRule>
    <cfRule type="expression" dxfId="1182" priority="145140">
      <formula>(F312="x")</formula>
    </cfRule>
    <cfRule type="expression" dxfId="1181" priority="145141">
      <formula>(F301="x")</formula>
    </cfRule>
    <cfRule type="expression" dxfId="1180" priority="145142">
      <formula>(F300="x")</formula>
    </cfRule>
    <cfRule type="expression" dxfId="1179" priority="145143">
      <formula>(F295="x")</formula>
    </cfRule>
    <cfRule type="expression" dxfId="1178" priority="145144">
      <formula>(F263="x")</formula>
    </cfRule>
    <cfRule type="expression" dxfId="1177" priority="145145">
      <formula>(F262="x")</formula>
    </cfRule>
    <cfRule type="expression" dxfId="1176" priority="145146">
      <formula>(F257="x")</formula>
    </cfRule>
    <cfRule type="expression" dxfId="1175" priority="145147">
      <formula>(F293="x")</formula>
    </cfRule>
    <cfRule type="expression" dxfId="1174" priority="145148">
      <formula>(F253="x")</formula>
    </cfRule>
    <cfRule type="expression" dxfId="1173" priority="145149">
      <formula>(F276="x")</formula>
    </cfRule>
    <cfRule type="expression" dxfId="1172" priority="145150">
      <formula>(F266="x")</formula>
    </cfRule>
    <cfRule type="expression" dxfId="1171" priority="145151">
      <formula>(F264="x")</formula>
    </cfRule>
    <cfRule type="expression" dxfId="1170" priority="145152">
      <formula>(F258="x")</formula>
    </cfRule>
    <cfRule type="expression" dxfId="1169" priority="145153">
      <formula>(F282="x")</formula>
    </cfRule>
    <cfRule type="expression" dxfId="1168" priority="145154">
      <formula>(F270="x")</formula>
    </cfRule>
    <cfRule type="expression" dxfId="1167" priority="145155">
      <formula>(F307="x")</formula>
    </cfRule>
    <cfRule type="expression" dxfId="1166" priority="145156">
      <formula>(F267="x")</formula>
    </cfRule>
  </conditionalFormatting>
  <conditionalFormatting sqref="F36:BA44">
    <cfRule type="expression" dxfId="1165" priority="145160">
      <formula>(#REF!="x")</formula>
    </cfRule>
    <cfRule type="expression" dxfId="1164" priority="145161">
      <formula>(F254="x")</formula>
    </cfRule>
    <cfRule type="expression" dxfId="1163" priority="145162">
      <formula>(F252="x")</formula>
    </cfRule>
  </conditionalFormatting>
  <conditionalFormatting sqref="F36:BA44">
    <cfRule type="expression" dxfId="1162" priority="145165">
      <formula>(F259="x")</formula>
    </cfRule>
    <cfRule type="expression" dxfId="1161" priority="145166">
      <formula>(F237="x")</formula>
    </cfRule>
  </conditionalFormatting>
  <conditionalFormatting sqref="F36:BA44">
    <cfRule type="expression" dxfId="1160" priority="145169">
      <formula>(F230="x")</formula>
    </cfRule>
    <cfRule type="expression" dxfId="1159" priority="145170">
      <formula>(F229="x")</formula>
    </cfRule>
  </conditionalFormatting>
  <conditionalFormatting sqref="F36:BA44">
    <cfRule type="expression" dxfId="1158" priority="145173">
      <formula>(F215="x")</formula>
    </cfRule>
    <cfRule type="expression" dxfId="1157" priority="145174">
      <formula>(F214="x")</formula>
    </cfRule>
  </conditionalFormatting>
  <conditionalFormatting sqref="F36:BA44">
    <cfRule type="expression" dxfId="1156" priority="145177">
      <formula>(F273="x")</formula>
    </cfRule>
    <cfRule type="expression" dxfId="1155" priority="145178">
      <formula>(F212="x")</formula>
    </cfRule>
  </conditionalFormatting>
  <conditionalFormatting sqref="F36:BA44">
    <cfRule type="expression" dxfId="1154" priority="145181">
      <formula>(F190="x")</formula>
    </cfRule>
    <cfRule type="expression" dxfId="1153" priority="145182">
      <formula>(F191="x")</formula>
    </cfRule>
  </conditionalFormatting>
  <conditionalFormatting sqref="F36:BA44">
    <cfRule type="expression" dxfId="1152" priority="145188">
      <formula>(F296="x")</formula>
    </cfRule>
    <cfRule type="expression" dxfId="1151" priority="145189">
      <formula>(F202="x")</formula>
    </cfRule>
    <cfRule type="expression" dxfId="1150" priority="145190">
      <formula>(F299="x")</formula>
    </cfRule>
    <cfRule type="expression" dxfId="1149" priority="145191">
      <formula>(F281="x")</formula>
    </cfRule>
    <cfRule type="expression" dxfId="1148" priority="145192">
      <formula>(F280="x")</formula>
    </cfRule>
  </conditionalFormatting>
  <conditionalFormatting sqref="F36:BA44">
    <cfRule type="expression" dxfId="1147" priority="145196">
      <formula>(F284="x")</formula>
    </cfRule>
    <cfRule type="expression" dxfId="1146" priority="145197">
      <formula>(F294="x")</formula>
    </cfRule>
    <cfRule type="expression" dxfId="1145" priority="145198">
      <formula>(F308="x")</formula>
    </cfRule>
  </conditionalFormatting>
  <conditionalFormatting sqref="F36:BA44">
    <cfRule type="expression" dxfId="1144" priority="145202">
      <formula>(F211="x")</formula>
    </cfRule>
    <cfRule type="expression" dxfId="1143" priority="145203">
      <formula>(F221="x")</formula>
    </cfRule>
    <cfRule type="expression" dxfId="1142" priority="145204">
      <formula>(F220="x")</formula>
    </cfRule>
  </conditionalFormatting>
  <conditionalFormatting sqref="F81:BA82">
    <cfRule type="expression" dxfId="1141" priority="145404">
      <formula>(F205="x")</formula>
    </cfRule>
    <cfRule type="expression" dxfId="1140" priority="145405">
      <formula>(F206="x")</formula>
    </cfRule>
  </conditionalFormatting>
  <conditionalFormatting sqref="F80:BA82 F13:BA44 F10:BA11">
    <cfRule type="expression" dxfId="1139" priority="145532">
      <formula>(F275="x")</formula>
    </cfRule>
  </conditionalFormatting>
  <conditionalFormatting sqref="F81:BA82">
    <cfRule type="expression" dxfId="1138" priority="145587">
      <formula>(F342="x")</formula>
    </cfRule>
  </conditionalFormatting>
  <conditionalFormatting sqref="F81:BA82">
    <cfRule type="expression" dxfId="1137" priority="145918">
      <formula>(F356="x")</formula>
    </cfRule>
  </conditionalFormatting>
  <conditionalFormatting sqref="F65:BA68 F81:BA82 F52:BA54 F18:BA45 F12:BA13">
    <cfRule type="expression" dxfId="1136" priority="145937">
      <formula>(F232="x")</formula>
    </cfRule>
  </conditionalFormatting>
  <conditionalFormatting sqref="F69:BA74 F81:BA82 F62:BA64 F35:BA44 F10:BA29">
    <cfRule type="expression" dxfId="1135" priority="145971">
      <formula>(F262="x")</formula>
    </cfRule>
  </conditionalFormatting>
  <conditionalFormatting sqref="F81:BA82">
    <cfRule type="expression" dxfId="1134" priority="145976">
      <formula>(F343="x")</formula>
    </cfRule>
    <cfRule type="expression" dxfId="1133" priority="145977">
      <formula>(F334="x")</formula>
    </cfRule>
    <cfRule type="expression" dxfId="1132" priority="145978">
      <formula>(F332="x")</formula>
    </cfRule>
    <cfRule type="expression" dxfId="1131" priority="145979">
      <formula>(F339="x")</formula>
    </cfRule>
    <cfRule type="expression" dxfId="1130" priority="145980">
      <formula>(F335="x")</formula>
    </cfRule>
    <cfRule type="expression" dxfId="1129" priority="145981">
      <formula>(F329="x")</formula>
    </cfRule>
  </conditionalFormatting>
  <conditionalFormatting sqref="F81:BA82">
    <cfRule type="expression" dxfId="1128" priority="146006">
      <formula>(F345="x")</formula>
    </cfRule>
    <cfRule type="expression" dxfId="1127" priority="146007">
      <formula>(F344="x")</formula>
    </cfRule>
    <cfRule type="expression" dxfId="1126" priority="146008">
      <formula>(F348="x")</formula>
    </cfRule>
    <cfRule type="expression" dxfId="1125" priority="146009">
      <formula>(F349="x")</formula>
    </cfRule>
    <cfRule type="expression" dxfId="1124" priority="146010">
      <formula>(F350="x")</formula>
    </cfRule>
    <cfRule type="expression" dxfId="1123" priority="146011">
      <formula>(F351="x")</formula>
    </cfRule>
    <cfRule type="expression" dxfId="1122" priority="146012">
      <formula>(F354="x")</formula>
    </cfRule>
    <cfRule type="expression" dxfId="1121" priority="146013">
      <formula>(F366="x")</formula>
    </cfRule>
    <cfRule type="expression" dxfId="1120" priority="146014">
      <formula>(F353="x")</formula>
    </cfRule>
    <cfRule type="expression" dxfId="1119" priority="146015">
      <formula>(F352="x")</formula>
    </cfRule>
    <cfRule type="expression" dxfId="1118" priority="146016">
      <formula>(F367="x")</formula>
    </cfRule>
    <cfRule type="expression" dxfId="1117" priority="146017">
      <formula>(F362="x")</formula>
    </cfRule>
    <cfRule type="expression" dxfId="1116" priority="146018">
      <formula>(F365="x")</formula>
    </cfRule>
    <cfRule type="expression" dxfId="1115" priority="146019">
      <formula>(F361="x")</formula>
    </cfRule>
    <cfRule type="expression" dxfId="1114" priority="146020">
      <formula>(F364="x")</formula>
    </cfRule>
    <cfRule type="expression" dxfId="1113" priority="146021">
      <formula>(F360="x")</formula>
    </cfRule>
    <cfRule type="expression" dxfId="1112" priority="146022">
      <formula>(F363="x")</formula>
    </cfRule>
    <cfRule type="expression" dxfId="1111" priority="146023">
      <formula>(F359="x")</formula>
    </cfRule>
    <cfRule type="expression" dxfId="1110" priority="146024">
      <formula>(F358="x")</formula>
    </cfRule>
    <cfRule type="expression" dxfId="1109" priority="146025">
      <formula>(F357="x")</formula>
    </cfRule>
    <cfRule type="expression" dxfId="1108" priority="146026">
      <formula>(F355="x")</formula>
    </cfRule>
    <cfRule type="expression" dxfId="1107" priority="146027">
      <formula>(F341="x")</formula>
    </cfRule>
    <cfRule type="expression" dxfId="1106" priority="146028">
      <formula>(F340="x")</formula>
    </cfRule>
  </conditionalFormatting>
  <conditionalFormatting sqref="F81:BA82">
    <cfRule type="expression" dxfId="1105" priority="146029">
      <formula>(F331="x")</formula>
    </cfRule>
    <cfRule type="expression" dxfId="1104" priority="146030">
      <formula>(F327="x")</formula>
    </cfRule>
    <cfRule type="expression" dxfId="1103" priority="146031">
      <formula>(F322="x")</formula>
    </cfRule>
    <cfRule type="expression" dxfId="1102" priority="146032">
      <formula>(F326="x")</formula>
    </cfRule>
    <cfRule type="expression" dxfId="1101" priority="146033">
      <formula>(F324="x")</formula>
    </cfRule>
    <cfRule type="expression" dxfId="1100" priority="146034">
      <formula>(F328="x")</formula>
    </cfRule>
    <cfRule type="expression" dxfId="1099" priority="146035">
      <formula>(F319="x")</formula>
    </cfRule>
    <cfRule type="expression" dxfId="1098" priority="146036">
      <formula>(F330="x")</formula>
    </cfRule>
    <cfRule type="expression" dxfId="1097" priority="146037">
      <formula>(F248="x")</formula>
    </cfRule>
  </conditionalFormatting>
  <conditionalFormatting sqref="F69:BA70 F75:BA77 F81:BA82 F16:BA44 F11:BA14">
    <cfRule type="expression" dxfId="1096" priority="146038">
      <formula>(F214="x")</formula>
    </cfRule>
  </conditionalFormatting>
  <conditionalFormatting sqref="F81:BA82">
    <cfRule type="expression" dxfId="1095" priority="146045">
      <formula>(F281="x")</formula>
    </cfRule>
    <cfRule type="expression" dxfId="1094" priority="146046">
      <formula>(F283="x")</formula>
    </cfRule>
  </conditionalFormatting>
  <conditionalFormatting sqref="F81:BA82">
    <cfRule type="expression" dxfId="1093" priority="146047">
      <formula>(F316="x")</formula>
    </cfRule>
    <cfRule type="expression" dxfId="1092" priority="146048">
      <formula>(F320="x")</formula>
    </cfRule>
    <cfRule type="expression" dxfId="1091" priority="146049">
      <formula>(F246="x")</formula>
    </cfRule>
  </conditionalFormatting>
  <conditionalFormatting sqref="F81:BA82">
    <cfRule type="expression" dxfId="1090" priority="146050">
      <formula>(F270="x")</formula>
    </cfRule>
    <cfRule type="expression" dxfId="1089" priority="146051">
      <formula>(F290="x")</formula>
    </cfRule>
    <cfRule type="expression" dxfId="1088" priority="146052">
      <formula>(F308="x")</formula>
    </cfRule>
    <cfRule type="expression" dxfId="1087" priority="146053">
      <formula>(F267="x")</formula>
    </cfRule>
    <cfRule type="expression" dxfId="1086" priority="146054">
      <formula>(F300="x")</formula>
    </cfRule>
    <cfRule type="expression" dxfId="1085" priority="146055">
      <formula>(F314="x")</formula>
    </cfRule>
    <cfRule type="expression" dxfId="1084" priority="146056">
      <formula>(F312="x")</formula>
    </cfRule>
    <cfRule type="expression" dxfId="1083" priority="146057">
      <formula>(F310="x")</formula>
    </cfRule>
    <cfRule type="expression" dxfId="1082" priority="146058">
      <formula>(F299="x")</formula>
    </cfRule>
    <cfRule type="expression" dxfId="1081" priority="146059">
      <formula>(F298="x")</formula>
    </cfRule>
    <cfRule type="expression" dxfId="1080" priority="146060">
      <formula>(F293="x")</formula>
    </cfRule>
    <cfRule type="expression" dxfId="1079" priority="146061">
      <formula>(F261="x")</formula>
    </cfRule>
    <cfRule type="expression" dxfId="1078" priority="146062">
      <formula>(F260="x")</formula>
    </cfRule>
    <cfRule type="expression" dxfId="1077" priority="146063">
      <formula>(F255="x")</formula>
    </cfRule>
    <cfRule type="expression" dxfId="1076" priority="146064">
      <formula>(F291="x")</formula>
    </cfRule>
    <cfRule type="expression" dxfId="1075" priority="146065">
      <formula>(F251="x")</formula>
    </cfRule>
    <cfRule type="expression" dxfId="1074" priority="146066">
      <formula>(F274="x")</formula>
    </cfRule>
    <cfRule type="expression" dxfId="1073" priority="146067">
      <formula>(F264="x")</formula>
    </cfRule>
    <cfRule type="expression" dxfId="1072" priority="146068">
      <formula>(F262="x")</formula>
    </cfRule>
    <cfRule type="expression" dxfId="1071" priority="146069">
      <formula>(F256="x")</formula>
    </cfRule>
    <cfRule type="expression" dxfId="1070" priority="146070">
      <formula>(F280="x")</formula>
    </cfRule>
    <cfRule type="expression" dxfId="1069" priority="146071">
      <formula>(F268="x")</formula>
    </cfRule>
    <cfRule type="expression" dxfId="1068" priority="146072">
      <formula>(F305="x")</formula>
    </cfRule>
    <cfRule type="expression" dxfId="1067" priority="146073">
      <formula>(F265="x")</formula>
    </cfRule>
  </conditionalFormatting>
  <conditionalFormatting sqref="F81:BA82">
    <cfRule type="expression" dxfId="1066" priority="146074">
      <formula>(#REF!="x")</formula>
    </cfRule>
    <cfRule type="expression" dxfId="1065" priority="146075">
      <formula>(F252="x")</formula>
    </cfRule>
    <cfRule type="expression" dxfId="1064" priority="146076">
      <formula>(F250="x")</formula>
    </cfRule>
  </conditionalFormatting>
  <conditionalFormatting sqref="F81:BA82">
    <cfRule type="expression" dxfId="1063" priority="146077">
      <formula>(F257="x")</formula>
    </cfRule>
    <cfRule type="expression" dxfId="1062" priority="146078">
      <formula>(F235="x")</formula>
    </cfRule>
  </conditionalFormatting>
  <conditionalFormatting sqref="F81:BA82">
    <cfRule type="expression" dxfId="1061" priority="146079">
      <formula>(F228="x")</formula>
    </cfRule>
    <cfRule type="expression" dxfId="1060" priority="146080">
      <formula>(F227="x")</formula>
    </cfRule>
  </conditionalFormatting>
  <conditionalFormatting sqref="F81:BA82">
    <cfRule type="expression" dxfId="1059" priority="146081">
      <formula>(F213="x")</formula>
    </cfRule>
    <cfRule type="expression" dxfId="1058" priority="146082">
      <formula>(F212="x")</formula>
    </cfRule>
  </conditionalFormatting>
  <conditionalFormatting sqref="F81:BA82">
    <cfRule type="expression" dxfId="1057" priority="146083">
      <formula>(F271="x")</formula>
    </cfRule>
    <cfRule type="expression" dxfId="1056" priority="146084">
      <formula>(F210="x")</formula>
    </cfRule>
  </conditionalFormatting>
  <conditionalFormatting sqref="F82:BA82">
    <cfRule type="expression" dxfId="1055" priority="146085">
      <formula>(F189="x")</formula>
    </cfRule>
    <cfRule type="expression" dxfId="1054" priority="146086">
      <formula>(F190="x")</formula>
    </cfRule>
  </conditionalFormatting>
  <conditionalFormatting sqref="F81:BA82">
    <cfRule type="expression" dxfId="1053" priority="146087">
      <formula>(F294="x")</formula>
    </cfRule>
    <cfRule type="expression" dxfId="1052" priority="146088">
      <formula>(F200="x")</formula>
    </cfRule>
    <cfRule type="expression" dxfId="1051" priority="146089">
      <formula>(F297="x")</formula>
    </cfRule>
    <cfRule type="expression" dxfId="1050" priority="146090">
      <formula>(F279="x")</formula>
    </cfRule>
    <cfRule type="expression" dxfId="1049" priority="146091">
      <formula>(F278="x")</formula>
    </cfRule>
  </conditionalFormatting>
  <conditionalFormatting sqref="F81:BA82">
    <cfRule type="expression" dxfId="1048" priority="146092">
      <formula>(F282="x")</formula>
    </cfRule>
    <cfRule type="expression" dxfId="1047" priority="146093">
      <formula>(F292="x")</formula>
    </cfRule>
    <cfRule type="expression" dxfId="1046" priority="146094">
      <formula>(F306="x")</formula>
    </cfRule>
  </conditionalFormatting>
  <conditionalFormatting sqref="F81:BA82">
    <cfRule type="expression" dxfId="1045" priority="146095">
      <formula>(F209="x")</formula>
    </cfRule>
    <cfRule type="expression" dxfId="1044" priority="146096">
      <formula>(F219="x")</formula>
    </cfRule>
    <cfRule type="expression" dxfId="1043" priority="146097">
      <formula>(F218="x")</formula>
    </cfRule>
  </conditionalFormatting>
  <conditionalFormatting sqref="F15:BA44 F12:BA13">
    <cfRule type="expression" dxfId="1042" priority="146109">
      <formula>(F330="x")</formula>
    </cfRule>
  </conditionalFormatting>
  <conditionalFormatting sqref="F15:BA44">
    <cfRule type="expression" dxfId="1041" priority="146112">
      <formula>(F332="x")</formula>
    </cfRule>
  </conditionalFormatting>
  <conditionalFormatting sqref="F11:BA11 F15:BA44 F46:BA47">
    <cfRule type="expression" dxfId="1040" priority="146124">
      <formula>(F308="x")</formula>
    </cfRule>
  </conditionalFormatting>
  <conditionalFormatting sqref="F37:BA44">
    <cfRule type="expression" dxfId="1039" priority="146365">
      <formula>(F352="x")</formula>
    </cfRule>
    <cfRule type="expression" dxfId="1038" priority="146366">
      <formula>(F351="x")</formula>
    </cfRule>
    <cfRule type="expression" dxfId="1037" priority="146367">
      <formula>(F355="x")</formula>
    </cfRule>
    <cfRule type="expression" dxfId="1036" priority="146368">
      <formula>(F356="x")</formula>
    </cfRule>
    <cfRule type="expression" dxfId="1035" priority="146369">
      <formula>(F357="x")</formula>
    </cfRule>
    <cfRule type="expression" dxfId="1034" priority="146370">
      <formula>(F358="x")</formula>
    </cfRule>
    <cfRule type="expression" dxfId="1033" priority="146371">
      <formula>(F361="x")</formula>
    </cfRule>
    <cfRule type="expression" dxfId="1032" priority="146372">
      <formula>(F373="x")</formula>
    </cfRule>
    <cfRule type="expression" dxfId="1031" priority="146373">
      <formula>(F360="x")</formula>
    </cfRule>
    <cfRule type="expression" dxfId="1030" priority="146374">
      <formula>(F359="x")</formula>
    </cfRule>
    <cfRule type="expression" dxfId="1029" priority="146375">
      <formula>(F374="x")</formula>
    </cfRule>
    <cfRule type="expression" dxfId="1028" priority="146376">
      <formula>(F369="x")</formula>
    </cfRule>
    <cfRule type="expression" dxfId="1027" priority="146377">
      <formula>(F372="x")</formula>
    </cfRule>
    <cfRule type="expression" dxfId="1026" priority="146378">
      <formula>(F368="x")</formula>
    </cfRule>
    <cfRule type="expression" dxfId="1025" priority="146379">
      <formula>(F371="x")</formula>
    </cfRule>
    <cfRule type="expression" dxfId="1024" priority="146380">
      <formula>(F367="x")</formula>
    </cfRule>
    <cfRule type="expression" dxfId="1023" priority="146381">
      <formula>(F370="x")</formula>
    </cfRule>
    <cfRule type="expression" dxfId="1022" priority="146382">
      <formula>(F366="x")</formula>
    </cfRule>
    <cfRule type="expression" dxfId="1021" priority="146383">
      <formula>(F365="x")</formula>
    </cfRule>
    <cfRule type="expression" dxfId="1020" priority="146384">
      <formula>(F364="x")</formula>
    </cfRule>
    <cfRule type="expression" dxfId="1019" priority="146385">
      <formula>(F362="x")</formula>
    </cfRule>
    <cfRule type="expression" dxfId="1018" priority="146386">
      <formula>(F348="x")</formula>
    </cfRule>
    <cfRule type="expression" dxfId="1017" priority="146387">
      <formula>(F347="x")</formula>
    </cfRule>
  </conditionalFormatting>
  <conditionalFormatting sqref="F37:BA44">
    <cfRule type="expression" dxfId="1016" priority="146394">
      <formula>(F350="x")</formula>
    </cfRule>
    <cfRule type="expression" dxfId="1015" priority="146395">
      <formula>(F341="x")</formula>
    </cfRule>
    <cfRule type="expression" dxfId="1014" priority="146396">
      <formula>(F339="x")</formula>
    </cfRule>
    <cfRule type="expression" dxfId="1013" priority="146397">
      <formula>(F346="x")</formula>
    </cfRule>
    <cfRule type="expression" dxfId="1012" priority="146398">
      <formula>(F342="x")</formula>
    </cfRule>
    <cfRule type="expression" dxfId="1011" priority="146399">
      <formula>(F336="x")</formula>
    </cfRule>
  </conditionalFormatting>
  <conditionalFormatting sqref="F37:BA44">
    <cfRule type="expression" dxfId="1010" priority="146411">
      <formula>(F338="x")</formula>
    </cfRule>
    <cfRule type="expression" dxfId="1009" priority="146412">
      <formula>(F334="x")</formula>
    </cfRule>
    <cfRule type="expression" dxfId="1008" priority="146413">
      <formula>(F329="x")</formula>
    </cfRule>
    <cfRule type="expression" dxfId="1007" priority="146414">
      <formula>(F333="x")</formula>
    </cfRule>
    <cfRule type="expression" dxfId="1006" priority="146415">
      <formula>(F331="x")</formula>
    </cfRule>
    <cfRule type="expression" dxfId="1005" priority="146416">
      <formula>(F335="x")</formula>
    </cfRule>
    <cfRule type="expression" dxfId="1004" priority="146417">
      <formula>(F326="x")</formula>
    </cfRule>
    <cfRule type="expression" dxfId="1003" priority="146418">
      <formula>(F337="x")</formula>
    </cfRule>
    <cfRule type="expression" dxfId="1002" priority="146419">
      <formula>(F255="x")</formula>
    </cfRule>
  </conditionalFormatting>
  <conditionalFormatting sqref="F37:BA44">
    <cfRule type="expression" dxfId="1001" priority="146487">
      <formula>(F330="x")</formula>
    </cfRule>
    <cfRule type="expression" dxfId="1000" priority="146488">
      <formula>(F325="x")</formula>
    </cfRule>
  </conditionalFormatting>
  <conditionalFormatting sqref="F37:BA44">
    <cfRule type="expression" dxfId="999" priority="146539">
      <formula>(F288="x")</formula>
    </cfRule>
    <cfRule type="expression" dxfId="998" priority="146540">
      <formula>(F290="x")</formula>
    </cfRule>
  </conditionalFormatting>
  <conditionalFormatting sqref="F37:BA44">
    <cfRule type="expression" dxfId="997" priority="146544">
      <formula>(F323="x")</formula>
    </cfRule>
    <cfRule type="expression" dxfId="996" priority="146545">
      <formula>(F327="x")</formula>
    </cfRule>
    <cfRule type="expression" dxfId="995" priority="146546">
      <formula>(F253="x")</formula>
    </cfRule>
  </conditionalFormatting>
  <conditionalFormatting sqref="F37:BA44">
    <cfRule type="expression" dxfId="994" priority="146571">
      <formula>(F277="x")</formula>
    </cfRule>
    <cfRule type="expression" dxfId="993" priority="146572">
      <formula>(F297="x")</formula>
    </cfRule>
    <cfRule type="expression" dxfId="992" priority="146573">
      <formula>(F315="x")</formula>
    </cfRule>
    <cfRule type="expression" dxfId="991" priority="146574">
      <formula>(F274="x")</formula>
    </cfRule>
    <cfRule type="expression" dxfId="990" priority="146575">
      <formula>(F307="x")</formula>
    </cfRule>
    <cfRule type="expression" dxfId="989" priority="146576">
      <formula>(F321="x")</formula>
    </cfRule>
    <cfRule type="expression" dxfId="988" priority="146577">
      <formula>(F319="x")</formula>
    </cfRule>
    <cfRule type="expression" dxfId="987" priority="146578">
      <formula>(F317="x")</formula>
    </cfRule>
    <cfRule type="expression" dxfId="986" priority="146579">
      <formula>(F306="x")</formula>
    </cfRule>
    <cfRule type="expression" dxfId="985" priority="146580">
      <formula>(F305="x")</formula>
    </cfRule>
    <cfRule type="expression" dxfId="984" priority="146581">
      <formula>(F300="x")</formula>
    </cfRule>
    <cfRule type="expression" dxfId="983" priority="146582">
      <formula>(F268="x")</formula>
    </cfRule>
    <cfRule type="expression" dxfId="982" priority="146583">
      <formula>(F267="x")</formula>
    </cfRule>
    <cfRule type="expression" dxfId="981" priority="146584">
      <formula>(F262="x")</formula>
    </cfRule>
    <cfRule type="expression" dxfId="980" priority="146585">
      <formula>(F298="x")</formula>
    </cfRule>
    <cfRule type="expression" dxfId="979" priority="146586">
      <formula>(F258="x")</formula>
    </cfRule>
    <cfRule type="expression" dxfId="978" priority="146587">
      <formula>(F281="x")</formula>
    </cfRule>
    <cfRule type="expression" dxfId="977" priority="146588">
      <formula>(F271="x")</formula>
    </cfRule>
    <cfRule type="expression" dxfId="976" priority="146589">
      <formula>(F269="x")</formula>
    </cfRule>
    <cfRule type="expression" dxfId="975" priority="146590">
      <formula>(F263="x")</formula>
    </cfRule>
    <cfRule type="expression" dxfId="974" priority="146591">
      <formula>(F287="x")</formula>
    </cfRule>
    <cfRule type="expression" dxfId="973" priority="146592">
      <formula>(F275="x")</formula>
    </cfRule>
    <cfRule type="expression" dxfId="972" priority="146593">
      <formula>(F312="x")</formula>
    </cfRule>
    <cfRule type="expression" dxfId="971" priority="146594">
      <formula>(F272="x")</formula>
    </cfRule>
  </conditionalFormatting>
  <conditionalFormatting sqref="F37:BA44">
    <cfRule type="expression" dxfId="970" priority="146598">
      <formula>(#REF!="x")</formula>
    </cfRule>
    <cfRule type="expression" dxfId="969" priority="146599">
      <formula>(F259="x")</formula>
    </cfRule>
    <cfRule type="expression" dxfId="968" priority="146600">
      <formula>(F257="x")</formula>
    </cfRule>
  </conditionalFormatting>
  <conditionalFormatting sqref="F37:BA44">
    <cfRule type="expression" dxfId="967" priority="146603">
      <formula>(F264="x")</formula>
    </cfRule>
    <cfRule type="expression" dxfId="966" priority="146604">
      <formula>(F242="x")</formula>
    </cfRule>
  </conditionalFormatting>
  <conditionalFormatting sqref="F37:BA44">
    <cfRule type="expression" dxfId="965" priority="146619">
      <formula>(F278="x")</formula>
    </cfRule>
    <cfRule type="expression" dxfId="964" priority="146620">
      <formula>(F217="x")</formula>
    </cfRule>
  </conditionalFormatting>
  <conditionalFormatting sqref="F37:BA44">
    <cfRule type="expression" dxfId="963" priority="146623">
      <formula>(F195="x")</formula>
    </cfRule>
    <cfRule type="expression" dxfId="962" priority="146624">
      <formula>(F196="x")</formula>
    </cfRule>
  </conditionalFormatting>
  <conditionalFormatting sqref="F37:BA44">
    <cfRule type="expression" dxfId="961" priority="146630">
      <formula>(F301="x")</formula>
    </cfRule>
    <cfRule type="expression" dxfId="960" priority="146631">
      <formula>(F207="x")</formula>
    </cfRule>
    <cfRule type="expression" dxfId="959" priority="146632">
      <formula>(F304="x")</formula>
    </cfRule>
    <cfRule type="expression" dxfId="958" priority="146633">
      <formula>(F286="x")</formula>
    </cfRule>
    <cfRule type="expression" dxfId="957" priority="146634">
      <formula>(F285="x")</formula>
    </cfRule>
  </conditionalFormatting>
  <conditionalFormatting sqref="F37:BA44">
    <cfRule type="expression" dxfId="956" priority="146638">
      <formula>(F289="x")</formula>
    </cfRule>
    <cfRule type="expression" dxfId="955" priority="146639">
      <formula>(F299="x")</formula>
    </cfRule>
    <cfRule type="expression" dxfId="954" priority="146640">
      <formula>(F313="x")</formula>
    </cfRule>
  </conditionalFormatting>
  <conditionalFormatting sqref="F37:BA44">
    <cfRule type="expression" dxfId="953" priority="146644">
      <formula>(F216="x")</formula>
    </cfRule>
    <cfRule type="expression" dxfId="952" priority="146645">
      <formula>(F226="x")</formula>
    </cfRule>
    <cfRule type="expression" dxfId="951" priority="146646">
      <formula>(F225="x")</formula>
    </cfRule>
  </conditionalFormatting>
  <conditionalFormatting sqref="F37:BA44">
    <cfRule type="expression" dxfId="950" priority="146659">
      <formula>(F192="x")</formula>
    </cfRule>
    <cfRule type="expression" dxfId="949" priority="146660">
      <formula>(F292="x")</formula>
    </cfRule>
    <cfRule type="expression" dxfId="948" priority="146661">
      <formula>(F293="x")</formula>
    </cfRule>
    <cfRule type="expression" dxfId="947" priority="146662">
      <formula>(F273="x")</formula>
    </cfRule>
    <cfRule type="expression" dxfId="946" priority="146663">
      <formula>(F283="x")</formula>
    </cfRule>
    <cfRule type="expression" dxfId="945" priority="146664">
      <formula>(F282="x")</formula>
    </cfRule>
    <cfRule type="expression" dxfId="944" priority="146665">
      <formula>(F311="x")</formula>
    </cfRule>
    <cfRule type="expression" dxfId="943" priority="146666">
      <formula>(F309="x")</formula>
    </cfRule>
    <cfRule type="expression" dxfId="942" priority="146667">
      <formula>(F302="x")</formula>
    </cfRule>
    <cfRule type="expression" dxfId="941" priority="146668">
      <formula>(F189="x")</formula>
    </cfRule>
  </conditionalFormatting>
  <conditionalFormatting sqref="F37:BA44">
    <cfRule type="expression" dxfId="940" priority="146671">
      <formula>(F266="x")</formula>
    </cfRule>
    <cfRule type="expression" dxfId="939" priority="146672">
      <formula>(F265="x")</formula>
    </cfRule>
  </conditionalFormatting>
  <conditionalFormatting sqref="F37:BA44">
    <cfRule type="expression" dxfId="938" priority="146675">
      <formula>(F320="x")</formula>
    </cfRule>
    <cfRule type="expression" dxfId="937" priority="146676">
      <formula>(F190="x")</formula>
    </cfRule>
  </conditionalFormatting>
  <conditionalFormatting sqref="F37:BA44">
    <cfRule type="expression" dxfId="936" priority="146683">
      <formula>(F213="x")</formula>
    </cfRule>
    <cfRule type="expression" dxfId="935" priority="146684">
      <formula>(F203="x")</formula>
    </cfRule>
    <cfRule type="expression" dxfId="934" priority="146685">
      <formula>(F294="x")</formula>
    </cfRule>
    <cfRule type="expression" dxfId="933" priority="146686">
      <formula>(F284="x")</formula>
    </cfRule>
    <cfRule type="expression" dxfId="932" priority="146687">
      <formula>(F212="x")</formula>
    </cfRule>
    <cfRule type="expression" dxfId="931" priority="146688">
      <formula>(F187="x")</formula>
    </cfRule>
  </conditionalFormatting>
  <conditionalFormatting sqref="F37:BA44">
    <cfRule type="expression" dxfId="930" priority="146691">
      <formula>(F303="x")</formula>
    </cfRule>
    <cfRule type="expression" dxfId="929" priority="146692">
      <formula>(F188="x")</formula>
    </cfRule>
  </conditionalFormatting>
  <conditionalFormatting sqref="F83:BA84 F65:BA68 F19:BA44 F10:BA13">
    <cfRule type="expression" dxfId="928" priority="146706">
      <formula>(F268="x")</formula>
    </cfRule>
  </conditionalFormatting>
  <conditionalFormatting sqref="F23:BA44">
    <cfRule type="expression" dxfId="927" priority="146709">
      <formula>(F294="x")</formula>
    </cfRule>
  </conditionalFormatting>
  <conditionalFormatting sqref="F84:BA84 F16:BA44">
    <cfRule type="expression" dxfId="926" priority="146711">
      <formula>(F284="x")</formula>
    </cfRule>
  </conditionalFormatting>
  <conditionalFormatting sqref="F80:BA82 F55:BA61 F75:BA78 F18:BA44 F12:BA13">
    <cfRule type="expression" dxfId="925" priority="146777">
      <formula>(F267="x")</formula>
    </cfRule>
  </conditionalFormatting>
  <conditionalFormatting sqref="F55:BA61 F15:BA41 F44:BA47 F11:BA11">
    <cfRule type="expression" dxfId="924" priority="147450">
      <formula>(F196="x")</formula>
    </cfRule>
  </conditionalFormatting>
  <conditionalFormatting sqref="F69:BA69 F55:BA64 F83:BA83 F10:BA13 F32:BA44 F15:BA29 F46:BA49">
    <cfRule type="expression" dxfId="923" priority="147469">
      <formula>(F233="x")</formula>
    </cfRule>
  </conditionalFormatting>
  <conditionalFormatting sqref="F53:BA54">
    <cfRule type="expression" dxfId="922" priority="147509">
      <formula>(F188="x")</formula>
    </cfRule>
    <cfRule type="expression" dxfId="921" priority="147510">
      <formula>(F187="x")</formula>
    </cfRule>
  </conditionalFormatting>
  <conditionalFormatting sqref="F71:BA77 F65:BA68 F84:BA84 F19:BA44 F10:BA11">
    <cfRule type="expression" dxfId="920" priority="147524">
      <formula>(F234="x")</formula>
    </cfRule>
  </conditionalFormatting>
  <conditionalFormatting sqref="F75:BA77 F80:BA82 F10:BA13 F16:BA45">
    <cfRule type="expression" dxfId="919" priority="147565">
      <formula>(F216="x")</formula>
    </cfRule>
  </conditionalFormatting>
  <conditionalFormatting sqref="F37:BA44">
    <cfRule type="expression" dxfId="918" priority="147576">
      <formula>(F220="x")</formula>
    </cfRule>
    <cfRule type="expression" dxfId="917" priority="147577">
      <formula>(F219="x")</formula>
    </cfRule>
  </conditionalFormatting>
  <conditionalFormatting sqref="F78:BA83 F17:BA21 F10:BA11 F13:BA13 F23:BA40 F46:BA49">
    <cfRule type="expression" dxfId="916" priority="147579">
      <formula>(F217="x")</formula>
    </cfRule>
  </conditionalFormatting>
  <conditionalFormatting sqref="F11:BA11">
    <cfRule type="expression" dxfId="915" priority="147593">
      <formula>(F307="x")</formula>
    </cfRule>
  </conditionalFormatting>
  <conditionalFormatting sqref="F37:BA44">
    <cfRule type="expression" dxfId="914" priority="147920">
      <formula>(F235="x")</formula>
    </cfRule>
    <cfRule type="expression" dxfId="913" priority="147921">
      <formula>(F234="x")</formula>
    </cfRule>
  </conditionalFormatting>
  <conditionalFormatting sqref="F11:BA11">
    <cfRule type="expression" dxfId="912" priority="148164">
      <formula>(F281="x")</formula>
    </cfRule>
  </conditionalFormatting>
  <conditionalFormatting sqref="F39:BA44">
    <cfRule type="expression" dxfId="911" priority="148289">
      <formula>(F298="x")</formula>
    </cfRule>
    <cfRule type="expression" dxfId="910" priority="148290">
      <formula>(F300="x")</formula>
    </cfRule>
  </conditionalFormatting>
  <conditionalFormatting sqref="F39:BA44">
    <cfRule type="expression" dxfId="909" priority="148294">
      <formula>(F333="x")</formula>
    </cfRule>
    <cfRule type="expression" dxfId="908" priority="148295">
      <formula>(F337="x")</formula>
    </cfRule>
    <cfRule type="expression" dxfId="907" priority="148296">
      <formula>(F263="x")</formula>
    </cfRule>
  </conditionalFormatting>
  <conditionalFormatting sqref="F39:BA44">
    <cfRule type="expression" dxfId="906" priority="148321">
      <formula>(F287="x")</formula>
    </cfRule>
    <cfRule type="expression" dxfId="905" priority="148322">
      <formula>(F307="x")</formula>
    </cfRule>
    <cfRule type="expression" dxfId="904" priority="148323">
      <formula>(F325="x")</formula>
    </cfRule>
    <cfRule type="expression" dxfId="903" priority="148324">
      <formula>(F284="x")</formula>
    </cfRule>
    <cfRule type="expression" dxfId="902" priority="148325">
      <formula>(F317="x")</formula>
    </cfRule>
    <cfRule type="expression" dxfId="901" priority="148326">
      <formula>(F331="x")</formula>
    </cfRule>
    <cfRule type="expression" dxfId="900" priority="148327">
      <formula>(F329="x")</formula>
    </cfRule>
    <cfRule type="expression" dxfId="899" priority="148328">
      <formula>(F327="x")</formula>
    </cfRule>
    <cfRule type="expression" dxfId="898" priority="148329">
      <formula>(F316="x")</formula>
    </cfRule>
    <cfRule type="expression" dxfId="897" priority="148330">
      <formula>(F315="x")</formula>
    </cfRule>
    <cfRule type="expression" dxfId="896" priority="148331">
      <formula>(F310="x")</formula>
    </cfRule>
    <cfRule type="expression" dxfId="895" priority="148332">
      <formula>(F278="x")</formula>
    </cfRule>
    <cfRule type="expression" dxfId="894" priority="148333">
      <formula>(F277="x")</formula>
    </cfRule>
    <cfRule type="expression" dxfId="893" priority="148334">
      <formula>(F272="x")</formula>
    </cfRule>
    <cfRule type="expression" dxfId="892" priority="148335">
      <formula>(F308="x")</formula>
    </cfRule>
    <cfRule type="expression" dxfId="891" priority="148336">
      <formula>(F268="x")</formula>
    </cfRule>
    <cfRule type="expression" dxfId="890" priority="148337">
      <formula>(F291="x")</formula>
    </cfRule>
    <cfRule type="expression" dxfId="889" priority="148338">
      <formula>(F281="x")</formula>
    </cfRule>
    <cfRule type="expression" dxfId="888" priority="148339">
      <formula>(F279="x")</formula>
    </cfRule>
    <cfRule type="expression" dxfId="887" priority="148340">
      <formula>(F273="x")</formula>
    </cfRule>
    <cfRule type="expression" dxfId="886" priority="148341">
      <formula>(F297="x")</formula>
    </cfRule>
    <cfRule type="expression" dxfId="885" priority="148342">
      <formula>(F285="x")</formula>
    </cfRule>
    <cfRule type="expression" dxfId="884" priority="148343">
      <formula>(F322="x")</formula>
    </cfRule>
    <cfRule type="expression" dxfId="883" priority="148344">
      <formula>(F282="x")</formula>
    </cfRule>
  </conditionalFormatting>
  <conditionalFormatting sqref="F39:BA44">
    <cfRule type="expression" dxfId="882" priority="148348">
      <formula>(#REF!="x")</formula>
    </cfRule>
    <cfRule type="expression" dxfId="881" priority="148349">
      <formula>(F269="x")</formula>
    </cfRule>
    <cfRule type="expression" dxfId="880" priority="148350">
      <formula>(F267="x")</formula>
    </cfRule>
  </conditionalFormatting>
  <conditionalFormatting sqref="F39:BA44">
    <cfRule type="expression" dxfId="879" priority="148353">
      <formula>(F274="x")</formula>
    </cfRule>
    <cfRule type="expression" dxfId="878" priority="148354">
      <formula>(F252="x")</formula>
    </cfRule>
  </conditionalFormatting>
  <conditionalFormatting sqref="F39:BA44">
    <cfRule type="expression" dxfId="877" priority="148365">
      <formula>(F288="x")</formula>
    </cfRule>
    <cfRule type="expression" dxfId="876" priority="148366">
      <formula>(F227="x")</formula>
    </cfRule>
  </conditionalFormatting>
  <conditionalFormatting sqref="F39:BA44">
    <cfRule type="expression" dxfId="875" priority="148369">
      <formula>(F205="x")</formula>
    </cfRule>
    <cfRule type="expression" dxfId="874" priority="148370">
      <formula>(F206="x")</formula>
    </cfRule>
  </conditionalFormatting>
  <conditionalFormatting sqref="F39:BA44">
    <cfRule type="expression" dxfId="873" priority="148376">
      <formula>(F311="x")</formula>
    </cfRule>
    <cfRule type="expression" dxfId="872" priority="148377">
      <formula>(F217="x")</formula>
    </cfRule>
    <cfRule type="expression" dxfId="871" priority="148378">
      <formula>(F314="x")</formula>
    </cfRule>
    <cfRule type="expression" dxfId="870" priority="148379">
      <formula>(F296="x")</formula>
    </cfRule>
    <cfRule type="expression" dxfId="869" priority="148380">
      <formula>(F295="x")</formula>
    </cfRule>
  </conditionalFormatting>
  <conditionalFormatting sqref="F39:BA44">
    <cfRule type="expression" dxfId="868" priority="148384">
      <formula>(F299="x")</formula>
    </cfRule>
    <cfRule type="expression" dxfId="867" priority="148385">
      <formula>(F309="x")</formula>
    </cfRule>
    <cfRule type="expression" dxfId="866" priority="148386">
      <formula>(F323="x")</formula>
    </cfRule>
  </conditionalFormatting>
  <conditionalFormatting sqref="F39:BA44">
    <cfRule type="expression" dxfId="865" priority="148390">
      <formula>(F226="x")</formula>
    </cfRule>
    <cfRule type="expression" dxfId="864" priority="148391">
      <formula>(F236="x")</formula>
    </cfRule>
    <cfRule type="expression" dxfId="863" priority="148392">
      <formula>(F235="x")</formula>
    </cfRule>
  </conditionalFormatting>
  <conditionalFormatting sqref="F39:BA44">
    <cfRule type="expression" dxfId="862" priority="148405">
      <formula>(F202="x")</formula>
    </cfRule>
    <cfRule type="expression" dxfId="861" priority="148406">
      <formula>(F302="x")</formula>
    </cfRule>
    <cfRule type="expression" dxfId="860" priority="148407">
      <formula>(F303="x")</formula>
    </cfRule>
    <cfRule type="expression" dxfId="859" priority="148408">
      <formula>(F283="x")</formula>
    </cfRule>
    <cfRule type="expression" dxfId="858" priority="148409">
      <formula>(F293="x")</formula>
    </cfRule>
    <cfRule type="expression" dxfId="857" priority="148410">
      <formula>(F292="x")</formula>
    </cfRule>
    <cfRule type="expression" dxfId="856" priority="148411">
      <formula>(F321="x")</formula>
    </cfRule>
    <cfRule type="expression" dxfId="855" priority="148412">
      <formula>(F319="x")</formula>
    </cfRule>
    <cfRule type="expression" dxfId="854" priority="148413">
      <formula>(F312="x")</formula>
    </cfRule>
    <cfRule type="expression" dxfId="853" priority="148414">
      <formula>(F199="x")</formula>
    </cfRule>
  </conditionalFormatting>
  <conditionalFormatting sqref="F39:BA44">
    <cfRule type="expression" dxfId="852" priority="148417">
      <formula>(F276="x")</formula>
    </cfRule>
    <cfRule type="expression" dxfId="851" priority="148418">
      <formula>(F275="x")</formula>
    </cfRule>
  </conditionalFormatting>
  <conditionalFormatting sqref="F39:BA44">
    <cfRule type="expression" dxfId="850" priority="148421">
      <formula>(F330="x")</formula>
    </cfRule>
    <cfRule type="expression" dxfId="849" priority="148422">
      <formula>(F200="x")</formula>
    </cfRule>
  </conditionalFormatting>
  <conditionalFormatting sqref="F39:BA44">
    <cfRule type="expression" dxfId="848" priority="148429">
      <formula>(F223="x")</formula>
    </cfRule>
    <cfRule type="expression" dxfId="847" priority="148430">
      <formula>(F213="x")</formula>
    </cfRule>
    <cfRule type="expression" dxfId="846" priority="148431">
      <formula>(F304="x")</formula>
    </cfRule>
    <cfRule type="expression" dxfId="845" priority="148432">
      <formula>(F294="x")</formula>
    </cfRule>
    <cfRule type="expression" dxfId="844" priority="148433">
      <formula>(F222="x")</formula>
    </cfRule>
    <cfRule type="expression" dxfId="843" priority="148434">
      <formula>(F197="x")</formula>
    </cfRule>
  </conditionalFormatting>
  <conditionalFormatting sqref="F39:BA44">
    <cfRule type="expression" dxfId="842" priority="148437">
      <formula>(F313="x")</formula>
    </cfRule>
    <cfRule type="expression" dxfId="841" priority="148438">
      <formula>(F198="x")</formula>
    </cfRule>
  </conditionalFormatting>
  <conditionalFormatting sqref="F39:BA44">
    <cfRule type="expression" dxfId="840" priority="148441">
      <formula>(F289="x")</formula>
    </cfRule>
    <cfRule type="expression" dxfId="839" priority="148442">
      <formula>(F290="x")</formula>
    </cfRule>
  </conditionalFormatting>
  <conditionalFormatting sqref="F39:BA44">
    <cfRule type="expression" dxfId="838" priority="148448">
      <formula>(F216="x")</formula>
    </cfRule>
    <cfRule type="expression" dxfId="837" priority="148449">
      <formula>(F191="x")</formula>
    </cfRule>
    <cfRule type="expression" dxfId="836" priority="148450">
      <formula>(F192="x")</formula>
    </cfRule>
  </conditionalFormatting>
  <conditionalFormatting sqref="F81:BA82 F71:BA77 F91:BA91 F65:BA68 F12:BA13 F17:BA44">
    <cfRule type="expression" dxfId="835" priority="149185">
      <formula>(F238="x")</formula>
    </cfRule>
  </conditionalFormatting>
  <conditionalFormatting sqref="F91:BA91 F62:BA64">
    <cfRule type="expression" dxfId="834" priority="149214">
      <formula>(F200="x")</formula>
    </cfRule>
    <cfRule type="expression" dxfId="833" priority="149215">
      <formula>(F199="x")</formula>
    </cfRule>
  </conditionalFormatting>
  <conditionalFormatting sqref="F84:BA84 F91:BA91 F55:BA61 F12:BA44 F46:BA49">
    <cfRule type="expression" dxfId="832" priority="149282">
      <formula>(F221="x")</formula>
    </cfRule>
  </conditionalFormatting>
  <conditionalFormatting sqref="F91:BA91">
    <cfRule type="expression" dxfId="831" priority="149349">
      <formula>(F297="x")</formula>
    </cfRule>
    <cfRule type="expression" dxfId="830" priority="149350">
      <formula>(F299="x")</formula>
    </cfRule>
  </conditionalFormatting>
  <conditionalFormatting sqref="F91:BA91">
    <cfRule type="expression" dxfId="829" priority="149351">
      <formula>(F332="x")</formula>
    </cfRule>
    <cfRule type="expression" dxfId="828" priority="149352">
      <formula>(F336="x")</formula>
    </cfRule>
    <cfRule type="expression" dxfId="827" priority="149353">
      <formula>(F262="x")</formula>
    </cfRule>
  </conditionalFormatting>
  <conditionalFormatting sqref="F91:BA91">
    <cfRule type="expression" dxfId="826" priority="149354">
      <formula>(F286="x")</formula>
    </cfRule>
    <cfRule type="expression" dxfId="825" priority="149355">
      <formula>(F306="x")</formula>
    </cfRule>
    <cfRule type="expression" dxfId="824" priority="149356">
      <formula>(F324="x")</formula>
    </cfRule>
    <cfRule type="expression" dxfId="823" priority="149357">
      <formula>(F283="x")</formula>
    </cfRule>
    <cfRule type="expression" dxfId="822" priority="149358">
      <formula>(F316="x")</formula>
    </cfRule>
    <cfRule type="expression" dxfId="821" priority="149359">
      <formula>(F330="x")</formula>
    </cfRule>
    <cfRule type="expression" dxfId="820" priority="149360">
      <formula>(F328="x")</formula>
    </cfRule>
    <cfRule type="expression" dxfId="819" priority="149361">
      <formula>(F326="x")</formula>
    </cfRule>
    <cfRule type="expression" dxfId="818" priority="149362">
      <formula>(F315="x")</formula>
    </cfRule>
    <cfRule type="expression" dxfId="817" priority="149363">
      <formula>(F314="x")</formula>
    </cfRule>
    <cfRule type="expression" dxfId="816" priority="149364">
      <formula>(F309="x")</formula>
    </cfRule>
    <cfRule type="expression" dxfId="815" priority="149365">
      <formula>(F277="x")</formula>
    </cfRule>
    <cfRule type="expression" dxfId="814" priority="149366">
      <formula>(F276="x")</formula>
    </cfRule>
    <cfRule type="expression" dxfId="813" priority="149367">
      <formula>(F271="x")</formula>
    </cfRule>
    <cfRule type="expression" dxfId="812" priority="149368">
      <formula>(F307="x")</formula>
    </cfRule>
    <cfRule type="expression" dxfId="811" priority="149369">
      <formula>(F267="x")</formula>
    </cfRule>
    <cfRule type="expression" dxfId="810" priority="149370">
      <formula>(F290="x")</formula>
    </cfRule>
    <cfRule type="expression" dxfId="809" priority="149371">
      <formula>(F280="x")</formula>
    </cfRule>
    <cfRule type="expression" dxfId="808" priority="149372">
      <formula>(F278="x")</formula>
    </cfRule>
    <cfRule type="expression" dxfId="807" priority="149373">
      <formula>(F272="x")</formula>
    </cfRule>
    <cfRule type="expression" dxfId="806" priority="149374">
      <formula>(F296="x")</formula>
    </cfRule>
    <cfRule type="expression" dxfId="805" priority="149375">
      <formula>(F284="x")</formula>
    </cfRule>
    <cfRule type="expression" dxfId="804" priority="149376">
      <formula>(F321="x")</formula>
    </cfRule>
    <cfRule type="expression" dxfId="803" priority="149377">
      <formula>(F281="x")</formula>
    </cfRule>
  </conditionalFormatting>
  <conditionalFormatting sqref="F91:BA91">
    <cfRule type="expression" dxfId="802" priority="149378">
      <formula>(#REF!="x")</formula>
    </cfRule>
    <cfRule type="expression" dxfId="801" priority="149379">
      <formula>(F268="x")</formula>
    </cfRule>
    <cfRule type="expression" dxfId="800" priority="149380">
      <formula>(F266="x")</formula>
    </cfRule>
  </conditionalFormatting>
  <conditionalFormatting sqref="F91:BA91">
    <cfRule type="expression" dxfId="799" priority="149381">
      <formula>(F273="x")</formula>
    </cfRule>
    <cfRule type="expression" dxfId="798" priority="149382">
      <formula>(F251="x")</formula>
    </cfRule>
  </conditionalFormatting>
  <conditionalFormatting sqref="F91:BA91">
    <cfRule type="expression" dxfId="797" priority="149383">
      <formula>(F244="x")</formula>
    </cfRule>
    <cfRule type="expression" dxfId="796" priority="149384">
      <formula>(F243="x")</formula>
    </cfRule>
  </conditionalFormatting>
  <conditionalFormatting sqref="F91:BA91">
    <cfRule type="expression" dxfId="795" priority="149385">
      <formula>(F287="x")</formula>
    </cfRule>
    <cfRule type="expression" dxfId="794" priority="149386">
      <formula>(F226="x")</formula>
    </cfRule>
  </conditionalFormatting>
  <conditionalFormatting sqref="F91:BA91">
    <cfRule type="expression" dxfId="793" priority="149387">
      <formula>(F204="x")</formula>
    </cfRule>
    <cfRule type="expression" dxfId="792" priority="149388">
      <formula>(F205="x")</formula>
    </cfRule>
  </conditionalFormatting>
  <conditionalFormatting sqref="F91:BA91">
    <cfRule type="expression" dxfId="791" priority="149389">
      <formula>(F310="x")</formula>
    </cfRule>
    <cfRule type="expression" dxfId="790" priority="149390">
      <formula>(F216="x")</formula>
    </cfRule>
    <cfRule type="expression" dxfId="789" priority="149391">
      <formula>(F313="x")</formula>
    </cfRule>
    <cfRule type="expression" dxfId="788" priority="149392">
      <formula>(F295="x")</formula>
    </cfRule>
    <cfRule type="expression" dxfId="787" priority="149393">
      <formula>(F294="x")</formula>
    </cfRule>
  </conditionalFormatting>
  <conditionalFormatting sqref="F91:BA91">
    <cfRule type="expression" dxfId="786" priority="149394">
      <formula>(F298="x")</formula>
    </cfRule>
    <cfRule type="expression" dxfId="785" priority="149395">
      <formula>(F308="x")</formula>
    </cfRule>
    <cfRule type="expression" dxfId="784" priority="149396">
      <formula>(F322="x")</formula>
    </cfRule>
  </conditionalFormatting>
  <conditionalFormatting sqref="F91:BA91">
    <cfRule type="expression" dxfId="783" priority="149397">
      <formula>(F225="x")</formula>
    </cfRule>
    <cfRule type="expression" dxfId="782" priority="149398">
      <formula>(F235="x")</formula>
    </cfRule>
    <cfRule type="expression" dxfId="781" priority="149399">
      <formula>(F234="x")</formula>
    </cfRule>
  </conditionalFormatting>
  <conditionalFormatting sqref="F91:BA91">
    <cfRule type="expression" dxfId="780" priority="149400">
      <formula>(F200="x")</formula>
    </cfRule>
  </conditionalFormatting>
  <conditionalFormatting sqref="F91:BA91">
    <cfRule type="expression" dxfId="779" priority="149402">
      <formula>(F201="x")</formula>
    </cfRule>
    <cfRule type="expression" dxfId="778" priority="149403">
      <formula>(F301="x")</formula>
    </cfRule>
    <cfRule type="expression" dxfId="777" priority="149404">
      <formula>(F302="x")</formula>
    </cfRule>
    <cfRule type="expression" dxfId="776" priority="149405">
      <formula>(F282="x")</formula>
    </cfRule>
    <cfRule type="expression" dxfId="775" priority="149406">
      <formula>(F292="x")</formula>
    </cfRule>
    <cfRule type="expression" dxfId="774" priority="149407">
      <formula>(F291="x")</formula>
    </cfRule>
    <cfRule type="expression" dxfId="773" priority="149408">
      <formula>(F320="x")</formula>
    </cfRule>
    <cfRule type="expression" dxfId="772" priority="149409">
      <formula>(F318="x")</formula>
    </cfRule>
    <cfRule type="expression" dxfId="771" priority="149410">
      <formula>(F311="x")</formula>
    </cfRule>
    <cfRule type="expression" dxfId="770" priority="149411">
      <formula>(F198="x")</formula>
    </cfRule>
  </conditionalFormatting>
  <conditionalFormatting sqref="F91:BA91">
    <cfRule type="expression" dxfId="769" priority="149412">
      <formula>(F275="x")</formula>
    </cfRule>
    <cfRule type="expression" dxfId="768" priority="149413">
      <formula>(F274="x")</formula>
    </cfRule>
  </conditionalFormatting>
  <conditionalFormatting sqref="F91:BA91">
    <cfRule type="expression" dxfId="767" priority="149414">
      <formula>(F329="x")</formula>
    </cfRule>
    <cfRule type="expression" dxfId="766" priority="149415">
      <formula>(F199="x")</formula>
    </cfRule>
  </conditionalFormatting>
  <conditionalFormatting sqref="F91:BA91">
    <cfRule type="expression" dxfId="765" priority="149416">
      <formula>(F222="x")</formula>
    </cfRule>
    <cfRule type="expression" dxfId="764" priority="149417">
      <formula>(F212="x")</formula>
    </cfRule>
    <cfRule type="expression" dxfId="763" priority="149418">
      <formula>(F303="x")</formula>
    </cfRule>
    <cfRule type="expression" dxfId="762" priority="149419">
      <formula>(F293="x")</formula>
    </cfRule>
    <cfRule type="expression" dxfId="761" priority="149420">
      <formula>(F221="x")</formula>
    </cfRule>
    <cfRule type="expression" dxfId="760" priority="149421">
      <formula>(F196="x")</formula>
    </cfRule>
  </conditionalFormatting>
  <conditionalFormatting sqref="F91:BA91">
    <cfRule type="expression" dxfId="759" priority="149422">
      <formula>(F312="x")</formula>
    </cfRule>
    <cfRule type="expression" dxfId="758" priority="149423">
      <formula>(F197="x")</formula>
    </cfRule>
  </conditionalFormatting>
  <conditionalFormatting sqref="F91:BA91">
    <cfRule type="expression" dxfId="757" priority="149424">
      <formula>(F288="x")</formula>
    </cfRule>
    <cfRule type="expression" dxfId="756" priority="149425">
      <formula>(F289="x")</formula>
    </cfRule>
  </conditionalFormatting>
  <conditionalFormatting sqref="F88:BA91 F86:BA86">
    <cfRule type="expression" dxfId="755" priority="149426">
      <formula>(F187="x")</formula>
    </cfRule>
  </conditionalFormatting>
  <conditionalFormatting sqref="F91:BA91">
    <cfRule type="expression" dxfId="754" priority="149428">
      <formula>(F215="x")</formula>
    </cfRule>
    <cfRule type="expression" dxfId="753" priority="149429">
      <formula>(F190="x")</formula>
    </cfRule>
    <cfRule type="expression" dxfId="752" priority="149430">
      <formula>(F191="x")</formula>
    </cfRule>
  </conditionalFormatting>
  <conditionalFormatting sqref="F46:BA47">
    <cfRule type="expression" dxfId="751" priority="149445">
      <formula>(F340="x")</formula>
    </cfRule>
  </conditionalFormatting>
  <conditionalFormatting sqref="F12:BA13">
    <cfRule type="expression" dxfId="750" priority="149582">
      <formula>(F290="x")</formula>
    </cfRule>
    <cfRule type="expression" dxfId="749" priority="149583">
      <formula>(F289="x")</formula>
    </cfRule>
  </conditionalFormatting>
  <conditionalFormatting sqref="F10:BA11">
    <cfRule type="expression" dxfId="748" priority="150009">
      <formula>(F277="x")</formula>
    </cfRule>
  </conditionalFormatting>
  <conditionalFormatting sqref="F40:BA44">
    <cfRule type="expression" dxfId="747" priority="150136">
      <formula>(F314="x")</formula>
    </cfRule>
    <cfRule type="expression" dxfId="746" priority="150137">
      <formula>(F316="x")</formula>
    </cfRule>
  </conditionalFormatting>
  <conditionalFormatting sqref="F40:BA44">
    <cfRule type="expression" dxfId="745" priority="150164">
      <formula>(F303="x")</formula>
    </cfRule>
    <cfRule type="expression" dxfId="744" priority="150165">
      <formula>(F323="x")</formula>
    </cfRule>
    <cfRule type="expression" dxfId="743" priority="150166">
      <formula>(F341="x")</formula>
    </cfRule>
    <cfRule type="expression" dxfId="742" priority="150167">
      <formula>(F300="x")</formula>
    </cfRule>
    <cfRule type="expression" dxfId="741" priority="150168">
      <formula>(F333="x")</formula>
    </cfRule>
    <cfRule type="expression" dxfId="740" priority="150169">
      <formula>(F347="x")</formula>
    </cfRule>
    <cfRule type="expression" dxfId="739" priority="150170">
      <formula>(F345="x")</formula>
    </cfRule>
    <cfRule type="expression" dxfId="738" priority="150171">
      <formula>(F343="x")</formula>
    </cfRule>
    <cfRule type="expression" dxfId="737" priority="150172">
      <formula>(F332="x")</formula>
    </cfRule>
    <cfRule type="expression" dxfId="736" priority="150173">
      <formula>(F331="x")</formula>
    </cfRule>
    <cfRule type="expression" dxfId="735" priority="150174">
      <formula>(F326="x")</formula>
    </cfRule>
    <cfRule type="expression" dxfId="734" priority="150175">
      <formula>(F294="x")</formula>
    </cfRule>
    <cfRule type="expression" dxfId="733" priority="150176">
      <formula>(F293="x")</formula>
    </cfRule>
    <cfRule type="expression" dxfId="732" priority="150177">
      <formula>(F288="x")</formula>
    </cfRule>
    <cfRule type="expression" dxfId="731" priority="150178">
      <formula>(F324="x")</formula>
    </cfRule>
    <cfRule type="expression" dxfId="730" priority="150179">
      <formula>(F284="x")</formula>
    </cfRule>
    <cfRule type="expression" dxfId="729" priority="150180">
      <formula>(F307="x")</formula>
    </cfRule>
    <cfRule type="expression" dxfId="728" priority="150181">
      <formula>(F297="x")</formula>
    </cfRule>
    <cfRule type="expression" dxfId="727" priority="150182">
      <formula>(F295="x")</formula>
    </cfRule>
    <cfRule type="expression" dxfId="726" priority="150183">
      <formula>(F289="x")</formula>
    </cfRule>
    <cfRule type="expression" dxfId="725" priority="150184">
      <formula>(F313="x")</formula>
    </cfRule>
    <cfRule type="expression" dxfId="724" priority="150185">
      <formula>(F301="x")</formula>
    </cfRule>
    <cfRule type="expression" dxfId="723" priority="150186">
      <formula>(F338="x")</formula>
    </cfRule>
    <cfRule type="expression" dxfId="722" priority="150187">
      <formula>(F298="x")</formula>
    </cfRule>
  </conditionalFormatting>
  <conditionalFormatting sqref="F40:BA44">
    <cfRule type="expression" dxfId="721" priority="150190">
      <formula>(F290="x")</formula>
    </cfRule>
    <cfRule type="expression" dxfId="720" priority="150191">
      <formula>(F268="x")</formula>
    </cfRule>
  </conditionalFormatting>
  <conditionalFormatting sqref="F40:BA44">
    <cfRule type="expression" dxfId="719" priority="150200">
      <formula>(F304="x")</formula>
    </cfRule>
    <cfRule type="expression" dxfId="718" priority="150201">
      <formula>(F243="x")</formula>
    </cfRule>
  </conditionalFormatting>
  <conditionalFormatting sqref="F40:BA44">
    <cfRule type="expression" dxfId="717" priority="150206">
      <formula>(F221="x")</formula>
    </cfRule>
    <cfRule type="expression" dxfId="716" priority="150207">
      <formula>(F222="x")</formula>
    </cfRule>
  </conditionalFormatting>
  <conditionalFormatting sqref="F40:BA44">
    <cfRule type="expression" dxfId="715" priority="150213">
      <formula>(F327="x")</formula>
    </cfRule>
    <cfRule type="expression" dxfId="714" priority="150214">
      <formula>(F233="x")</formula>
    </cfRule>
    <cfRule type="expression" dxfId="713" priority="150215">
      <formula>(F330="x")</formula>
    </cfRule>
    <cfRule type="expression" dxfId="712" priority="150216">
      <formula>(F312="x")</formula>
    </cfRule>
    <cfRule type="expression" dxfId="711" priority="150217">
      <formula>(F311="x")</formula>
    </cfRule>
  </conditionalFormatting>
  <conditionalFormatting sqref="F40:BA44">
    <cfRule type="expression" dxfId="710" priority="150221">
      <formula>(F315="x")</formula>
    </cfRule>
    <cfRule type="expression" dxfId="709" priority="150222">
      <formula>(F325="x")</formula>
    </cfRule>
    <cfRule type="expression" dxfId="708" priority="150223">
      <formula>(F339="x")</formula>
    </cfRule>
  </conditionalFormatting>
  <conditionalFormatting sqref="F40:BA44">
    <cfRule type="expression" dxfId="707" priority="150227">
      <formula>(F242="x")</formula>
    </cfRule>
    <cfRule type="expression" dxfId="706" priority="150228">
      <formula>(F252="x")</formula>
    </cfRule>
    <cfRule type="expression" dxfId="705" priority="150229">
      <formula>(F251="x")</formula>
    </cfRule>
  </conditionalFormatting>
  <conditionalFormatting sqref="F40:BA44">
    <cfRule type="expression" dxfId="704" priority="150242">
      <formula>(F218="x")</formula>
    </cfRule>
    <cfRule type="expression" dxfId="703" priority="150243">
      <formula>(F318="x")</formula>
    </cfRule>
    <cfRule type="expression" dxfId="702" priority="150244">
      <formula>(F319="x")</formula>
    </cfRule>
    <cfRule type="expression" dxfId="701" priority="150245">
      <formula>(F299="x")</formula>
    </cfRule>
    <cfRule type="expression" dxfId="700" priority="150246">
      <formula>(F309="x")</formula>
    </cfRule>
    <cfRule type="expression" dxfId="699" priority="150247">
      <formula>(F308="x")</formula>
    </cfRule>
    <cfRule type="expression" dxfId="698" priority="150248">
      <formula>(F337="x")</formula>
    </cfRule>
    <cfRule type="expression" dxfId="697" priority="150249">
      <formula>(F335="x")</formula>
    </cfRule>
    <cfRule type="expression" dxfId="696" priority="150250">
      <formula>(F328="x")</formula>
    </cfRule>
    <cfRule type="expression" dxfId="695" priority="150251">
      <formula>(F215="x")</formula>
    </cfRule>
  </conditionalFormatting>
  <conditionalFormatting sqref="F40:BA44">
    <cfRule type="expression" dxfId="694" priority="150254">
      <formula>(F346="x")</formula>
    </cfRule>
    <cfRule type="expression" dxfId="693" priority="150255">
      <formula>(F216="x")</formula>
    </cfRule>
  </conditionalFormatting>
  <conditionalFormatting sqref="F40:BA44">
    <cfRule type="expression" dxfId="692" priority="150262">
      <formula>(F239="x")</formula>
    </cfRule>
    <cfRule type="expression" dxfId="691" priority="150263">
      <formula>(F229="x")</formula>
    </cfRule>
    <cfRule type="expression" dxfId="690" priority="150264">
      <formula>(F320="x")</formula>
    </cfRule>
    <cfRule type="expression" dxfId="689" priority="150265">
      <formula>(F310="x")</formula>
    </cfRule>
    <cfRule type="expression" dxfId="688" priority="150266">
      <formula>(F238="x")</formula>
    </cfRule>
    <cfRule type="expression" dxfId="687" priority="150267">
      <formula>(F213="x")</formula>
    </cfRule>
  </conditionalFormatting>
  <conditionalFormatting sqref="F40:BA44">
    <cfRule type="expression" dxfId="686" priority="150270">
      <formula>(F329="x")</formula>
    </cfRule>
    <cfRule type="expression" dxfId="685" priority="150271">
      <formula>(F214="x")</formula>
    </cfRule>
  </conditionalFormatting>
  <conditionalFormatting sqref="F40:BA44">
    <cfRule type="expression" dxfId="684" priority="150274">
      <formula>(F305="x")</formula>
    </cfRule>
    <cfRule type="expression" dxfId="683" priority="150275">
      <formula>(F306="x")</formula>
    </cfRule>
  </conditionalFormatting>
  <conditionalFormatting sqref="F40:BA44">
    <cfRule type="expression" dxfId="682" priority="150281">
      <formula>(F232="x")</formula>
    </cfRule>
    <cfRule type="expression" dxfId="681" priority="150282">
      <formula>(F207="x")</formula>
    </cfRule>
    <cfRule type="expression" dxfId="680" priority="150283">
      <formula>(F208="x")</formula>
    </cfRule>
  </conditionalFormatting>
  <conditionalFormatting sqref="F40:BA44">
    <cfRule type="expression" dxfId="679" priority="150288">
      <formula>(F205="x")</formula>
    </cfRule>
    <cfRule type="expression" dxfId="678" priority="150289">
      <formula>(F206="x")</formula>
    </cfRule>
    <cfRule type="expression" dxfId="677" priority="150290">
      <formula>(F352="x")</formula>
    </cfRule>
    <cfRule type="expression" dxfId="676" priority="150291">
      <formula>(F351="x")</formula>
    </cfRule>
  </conditionalFormatting>
  <conditionalFormatting sqref="F40:BA44">
    <cfRule type="expression" dxfId="675" priority="150297">
      <formula>(#REF!="x")</formula>
    </cfRule>
    <cfRule type="expression" dxfId="674" priority="150298">
      <formula>(F285="x")</formula>
    </cfRule>
    <cfRule type="expression" dxfId="673" priority="150299">
      <formula>(F283="x")</formula>
    </cfRule>
  </conditionalFormatting>
  <conditionalFormatting sqref="F40:BA44">
    <cfRule type="expression" dxfId="672" priority="150304">
      <formula>(F261="x")</formula>
    </cfRule>
    <cfRule type="expression" dxfId="671" priority="150305">
      <formula>(F260="x")</formula>
    </cfRule>
  </conditionalFormatting>
  <conditionalFormatting sqref="F40:BA44">
    <cfRule type="expression" dxfId="670" priority="150308">
      <formula>(F292="x")</formula>
    </cfRule>
    <cfRule type="expression" dxfId="669" priority="150309">
      <formula>(F291="x")</formula>
    </cfRule>
  </conditionalFormatting>
  <conditionalFormatting sqref="F52:BA54 F62:BA64 F78:BA80 F103:BA104 F92:BA95 F10:BA11 F16:BA30 F36:BA45">
    <cfRule type="expression" dxfId="668" priority="150655">
      <formula>(F253="x")</formula>
    </cfRule>
  </conditionalFormatting>
  <conditionalFormatting sqref="F69:BA74 F78:BA82 F103:BA104">
    <cfRule type="expression" dxfId="667" priority="150802">
      <formula>(F260="x")</formula>
    </cfRule>
  </conditionalFormatting>
  <conditionalFormatting sqref="F83:BA90 F51:BA51 F96:BA104 F62:BA81">
    <cfRule type="expression" dxfId="666" priority="151133">
      <formula>(F186="x")</formula>
    </cfRule>
  </conditionalFormatting>
  <conditionalFormatting sqref="F78:BA80 F69:BA70 F83:BA83 F55:BA61 F103:BA104 F92:BA95 F50:BA51 F15:BA44 F13:BA13">
    <cfRule type="expression" dxfId="665" priority="151189">
      <formula>(F242="x")</formula>
    </cfRule>
  </conditionalFormatting>
  <conditionalFormatting sqref="F59:BA74 F78:BA80 F91:BA104 F84:BA84">
    <cfRule type="expression" dxfId="664" priority="151198">
      <formula>(F188="x")</formula>
    </cfRule>
  </conditionalFormatting>
  <conditionalFormatting sqref="F91:BA104 F82:BA83">
    <cfRule type="expression" dxfId="663" priority="151228">
      <formula>(F186="x")</formula>
    </cfRule>
  </conditionalFormatting>
  <conditionalFormatting sqref="F85:BA104 F65:BA82 F50:BA63 F38:BA44">
    <cfRule type="expression" dxfId="662" priority="151234">
      <formula>(F186="x")</formula>
    </cfRule>
  </conditionalFormatting>
  <conditionalFormatting sqref="F85:BA91 F69:BA82 F103:BA104 F52:BA64 F49:BA49">
    <cfRule type="expression" dxfId="661" priority="151238">
      <formula>(F188="x")</formula>
    </cfRule>
  </conditionalFormatting>
  <conditionalFormatting sqref="F103:BA104">
    <cfRule type="expression" dxfId="660" priority="151247">
      <formula>(F312="x")</formula>
    </cfRule>
    <cfRule type="expression" dxfId="659" priority="151248">
      <formula>(F314="x")</formula>
    </cfRule>
  </conditionalFormatting>
  <conditionalFormatting sqref="F75:BA80 F69:BA70 F62:BA64 F83:BA83 F85:BA90 F103:BA104 F92:BA95 F36:BA45 F16:BA30 F13:BA13 F10:BA11 F47:BA47">
    <cfRule type="expression" dxfId="658" priority="151249">
      <formula>(F245="x")</formula>
    </cfRule>
  </conditionalFormatting>
  <conditionalFormatting sqref="F103:BA104">
    <cfRule type="expression" dxfId="657" priority="151260">
      <formula>(F301="x")</formula>
    </cfRule>
    <cfRule type="expression" dxfId="656" priority="151261">
      <formula>(F321="x")</formula>
    </cfRule>
    <cfRule type="expression" dxfId="655" priority="151262">
      <formula>(F339="x")</formula>
    </cfRule>
    <cfRule type="expression" dxfId="654" priority="151263">
      <formula>(F298="x")</formula>
    </cfRule>
    <cfRule type="expression" dxfId="653" priority="151264">
      <formula>(F331="x")</formula>
    </cfRule>
    <cfRule type="expression" dxfId="652" priority="151265">
      <formula>(F345="x")</formula>
    </cfRule>
    <cfRule type="expression" dxfId="651" priority="151266">
      <formula>(F343="x")</formula>
    </cfRule>
    <cfRule type="expression" dxfId="650" priority="151267">
      <formula>(F341="x")</formula>
    </cfRule>
    <cfRule type="expression" dxfId="649" priority="151268">
      <formula>(F330="x")</formula>
    </cfRule>
    <cfRule type="expression" dxfId="648" priority="151269">
      <formula>(F329="x")</formula>
    </cfRule>
    <cfRule type="expression" dxfId="647" priority="151270">
      <formula>(F324="x")</formula>
    </cfRule>
    <cfRule type="expression" dxfId="646" priority="151271">
      <formula>(F292="x")</formula>
    </cfRule>
    <cfRule type="expression" dxfId="645" priority="151272">
      <formula>(F291="x")</formula>
    </cfRule>
    <cfRule type="expression" dxfId="644" priority="151273">
      <formula>(F286="x")</formula>
    </cfRule>
    <cfRule type="expression" dxfId="643" priority="151274">
      <formula>(F322="x")</formula>
    </cfRule>
    <cfRule type="expression" dxfId="642" priority="151275">
      <formula>(F282="x")</formula>
    </cfRule>
    <cfRule type="expression" dxfId="641" priority="151276">
      <formula>(F305="x")</formula>
    </cfRule>
    <cfRule type="expression" dxfId="640" priority="151277">
      <formula>(F295="x")</formula>
    </cfRule>
    <cfRule type="expression" dxfId="639" priority="151278">
      <formula>(F293="x")</formula>
    </cfRule>
    <cfRule type="expression" dxfId="638" priority="151279">
      <formula>(F287="x")</formula>
    </cfRule>
    <cfRule type="expression" dxfId="637" priority="151280">
      <formula>(F311="x")</formula>
    </cfRule>
    <cfRule type="expression" dxfId="636" priority="151281">
      <formula>(F299="x")</formula>
    </cfRule>
    <cfRule type="expression" dxfId="635" priority="151282">
      <formula>(F336="x")</formula>
    </cfRule>
    <cfRule type="expression" dxfId="634" priority="151283">
      <formula>(F296="x")</formula>
    </cfRule>
  </conditionalFormatting>
  <conditionalFormatting sqref="F103:BA104">
    <cfRule type="expression" dxfId="633" priority="151284">
      <formula>(F288="x")</formula>
    </cfRule>
    <cfRule type="expression" dxfId="632" priority="151285">
      <formula>(F266="x")</formula>
    </cfRule>
  </conditionalFormatting>
  <conditionalFormatting sqref="F75:BA84 F55:BA68 F91:BA104 F46:BA51 F43:BA44">
    <cfRule type="expression" dxfId="631" priority="151286">
      <formula>(F185="x")</formula>
    </cfRule>
  </conditionalFormatting>
  <conditionalFormatting sqref="F103:BA104">
    <cfRule type="expression" dxfId="630" priority="151291">
      <formula>(F244="x")</formula>
    </cfRule>
    <cfRule type="expression" dxfId="629" priority="151292">
      <formula>(F243="x")</formula>
    </cfRule>
  </conditionalFormatting>
  <conditionalFormatting sqref="F103:BA104">
    <cfRule type="expression" dxfId="628" priority="151293">
      <formula>(F302="x")</formula>
    </cfRule>
    <cfRule type="expression" dxfId="627" priority="151294">
      <formula>(F241="x")</formula>
    </cfRule>
  </conditionalFormatting>
  <conditionalFormatting sqref="F69:BA76 F81:BA104 F78:BA78">
    <cfRule type="expression" dxfId="626" priority="151295">
      <formula>(F187="x")</formula>
    </cfRule>
  </conditionalFormatting>
  <conditionalFormatting sqref="F103:BA104">
    <cfRule type="expression" dxfId="625" priority="151298">
      <formula>(F219="x")</formula>
    </cfRule>
    <cfRule type="expression" dxfId="624" priority="151299">
      <formula>(F220="x")</formula>
    </cfRule>
  </conditionalFormatting>
  <conditionalFormatting sqref="F103:BA104">
    <cfRule type="expression" dxfId="623" priority="151300">
      <formula>(F325="x")</formula>
    </cfRule>
    <cfRule type="expression" dxfId="622" priority="151301">
      <formula>(F231="x")</formula>
    </cfRule>
    <cfRule type="expression" dxfId="621" priority="151302">
      <formula>(F328="x")</formula>
    </cfRule>
    <cfRule type="expression" dxfId="620" priority="151303">
      <formula>(F310="x")</formula>
    </cfRule>
    <cfRule type="expression" dxfId="619" priority="151304">
      <formula>(F309="x")</formula>
    </cfRule>
  </conditionalFormatting>
  <conditionalFormatting sqref="F103:BA104">
    <cfRule type="expression" dxfId="618" priority="151305">
      <formula>(F313="x")</formula>
    </cfRule>
    <cfRule type="expression" dxfId="617" priority="151306">
      <formula>(F323="x")</formula>
    </cfRule>
    <cfRule type="expression" dxfId="616" priority="151307">
      <formula>(F337="x")</formula>
    </cfRule>
  </conditionalFormatting>
  <conditionalFormatting sqref="F103:BA104">
    <cfRule type="expression" dxfId="615" priority="151308">
      <formula>(F240="x")</formula>
    </cfRule>
    <cfRule type="expression" dxfId="614" priority="151309">
      <formula>(F250="x")</formula>
    </cfRule>
    <cfRule type="expression" dxfId="613" priority="151310">
      <formula>(F249="x")</formula>
    </cfRule>
  </conditionalFormatting>
  <conditionalFormatting sqref="F76:BA84 F103:BA104 F91:BA95">
    <cfRule type="expression" dxfId="612" priority="151311">
      <formula>(F188="x")</formula>
    </cfRule>
  </conditionalFormatting>
  <conditionalFormatting sqref="F103:BA104">
    <cfRule type="expression" dxfId="611" priority="151314">
      <formula>(F216="x")</formula>
    </cfRule>
    <cfRule type="expression" dxfId="610" priority="151315">
      <formula>(F316="x")</formula>
    </cfRule>
    <cfRule type="expression" dxfId="609" priority="151316">
      <formula>(F317="x")</formula>
    </cfRule>
    <cfRule type="expression" dxfId="608" priority="151317">
      <formula>(F297="x")</formula>
    </cfRule>
    <cfRule type="expression" dxfId="607" priority="151318">
      <formula>(F307="x")</formula>
    </cfRule>
    <cfRule type="expression" dxfId="606" priority="151319">
      <formula>(F306="x")</formula>
    </cfRule>
    <cfRule type="expression" dxfId="605" priority="151320">
      <formula>(F335="x")</formula>
    </cfRule>
    <cfRule type="expression" dxfId="604" priority="151321">
      <formula>(F333="x")</formula>
    </cfRule>
    <cfRule type="expression" dxfId="603" priority="151322">
      <formula>(F326="x")</formula>
    </cfRule>
    <cfRule type="expression" dxfId="602" priority="151323">
      <formula>(F213="x")</formula>
    </cfRule>
  </conditionalFormatting>
  <conditionalFormatting sqref="F103:BA104">
    <cfRule type="expression" dxfId="601" priority="151324">
      <formula>(F344="x")</formula>
    </cfRule>
    <cfRule type="expression" dxfId="600" priority="151325">
      <formula>(F214="x")</formula>
    </cfRule>
  </conditionalFormatting>
  <conditionalFormatting sqref="F103:BA104">
    <cfRule type="expression" dxfId="599" priority="151326">
      <formula>(F237="x")</formula>
    </cfRule>
    <cfRule type="expression" dxfId="598" priority="151327">
      <formula>(F227="x")</formula>
    </cfRule>
    <cfRule type="expression" dxfId="597" priority="151328">
      <formula>(F318="x")</formula>
    </cfRule>
    <cfRule type="expression" dxfId="596" priority="151329">
      <formula>(F308="x")</formula>
    </cfRule>
    <cfRule type="expression" dxfId="595" priority="151330">
      <formula>(F236="x")</formula>
    </cfRule>
    <cfRule type="expression" dxfId="594" priority="151331">
      <formula>(F211="x")</formula>
    </cfRule>
  </conditionalFormatting>
  <conditionalFormatting sqref="F103:BA104">
    <cfRule type="expression" dxfId="593" priority="151332">
      <formula>(F327="x")</formula>
    </cfRule>
    <cfRule type="expression" dxfId="592" priority="151333">
      <formula>(F212="x")</formula>
    </cfRule>
  </conditionalFormatting>
  <conditionalFormatting sqref="F103:BA104">
    <cfRule type="expression" dxfId="591" priority="151334">
      <formula>(F303="x")</formula>
    </cfRule>
    <cfRule type="expression" dxfId="590" priority="151335">
      <formula>(F304="x")</formula>
    </cfRule>
  </conditionalFormatting>
  <conditionalFormatting sqref="F103:BA104">
    <cfRule type="expression" dxfId="589" priority="151336">
      <formula>(F230="x")</formula>
    </cfRule>
    <cfRule type="expression" dxfId="588" priority="151337">
      <formula>(F205="x")</formula>
    </cfRule>
    <cfRule type="expression" dxfId="587" priority="151338">
      <formula>(F206="x")</formula>
    </cfRule>
  </conditionalFormatting>
  <conditionalFormatting sqref="F104:BA104">
    <cfRule type="expression" dxfId="586" priority="151339">
      <formula>(F204="x")</formula>
    </cfRule>
    <cfRule type="expression" dxfId="585" priority="151340">
      <formula>(F205="x")</formula>
    </cfRule>
    <cfRule type="expression" dxfId="584" priority="151341">
      <formula>(F351="x")</formula>
    </cfRule>
    <cfRule type="expression" dxfId="583" priority="151342">
      <formula>(F350="x")</formula>
    </cfRule>
  </conditionalFormatting>
  <conditionalFormatting sqref="F103:BA104">
    <cfRule type="expression" dxfId="582" priority="151343">
      <formula>(#REF!="x")</formula>
    </cfRule>
    <cfRule type="expression" dxfId="581" priority="151344">
      <formula>(F283="x")</formula>
    </cfRule>
    <cfRule type="expression" dxfId="580" priority="151345">
      <formula>(F281="x")</formula>
    </cfRule>
  </conditionalFormatting>
  <conditionalFormatting sqref="F55:BA64 F76:BA104 F69:BA74 F50:BA51 F42:BA44 F30:BA30 F32:BA40 F48:BA48">
    <cfRule type="expression" dxfId="579" priority="151346">
      <formula>(F187="x")</formula>
    </cfRule>
  </conditionalFormatting>
  <conditionalFormatting sqref="F103:BA104">
    <cfRule type="expression" dxfId="578" priority="151352">
      <formula>(F259="x")</formula>
    </cfRule>
    <cfRule type="expression" dxfId="577" priority="151353">
      <formula>(F258="x")</formula>
    </cfRule>
  </conditionalFormatting>
  <conditionalFormatting sqref="F103:BA104 F16:BA44 F11:BA11">
    <cfRule type="expression" dxfId="576" priority="151354">
      <formula>(F198="x")</formula>
    </cfRule>
    <cfRule type="expression" dxfId="575" priority="151355">
      <formula>(F197="x")</formula>
    </cfRule>
  </conditionalFormatting>
  <conditionalFormatting sqref="F18:BA44">
    <cfRule type="expression" dxfId="574" priority="151369">
      <formula>(F312="x")</formula>
    </cfRule>
  </conditionalFormatting>
  <conditionalFormatting sqref="F39:BA44">
    <cfRule type="expression" dxfId="573" priority="151458">
      <formula>(F245="x")</formula>
    </cfRule>
    <cfRule type="expression" dxfId="572" priority="151459">
      <formula>(F244="x")</formula>
    </cfRule>
  </conditionalFormatting>
  <conditionalFormatting sqref="F11:BA13">
    <cfRule type="expression" dxfId="571" priority="151910">
      <formula>(F279="x")</formula>
    </cfRule>
  </conditionalFormatting>
  <conditionalFormatting sqref="F41:BA44">
    <cfRule type="expression" dxfId="570" priority="151965">
      <formula>(F323="x")</formula>
    </cfRule>
    <cfRule type="expression" dxfId="569" priority="151966">
      <formula>(F324="x")</formula>
    </cfRule>
  </conditionalFormatting>
  <conditionalFormatting sqref="F41:BA44">
    <cfRule type="expression" dxfId="568" priority="151970">
      <formula>(F344="x")</formula>
    </cfRule>
    <cfRule type="expression" dxfId="567" priority="151971">
      <formula>(F348="x")</formula>
    </cfRule>
    <cfRule type="expression" dxfId="566" priority="151972">
      <formula>(F343="x")</formula>
    </cfRule>
  </conditionalFormatting>
  <conditionalFormatting sqref="F41:BA44">
    <cfRule type="expression" dxfId="565" priority="151975">
      <formula>(F317="x")</formula>
    </cfRule>
    <cfRule type="expression" dxfId="564" priority="151976">
      <formula>(F321="x")</formula>
    </cfRule>
  </conditionalFormatting>
  <conditionalFormatting sqref="F41:BA44">
    <cfRule type="expression" dxfId="563" priority="151982">
      <formula>(F331="x")</formula>
    </cfRule>
    <cfRule type="expression" dxfId="562" priority="151983">
      <formula>(F330="x")</formula>
    </cfRule>
    <cfRule type="expression" dxfId="561" priority="151984">
      <formula>(F327="x")</formula>
    </cfRule>
    <cfRule type="expression" dxfId="560" priority="151985">
      <formula>(F326="x")</formula>
    </cfRule>
    <cfRule type="expression" dxfId="559" priority="151986">
      <formula>(F325="x")</formula>
    </cfRule>
  </conditionalFormatting>
  <conditionalFormatting sqref="F41:BA44">
    <cfRule type="expression" dxfId="558" priority="151994">
      <formula>(F337="x")</formula>
    </cfRule>
    <cfRule type="expression" dxfId="557" priority="151995">
      <formula>(F332="x")</formula>
    </cfRule>
    <cfRule type="expression" dxfId="556" priority="151996">
      <formula>(F336="x")</formula>
    </cfRule>
    <cfRule type="expression" dxfId="555" priority="151997">
      <formula>(F333="x")</formula>
    </cfRule>
    <cfRule type="expression" dxfId="554" priority="151998">
      <formula>(F335="x")</formula>
    </cfRule>
    <cfRule type="expression" dxfId="553" priority="151999">
      <formula>(F328="x")</formula>
    </cfRule>
    <cfRule type="expression" dxfId="552" priority="152000">
      <formula>(F329="x")</formula>
    </cfRule>
  </conditionalFormatting>
  <conditionalFormatting sqref="F41:BA44">
    <cfRule type="expression" dxfId="551" priority="152007">
      <formula>(F334="x")</formula>
    </cfRule>
    <cfRule type="expression" dxfId="550" priority="152008">
      <formula>(F192="x")</formula>
    </cfRule>
  </conditionalFormatting>
  <conditionalFormatting sqref="F41:BA44">
    <cfRule type="expression" dxfId="549" priority="152011">
      <formula>(F316="x")</formula>
    </cfRule>
    <cfRule type="expression" dxfId="548" priority="152012">
      <formula>(F315="x")</formula>
    </cfRule>
  </conditionalFormatting>
  <conditionalFormatting sqref="F41:BA44">
    <cfRule type="expression" dxfId="547" priority="152015">
      <formula>(F260="x")</formula>
    </cfRule>
    <cfRule type="expression" dxfId="546" priority="152016">
      <formula>(F261="x")</formula>
    </cfRule>
  </conditionalFormatting>
  <conditionalFormatting sqref="F41:BA44">
    <cfRule type="expression" dxfId="545" priority="152040">
      <formula>(F288="x")</formula>
    </cfRule>
    <cfRule type="expression" dxfId="544" priority="152041">
      <formula>(F287="x")</formula>
    </cfRule>
    <cfRule type="expression" dxfId="543" priority="152042">
      <formula>(F291="x")</formula>
    </cfRule>
    <cfRule type="expression" dxfId="542" priority="152043">
      <formula>(F292="x")</formula>
    </cfRule>
    <cfRule type="expression" dxfId="541" priority="152044">
      <formula>(F293="x")</formula>
    </cfRule>
    <cfRule type="expression" dxfId="540" priority="152045">
      <formula>(F294="x")</formula>
    </cfRule>
    <cfRule type="expression" dxfId="539" priority="152046">
      <formula>(F297="x")</formula>
    </cfRule>
    <cfRule type="expression" dxfId="538" priority="152047">
      <formula>(F309="x")</formula>
    </cfRule>
    <cfRule type="expression" dxfId="537" priority="152048">
      <formula>(F296="x")</formula>
    </cfRule>
    <cfRule type="expression" dxfId="536" priority="152049">
      <formula>(F295="x")</formula>
    </cfRule>
    <cfRule type="expression" dxfId="535" priority="152050">
      <formula>(F310="x")</formula>
    </cfRule>
    <cfRule type="expression" dxfId="534" priority="152051">
      <formula>(F305="x")</formula>
    </cfRule>
    <cfRule type="expression" dxfId="533" priority="152052">
      <formula>(F308="x")</formula>
    </cfRule>
    <cfRule type="expression" dxfId="532" priority="152053">
      <formula>(F304="x")</formula>
    </cfRule>
    <cfRule type="expression" dxfId="531" priority="152054">
      <formula>(F307="x")</formula>
    </cfRule>
    <cfRule type="expression" dxfId="530" priority="152055">
      <formula>(F303="x")</formula>
    </cfRule>
    <cfRule type="expression" dxfId="529" priority="152056">
      <formula>(F306="x")</formula>
    </cfRule>
    <cfRule type="expression" dxfId="528" priority="152057">
      <formula>(F302="x")</formula>
    </cfRule>
    <cfRule type="expression" dxfId="527" priority="152058">
      <formula>(F301="x")</formula>
    </cfRule>
    <cfRule type="expression" dxfId="526" priority="152059">
      <formula>(F300="x")</formula>
    </cfRule>
    <cfRule type="expression" dxfId="525" priority="152060">
      <formula>(F298="x")</formula>
    </cfRule>
    <cfRule type="expression" dxfId="524" priority="152061">
      <formula>(F284="x")</formula>
    </cfRule>
    <cfRule type="expression" dxfId="523" priority="152062">
      <formula>(F283="x")</formula>
    </cfRule>
  </conditionalFormatting>
  <conditionalFormatting sqref="F41:BA44">
    <cfRule type="expression" dxfId="522" priority="152065">
      <formula>(F313="x")</formula>
    </cfRule>
    <cfRule type="expression" dxfId="521" priority="152066">
      <formula>(F311="x")</formula>
    </cfRule>
  </conditionalFormatting>
  <conditionalFormatting sqref="F41:BA44">
    <cfRule type="expression" dxfId="520" priority="152073">
      <formula>(F286="x")</formula>
    </cfRule>
    <cfRule type="expression" dxfId="519" priority="152074">
      <formula>(F277="x")</formula>
    </cfRule>
    <cfRule type="expression" dxfId="518" priority="152075">
      <formula>(F275="x")</formula>
    </cfRule>
    <cfRule type="expression" dxfId="517" priority="152076">
      <formula>(F282="x")</formula>
    </cfRule>
    <cfRule type="expression" dxfId="516" priority="152077">
      <formula>(F278="x")</formula>
    </cfRule>
    <cfRule type="expression" dxfId="515" priority="152078">
      <formula>(F272="x")</formula>
    </cfRule>
  </conditionalFormatting>
  <conditionalFormatting sqref="F41:BA44">
    <cfRule type="expression" dxfId="514" priority="152084">
      <formula>(F240="x")</formula>
    </cfRule>
    <cfRule type="expression" dxfId="513" priority="152085">
      <formula>(F222="x")</formula>
    </cfRule>
    <cfRule type="expression" dxfId="512" priority="152086">
      <formula>(F221="x")</formula>
    </cfRule>
    <cfRule type="expression" dxfId="511" priority="152087">
      <formula>(F237="x")</formula>
    </cfRule>
    <cfRule type="expression" dxfId="510" priority="152088">
      <formula>(F246="x")</formula>
    </cfRule>
  </conditionalFormatting>
  <conditionalFormatting sqref="F41:BA44">
    <cfRule type="expression" dxfId="509" priority="152091">
      <formula>(F249="x")</formula>
    </cfRule>
    <cfRule type="expression" dxfId="508" priority="152092">
      <formula>(F235="x")</formula>
    </cfRule>
  </conditionalFormatting>
  <conditionalFormatting sqref="F41:BA44">
    <cfRule type="expression" dxfId="507" priority="152102">
      <formula>(F202="x")</formula>
    </cfRule>
    <cfRule type="expression" dxfId="506" priority="152103">
      <formula>(F218="x")</formula>
    </cfRule>
    <cfRule type="expression" dxfId="505" priority="152104">
      <formula>(F239="x")</formula>
    </cfRule>
    <cfRule type="expression" dxfId="504" priority="152105">
      <formula>(F201="x")</formula>
    </cfRule>
    <cfRule type="expression" dxfId="503" priority="152106">
      <formula>(F209="x")</formula>
    </cfRule>
    <cfRule type="expression" dxfId="502" priority="152107">
      <formula>(F247="x")</formula>
    </cfRule>
    <cfRule type="expression" dxfId="501" priority="152108">
      <formula>(F245="x")</formula>
    </cfRule>
    <cfRule type="expression" dxfId="500" priority="152109">
      <formula>(F238="x")</formula>
    </cfRule>
    <cfRule type="expression" dxfId="499" priority="152110">
      <formula>(F228="x")</formula>
    </cfRule>
  </conditionalFormatting>
  <conditionalFormatting sqref="F41:BA44">
    <cfRule type="expression" dxfId="498" priority="152120">
      <formula>(F274="x")</formula>
    </cfRule>
    <cfRule type="expression" dxfId="497" priority="152121">
      <formula>(F270="x")</formula>
    </cfRule>
    <cfRule type="expression" dxfId="496" priority="152122">
      <formula>(F265="x")</formula>
    </cfRule>
    <cfRule type="expression" dxfId="495" priority="152123">
      <formula>(F269="x")</formula>
    </cfRule>
    <cfRule type="expression" dxfId="494" priority="152124">
      <formula>(F267="x")</formula>
    </cfRule>
    <cfRule type="expression" dxfId="493" priority="152125">
      <formula>(F271="x")</formula>
    </cfRule>
    <cfRule type="expression" dxfId="492" priority="152126">
      <formula>(F262="x")</formula>
    </cfRule>
    <cfRule type="expression" dxfId="491" priority="152127">
      <formula>(F273="x")</formula>
    </cfRule>
    <cfRule type="expression" dxfId="490" priority="152128">
      <formula>(F191="x")</formula>
    </cfRule>
  </conditionalFormatting>
  <conditionalFormatting sqref="F41:BA44">
    <cfRule type="expression" dxfId="489" priority="152131">
      <formula>(F224="x")</formula>
    </cfRule>
    <cfRule type="expression" dxfId="488" priority="152132">
      <formula>(F226="x")</formula>
    </cfRule>
  </conditionalFormatting>
  <conditionalFormatting sqref="F41:BA44">
    <cfRule type="expression" dxfId="487" priority="152136">
      <formula>(F259="x")</formula>
    </cfRule>
    <cfRule type="expression" dxfId="486" priority="152137">
      <formula>(F263="x")</formula>
    </cfRule>
    <cfRule type="expression" dxfId="485" priority="152138">
      <formula>(F189="x")</formula>
    </cfRule>
  </conditionalFormatting>
  <conditionalFormatting sqref="F41:BA44">
    <cfRule type="expression" dxfId="484" priority="152163">
      <formula>(F213="x")</formula>
    </cfRule>
    <cfRule type="expression" dxfId="483" priority="152164">
      <formula>(F233="x")</formula>
    </cfRule>
    <cfRule type="expression" dxfId="482" priority="152165">
      <formula>(F251="x")</formula>
    </cfRule>
    <cfRule type="expression" dxfId="481" priority="152166">
      <formula>(F210="x")</formula>
    </cfRule>
    <cfRule type="expression" dxfId="480" priority="152167">
      <formula>(F243="x")</formula>
    </cfRule>
    <cfRule type="expression" dxfId="479" priority="152168">
      <formula>(F257="x")</formula>
    </cfRule>
    <cfRule type="expression" dxfId="478" priority="152169">
      <formula>(F255="x")</formula>
    </cfRule>
    <cfRule type="expression" dxfId="477" priority="152170">
      <formula>(F253="x")</formula>
    </cfRule>
    <cfRule type="expression" dxfId="476" priority="152171">
      <formula>(F242="x")</formula>
    </cfRule>
    <cfRule type="expression" dxfId="475" priority="152172">
      <formula>(F241="x")</formula>
    </cfRule>
    <cfRule type="expression" dxfId="474" priority="152173">
      <formula>(F236="x")</formula>
    </cfRule>
    <cfRule type="expression" dxfId="473" priority="152174">
      <formula>(F204="x")</formula>
    </cfRule>
    <cfRule type="expression" dxfId="472" priority="152175">
      <formula>(F203="x")</formula>
    </cfRule>
    <cfRule type="expression" dxfId="471" priority="152176">
      <formula>(F198="x")</formula>
    </cfRule>
    <cfRule type="expression" dxfId="470" priority="152177">
      <formula>(F234="x")</formula>
    </cfRule>
    <cfRule type="expression" dxfId="469" priority="152178">
      <formula>(F194="x")</formula>
    </cfRule>
    <cfRule type="expression" dxfId="468" priority="152179">
      <formula>(F217="x")</formula>
    </cfRule>
    <cfRule type="expression" dxfId="467" priority="152180">
      <formula>(F207="x")</formula>
    </cfRule>
    <cfRule type="expression" dxfId="466" priority="152181">
      <formula>(F205="x")</formula>
    </cfRule>
    <cfRule type="expression" dxfId="465" priority="152182">
      <formula>(F199="x")</formula>
    </cfRule>
    <cfRule type="expression" dxfId="464" priority="152183">
      <formula>(F223="x")</formula>
    </cfRule>
    <cfRule type="expression" dxfId="463" priority="152184">
      <formula>(F211="x")</formula>
    </cfRule>
    <cfRule type="expression" dxfId="462" priority="152185">
      <formula>(F248="x")</formula>
    </cfRule>
    <cfRule type="expression" dxfId="461" priority="152186">
      <formula>(F208="x")</formula>
    </cfRule>
  </conditionalFormatting>
  <conditionalFormatting sqref="F41:BA44">
    <cfRule type="expression" dxfId="460" priority="152190">
      <formula>(#REF!="x")</formula>
    </cfRule>
    <cfRule type="expression" dxfId="459" priority="152191">
      <formula>(F195="x")</formula>
    </cfRule>
    <cfRule type="expression" dxfId="458" priority="152192">
      <formula>(F193="x")</formula>
    </cfRule>
  </conditionalFormatting>
  <conditionalFormatting sqref="F45:BA45">
    <cfRule type="expression" dxfId="457" priority="152364">
      <formula>(F343="x")</formula>
    </cfRule>
    <cfRule type="expression" dxfId="456" priority="152365">
      <formula>(F347="x")</formula>
    </cfRule>
    <cfRule type="expression" dxfId="455" priority="152366">
      <formula>(F342="x")</formula>
    </cfRule>
  </conditionalFormatting>
  <conditionalFormatting sqref="F45:BA45">
    <cfRule type="expression" dxfId="454" priority="152368">
      <formula>(F316="x")</formula>
    </cfRule>
    <cfRule type="expression" dxfId="453" priority="152369">
      <formula>(F320="x")</formula>
    </cfRule>
  </conditionalFormatting>
  <conditionalFormatting sqref="F45:BA45">
    <cfRule type="expression" dxfId="452" priority="152370">
      <formula>(F330="x")</formula>
    </cfRule>
    <cfRule type="expression" dxfId="451" priority="152371">
      <formula>(F329="x")</formula>
    </cfRule>
    <cfRule type="expression" dxfId="450" priority="152372">
      <formula>(F326="x")</formula>
    </cfRule>
    <cfRule type="expression" dxfId="449" priority="152373">
      <formula>(F325="x")</formula>
    </cfRule>
    <cfRule type="expression" dxfId="448" priority="152374">
      <formula>(F324="x")</formula>
    </cfRule>
  </conditionalFormatting>
  <conditionalFormatting sqref="F45:BA45">
    <cfRule type="expression" dxfId="447" priority="152375">
      <formula>(F336="x")</formula>
    </cfRule>
    <cfRule type="expression" dxfId="446" priority="152376">
      <formula>(F331="x")</formula>
    </cfRule>
    <cfRule type="expression" dxfId="445" priority="152377">
      <formula>(F335="x")</formula>
    </cfRule>
    <cfRule type="expression" dxfId="444" priority="152378">
      <formula>(F332="x")</formula>
    </cfRule>
    <cfRule type="expression" dxfId="443" priority="152379">
      <formula>(F334="x")</formula>
    </cfRule>
    <cfRule type="expression" dxfId="442" priority="152380">
      <formula>(F327="x")</formula>
    </cfRule>
    <cfRule type="expression" dxfId="441" priority="152381">
      <formula>(F328="x")</formula>
    </cfRule>
  </conditionalFormatting>
  <conditionalFormatting sqref="F45:BA45">
    <cfRule type="expression" dxfId="440" priority="152382">
      <formula>(F340="x")</formula>
    </cfRule>
    <cfRule type="expression" dxfId="439" priority="152383">
      <formula>(F339="x")</formula>
    </cfRule>
  </conditionalFormatting>
  <conditionalFormatting sqref="F45:BA45">
    <cfRule type="expression" dxfId="438" priority="152384">
      <formula>(F333="x")</formula>
    </cfRule>
    <cfRule type="expression" dxfId="437" priority="152385">
      <formula>(F191="x")</formula>
    </cfRule>
  </conditionalFormatting>
  <conditionalFormatting sqref="F45:BA45">
    <cfRule type="expression" dxfId="436" priority="152386">
      <formula>(F315="x")</formula>
    </cfRule>
    <cfRule type="expression" dxfId="435" priority="152387">
      <formula>(F314="x")</formula>
    </cfRule>
  </conditionalFormatting>
  <conditionalFormatting sqref="F45:BA45">
    <cfRule type="expression" dxfId="434" priority="152388">
      <formula>(F259="x")</formula>
    </cfRule>
    <cfRule type="expression" dxfId="433" priority="152389">
      <formula>(F260="x")</formula>
    </cfRule>
  </conditionalFormatting>
  <conditionalFormatting sqref="F45:BA45">
    <cfRule type="expression" dxfId="432" priority="152390">
      <formula>(F287="x")</formula>
    </cfRule>
    <cfRule type="expression" dxfId="431" priority="152391">
      <formula>(F286="x")</formula>
    </cfRule>
    <cfRule type="expression" dxfId="430" priority="152392">
      <formula>(F290="x")</formula>
    </cfRule>
    <cfRule type="expression" dxfId="429" priority="152393">
      <formula>(F291="x")</formula>
    </cfRule>
    <cfRule type="expression" dxfId="428" priority="152394">
      <formula>(F292="x")</formula>
    </cfRule>
    <cfRule type="expression" dxfId="427" priority="152395">
      <formula>(F293="x")</formula>
    </cfRule>
    <cfRule type="expression" dxfId="426" priority="152396">
      <formula>(F296="x")</formula>
    </cfRule>
    <cfRule type="expression" dxfId="425" priority="152397">
      <formula>(F308="x")</formula>
    </cfRule>
    <cfRule type="expression" dxfId="424" priority="152398">
      <formula>(F295="x")</formula>
    </cfRule>
    <cfRule type="expression" dxfId="423" priority="152399">
      <formula>(F294="x")</formula>
    </cfRule>
    <cfRule type="expression" dxfId="422" priority="152400">
      <formula>(F309="x")</formula>
    </cfRule>
    <cfRule type="expression" dxfId="421" priority="152401">
      <formula>(F304="x")</formula>
    </cfRule>
    <cfRule type="expression" dxfId="420" priority="152402">
      <formula>(F307="x")</formula>
    </cfRule>
    <cfRule type="expression" dxfId="419" priority="152403">
      <formula>(F303="x")</formula>
    </cfRule>
    <cfRule type="expression" dxfId="418" priority="152404">
      <formula>(F306="x")</formula>
    </cfRule>
    <cfRule type="expression" dxfId="417" priority="152405">
      <formula>(F302="x")</formula>
    </cfRule>
    <cfRule type="expression" dxfId="416" priority="152406">
      <formula>(F305="x")</formula>
    </cfRule>
    <cfRule type="expression" dxfId="415" priority="152407">
      <formula>(F301="x")</formula>
    </cfRule>
    <cfRule type="expression" dxfId="414" priority="152408">
      <formula>(F300="x")</formula>
    </cfRule>
    <cfRule type="expression" dxfId="413" priority="152409">
      <formula>(F299="x")</formula>
    </cfRule>
    <cfRule type="expression" dxfId="412" priority="152410">
      <formula>(F297="x")</formula>
    </cfRule>
    <cfRule type="expression" dxfId="411" priority="152411">
      <formula>(F283="x")</formula>
    </cfRule>
    <cfRule type="expression" dxfId="410" priority="152412">
      <formula>(F282="x")</formula>
    </cfRule>
  </conditionalFormatting>
  <conditionalFormatting sqref="F45:BA45">
    <cfRule type="expression" dxfId="409" priority="152413">
      <formula>(F312="x")</formula>
    </cfRule>
    <cfRule type="expression" dxfId="408" priority="152414">
      <formula>(F310="x")</formula>
    </cfRule>
  </conditionalFormatting>
  <conditionalFormatting sqref="F45:BA45">
    <cfRule type="expression" dxfId="407" priority="152415">
      <formula>(F285="x")</formula>
    </cfRule>
    <cfRule type="expression" dxfId="406" priority="152416">
      <formula>(F276="x")</formula>
    </cfRule>
    <cfRule type="expression" dxfId="405" priority="152417">
      <formula>(F274="x")</formula>
    </cfRule>
    <cfRule type="expression" dxfId="404" priority="152418">
      <formula>(F281="x")</formula>
    </cfRule>
    <cfRule type="expression" dxfId="403" priority="152419">
      <formula>(F277="x")</formula>
    </cfRule>
    <cfRule type="expression" dxfId="402" priority="152420">
      <formula>(F271="x")</formula>
    </cfRule>
  </conditionalFormatting>
  <conditionalFormatting sqref="F45:BA45">
    <cfRule type="expression" dxfId="401" priority="152421">
      <formula>(F239="x")</formula>
    </cfRule>
    <cfRule type="expression" dxfId="400" priority="152422">
      <formula>(F221="x")</formula>
    </cfRule>
    <cfRule type="expression" dxfId="399" priority="152423">
      <formula>(F220="x")</formula>
    </cfRule>
    <cfRule type="expression" dxfId="398" priority="152424">
      <formula>(F236="x")</formula>
    </cfRule>
    <cfRule type="expression" dxfId="397" priority="152425">
      <formula>(F245="x")</formula>
    </cfRule>
  </conditionalFormatting>
  <conditionalFormatting sqref="F45:BA45">
    <cfRule type="expression" dxfId="396" priority="152426">
      <formula>(F248="x")</formula>
    </cfRule>
    <cfRule type="expression" dxfId="395" priority="152427">
      <formula>(F234="x")</formula>
    </cfRule>
  </conditionalFormatting>
  <conditionalFormatting sqref="F45:BA45">
    <cfRule type="expression" dxfId="394" priority="152428">
      <formula>(F201="x")</formula>
    </cfRule>
    <cfRule type="expression" dxfId="393" priority="152429">
      <formula>(F217="x")</formula>
    </cfRule>
    <cfRule type="expression" dxfId="392" priority="152430">
      <formula>(F238="x")</formula>
    </cfRule>
    <cfRule type="expression" dxfId="391" priority="152431">
      <formula>(F200="x")</formula>
    </cfRule>
    <cfRule type="expression" dxfId="390" priority="152432">
      <formula>(F208="x")</formula>
    </cfRule>
    <cfRule type="expression" dxfId="389" priority="152433">
      <formula>(F246="x")</formula>
    </cfRule>
    <cfRule type="expression" dxfId="388" priority="152434">
      <formula>(F244="x")</formula>
    </cfRule>
    <cfRule type="expression" dxfId="387" priority="152435">
      <formula>(F237="x")</formula>
    </cfRule>
    <cfRule type="expression" dxfId="386" priority="152436">
      <formula>(F227="x")</formula>
    </cfRule>
  </conditionalFormatting>
  <conditionalFormatting sqref="F45:BA45">
    <cfRule type="expression" dxfId="385" priority="152437">
      <formula>(F273="x")</formula>
    </cfRule>
    <cfRule type="expression" dxfId="384" priority="152438">
      <formula>(F269="x")</formula>
    </cfRule>
    <cfRule type="expression" dxfId="383" priority="152439">
      <formula>(F264="x")</formula>
    </cfRule>
    <cfRule type="expression" dxfId="382" priority="152440">
      <formula>(F268="x")</formula>
    </cfRule>
    <cfRule type="expression" dxfId="381" priority="152441">
      <formula>(F266="x")</formula>
    </cfRule>
    <cfRule type="expression" dxfId="380" priority="152442">
      <formula>(F270="x")</formula>
    </cfRule>
    <cfRule type="expression" dxfId="379" priority="152443">
      <formula>(F261="x")</formula>
    </cfRule>
    <cfRule type="expression" dxfId="378" priority="152444">
      <formula>(F272="x")</formula>
    </cfRule>
    <cfRule type="expression" dxfId="377" priority="152445">
      <formula>(F190="x")</formula>
    </cfRule>
  </conditionalFormatting>
  <conditionalFormatting sqref="F45:BA45">
    <cfRule type="expression" dxfId="376" priority="152448">
      <formula>(F223="x")</formula>
    </cfRule>
    <cfRule type="expression" dxfId="375" priority="152449">
      <formula>(F225="x")</formula>
    </cfRule>
  </conditionalFormatting>
  <conditionalFormatting sqref="F45:BA45">
    <cfRule type="expression" dxfId="374" priority="152452">
      <formula>(F258="x")</formula>
    </cfRule>
    <cfRule type="expression" dxfId="373" priority="152453">
      <formula>(F262="x")</formula>
    </cfRule>
    <cfRule type="expression" dxfId="372" priority="152454">
      <formula>(F188="x")</formula>
    </cfRule>
  </conditionalFormatting>
  <conditionalFormatting sqref="F45:BA45">
    <cfRule type="expression" dxfId="371" priority="152455">
      <formula>(F212="x")</formula>
    </cfRule>
    <cfRule type="expression" dxfId="370" priority="152456">
      <formula>(F232="x")</formula>
    </cfRule>
    <cfRule type="expression" dxfId="369" priority="152457">
      <formula>(F250="x")</formula>
    </cfRule>
    <cfRule type="expression" dxfId="368" priority="152458">
      <formula>(F209="x")</formula>
    </cfRule>
    <cfRule type="expression" dxfId="367" priority="152459">
      <formula>(F242="x")</formula>
    </cfRule>
    <cfRule type="expression" dxfId="366" priority="152460">
      <formula>(F256="x")</formula>
    </cfRule>
    <cfRule type="expression" dxfId="365" priority="152461">
      <formula>(F254="x")</formula>
    </cfRule>
    <cfRule type="expression" dxfId="364" priority="152462">
      <formula>(F252="x")</formula>
    </cfRule>
    <cfRule type="expression" dxfId="363" priority="152463">
      <formula>(F241="x")</formula>
    </cfRule>
    <cfRule type="expression" dxfId="362" priority="152464">
      <formula>(F240="x")</formula>
    </cfRule>
    <cfRule type="expression" dxfId="361" priority="152465">
      <formula>(F235="x")</formula>
    </cfRule>
    <cfRule type="expression" dxfId="360" priority="152466">
      <formula>(F203="x")</formula>
    </cfRule>
    <cfRule type="expression" dxfId="359" priority="152467">
      <formula>(F202="x")</formula>
    </cfRule>
    <cfRule type="expression" dxfId="358" priority="152468">
      <formula>(F197="x")</formula>
    </cfRule>
    <cfRule type="expression" dxfId="357" priority="152469">
      <formula>(F233="x")</formula>
    </cfRule>
    <cfRule type="expression" dxfId="356" priority="152470">
      <formula>(F193="x")</formula>
    </cfRule>
    <cfRule type="expression" dxfId="355" priority="152471">
      <formula>(F216="x")</formula>
    </cfRule>
    <cfRule type="expression" dxfId="354" priority="152472">
      <formula>(F206="x")</formula>
    </cfRule>
    <cfRule type="expression" dxfId="353" priority="152473">
      <formula>(F204="x")</formula>
    </cfRule>
    <cfRule type="expression" dxfId="352" priority="152474">
      <formula>(F198="x")</formula>
    </cfRule>
    <cfRule type="expression" dxfId="351" priority="152475">
      <formula>(F222="x")</formula>
    </cfRule>
    <cfRule type="expression" dxfId="350" priority="152476">
      <formula>(F210="x")</formula>
    </cfRule>
    <cfRule type="expression" dxfId="349" priority="152477">
      <formula>(F247="x")</formula>
    </cfRule>
    <cfRule type="expression" dxfId="348" priority="152478">
      <formula>(F207="x")</formula>
    </cfRule>
  </conditionalFormatting>
  <conditionalFormatting sqref="F45:BA45">
    <cfRule type="expression" dxfId="347" priority="152479">
      <formula>(#REF!="x")</formula>
    </cfRule>
    <cfRule type="expression" dxfId="346" priority="152480">
      <formula>(F194="x")</formula>
    </cfRule>
    <cfRule type="expression" dxfId="345" priority="152481">
      <formula>(F192="x")</formula>
    </cfRule>
  </conditionalFormatting>
  <conditionalFormatting sqref="F17:BA44">
    <cfRule type="expression" dxfId="344" priority="152938">
      <formula>(F297="x")</formula>
    </cfRule>
    <cfRule type="expression" dxfId="343" priority="152939">
      <formula>(F298="x")</formula>
    </cfRule>
  </conditionalFormatting>
  <conditionalFormatting sqref="F41:BA44">
    <cfRule type="expression" dxfId="342" priority="152964">
      <formula>(F346="x")</formula>
    </cfRule>
    <cfRule type="expression" dxfId="341" priority="152965">
      <formula>(F345="x")</formula>
    </cfRule>
  </conditionalFormatting>
  <conditionalFormatting sqref="F30:BA30">
    <cfRule type="expression" dxfId="340" priority="152975">
      <formula>(F293="x")</formula>
    </cfRule>
    <cfRule type="expression" dxfId="339" priority="152976">
      <formula>(F284="x")</formula>
    </cfRule>
    <cfRule type="expression" dxfId="338" priority="152977">
      <formula>(F282="x")</formula>
    </cfRule>
    <cfRule type="expression" dxfId="337" priority="152978">
      <formula>(F289="x")</formula>
    </cfRule>
    <cfRule type="expression" dxfId="336" priority="152979">
      <formula>(F285="x")</formula>
    </cfRule>
    <cfRule type="expression" dxfId="335" priority="152980">
      <formula>(F279="x")</formula>
    </cfRule>
  </conditionalFormatting>
  <conditionalFormatting sqref="F42:BA44">
    <cfRule type="expression" dxfId="334" priority="153037">
      <formula>(F326="x")</formula>
    </cfRule>
    <cfRule type="expression" dxfId="333" priority="153038">
      <formula>(F327="x")</formula>
    </cfRule>
  </conditionalFormatting>
  <conditionalFormatting sqref="F42:BA44">
    <cfRule type="expression" dxfId="332" priority="153042">
      <formula>(F347="x")</formula>
    </cfRule>
    <cfRule type="expression" dxfId="331" priority="153043">
      <formula>(F351="x")</formula>
    </cfRule>
    <cfRule type="expression" dxfId="330" priority="153044">
      <formula>(F346="x")</formula>
    </cfRule>
  </conditionalFormatting>
  <conditionalFormatting sqref="F42:BA44">
    <cfRule type="expression" dxfId="329" priority="153049">
      <formula>(F320="x")</formula>
    </cfRule>
    <cfRule type="expression" dxfId="328" priority="153050">
      <formula>(F324="x")</formula>
    </cfRule>
  </conditionalFormatting>
  <conditionalFormatting sqref="F42:BA44">
    <cfRule type="expression" dxfId="327" priority="153056">
      <formula>(F334="x")</formula>
    </cfRule>
    <cfRule type="expression" dxfId="326" priority="153057">
      <formula>(F333="x")</formula>
    </cfRule>
    <cfRule type="expression" dxfId="325" priority="153058">
      <formula>(F330="x")</formula>
    </cfRule>
    <cfRule type="expression" dxfId="324" priority="153059">
      <formula>(F329="x")</formula>
    </cfRule>
    <cfRule type="expression" dxfId="323" priority="153060">
      <formula>(F328="x")</formula>
    </cfRule>
  </conditionalFormatting>
  <conditionalFormatting sqref="F42:BA44">
    <cfRule type="expression" dxfId="322" priority="153068">
      <formula>(F340="x")</formula>
    </cfRule>
    <cfRule type="expression" dxfId="321" priority="153069">
      <formula>(F335="x")</formula>
    </cfRule>
    <cfRule type="expression" dxfId="320" priority="153070">
      <formula>(F339="x")</formula>
    </cfRule>
    <cfRule type="expression" dxfId="319" priority="153071">
      <formula>(F336="x")</formula>
    </cfRule>
    <cfRule type="expression" dxfId="318" priority="153072">
      <formula>(F338="x")</formula>
    </cfRule>
    <cfRule type="expression" dxfId="317" priority="153073">
      <formula>(F331="x")</formula>
    </cfRule>
    <cfRule type="expression" dxfId="316" priority="153074">
      <formula>(F332="x")</formula>
    </cfRule>
  </conditionalFormatting>
  <conditionalFormatting sqref="F42:BA44">
    <cfRule type="expression" dxfId="315" priority="153081">
      <formula>(F337="x")</formula>
    </cfRule>
    <cfRule type="expression" dxfId="314" priority="153082">
      <formula>(F195="x")</formula>
    </cfRule>
  </conditionalFormatting>
  <conditionalFormatting sqref="F42:BA44">
    <cfRule type="expression" dxfId="313" priority="153085">
      <formula>(F319="x")</formula>
    </cfRule>
    <cfRule type="expression" dxfId="312" priority="153086">
      <formula>(F318="x")</formula>
    </cfRule>
  </conditionalFormatting>
  <conditionalFormatting sqref="F42:BA44">
    <cfRule type="expression" dxfId="311" priority="153089">
      <formula>(F263="x")</formula>
    </cfRule>
    <cfRule type="expression" dxfId="310" priority="153090">
      <formula>(F264="x")</formula>
    </cfRule>
  </conditionalFormatting>
  <conditionalFormatting sqref="F42:BA44">
    <cfRule type="expression" dxfId="309" priority="153114">
      <formula>(F291="x")</formula>
    </cfRule>
    <cfRule type="expression" dxfId="308" priority="153115">
      <formula>(F290="x")</formula>
    </cfRule>
    <cfRule type="expression" dxfId="307" priority="153116">
      <formula>(F294="x")</formula>
    </cfRule>
    <cfRule type="expression" dxfId="306" priority="153117">
      <formula>(F295="x")</formula>
    </cfRule>
    <cfRule type="expression" dxfId="305" priority="153118">
      <formula>(F296="x")</formula>
    </cfRule>
    <cfRule type="expression" dxfId="304" priority="153119">
      <formula>(F297="x")</formula>
    </cfRule>
    <cfRule type="expression" dxfId="303" priority="153120">
      <formula>(F300="x")</formula>
    </cfRule>
    <cfRule type="expression" dxfId="302" priority="153121">
      <formula>(F312="x")</formula>
    </cfRule>
    <cfRule type="expression" dxfId="301" priority="153122">
      <formula>(F299="x")</formula>
    </cfRule>
    <cfRule type="expression" dxfId="300" priority="153123">
      <formula>(F298="x")</formula>
    </cfRule>
    <cfRule type="expression" dxfId="299" priority="153124">
      <formula>(F313="x")</formula>
    </cfRule>
    <cfRule type="expression" dxfId="298" priority="153125">
      <formula>(F308="x")</formula>
    </cfRule>
    <cfRule type="expression" dxfId="297" priority="153126">
      <formula>(F311="x")</formula>
    </cfRule>
    <cfRule type="expression" dxfId="296" priority="153127">
      <formula>(F307="x")</formula>
    </cfRule>
    <cfRule type="expression" dxfId="295" priority="153128">
      <formula>(F310="x")</formula>
    </cfRule>
    <cfRule type="expression" dxfId="294" priority="153129">
      <formula>(F306="x")</formula>
    </cfRule>
    <cfRule type="expression" dxfId="293" priority="153130">
      <formula>(F309="x")</formula>
    </cfRule>
    <cfRule type="expression" dxfId="292" priority="153131">
      <formula>(F305="x")</formula>
    </cfRule>
    <cfRule type="expression" dxfId="291" priority="153132">
      <formula>(F304="x")</formula>
    </cfRule>
    <cfRule type="expression" dxfId="290" priority="153133">
      <formula>(F303="x")</formula>
    </cfRule>
    <cfRule type="expression" dxfId="289" priority="153134">
      <formula>(F301="x")</formula>
    </cfRule>
    <cfRule type="expression" dxfId="288" priority="153135">
      <formula>(F287="x")</formula>
    </cfRule>
    <cfRule type="expression" dxfId="287" priority="153136">
      <formula>(F286="x")</formula>
    </cfRule>
  </conditionalFormatting>
  <conditionalFormatting sqref="F42:BA44">
    <cfRule type="expression" dxfId="286" priority="153139">
      <formula>(F316="x")</formula>
    </cfRule>
    <cfRule type="expression" dxfId="285" priority="153140">
      <formula>(F314="x")</formula>
    </cfRule>
  </conditionalFormatting>
  <conditionalFormatting sqref="F42:BA44">
    <cfRule type="expression" dxfId="284" priority="153147">
      <formula>(F289="x")</formula>
    </cfRule>
    <cfRule type="expression" dxfId="283" priority="153148">
      <formula>(F280="x")</formula>
    </cfRule>
    <cfRule type="expression" dxfId="282" priority="153149">
      <formula>(F278="x")</formula>
    </cfRule>
    <cfRule type="expression" dxfId="281" priority="153150">
      <formula>(F285="x")</formula>
    </cfRule>
    <cfRule type="expression" dxfId="280" priority="153151">
      <formula>(F281="x")</formula>
    </cfRule>
    <cfRule type="expression" dxfId="279" priority="153152">
      <formula>(F275="x")</formula>
    </cfRule>
  </conditionalFormatting>
  <conditionalFormatting sqref="F42:BA44">
    <cfRule type="expression" dxfId="278" priority="153158">
      <formula>(F243="x")</formula>
    </cfRule>
    <cfRule type="expression" dxfId="277" priority="153159">
      <formula>(F225="x")</formula>
    </cfRule>
    <cfRule type="expression" dxfId="276" priority="153160">
      <formula>(F224="x")</formula>
    </cfRule>
    <cfRule type="expression" dxfId="275" priority="153161">
      <formula>(F240="x")</formula>
    </cfRule>
    <cfRule type="expression" dxfId="274" priority="153162">
      <formula>(F249="x")</formula>
    </cfRule>
  </conditionalFormatting>
  <conditionalFormatting sqref="F42:BA44">
    <cfRule type="expression" dxfId="273" priority="153165">
      <formula>(F252="x")</formula>
    </cfRule>
    <cfRule type="expression" dxfId="272" priority="153166">
      <formula>(F238="x")</formula>
    </cfRule>
  </conditionalFormatting>
  <conditionalFormatting sqref="F42:BA44">
    <cfRule type="expression" dxfId="271" priority="153176">
      <formula>(F205="x")</formula>
    </cfRule>
    <cfRule type="expression" dxfId="270" priority="153177">
      <formula>(F221="x")</formula>
    </cfRule>
    <cfRule type="expression" dxfId="269" priority="153178">
      <formula>(F242="x")</formula>
    </cfRule>
    <cfRule type="expression" dxfId="268" priority="153179">
      <formula>(F204="x")</formula>
    </cfRule>
    <cfRule type="expression" dxfId="267" priority="153180">
      <formula>(F212="x")</formula>
    </cfRule>
    <cfRule type="expression" dxfId="266" priority="153181">
      <formula>(F250="x")</formula>
    </cfRule>
    <cfRule type="expression" dxfId="265" priority="153182">
      <formula>(F248="x")</formula>
    </cfRule>
    <cfRule type="expression" dxfId="264" priority="153183">
      <formula>(F241="x")</formula>
    </cfRule>
    <cfRule type="expression" dxfId="263" priority="153184">
      <formula>(F231="x")</formula>
    </cfRule>
  </conditionalFormatting>
  <conditionalFormatting sqref="F42:BA44">
    <cfRule type="expression" dxfId="262" priority="153194">
      <formula>(F277="x")</formula>
    </cfRule>
    <cfRule type="expression" dxfId="261" priority="153195">
      <formula>(F273="x")</formula>
    </cfRule>
    <cfRule type="expression" dxfId="260" priority="153196">
      <formula>(F268="x")</formula>
    </cfRule>
    <cfRule type="expression" dxfId="259" priority="153197">
      <formula>(F272="x")</formula>
    </cfRule>
    <cfRule type="expression" dxfId="258" priority="153198">
      <formula>(F270="x")</formula>
    </cfRule>
    <cfRule type="expression" dxfId="257" priority="153199">
      <formula>(F274="x")</formula>
    </cfRule>
    <cfRule type="expression" dxfId="256" priority="153200">
      <formula>(F265="x")</formula>
    </cfRule>
    <cfRule type="expression" dxfId="255" priority="153201">
      <formula>(F276="x")</formula>
    </cfRule>
    <cfRule type="expression" dxfId="254" priority="153202">
      <formula>(F194="x")</formula>
    </cfRule>
  </conditionalFormatting>
  <conditionalFormatting sqref="F42:BA44">
    <cfRule type="expression" dxfId="253" priority="153206">
      <formula>(F354="x")</formula>
    </cfRule>
    <cfRule type="expression" dxfId="252" priority="153207">
      <formula>(F353="x")</formula>
    </cfRule>
    <cfRule type="expression" dxfId="251" priority="153208">
      <formula>(F352="x")</formula>
    </cfRule>
  </conditionalFormatting>
  <conditionalFormatting sqref="F42:BA44">
    <cfRule type="expression" dxfId="250" priority="153211">
      <formula>(F227="x")</formula>
    </cfRule>
    <cfRule type="expression" dxfId="249" priority="153212">
      <formula>(F229="x")</formula>
    </cfRule>
  </conditionalFormatting>
  <conditionalFormatting sqref="F42:BA44">
    <cfRule type="expression" dxfId="248" priority="153218">
      <formula>(F262="x")</formula>
    </cfRule>
    <cfRule type="expression" dxfId="247" priority="153219">
      <formula>(F266="x")</formula>
    </cfRule>
    <cfRule type="expression" dxfId="246" priority="153220">
      <formula>(F192="x")</formula>
    </cfRule>
  </conditionalFormatting>
  <conditionalFormatting sqref="F42:BA44">
    <cfRule type="expression" dxfId="245" priority="153245">
      <formula>(F216="x")</formula>
    </cfRule>
    <cfRule type="expression" dxfId="244" priority="153246">
      <formula>(F236="x")</formula>
    </cfRule>
    <cfRule type="expression" dxfId="243" priority="153247">
      <formula>(F254="x")</formula>
    </cfRule>
    <cfRule type="expression" dxfId="242" priority="153248">
      <formula>(F213="x")</formula>
    </cfRule>
    <cfRule type="expression" dxfId="241" priority="153249">
      <formula>(F246="x")</formula>
    </cfRule>
    <cfRule type="expression" dxfId="240" priority="153250">
      <formula>(F260="x")</formula>
    </cfRule>
    <cfRule type="expression" dxfId="239" priority="153251">
      <formula>(F258="x")</formula>
    </cfRule>
    <cfRule type="expression" dxfId="238" priority="153252">
      <formula>(F256="x")</formula>
    </cfRule>
    <cfRule type="expression" dxfId="237" priority="153253">
      <formula>(F245="x")</formula>
    </cfRule>
    <cfRule type="expression" dxfId="236" priority="153254">
      <formula>(F244="x")</formula>
    </cfRule>
    <cfRule type="expression" dxfId="235" priority="153255">
      <formula>(F239="x")</formula>
    </cfRule>
    <cfRule type="expression" dxfId="234" priority="153256">
      <formula>(F207="x")</formula>
    </cfRule>
    <cfRule type="expression" dxfId="233" priority="153257">
      <formula>(F206="x")</formula>
    </cfRule>
    <cfRule type="expression" dxfId="232" priority="153258">
      <formula>(F201="x")</formula>
    </cfRule>
    <cfRule type="expression" dxfId="231" priority="153259">
      <formula>(F237="x")</formula>
    </cfRule>
    <cfRule type="expression" dxfId="230" priority="153260">
      <formula>(F197="x")</formula>
    </cfRule>
    <cfRule type="expression" dxfId="229" priority="153261">
      <formula>(F220="x")</formula>
    </cfRule>
    <cfRule type="expression" dxfId="228" priority="153262">
      <formula>(F210="x")</formula>
    </cfRule>
    <cfRule type="expression" dxfId="227" priority="153263">
      <formula>(F208="x")</formula>
    </cfRule>
    <cfRule type="expression" dxfId="226" priority="153264">
      <formula>(F202="x")</formula>
    </cfRule>
    <cfRule type="expression" dxfId="225" priority="153265">
      <formula>(F226="x")</formula>
    </cfRule>
    <cfRule type="expression" dxfId="224" priority="153266">
      <formula>(F214="x")</formula>
    </cfRule>
    <cfRule type="expression" dxfId="223" priority="153267">
      <formula>(F251="x")</formula>
    </cfRule>
    <cfRule type="expression" dxfId="222" priority="153268">
      <formula>(F211="x")</formula>
    </cfRule>
  </conditionalFormatting>
  <conditionalFormatting sqref="F42:BA44">
    <cfRule type="expression" dxfId="221" priority="153272">
      <formula>(#REF!="x")</formula>
    </cfRule>
    <cfRule type="expression" dxfId="220" priority="153273">
      <formula>(F198="x")</formula>
    </cfRule>
    <cfRule type="expression" dxfId="219" priority="153274">
      <formula>(F196="x")</formula>
    </cfRule>
  </conditionalFormatting>
  <conditionalFormatting sqref="F45:BA45">
    <cfRule type="expression" dxfId="218" priority="153287">
      <formula>(F313="x")</formula>
    </cfRule>
  </conditionalFormatting>
  <conditionalFormatting sqref="F46:BA47">
    <cfRule type="expression" dxfId="217" priority="153463">
      <formula>(F324="x")</formula>
    </cfRule>
    <cfRule type="expression" dxfId="216" priority="153464">
      <formula>(F325="x")</formula>
    </cfRule>
  </conditionalFormatting>
  <conditionalFormatting sqref="F46:BA47">
    <cfRule type="expression" dxfId="215" priority="153465">
      <formula>(F345="x")</formula>
    </cfRule>
    <cfRule type="expression" dxfId="214" priority="153466">
      <formula>(F349="x")</formula>
    </cfRule>
    <cfRule type="expression" dxfId="213" priority="153467">
      <formula>(F344="x")</formula>
    </cfRule>
  </conditionalFormatting>
  <conditionalFormatting sqref="F46:BA47">
    <cfRule type="expression" dxfId="212" priority="153471">
      <formula>(F318="x")</formula>
    </cfRule>
    <cfRule type="expression" dxfId="211" priority="153472">
      <formula>(F322="x")</formula>
    </cfRule>
  </conditionalFormatting>
  <conditionalFormatting sqref="F46:BA47">
    <cfRule type="expression" dxfId="210" priority="153473">
      <formula>(F332="x")</formula>
    </cfRule>
    <cfRule type="expression" dxfId="209" priority="153474">
      <formula>(F331="x")</formula>
    </cfRule>
    <cfRule type="expression" dxfId="208" priority="153475">
      <formula>(F328="x")</formula>
    </cfRule>
    <cfRule type="expression" dxfId="207" priority="153476">
      <formula>(F327="x")</formula>
    </cfRule>
    <cfRule type="expression" dxfId="206" priority="153477">
      <formula>(F326="x")</formula>
    </cfRule>
  </conditionalFormatting>
  <conditionalFormatting sqref="F46:BA47">
    <cfRule type="expression" dxfId="205" priority="153478">
      <formula>(F338="x")</formula>
    </cfRule>
    <cfRule type="expression" dxfId="204" priority="153479">
      <formula>(F333="x")</formula>
    </cfRule>
    <cfRule type="expression" dxfId="203" priority="153480">
      <formula>(F337="x")</formula>
    </cfRule>
    <cfRule type="expression" dxfId="202" priority="153481">
      <formula>(F334="x")</formula>
    </cfRule>
    <cfRule type="expression" dxfId="201" priority="153482">
      <formula>(F336="x")</formula>
    </cfRule>
    <cfRule type="expression" dxfId="200" priority="153483">
      <formula>(F329="x")</formula>
    </cfRule>
    <cfRule type="expression" dxfId="199" priority="153484">
      <formula>(F330="x")</formula>
    </cfRule>
  </conditionalFormatting>
  <conditionalFormatting sqref="F46:BA47">
    <cfRule type="expression" dxfId="198" priority="153485">
      <formula>(F342="x")</formula>
    </cfRule>
    <cfRule type="expression" dxfId="197" priority="153486">
      <formula>(F341="x")</formula>
    </cfRule>
  </conditionalFormatting>
  <conditionalFormatting sqref="F46:BA47">
    <cfRule type="expression" dxfId="196" priority="153487">
      <formula>(F335="x")</formula>
    </cfRule>
    <cfRule type="expression" dxfId="195" priority="153488">
      <formula>(F193="x")</formula>
    </cfRule>
  </conditionalFormatting>
  <conditionalFormatting sqref="F46:BA47">
    <cfRule type="expression" dxfId="194" priority="153489">
      <formula>(F317="x")</formula>
    </cfRule>
    <cfRule type="expression" dxfId="193" priority="153490">
      <formula>(F316="x")</formula>
    </cfRule>
  </conditionalFormatting>
  <conditionalFormatting sqref="F46:BA47">
    <cfRule type="expression" dxfId="192" priority="153491">
      <formula>(F261="x")</formula>
    </cfRule>
    <cfRule type="expression" dxfId="191" priority="153492">
      <formula>(F262="x")</formula>
    </cfRule>
  </conditionalFormatting>
  <conditionalFormatting sqref="F46:BA47">
    <cfRule type="expression" dxfId="190" priority="153493">
      <formula>(F289="x")</formula>
    </cfRule>
    <cfRule type="expression" dxfId="189" priority="153494">
      <formula>(F288="x")</formula>
    </cfRule>
    <cfRule type="expression" dxfId="188" priority="153495">
      <formula>(F292="x")</formula>
    </cfRule>
    <cfRule type="expression" dxfId="187" priority="153496">
      <formula>(F293="x")</formula>
    </cfRule>
    <cfRule type="expression" dxfId="186" priority="153497">
      <formula>(F294="x")</formula>
    </cfRule>
    <cfRule type="expression" dxfId="185" priority="153498">
      <formula>(F295="x")</formula>
    </cfRule>
    <cfRule type="expression" dxfId="184" priority="153499">
      <formula>(F298="x")</formula>
    </cfRule>
    <cfRule type="expression" dxfId="183" priority="153500">
      <formula>(F310="x")</formula>
    </cfRule>
    <cfRule type="expression" dxfId="182" priority="153501">
      <formula>(F297="x")</formula>
    </cfRule>
    <cfRule type="expression" dxfId="181" priority="153502">
      <formula>(F296="x")</formula>
    </cfRule>
    <cfRule type="expression" dxfId="180" priority="153503">
      <formula>(F311="x")</formula>
    </cfRule>
    <cfRule type="expression" dxfId="179" priority="153504">
      <formula>(F306="x")</formula>
    </cfRule>
    <cfRule type="expression" dxfId="178" priority="153505">
      <formula>(F309="x")</formula>
    </cfRule>
    <cfRule type="expression" dxfId="177" priority="153506">
      <formula>(F305="x")</formula>
    </cfRule>
    <cfRule type="expression" dxfId="176" priority="153507">
      <formula>(F308="x")</formula>
    </cfRule>
    <cfRule type="expression" dxfId="175" priority="153508">
      <formula>(F304="x")</formula>
    </cfRule>
    <cfRule type="expression" dxfId="174" priority="153509">
      <formula>(F307="x")</formula>
    </cfRule>
    <cfRule type="expression" dxfId="173" priority="153510">
      <formula>(F303="x")</formula>
    </cfRule>
    <cfRule type="expression" dxfId="172" priority="153511">
      <formula>(F302="x")</formula>
    </cfRule>
    <cfRule type="expression" dxfId="171" priority="153512">
      <formula>(F301="x")</formula>
    </cfRule>
    <cfRule type="expression" dxfId="170" priority="153513">
      <formula>(F299="x")</formula>
    </cfRule>
    <cfRule type="expression" dxfId="169" priority="153514">
      <formula>(F285="x")</formula>
    </cfRule>
    <cfRule type="expression" dxfId="168" priority="153515">
      <formula>(F284="x")</formula>
    </cfRule>
  </conditionalFormatting>
  <conditionalFormatting sqref="F46:BA47">
    <cfRule type="expression" dxfId="167" priority="153516">
      <formula>(F314="x")</formula>
    </cfRule>
    <cfRule type="expression" dxfId="166" priority="153517">
      <formula>(F312="x")</formula>
    </cfRule>
  </conditionalFormatting>
  <conditionalFormatting sqref="F46:BA47">
    <cfRule type="expression" dxfId="165" priority="153518">
      <formula>(F287="x")</formula>
    </cfRule>
    <cfRule type="expression" dxfId="164" priority="153519">
      <formula>(F278="x")</formula>
    </cfRule>
    <cfRule type="expression" dxfId="163" priority="153520">
      <formula>(F276="x")</formula>
    </cfRule>
    <cfRule type="expression" dxfId="162" priority="153521">
      <formula>(F283="x")</formula>
    </cfRule>
    <cfRule type="expression" dxfId="161" priority="153522">
      <formula>(F279="x")</formula>
    </cfRule>
    <cfRule type="expression" dxfId="160" priority="153523">
      <formula>(F273="x")</formula>
    </cfRule>
  </conditionalFormatting>
  <conditionalFormatting sqref="F46:BA47">
    <cfRule type="expression" dxfId="159" priority="153524">
      <formula>(F241="x")</formula>
    </cfRule>
    <cfRule type="expression" dxfId="158" priority="153525">
      <formula>(F223="x")</formula>
    </cfRule>
    <cfRule type="expression" dxfId="157" priority="153526">
      <formula>(F222="x")</formula>
    </cfRule>
    <cfRule type="expression" dxfId="156" priority="153527">
      <formula>(F238="x")</formula>
    </cfRule>
    <cfRule type="expression" dxfId="155" priority="153528">
      <formula>(F247="x")</formula>
    </cfRule>
  </conditionalFormatting>
  <conditionalFormatting sqref="F46:BA47">
    <cfRule type="expression" dxfId="154" priority="153529">
      <formula>(F250="x")</formula>
    </cfRule>
    <cfRule type="expression" dxfId="153" priority="153530">
      <formula>(F236="x")</formula>
    </cfRule>
  </conditionalFormatting>
  <conditionalFormatting sqref="F46:BA47">
    <cfRule type="expression" dxfId="152" priority="153531">
      <formula>(F203="x")</formula>
    </cfRule>
    <cfRule type="expression" dxfId="151" priority="153532">
      <formula>(F219="x")</formula>
    </cfRule>
    <cfRule type="expression" dxfId="150" priority="153533">
      <formula>(F240="x")</formula>
    </cfRule>
    <cfRule type="expression" dxfId="149" priority="153534">
      <formula>(F202="x")</formula>
    </cfRule>
    <cfRule type="expression" dxfId="148" priority="153535">
      <formula>(F210="x")</formula>
    </cfRule>
    <cfRule type="expression" dxfId="147" priority="153536">
      <formula>(F248="x")</formula>
    </cfRule>
    <cfRule type="expression" dxfId="146" priority="153537">
      <formula>(F246="x")</formula>
    </cfRule>
    <cfRule type="expression" dxfId="145" priority="153538">
      <formula>(F239="x")</formula>
    </cfRule>
    <cfRule type="expression" dxfId="144" priority="153539">
      <formula>(F229="x")</formula>
    </cfRule>
  </conditionalFormatting>
  <conditionalFormatting sqref="F46:BA47">
    <cfRule type="expression" dxfId="143" priority="153540">
      <formula>(F275="x")</formula>
    </cfRule>
    <cfRule type="expression" dxfId="142" priority="153541">
      <formula>(F271="x")</formula>
    </cfRule>
    <cfRule type="expression" dxfId="141" priority="153542">
      <formula>(F266="x")</formula>
    </cfRule>
    <cfRule type="expression" dxfId="140" priority="153543">
      <formula>(F270="x")</formula>
    </cfRule>
    <cfRule type="expression" dxfId="139" priority="153544">
      <formula>(F268="x")</formula>
    </cfRule>
    <cfRule type="expression" dxfId="138" priority="153545">
      <formula>(F272="x")</formula>
    </cfRule>
    <cfRule type="expression" dxfId="137" priority="153546">
      <formula>(F263="x")</formula>
    </cfRule>
    <cfRule type="expression" dxfId="136" priority="153547">
      <formula>(F274="x")</formula>
    </cfRule>
    <cfRule type="expression" dxfId="135" priority="153548">
      <formula>(F192="x")</formula>
    </cfRule>
  </conditionalFormatting>
  <conditionalFormatting sqref="F42:BA44">
    <cfRule type="expression" dxfId="134" priority="153549">
      <formula>(F349="x")</formula>
    </cfRule>
    <cfRule type="expression" dxfId="133" priority="153550">
      <formula>(F348="x")</formula>
    </cfRule>
  </conditionalFormatting>
  <conditionalFormatting sqref="F47:BA47">
    <cfRule type="expression" dxfId="132" priority="153551">
      <formula>(F353="x")</formula>
    </cfRule>
    <cfRule type="expression" dxfId="131" priority="153552">
      <formula>(F352="x")</formula>
    </cfRule>
    <cfRule type="expression" dxfId="130" priority="153553">
      <formula>(F351="x")</formula>
    </cfRule>
  </conditionalFormatting>
  <conditionalFormatting sqref="F46:BA47">
    <cfRule type="expression" dxfId="129" priority="153555">
      <formula>(F225="x")</formula>
    </cfRule>
    <cfRule type="expression" dxfId="128" priority="153556">
      <formula>(F227="x")</formula>
    </cfRule>
  </conditionalFormatting>
  <conditionalFormatting sqref="F46:BA47">
    <cfRule type="expression" dxfId="127" priority="153559">
      <formula>(F260="x")</formula>
    </cfRule>
    <cfRule type="expression" dxfId="126" priority="153560">
      <formula>(F264="x")</formula>
    </cfRule>
    <cfRule type="expression" dxfId="125" priority="153561">
      <formula>(F190="x")</formula>
    </cfRule>
  </conditionalFormatting>
  <conditionalFormatting sqref="F46:BA47">
    <cfRule type="expression" dxfId="124" priority="153562">
      <formula>(F214="x")</formula>
    </cfRule>
    <cfRule type="expression" dxfId="123" priority="153563">
      <formula>(F234="x")</formula>
    </cfRule>
    <cfRule type="expression" dxfId="122" priority="153564">
      <formula>(F252="x")</formula>
    </cfRule>
    <cfRule type="expression" dxfId="121" priority="153565">
      <formula>(F211="x")</formula>
    </cfRule>
    <cfRule type="expression" dxfId="120" priority="153566">
      <formula>(F244="x")</formula>
    </cfRule>
    <cfRule type="expression" dxfId="119" priority="153567">
      <formula>(F258="x")</formula>
    </cfRule>
    <cfRule type="expression" dxfId="118" priority="153568">
      <formula>(F256="x")</formula>
    </cfRule>
    <cfRule type="expression" dxfId="117" priority="153569">
      <formula>(F254="x")</formula>
    </cfRule>
    <cfRule type="expression" dxfId="116" priority="153570">
      <formula>(F243="x")</formula>
    </cfRule>
    <cfRule type="expression" dxfId="115" priority="153571">
      <formula>(F242="x")</formula>
    </cfRule>
    <cfRule type="expression" dxfId="114" priority="153572">
      <formula>(F237="x")</formula>
    </cfRule>
    <cfRule type="expression" dxfId="113" priority="153573">
      <formula>(F205="x")</formula>
    </cfRule>
    <cfRule type="expression" dxfId="112" priority="153574">
      <formula>(F204="x")</formula>
    </cfRule>
    <cfRule type="expression" dxfId="111" priority="153575">
      <formula>(F199="x")</formula>
    </cfRule>
    <cfRule type="expression" dxfId="110" priority="153576">
      <formula>(F235="x")</formula>
    </cfRule>
    <cfRule type="expression" dxfId="109" priority="153577">
      <formula>(F195="x")</formula>
    </cfRule>
    <cfRule type="expression" dxfId="108" priority="153578">
      <formula>(F218="x")</formula>
    </cfRule>
    <cfRule type="expression" dxfId="107" priority="153579">
      <formula>(F208="x")</formula>
    </cfRule>
    <cfRule type="expression" dxfId="106" priority="153580">
      <formula>(F206="x")</formula>
    </cfRule>
    <cfRule type="expression" dxfId="105" priority="153581">
      <formula>(F200="x")</formula>
    </cfRule>
    <cfRule type="expression" dxfId="104" priority="153582">
      <formula>(F224="x")</formula>
    </cfRule>
    <cfRule type="expression" dxfId="103" priority="153583">
      <formula>(F212="x")</formula>
    </cfRule>
    <cfRule type="expression" dxfId="102" priority="153584">
      <formula>(F249="x")</formula>
    </cfRule>
    <cfRule type="expression" dxfId="101" priority="153585">
      <formula>(F209="x")</formula>
    </cfRule>
  </conditionalFormatting>
  <conditionalFormatting sqref="F46:BA47">
    <cfRule type="expression" dxfId="100" priority="153586">
      <formula>(#REF!="x")</formula>
    </cfRule>
    <cfRule type="expression" dxfId="99" priority="153587">
      <formula>(F196="x")</formula>
    </cfRule>
    <cfRule type="expression" dxfId="98" priority="153588">
      <formula>(F194="x")</formula>
    </cfRule>
  </conditionalFormatting>
  <conditionalFormatting sqref="F46:BA47">
    <cfRule type="expression" dxfId="97" priority="153902">
      <formula>(F347="x")</formula>
    </cfRule>
    <cfRule type="expression" dxfId="96" priority="153903">
      <formula>(F346="x")</formula>
    </cfRule>
  </conditionalFormatting>
  <conditionalFormatting sqref="F42:BA44">
    <cfRule type="expression" dxfId="95" priority="154494">
      <formula>(F344="x")</formula>
    </cfRule>
    <cfRule type="expression" dxfId="94" priority="154495">
      <formula>(F343="x")</formula>
    </cfRule>
  </conditionalFormatting>
  <conditionalFormatting sqref="F10:BA11 F13:BA40 F46:BA49">
    <cfRule type="expression" dxfId="93" priority="154510">
      <formula>(F279="x")</formula>
    </cfRule>
  </conditionalFormatting>
  <conditionalFormatting sqref="F16:BA44 F11:BA13 F48:BA48">
    <cfRule type="expression" dxfId="92" priority="154524">
      <formula>(F306="x")</formula>
    </cfRule>
  </conditionalFormatting>
  <conditionalFormatting sqref="F44:BA44">
    <cfRule type="expression" dxfId="91" priority="154997">
      <formula>(F270="x")</formula>
    </cfRule>
    <cfRule type="expression" dxfId="90" priority="154998">
      <formula>(F271="x")</formula>
    </cfRule>
  </conditionalFormatting>
  <conditionalFormatting sqref="F44:BA44">
    <cfRule type="expression" dxfId="89" priority="154999">
      <formula>(F298="x")</formula>
    </cfRule>
    <cfRule type="expression" dxfId="88" priority="155000">
      <formula>(F297="x")</formula>
    </cfRule>
    <cfRule type="expression" dxfId="87" priority="155001">
      <formula>(F301="x")</formula>
    </cfRule>
    <cfRule type="expression" dxfId="86" priority="155002">
      <formula>(F302="x")</formula>
    </cfRule>
    <cfRule type="expression" dxfId="85" priority="155003">
      <formula>(F303="x")</formula>
    </cfRule>
    <cfRule type="expression" dxfId="84" priority="155004">
      <formula>(F304="x")</formula>
    </cfRule>
    <cfRule type="expression" dxfId="83" priority="155005">
      <formula>(F307="x")</formula>
    </cfRule>
    <cfRule type="expression" dxfId="82" priority="155006">
      <formula>(F319="x")</formula>
    </cfRule>
    <cfRule type="expression" dxfId="81" priority="155007">
      <formula>(F306="x")</formula>
    </cfRule>
    <cfRule type="expression" dxfId="80" priority="155008">
      <formula>(F305="x")</formula>
    </cfRule>
    <cfRule type="expression" dxfId="79" priority="155009">
      <formula>(F320="x")</formula>
    </cfRule>
    <cfRule type="expression" dxfId="78" priority="155010">
      <formula>(F315="x")</formula>
    </cfRule>
    <cfRule type="expression" dxfId="77" priority="155011">
      <formula>(F318="x")</formula>
    </cfRule>
    <cfRule type="expression" dxfId="76" priority="155012">
      <formula>(F314="x")</formula>
    </cfRule>
    <cfRule type="expression" dxfId="75" priority="155013">
      <formula>(F317="x")</formula>
    </cfRule>
    <cfRule type="expression" dxfId="74" priority="155014">
      <formula>(F313="x")</formula>
    </cfRule>
    <cfRule type="expression" dxfId="73" priority="155015">
      <formula>(F316="x")</formula>
    </cfRule>
    <cfRule type="expression" dxfId="72" priority="155016">
      <formula>(F312="x")</formula>
    </cfRule>
    <cfRule type="expression" dxfId="71" priority="155017">
      <formula>(F311="x")</formula>
    </cfRule>
    <cfRule type="expression" dxfId="70" priority="155018">
      <formula>(F310="x")</formula>
    </cfRule>
    <cfRule type="expression" dxfId="69" priority="155019">
      <formula>(F308="x")</formula>
    </cfRule>
    <cfRule type="expression" dxfId="68" priority="155020">
      <formula>(F294="x")</formula>
    </cfRule>
    <cfRule type="expression" dxfId="67" priority="155021">
      <formula>(F293="x")</formula>
    </cfRule>
  </conditionalFormatting>
  <conditionalFormatting sqref="F44:BA44">
    <cfRule type="expression" dxfId="66" priority="155022">
      <formula>(F323="x")</formula>
    </cfRule>
    <cfRule type="expression" dxfId="65" priority="155023">
      <formula>(F321="x")</formula>
    </cfRule>
  </conditionalFormatting>
  <conditionalFormatting sqref="F44:BA44">
    <cfRule type="expression" dxfId="64" priority="155024">
      <formula>(F296="x")</formula>
    </cfRule>
    <cfRule type="expression" dxfId="63" priority="155025">
      <formula>(F287="x")</formula>
    </cfRule>
    <cfRule type="expression" dxfId="62" priority="155026">
      <formula>(F285="x")</formula>
    </cfRule>
    <cfRule type="expression" dxfId="61" priority="155027">
      <formula>(F292="x")</formula>
    </cfRule>
    <cfRule type="expression" dxfId="60" priority="155028">
      <formula>(F288="x")</formula>
    </cfRule>
    <cfRule type="expression" dxfId="59" priority="155029">
      <formula>(F282="x")</formula>
    </cfRule>
  </conditionalFormatting>
  <conditionalFormatting sqref="F44:BA44">
    <cfRule type="expression" dxfId="58" priority="155030">
      <formula>(F250="x")</formula>
    </cfRule>
    <cfRule type="expression" dxfId="57" priority="155031">
      <formula>(F232="x")</formula>
    </cfRule>
    <cfRule type="expression" dxfId="56" priority="155032">
      <formula>(F231="x")</formula>
    </cfRule>
    <cfRule type="expression" dxfId="55" priority="155033">
      <formula>(F247="x")</formula>
    </cfRule>
    <cfRule type="expression" dxfId="54" priority="155034">
      <formula>(F256="x")</formula>
    </cfRule>
  </conditionalFormatting>
  <conditionalFormatting sqref="F44:BA44">
    <cfRule type="expression" dxfId="53" priority="155035">
      <formula>(F259="x")</formula>
    </cfRule>
    <cfRule type="expression" dxfId="52" priority="155036">
      <formula>(F245="x")</formula>
    </cfRule>
  </conditionalFormatting>
  <conditionalFormatting sqref="F44:BA44">
    <cfRule type="expression" dxfId="51" priority="155037">
      <formula>(F212="x")</formula>
    </cfRule>
    <cfRule type="expression" dxfId="50" priority="155038">
      <formula>(F228="x")</formula>
    </cfRule>
    <cfRule type="expression" dxfId="49" priority="155039">
      <formula>(F249="x")</formula>
    </cfRule>
    <cfRule type="expression" dxfId="48" priority="155040">
      <formula>(F211="x")</formula>
    </cfRule>
    <cfRule type="expression" dxfId="47" priority="155041">
      <formula>(F219="x")</formula>
    </cfRule>
    <cfRule type="expression" dxfId="46" priority="155042">
      <formula>(F257="x")</formula>
    </cfRule>
    <cfRule type="expression" dxfId="45" priority="155043">
      <formula>(F255="x")</formula>
    </cfRule>
    <cfRule type="expression" dxfId="44" priority="155044">
      <formula>(F248="x")</formula>
    </cfRule>
    <cfRule type="expression" dxfId="43" priority="155045">
      <formula>(F238="x")</formula>
    </cfRule>
  </conditionalFormatting>
  <conditionalFormatting sqref="F44:BA44">
    <cfRule type="expression" dxfId="42" priority="155046">
      <formula>(F284="x")</formula>
    </cfRule>
    <cfRule type="expression" dxfId="41" priority="155047">
      <formula>(F280="x")</formula>
    </cfRule>
    <cfRule type="expression" dxfId="40" priority="155048">
      <formula>(F275="x")</formula>
    </cfRule>
    <cfRule type="expression" dxfId="39" priority="155049">
      <formula>(F279="x")</formula>
    </cfRule>
    <cfRule type="expression" dxfId="38" priority="155050">
      <formula>(F277="x")</formula>
    </cfRule>
    <cfRule type="expression" dxfId="37" priority="155051">
      <formula>(F281="x")</formula>
    </cfRule>
    <cfRule type="expression" dxfId="36" priority="155052">
      <formula>(F272="x")</formula>
    </cfRule>
    <cfRule type="expression" dxfId="35" priority="155053">
      <formula>(F283="x")</formula>
    </cfRule>
    <cfRule type="expression" dxfId="34" priority="155054">
      <formula>(F201="x")</formula>
    </cfRule>
  </conditionalFormatting>
  <conditionalFormatting sqref="F44:BA44">
    <cfRule type="expression" dxfId="33" priority="155058">
      <formula>(F234="x")</formula>
    </cfRule>
    <cfRule type="expression" dxfId="32" priority="155059">
      <formula>(F236="x")</formula>
    </cfRule>
  </conditionalFormatting>
  <conditionalFormatting sqref="F44:BA44">
    <cfRule type="expression" dxfId="31" priority="155060">
      <formula>(F269="x")</formula>
    </cfRule>
    <cfRule type="expression" dxfId="30" priority="155061">
      <formula>(F273="x")</formula>
    </cfRule>
    <cfRule type="expression" dxfId="29" priority="155062">
      <formula>(F199="x")</formula>
    </cfRule>
  </conditionalFormatting>
  <conditionalFormatting sqref="F44:BA44">
    <cfRule type="expression" dxfId="28" priority="155063">
      <formula>(F223="x")</formula>
    </cfRule>
    <cfRule type="expression" dxfId="27" priority="155064">
      <formula>(F243="x")</formula>
    </cfRule>
    <cfRule type="expression" dxfId="26" priority="155065">
      <formula>(F261="x")</formula>
    </cfRule>
    <cfRule type="expression" dxfId="25" priority="155066">
      <formula>(F220="x")</formula>
    </cfRule>
    <cfRule type="expression" dxfId="24" priority="155067">
      <formula>(F253="x")</formula>
    </cfRule>
    <cfRule type="expression" dxfId="23" priority="155068">
      <formula>(F267="x")</formula>
    </cfRule>
    <cfRule type="expression" dxfId="22" priority="155069">
      <formula>(F265="x")</formula>
    </cfRule>
    <cfRule type="expression" dxfId="21" priority="155070">
      <formula>(F263="x")</formula>
    </cfRule>
    <cfRule type="expression" dxfId="20" priority="155071">
      <formula>(F252="x")</formula>
    </cfRule>
    <cfRule type="expression" dxfId="19" priority="155072">
      <formula>(F251="x")</formula>
    </cfRule>
    <cfRule type="expression" dxfId="18" priority="155073">
      <formula>(F246="x")</formula>
    </cfRule>
    <cfRule type="expression" dxfId="17" priority="155074">
      <formula>(F214="x")</formula>
    </cfRule>
    <cfRule type="expression" dxfId="16" priority="155075">
      <formula>(F213="x")</formula>
    </cfRule>
    <cfRule type="expression" dxfId="15" priority="155076">
      <formula>(F208="x")</formula>
    </cfRule>
    <cfRule type="expression" dxfId="14" priority="155077">
      <formula>(F244="x")</formula>
    </cfRule>
    <cfRule type="expression" dxfId="13" priority="155078">
      <formula>(F204="x")</formula>
    </cfRule>
    <cfRule type="expression" dxfId="12" priority="155079">
      <formula>(F227="x")</formula>
    </cfRule>
    <cfRule type="expression" dxfId="11" priority="155080">
      <formula>(F217="x")</formula>
    </cfRule>
    <cfRule type="expression" dxfId="10" priority="155081">
      <formula>(F215="x")</formula>
    </cfRule>
    <cfRule type="expression" dxfId="9" priority="155082">
      <formula>(F209="x")</formula>
    </cfRule>
    <cfRule type="expression" dxfId="8" priority="155083">
      <formula>(F233="x")</formula>
    </cfRule>
    <cfRule type="expression" dxfId="7" priority="155084">
      <formula>(F221="x")</formula>
    </cfRule>
    <cfRule type="expression" dxfId="6" priority="155085">
      <formula>(F258="x")</formula>
    </cfRule>
    <cfRule type="expression" dxfId="5" priority="155086">
      <formula>(F218="x")</formula>
    </cfRule>
  </conditionalFormatting>
  <conditionalFormatting sqref="F44:BA44">
    <cfRule type="expression" dxfId="4" priority="155087">
      <formula>(#REF!="x")</formula>
    </cfRule>
    <cfRule type="expression" dxfId="3" priority="155088">
      <formula>(F205="x")</formula>
    </cfRule>
    <cfRule type="expression" dxfId="2" priority="155089">
      <formula>(F203="x")</formula>
    </cfRule>
  </conditionalFormatting>
  <conditionalFormatting sqref="F44:BA44">
    <cfRule type="expression" dxfId="1" priority="155090">
      <formula>(F210="x")</formula>
    </cfRule>
    <cfRule type="expression" dxfId="0" priority="155091">
      <formula>(F188="x")</formula>
    </cfRule>
  </conditionalFormatting>
  <pageMargins left="0.7" right="0.7" top="0.75" bottom="0.75" header="0.3" footer="0.3"/>
  <pageSetup scale="3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DB29-14C5-4FD9-9AB2-2BAF4294C940}">
  <dimension ref="A1:C49"/>
  <sheetViews>
    <sheetView workbookViewId="0">
      <selection activeCell="G9" sqref="G9"/>
    </sheetView>
  </sheetViews>
  <sheetFormatPr defaultRowHeight="15" x14ac:dyDescent="0.25"/>
  <sheetData>
    <row r="1" spans="1:3" x14ac:dyDescent="0.25">
      <c r="A1" s="1" t="s">
        <v>291</v>
      </c>
      <c r="B1" s="1" t="s">
        <v>292</v>
      </c>
      <c r="C1" s="1" t="s">
        <v>293</v>
      </c>
    </row>
    <row r="2" spans="1:3" x14ac:dyDescent="0.25">
      <c r="A2" t="s">
        <v>78</v>
      </c>
      <c r="B2" t="s">
        <v>42</v>
      </c>
      <c r="C2">
        <v>27</v>
      </c>
    </row>
    <row r="3" spans="1:3" x14ac:dyDescent="0.25">
      <c r="A3" t="s">
        <v>78</v>
      </c>
      <c r="B3" t="s">
        <v>88</v>
      </c>
      <c r="C3">
        <v>6</v>
      </c>
    </row>
    <row r="4" spans="1:3" x14ac:dyDescent="0.25">
      <c r="A4" t="s">
        <v>78</v>
      </c>
      <c r="B4" t="s">
        <v>89</v>
      </c>
      <c r="C4">
        <v>11</v>
      </c>
    </row>
    <row r="5" spans="1:3" x14ac:dyDescent="0.25">
      <c r="A5" t="s">
        <v>78</v>
      </c>
      <c r="B5" t="s">
        <v>55</v>
      </c>
      <c r="C5">
        <v>12</v>
      </c>
    </row>
    <row r="6" spans="1:3" x14ac:dyDescent="0.25">
      <c r="A6" t="s">
        <v>79</v>
      </c>
      <c r="B6" t="s">
        <v>67</v>
      </c>
      <c r="C6">
        <v>19</v>
      </c>
    </row>
    <row r="7" spans="1:3" x14ac:dyDescent="0.25">
      <c r="A7" t="s">
        <v>79</v>
      </c>
      <c r="B7" t="s">
        <v>60</v>
      </c>
      <c r="C7">
        <v>26</v>
      </c>
    </row>
    <row r="8" spans="1:3" x14ac:dyDescent="0.25">
      <c r="A8" t="s">
        <v>79</v>
      </c>
      <c r="B8" t="s">
        <v>43</v>
      </c>
      <c r="C8">
        <v>3</v>
      </c>
    </row>
    <row r="9" spans="1:3" x14ac:dyDescent="0.25">
      <c r="A9" t="s">
        <v>79</v>
      </c>
      <c r="B9" t="s">
        <v>90</v>
      </c>
      <c r="C9">
        <v>10</v>
      </c>
    </row>
    <row r="10" spans="1:3" x14ac:dyDescent="0.25">
      <c r="A10" t="s">
        <v>80</v>
      </c>
      <c r="B10" t="s">
        <v>52</v>
      </c>
      <c r="C10">
        <v>54</v>
      </c>
    </row>
    <row r="11" spans="1:3" x14ac:dyDescent="0.25">
      <c r="A11" t="s">
        <v>80</v>
      </c>
      <c r="B11" t="s">
        <v>62</v>
      </c>
      <c r="C11">
        <v>21</v>
      </c>
    </row>
    <row r="12" spans="1:3" x14ac:dyDescent="0.25">
      <c r="A12" t="s">
        <v>80</v>
      </c>
      <c r="B12" t="s">
        <v>63</v>
      </c>
      <c r="C12">
        <v>5</v>
      </c>
    </row>
    <row r="13" spans="1:3" x14ac:dyDescent="0.25">
      <c r="A13" t="s">
        <v>80</v>
      </c>
      <c r="B13" t="s">
        <v>69</v>
      </c>
      <c r="C13">
        <v>9</v>
      </c>
    </row>
    <row r="14" spans="1:3" x14ac:dyDescent="0.25">
      <c r="A14" t="s">
        <v>81</v>
      </c>
      <c r="B14" t="s">
        <v>50</v>
      </c>
      <c r="C14">
        <v>23</v>
      </c>
    </row>
    <row r="15" spans="1:3" x14ac:dyDescent="0.25">
      <c r="A15" t="s">
        <v>81</v>
      </c>
      <c r="B15" t="s">
        <v>91</v>
      </c>
      <c r="C15">
        <v>13</v>
      </c>
    </row>
    <row r="16" spans="1:3" x14ac:dyDescent="0.25">
      <c r="A16" t="s">
        <v>81</v>
      </c>
      <c r="B16" t="s">
        <v>70</v>
      </c>
      <c r="C16">
        <v>7</v>
      </c>
    </row>
    <row r="17" spans="1:3" x14ac:dyDescent="0.25">
      <c r="A17" t="s">
        <v>81</v>
      </c>
      <c r="B17" t="s">
        <v>53</v>
      </c>
      <c r="C17">
        <v>20</v>
      </c>
    </row>
    <row r="18" spans="1:3" x14ac:dyDescent="0.25">
      <c r="A18" t="s">
        <v>82</v>
      </c>
      <c r="B18" t="s">
        <v>38</v>
      </c>
      <c r="C18">
        <v>45</v>
      </c>
    </row>
    <row r="19" spans="1:3" x14ac:dyDescent="0.25">
      <c r="A19" t="s">
        <v>82</v>
      </c>
      <c r="B19" t="s">
        <v>74</v>
      </c>
      <c r="C19">
        <v>3</v>
      </c>
    </row>
    <row r="20" spans="1:3" x14ac:dyDescent="0.25">
      <c r="A20" t="s">
        <v>82</v>
      </c>
      <c r="B20" t="s">
        <v>75</v>
      </c>
      <c r="C20">
        <v>9</v>
      </c>
    </row>
    <row r="21" spans="1:3" x14ac:dyDescent="0.25">
      <c r="A21" t="s">
        <v>82</v>
      </c>
      <c r="B21" t="s">
        <v>54</v>
      </c>
      <c r="C21">
        <v>17</v>
      </c>
    </row>
    <row r="22" spans="1:3" x14ac:dyDescent="0.25">
      <c r="A22" t="s">
        <v>83</v>
      </c>
      <c r="B22" t="s">
        <v>40</v>
      </c>
      <c r="C22">
        <v>35</v>
      </c>
    </row>
    <row r="23" spans="1:3" x14ac:dyDescent="0.25">
      <c r="A23" t="s">
        <v>83</v>
      </c>
      <c r="B23" t="s">
        <v>41</v>
      </c>
      <c r="C23">
        <v>20</v>
      </c>
    </row>
    <row r="24" spans="1:3" x14ac:dyDescent="0.25">
      <c r="A24" t="s">
        <v>83</v>
      </c>
      <c r="B24" t="s">
        <v>73</v>
      </c>
      <c r="C24">
        <v>7</v>
      </c>
    </row>
    <row r="25" spans="1:3" x14ac:dyDescent="0.25">
      <c r="A25" t="s">
        <v>83</v>
      </c>
      <c r="B25" t="s">
        <v>57</v>
      </c>
      <c r="C25">
        <v>14</v>
      </c>
    </row>
    <row r="26" spans="1:3" x14ac:dyDescent="0.25">
      <c r="A26" t="s">
        <v>84</v>
      </c>
      <c r="B26" t="s">
        <v>47</v>
      </c>
      <c r="C26">
        <v>38</v>
      </c>
    </row>
    <row r="27" spans="1:3" x14ac:dyDescent="0.25">
      <c r="A27" t="s">
        <v>84</v>
      </c>
      <c r="B27" t="s">
        <v>71</v>
      </c>
      <c r="C27">
        <v>10</v>
      </c>
    </row>
    <row r="28" spans="1:3" x14ac:dyDescent="0.25">
      <c r="A28" t="s">
        <v>84</v>
      </c>
      <c r="B28" t="s">
        <v>76</v>
      </c>
      <c r="C28">
        <v>8</v>
      </c>
    </row>
    <row r="29" spans="1:3" x14ac:dyDescent="0.25">
      <c r="A29" t="s">
        <v>84</v>
      </c>
      <c r="B29" t="s">
        <v>58</v>
      </c>
      <c r="C29">
        <v>4</v>
      </c>
    </row>
    <row r="30" spans="1:3" x14ac:dyDescent="0.25">
      <c r="A30" t="s">
        <v>85</v>
      </c>
      <c r="B30" t="s">
        <v>45</v>
      </c>
      <c r="C30">
        <v>70</v>
      </c>
    </row>
    <row r="31" spans="1:3" x14ac:dyDescent="0.25">
      <c r="A31" t="s">
        <v>85</v>
      </c>
      <c r="B31" t="s">
        <v>92</v>
      </c>
      <c r="C31">
        <v>4</v>
      </c>
    </row>
    <row r="32" spans="1:3" x14ac:dyDescent="0.25">
      <c r="A32" t="s">
        <v>85</v>
      </c>
      <c r="B32" t="s">
        <v>93</v>
      </c>
      <c r="C32">
        <v>5</v>
      </c>
    </row>
    <row r="33" spans="1:3" x14ac:dyDescent="0.25">
      <c r="A33" t="s">
        <v>85</v>
      </c>
      <c r="B33" t="s">
        <v>68</v>
      </c>
      <c r="C33">
        <v>18</v>
      </c>
    </row>
    <row r="34" spans="1:3" x14ac:dyDescent="0.25">
      <c r="A34" t="s">
        <v>284</v>
      </c>
      <c r="B34" t="s">
        <v>59</v>
      </c>
      <c r="C34">
        <v>68</v>
      </c>
    </row>
    <row r="35" spans="1:3" x14ac:dyDescent="0.25">
      <c r="A35" t="s">
        <v>284</v>
      </c>
      <c r="B35" t="s">
        <v>65</v>
      </c>
      <c r="C35">
        <v>13</v>
      </c>
    </row>
    <row r="36" spans="1:3" x14ac:dyDescent="0.25">
      <c r="A36" t="s">
        <v>284</v>
      </c>
      <c r="B36" t="s">
        <v>39</v>
      </c>
      <c r="C36">
        <v>30</v>
      </c>
    </row>
    <row r="37" spans="1:3" x14ac:dyDescent="0.25">
      <c r="A37" t="s">
        <v>284</v>
      </c>
      <c r="B37" t="s">
        <v>94</v>
      </c>
      <c r="C37">
        <v>5</v>
      </c>
    </row>
    <row r="38" spans="1:3" x14ac:dyDescent="0.25">
      <c r="A38" t="s">
        <v>285</v>
      </c>
      <c r="B38" t="s">
        <v>51</v>
      </c>
      <c r="C38">
        <v>52</v>
      </c>
    </row>
    <row r="39" spans="1:3" x14ac:dyDescent="0.25">
      <c r="A39" t="s">
        <v>285</v>
      </c>
      <c r="B39" t="s">
        <v>46</v>
      </c>
      <c r="C39">
        <v>8</v>
      </c>
    </row>
    <row r="40" spans="1:3" x14ac:dyDescent="0.25">
      <c r="A40" t="s">
        <v>285</v>
      </c>
      <c r="B40" t="s">
        <v>48</v>
      </c>
      <c r="C40">
        <v>12</v>
      </c>
    </row>
    <row r="41" spans="1:3" x14ac:dyDescent="0.25">
      <c r="A41" t="s">
        <v>285</v>
      </c>
      <c r="B41" t="s">
        <v>56</v>
      </c>
      <c r="C41">
        <v>3</v>
      </c>
    </row>
    <row r="42" spans="1:3" x14ac:dyDescent="0.25">
      <c r="A42" t="s">
        <v>286</v>
      </c>
      <c r="B42" t="s">
        <v>61</v>
      </c>
      <c r="C42">
        <v>50</v>
      </c>
    </row>
    <row r="43" spans="1:3" x14ac:dyDescent="0.25">
      <c r="A43" t="s">
        <v>286</v>
      </c>
      <c r="B43" t="s">
        <v>95</v>
      </c>
      <c r="C43">
        <v>5</v>
      </c>
    </row>
    <row r="44" spans="1:3" x14ac:dyDescent="0.25">
      <c r="A44" t="s">
        <v>286</v>
      </c>
      <c r="B44" t="s">
        <v>72</v>
      </c>
      <c r="C44">
        <v>25</v>
      </c>
    </row>
    <row r="45" spans="1:3" x14ac:dyDescent="0.25">
      <c r="A45" t="s">
        <v>286</v>
      </c>
      <c r="B45" t="s">
        <v>77</v>
      </c>
      <c r="C45">
        <v>6</v>
      </c>
    </row>
    <row r="46" spans="1:3" x14ac:dyDescent="0.25">
      <c r="A46" t="s">
        <v>287</v>
      </c>
      <c r="B46" t="s">
        <v>44</v>
      </c>
      <c r="C46">
        <v>60</v>
      </c>
    </row>
    <row r="47" spans="1:3" x14ac:dyDescent="0.25">
      <c r="A47" t="s">
        <v>287</v>
      </c>
      <c r="B47" t="s">
        <v>49</v>
      </c>
      <c r="C47">
        <v>16</v>
      </c>
    </row>
    <row r="48" spans="1:3" x14ac:dyDescent="0.25">
      <c r="A48" t="s">
        <v>287</v>
      </c>
      <c r="B48" t="s">
        <v>66</v>
      </c>
      <c r="C48">
        <v>7</v>
      </c>
    </row>
    <row r="49" spans="1:3" x14ac:dyDescent="0.25">
      <c r="A49" t="s">
        <v>287</v>
      </c>
      <c r="B49" t="s">
        <v>64</v>
      </c>
      <c r="C49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topLeftCell="B1" workbookViewId="0">
      <selection activeCell="F20" sqref="F20"/>
    </sheetView>
  </sheetViews>
  <sheetFormatPr defaultRowHeight="15" x14ac:dyDescent="0.25"/>
  <cols>
    <col min="1" max="1" width="9.140625" hidden="1" customWidth="1"/>
    <col min="3" max="3" width="9.140625" style="5" customWidth="1"/>
    <col min="4" max="4" width="9.42578125" style="5" bestFit="1" customWidth="1"/>
    <col min="5" max="5" width="18.7109375" bestFit="1" customWidth="1"/>
  </cols>
  <sheetData>
    <row r="1" spans="1:6" x14ac:dyDescent="0.25">
      <c r="C1" s="5" t="s">
        <v>97</v>
      </c>
      <c r="D1" s="5" t="s">
        <v>108</v>
      </c>
    </row>
    <row r="2" spans="1:6" x14ac:dyDescent="0.25">
      <c r="A2">
        <v>1</v>
      </c>
      <c r="B2" t="s">
        <v>109</v>
      </c>
      <c r="C2" s="21">
        <v>250</v>
      </c>
      <c r="D2" s="39">
        <f t="shared" ref="D2:D13" si="0">C2/$F$2/10</f>
        <v>0.25</v>
      </c>
      <c r="E2" s="12" t="s">
        <v>110</v>
      </c>
      <c r="F2">
        <f>COUNT(Standings!D:D)</f>
        <v>100</v>
      </c>
    </row>
    <row r="3" spans="1:6" x14ac:dyDescent="0.25">
      <c r="A3">
        <v>2</v>
      </c>
      <c r="B3" t="s">
        <v>111</v>
      </c>
      <c r="C3" s="21">
        <v>160</v>
      </c>
      <c r="D3" s="39">
        <f t="shared" si="0"/>
        <v>0.16</v>
      </c>
      <c r="E3" s="12" t="s">
        <v>112</v>
      </c>
      <c r="F3">
        <f>CEILING(F2*0.15,1)</f>
        <v>15</v>
      </c>
    </row>
    <row r="4" spans="1:6" x14ac:dyDescent="0.25">
      <c r="A4">
        <v>3</v>
      </c>
      <c r="B4" t="s">
        <v>113</v>
      </c>
      <c r="C4" s="21">
        <v>120</v>
      </c>
      <c r="D4" s="39">
        <f t="shared" si="0"/>
        <v>0.12</v>
      </c>
    </row>
    <row r="5" spans="1:6" x14ac:dyDescent="0.25">
      <c r="A5">
        <v>4</v>
      </c>
      <c r="B5" t="s">
        <v>114</v>
      </c>
      <c r="C5" s="21">
        <v>90</v>
      </c>
      <c r="D5" s="39">
        <f t="shared" si="0"/>
        <v>0.09</v>
      </c>
    </row>
    <row r="6" spans="1:6" x14ac:dyDescent="0.25">
      <c r="A6">
        <v>5</v>
      </c>
      <c r="B6" t="s">
        <v>115</v>
      </c>
      <c r="C6" s="21">
        <v>70</v>
      </c>
      <c r="D6" s="39">
        <f t="shared" si="0"/>
        <v>6.9999999999999993E-2</v>
      </c>
    </row>
    <row r="7" spans="1:6" x14ac:dyDescent="0.25">
      <c r="A7">
        <v>6</v>
      </c>
      <c r="B7" t="s">
        <v>116</v>
      </c>
      <c r="C7" s="21">
        <v>60</v>
      </c>
      <c r="D7" s="39">
        <f t="shared" si="0"/>
        <v>0.06</v>
      </c>
    </row>
    <row r="8" spans="1:6" x14ac:dyDescent="0.25">
      <c r="A8">
        <v>7</v>
      </c>
      <c r="B8" t="s">
        <v>117</v>
      </c>
      <c r="C8" s="21">
        <v>50</v>
      </c>
      <c r="D8" s="39">
        <f t="shared" si="0"/>
        <v>0.05</v>
      </c>
    </row>
    <row r="9" spans="1:6" x14ac:dyDescent="0.25">
      <c r="A9">
        <v>8</v>
      </c>
      <c r="B9" t="s">
        <v>118</v>
      </c>
      <c r="C9" s="21">
        <v>40</v>
      </c>
      <c r="D9" s="39">
        <f t="shared" si="0"/>
        <v>0.04</v>
      </c>
    </row>
    <row r="10" spans="1:6" x14ac:dyDescent="0.25">
      <c r="A10">
        <v>9</v>
      </c>
      <c r="B10" t="s">
        <v>119</v>
      </c>
      <c r="C10" s="21">
        <v>40</v>
      </c>
      <c r="D10" s="39">
        <f t="shared" si="0"/>
        <v>0.04</v>
      </c>
    </row>
    <row r="11" spans="1:6" x14ac:dyDescent="0.25">
      <c r="A11">
        <v>10</v>
      </c>
      <c r="B11" t="s">
        <v>120</v>
      </c>
      <c r="C11" s="21">
        <v>30</v>
      </c>
      <c r="D11" s="39">
        <f t="shared" si="0"/>
        <v>0.03</v>
      </c>
    </row>
    <row r="12" spans="1:6" x14ac:dyDescent="0.25">
      <c r="A12">
        <v>11</v>
      </c>
      <c r="B12" t="s">
        <v>121</v>
      </c>
      <c r="C12" s="21">
        <v>30</v>
      </c>
      <c r="D12" s="39">
        <f t="shared" si="0"/>
        <v>0.03</v>
      </c>
    </row>
    <row r="13" spans="1:6" x14ac:dyDescent="0.25">
      <c r="A13">
        <v>12</v>
      </c>
      <c r="B13" t="s">
        <v>122</v>
      </c>
      <c r="C13" s="21">
        <v>20</v>
      </c>
      <c r="D13" s="39">
        <f t="shared" si="0"/>
        <v>0.02</v>
      </c>
    </row>
    <row r="14" spans="1:6" x14ac:dyDescent="0.25">
      <c r="B14" t="s">
        <v>288</v>
      </c>
      <c r="C14" s="21">
        <v>20</v>
      </c>
      <c r="D14" s="39">
        <f t="shared" ref="D14:D16" si="1">C14/$F$2/10</f>
        <v>0.02</v>
      </c>
    </row>
    <row r="15" spans="1:6" x14ac:dyDescent="0.25">
      <c r="B15" t="s">
        <v>290</v>
      </c>
      <c r="C15" s="21">
        <v>10</v>
      </c>
      <c r="D15" s="39">
        <f t="shared" si="1"/>
        <v>0.01</v>
      </c>
    </row>
    <row r="16" spans="1:6" x14ac:dyDescent="0.25">
      <c r="B16" t="s">
        <v>289</v>
      </c>
      <c r="C16" s="21">
        <v>10</v>
      </c>
      <c r="D16" s="39">
        <f t="shared" si="1"/>
        <v>0.01</v>
      </c>
    </row>
    <row r="17" spans="2:3" x14ac:dyDescent="0.25">
      <c r="C17" s="21"/>
    </row>
    <row r="18" spans="2:3" x14ac:dyDescent="0.25">
      <c r="C18" s="21">
        <f>SUM(C2:C16)</f>
        <v>1000</v>
      </c>
    </row>
    <row r="19" spans="2:3" x14ac:dyDescent="0.25">
      <c r="B19" t="s">
        <v>123</v>
      </c>
      <c r="C19" s="5" t="b">
        <f>SUM(C2:C16)=(F2*10)</f>
        <v>1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7"/>
  <sheetViews>
    <sheetView topLeftCell="B1" zoomScale="90" zoomScaleNormal="90" workbookViewId="0">
      <selection activeCell="W2" sqref="W2"/>
    </sheetView>
  </sheetViews>
  <sheetFormatPr defaultRowHeight="15" x14ac:dyDescent="0.25"/>
  <cols>
    <col min="1" max="1" width="21.28515625" customWidth="1"/>
    <col min="2" max="2" width="6" bestFit="1" customWidth="1"/>
    <col min="3" max="9" width="5.5703125" bestFit="1" customWidth="1"/>
    <col min="10" max="25" width="5.5703125" customWidth="1"/>
    <col min="26" max="33" width="5.5703125" bestFit="1" customWidth="1"/>
    <col min="34" max="41" width="5.5703125" customWidth="1"/>
    <col min="42" max="49" width="5.5703125" bestFit="1" customWidth="1"/>
    <col min="51" max="51" width="3.42578125" bestFit="1" customWidth="1"/>
    <col min="52" max="55" width="13.7109375" customWidth="1"/>
  </cols>
  <sheetData>
    <row r="1" spans="1:52" ht="63.75" customHeight="1" thickBot="1" x14ac:dyDescent="0.3">
      <c r="B1" s="19" t="s">
        <v>46</v>
      </c>
      <c r="C1" s="19" t="s">
        <v>51</v>
      </c>
      <c r="D1" s="19" t="s">
        <v>70</v>
      </c>
      <c r="E1" s="19" t="s">
        <v>48</v>
      </c>
      <c r="F1" s="19" t="s">
        <v>47</v>
      </c>
      <c r="G1" s="19" t="s">
        <v>90</v>
      </c>
      <c r="H1" s="19" t="s">
        <v>52</v>
      </c>
      <c r="I1" s="19" t="s">
        <v>67</v>
      </c>
      <c r="J1" s="19" t="s">
        <v>92</v>
      </c>
      <c r="K1" s="19" t="s">
        <v>72</v>
      </c>
      <c r="L1" s="19" t="s">
        <v>49</v>
      </c>
      <c r="M1" s="19" t="s">
        <v>74</v>
      </c>
      <c r="N1" s="19" t="s">
        <v>55</v>
      </c>
      <c r="O1" s="19" t="s">
        <v>77</v>
      </c>
      <c r="P1" s="19" t="s">
        <v>54</v>
      </c>
      <c r="Q1" s="19" t="s">
        <v>71</v>
      </c>
      <c r="R1" s="19" t="s">
        <v>44</v>
      </c>
      <c r="S1" s="19" t="s">
        <v>59</v>
      </c>
      <c r="T1" s="19" t="s">
        <v>38</v>
      </c>
      <c r="U1" s="19" t="s">
        <v>66</v>
      </c>
      <c r="V1" s="19" t="s">
        <v>63</v>
      </c>
      <c r="W1" s="19" t="s">
        <v>76</v>
      </c>
      <c r="X1" s="19" t="s">
        <v>94</v>
      </c>
      <c r="Y1" s="19" t="s">
        <v>75</v>
      </c>
      <c r="Z1" s="19" t="s">
        <v>41</v>
      </c>
      <c r="AA1" s="19" t="s">
        <v>56</v>
      </c>
      <c r="AB1" s="19" t="s">
        <v>42</v>
      </c>
      <c r="AC1" s="19" t="s">
        <v>62</v>
      </c>
      <c r="AD1" s="19" t="s">
        <v>40</v>
      </c>
      <c r="AE1" s="19" t="s">
        <v>58</v>
      </c>
      <c r="AF1" s="19" t="s">
        <v>39</v>
      </c>
      <c r="AG1" s="19" t="s">
        <v>64</v>
      </c>
      <c r="AH1" s="19" t="s">
        <v>91</v>
      </c>
      <c r="AI1" s="19" t="s">
        <v>61</v>
      </c>
      <c r="AJ1" s="19" t="s">
        <v>43</v>
      </c>
      <c r="AK1" s="19" t="s">
        <v>93</v>
      </c>
      <c r="AL1" s="19" t="s">
        <v>69</v>
      </c>
      <c r="AM1" s="19" t="s">
        <v>65</v>
      </c>
      <c r="AN1" s="19" t="s">
        <v>88</v>
      </c>
      <c r="AO1" s="19" t="s">
        <v>89</v>
      </c>
      <c r="AP1" s="19" t="s">
        <v>45</v>
      </c>
      <c r="AQ1" s="19" t="s">
        <v>57</v>
      </c>
      <c r="AR1" s="19" t="s">
        <v>60</v>
      </c>
      <c r="AS1" s="19" t="s">
        <v>73</v>
      </c>
      <c r="AT1" s="19" t="s">
        <v>53</v>
      </c>
      <c r="AU1" s="19" t="s">
        <v>68</v>
      </c>
      <c r="AV1" s="19" t="s">
        <v>50</v>
      </c>
      <c r="AW1" s="19" t="s">
        <v>95</v>
      </c>
    </row>
    <row r="2" spans="1:52" ht="15.75" customHeight="1" thickBot="1" x14ac:dyDescent="0.3">
      <c r="A2" t="s">
        <v>124</v>
      </c>
      <c r="B2" s="8"/>
      <c r="C2" s="8"/>
      <c r="D2" s="8">
        <v>2</v>
      </c>
      <c r="E2" s="8"/>
      <c r="F2" s="8">
        <v>1</v>
      </c>
      <c r="G2" s="8">
        <v>1</v>
      </c>
      <c r="H2" s="8">
        <v>1</v>
      </c>
      <c r="I2" s="8">
        <v>1</v>
      </c>
      <c r="J2" s="8">
        <v>1</v>
      </c>
      <c r="K2" s="8"/>
      <c r="L2" s="8"/>
      <c r="M2" s="8">
        <v>0</v>
      </c>
      <c r="N2" s="8">
        <v>0</v>
      </c>
      <c r="O2" s="8"/>
      <c r="P2" s="8">
        <v>0</v>
      </c>
      <c r="Q2" s="8">
        <v>1</v>
      </c>
      <c r="R2" s="8"/>
      <c r="S2" s="8"/>
      <c r="T2" s="8">
        <v>2</v>
      </c>
      <c r="U2" s="8"/>
      <c r="V2" s="8">
        <v>0</v>
      </c>
      <c r="W2" s="8">
        <v>1</v>
      </c>
      <c r="X2" s="8"/>
      <c r="Y2" s="8">
        <v>2</v>
      </c>
      <c r="Z2" s="9">
        <v>1</v>
      </c>
      <c r="AA2" s="9"/>
      <c r="AB2" s="9">
        <v>2</v>
      </c>
      <c r="AC2" s="9">
        <v>1</v>
      </c>
      <c r="AD2" s="9">
        <v>1</v>
      </c>
      <c r="AE2" s="9">
        <v>1</v>
      </c>
      <c r="AF2" s="9"/>
      <c r="AG2" s="9"/>
      <c r="AH2" s="8">
        <v>0</v>
      </c>
      <c r="AI2" s="8"/>
      <c r="AJ2" s="8">
        <v>1</v>
      </c>
      <c r="AK2" s="8">
        <v>1</v>
      </c>
      <c r="AL2" s="8">
        <v>2</v>
      </c>
      <c r="AM2" s="8"/>
      <c r="AN2" s="8">
        <v>0</v>
      </c>
      <c r="AO2" s="8">
        <v>2</v>
      </c>
      <c r="AP2" s="9">
        <v>1</v>
      </c>
      <c r="AQ2" s="9">
        <v>2</v>
      </c>
      <c r="AR2" s="9">
        <v>1</v>
      </c>
      <c r="AS2" s="9">
        <v>0</v>
      </c>
      <c r="AT2" s="9">
        <v>0</v>
      </c>
      <c r="AU2" s="9">
        <v>1</v>
      </c>
      <c r="AV2" s="9">
        <v>2</v>
      </c>
      <c r="AW2" s="9"/>
      <c r="AY2">
        <f t="shared" ref="AY2:AY8" si="0">SUM(B2:AW2)</f>
        <v>32</v>
      </c>
      <c r="AZ2" t="s">
        <v>125</v>
      </c>
    </row>
    <row r="3" spans="1:52" ht="15.75" customHeight="1" thickBot="1" x14ac:dyDescent="0.3">
      <c r="A3" t="s">
        <v>126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9"/>
      <c r="AB3" s="9"/>
      <c r="AC3" s="9"/>
      <c r="AD3" s="9"/>
      <c r="AE3" s="9"/>
      <c r="AF3" s="9"/>
      <c r="AG3" s="9"/>
      <c r="AH3" s="8"/>
      <c r="AI3" s="8"/>
      <c r="AJ3" s="8"/>
      <c r="AK3" s="8"/>
      <c r="AL3" s="8"/>
      <c r="AM3" s="8"/>
      <c r="AN3" s="8"/>
      <c r="AO3" s="8"/>
      <c r="AP3" s="9"/>
      <c r="AQ3" s="9"/>
      <c r="AR3" s="9"/>
      <c r="AS3" s="9"/>
      <c r="AT3" s="9"/>
      <c r="AU3" s="9"/>
      <c r="AV3" s="9"/>
      <c r="AW3" s="9"/>
      <c r="AY3">
        <f t="shared" si="0"/>
        <v>0</v>
      </c>
      <c r="AZ3" t="s">
        <v>125</v>
      </c>
    </row>
    <row r="4" spans="1:52" ht="15.75" customHeight="1" thickBot="1" x14ac:dyDescent="0.3">
      <c r="A4" t="s">
        <v>127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9"/>
      <c r="AB4" s="9"/>
      <c r="AC4" s="9"/>
      <c r="AD4" s="9"/>
      <c r="AE4" s="9"/>
      <c r="AF4" s="9"/>
      <c r="AG4" s="9"/>
      <c r="AH4" s="8"/>
      <c r="AI4" s="8"/>
      <c r="AJ4" s="8"/>
      <c r="AK4" s="8"/>
      <c r="AL4" s="8"/>
      <c r="AM4" s="8"/>
      <c r="AN4" s="8"/>
      <c r="AO4" s="8"/>
      <c r="AP4" s="9"/>
      <c r="AQ4" s="9"/>
      <c r="AR4" s="9"/>
      <c r="AS4" s="9"/>
      <c r="AT4" s="9"/>
      <c r="AU4" s="9"/>
      <c r="AV4" s="9"/>
      <c r="AW4" s="9"/>
      <c r="AY4">
        <f t="shared" si="0"/>
        <v>0</v>
      </c>
      <c r="AZ4" t="s">
        <v>125</v>
      </c>
    </row>
    <row r="5" spans="1:52" ht="15.75" customHeight="1" thickBot="1" x14ac:dyDescent="0.3">
      <c r="A5" t="s">
        <v>128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9"/>
      <c r="AB5" s="9"/>
      <c r="AC5" s="9"/>
      <c r="AD5" s="9"/>
      <c r="AE5" s="9"/>
      <c r="AF5" s="9"/>
      <c r="AG5" s="9"/>
      <c r="AH5" s="8"/>
      <c r="AI5" s="8"/>
      <c r="AJ5" s="8"/>
      <c r="AK5" s="8"/>
      <c r="AL5" s="8"/>
      <c r="AM5" s="8"/>
      <c r="AN5" s="8"/>
      <c r="AO5" s="8"/>
      <c r="AP5" s="9"/>
      <c r="AQ5" s="9"/>
      <c r="AR5" s="9"/>
      <c r="AS5" s="9"/>
      <c r="AT5" s="9"/>
      <c r="AU5" s="9"/>
      <c r="AV5" s="9"/>
      <c r="AW5" s="9"/>
      <c r="AY5">
        <f t="shared" si="0"/>
        <v>0</v>
      </c>
      <c r="AZ5" t="s">
        <v>125</v>
      </c>
    </row>
    <row r="6" spans="1:52" ht="15.75" customHeight="1" thickBot="1" x14ac:dyDescent="0.3">
      <c r="A6" t="s">
        <v>129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9"/>
      <c r="AB6" s="9"/>
      <c r="AC6" s="9"/>
      <c r="AD6" s="9"/>
      <c r="AE6" s="9"/>
      <c r="AF6" s="9"/>
      <c r="AG6" s="9"/>
      <c r="AH6" s="8"/>
      <c r="AI6" s="8"/>
      <c r="AJ6" s="8"/>
      <c r="AK6" s="8"/>
      <c r="AL6" s="8"/>
      <c r="AM6" s="8"/>
      <c r="AN6" s="8"/>
      <c r="AO6" s="8"/>
      <c r="AP6" s="9"/>
      <c r="AQ6" s="9"/>
      <c r="AR6" s="9"/>
      <c r="AS6" s="9"/>
      <c r="AT6" s="9"/>
      <c r="AU6" s="9"/>
      <c r="AV6" s="9"/>
      <c r="AW6" s="9"/>
      <c r="AY6">
        <f t="shared" si="0"/>
        <v>0</v>
      </c>
      <c r="AZ6" t="s">
        <v>125</v>
      </c>
    </row>
    <row r="7" spans="1:52" ht="15.75" customHeight="1" thickBot="1" x14ac:dyDescent="0.3">
      <c r="A7" t="s">
        <v>130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9"/>
      <c r="AB7" s="9"/>
      <c r="AC7" s="9"/>
      <c r="AD7" s="9"/>
      <c r="AE7" s="9"/>
      <c r="AF7" s="9"/>
      <c r="AG7" s="9"/>
      <c r="AH7" s="8"/>
      <c r="AI7" s="8"/>
      <c r="AJ7" s="8"/>
      <c r="AK7" s="8"/>
      <c r="AL7" s="8"/>
      <c r="AM7" s="8"/>
      <c r="AN7" s="8"/>
      <c r="AO7" s="8"/>
      <c r="AP7" s="9"/>
      <c r="AQ7" s="9"/>
      <c r="AR7" s="9"/>
      <c r="AS7" s="9"/>
      <c r="AT7" s="9"/>
      <c r="AU7" s="9"/>
      <c r="AV7" s="9"/>
      <c r="AW7" s="9"/>
      <c r="AY7">
        <f t="shared" si="0"/>
        <v>0</v>
      </c>
      <c r="AZ7" t="s">
        <v>125</v>
      </c>
    </row>
    <row r="8" spans="1:52" ht="15.75" customHeight="1" thickBot="1" x14ac:dyDescent="0.3">
      <c r="A8" t="s">
        <v>131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A8" s="9"/>
      <c r="AB8" s="9"/>
      <c r="AC8" s="9"/>
      <c r="AD8" s="9"/>
      <c r="AE8" s="9"/>
      <c r="AF8" s="9"/>
      <c r="AG8" s="9"/>
      <c r="AH8" s="8"/>
      <c r="AI8" s="8"/>
      <c r="AJ8" s="8"/>
      <c r="AK8" s="8"/>
      <c r="AL8" s="8"/>
      <c r="AM8" s="8"/>
      <c r="AN8" s="8"/>
      <c r="AO8" s="8"/>
      <c r="AP8" s="9"/>
      <c r="AQ8" s="9"/>
      <c r="AR8" s="9"/>
      <c r="AS8" s="9"/>
      <c r="AT8" s="9"/>
      <c r="AU8" s="9"/>
      <c r="AV8" s="9"/>
      <c r="AW8" s="9"/>
      <c r="AY8">
        <f t="shared" si="0"/>
        <v>0</v>
      </c>
      <c r="AZ8" t="s">
        <v>125</v>
      </c>
    </row>
    <row r="9" spans="1:52" ht="15.75" customHeight="1" thickBot="1" x14ac:dyDescent="0.3">
      <c r="A9" t="s">
        <v>132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9"/>
      <c r="AB9" s="9"/>
      <c r="AC9" s="9"/>
      <c r="AD9" s="9"/>
      <c r="AE9" s="9"/>
      <c r="AF9" s="9"/>
      <c r="AG9" s="9"/>
      <c r="AH9" s="8"/>
      <c r="AI9" s="8"/>
      <c r="AJ9" s="8"/>
      <c r="AK9" s="8"/>
      <c r="AL9" s="8"/>
      <c r="AM9" s="8"/>
      <c r="AN9" s="8"/>
      <c r="AO9" s="8"/>
      <c r="AP9" s="9"/>
      <c r="AQ9" s="9"/>
      <c r="AR9" s="9"/>
      <c r="AS9" s="9"/>
      <c r="AT9" s="9"/>
      <c r="AU9" s="9"/>
      <c r="AV9" s="9"/>
      <c r="AW9" s="9"/>
    </row>
    <row r="10" spans="1:52" ht="15.75" customHeight="1" thickBot="1" x14ac:dyDescent="0.3">
      <c r="A10" t="s">
        <v>133</v>
      </c>
      <c r="B10" s="8">
        <f t="shared" ref="B10:AW10" si="1">SUM(B2:B9)</f>
        <v>0</v>
      </c>
      <c r="C10" s="8">
        <f t="shared" si="1"/>
        <v>0</v>
      </c>
      <c r="D10" s="8">
        <f t="shared" si="1"/>
        <v>2</v>
      </c>
      <c r="E10" s="8">
        <f t="shared" si="1"/>
        <v>0</v>
      </c>
      <c r="F10" s="8">
        <f t="shared" si="1"/>
        <v>1</v>
      </c>
      <c r="G10" s="8">
        <f t="shared" si="1"/>
        <v>1</v>
      </c>
      <c r="H10" s="8">
        <f t="shared" si="1"/>
        <v>1</v>
      </c>
      <c r="I10" s="8">
        <f t="shared" si="1"/>
        <v>1</v>
      </c>
      <c r="J10" s="8">
        <f t="shared" si="1"/>
        <v>1</v>
      </c>
      <c r="K10" s="8">
        <f t="shared" si="1"/>
        <v>0</v>
      </c>
      <c r="L10" s="8">
        <f t="shared" si="1"/>
        <v>0</v>
      </c>
      <c r="M10" s="8">
        <f t="shared" si="1"/>
        <v>0</v>
      </c>
      <c r="N10" s="8">
        <f t="shared" si="1"/>
        <v>0</v>
      </c>
      <c r="O10" s="8">
        <f t="shared" si="1"/>
        <v>0</v>
      </c>
      <c r="P10" s="8">
        <f t="shared" si="1"/>
        <v>0</v>
      </c>
      <c r="Q10" s="8">
        <f t="shared" si="1"/>
        <v>1</v>
      </c>
      <c r="R10" s="8">
        <f t="shared" si="1"/>
        <v>0</v>
      </c>
      <c r="S10" s="8">
        <f t="shared" si="1"/>
        <v>0</v>
      </c>
      <c r="T10" s="8">
        <f t="shared" si="1"/>
        <v>2</v>
      </c>
      <c r="U10" s="8">
        <f t="shared" si="1"/>
        <v>0</v>
      </c>
      <c r="V10" s="8">
        <f t="shared" si="1"/>
        <v>0</v>
      </c>
      <c r="W10" s="8">
        <f t="shared" si="1"/>
        <v>1</v>
      </c>
      <c r="X10" s="8">
        <f t="shared" si="1"/>
        <v>0</v>
      </c>
      <c r="Y10" s="8">
        <f t="shared" si="1"/>
        <v>2</v>
      </c>
      <c r="Z10" s="8">
        <f t="shared" si="1"/>
        <v>1</v>
      </c>
      <c r="AA10" s="8">
        <f t="shared" si="1"/>
        <v>0</v>
      </c>
      <c r="AB10" s="8">
        <f t="shared" si="1"/>
        <v>2</v>
      </c>
      <c r="AC10" s="8">
        <f t="shared" si="1"/>
        <v>1</v>
      </c>
      <c r="AD10" s="8">
        <f t="shared" si="1"/>
        <v>1</v>
      </c>
      <c r="AE10" s="8">
        <f t="shared" si="1"/>
        <v>1</v>
      </c>
      <c r="AF10" s="8">
        <f t="shared" si="1"/>
        <v>0</v>
      </c>
      <c r="AG10" s="8">
        <f t="shared" si="1"/>
        <v>0</v>
      </c>
      <c r="AH10" s="8">
        <f t="shared" si="1"/>
        <v>0</v>
      </c>
      <c r="AI10" s="8">
        <f t="shared" si="1"/>
        <v>0</v>
      </c>
      <c r="AJ10" s="8">
        <f t="shared" si="1"/>
        <v>1</v>
      </c>
      <c r="AK10" s="8">
        <f t="shared" si="1"/>
        <v>1</v>
      </c>
      <c r="AL10" s="8">
        <f t="shared" si="1"/>
        <v>2</v>
      </c>
      <c r="AM10" s="8">
        <f t="shared" si="1"/>
        <v>0</v>
      </c>
      <c r="AN10" s="8">
        <f t="shared" si="1"/>
        <v>0</v>
      </c>
      <c r="AO10" s="8">
        <f t="shared" si="1"/>
        <v>2</v>
      </c>
      <c r="AP10" s="8">
        <f t="shared" si="1"/>
        <v>1</v>
      </c>
      <c r="AQ10" s="8">
        <f t="shared" si="1"/>
        <v>2</v>
      </c>
      <c r="AR10" s="8">
        <f t="shared" si="1"/>
        <v>1</v>
      </c>
      <c r="AS10" s="8">
        <f t="shared" si="1"/>
        <v>0</v>
      </c>
      <c r="AT10" s="8">
        <f t="shared" si="1"/>
        <v>0</v>
      </c>
      <c r="AU10" s="8">
        <f t="shared" si="1"/>
        <v>1</v>
      </c>
      <c r="AV10" s="8">
        <f t="shared" si="1"/>
        <v>2</v>
      </c>
      <c r="AW10" s="8">
        <f t="shared" si="1"/>
        <v>0</v>
      </c>
    </row>
    <row r="11" spans="1:52" ht="15.75" customHeight="1" thickBot="1" x14ac:dyDescent="0.3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52" x14ac:dyDescent="0.25">
      <c r="A12" t="s">
        <v>101</v>
      </c>
      <c r="B12" s="17">
        <f>HLOOKUP(B1,Standings!$F$3:$BA$5,3,FALSE)</f>
        <v>8</v>
      </c>
      <c r="C12" s="17">
        <f>HLOOKUP(C1,Standings!$F$3:$BA$5,3,FALSE)</f>
        <v>52</v>
      </c>
      <c r="D12" s="17">
        <f>HLOOKUP(D1,Standings!$F$3:$BA$5,3,FALSE)</f>
        <v>7</v>
      </c>
      <c r="E12" s="17">
        <f>HLOOKUP(E1,Standings!$F$3:$BA$5,3,FALSE)</f>
        <v>12</v>
      </c>
      <c r="F12" s="17">
        <f>HLOOKUP(F1,Standings!$F$3:$BA$5,3,FALSE)</f>
        <v>38</v>
      </c>
      <c r="G12" s="17">
        <f>HLOOKUP(G1,Standings!$F$3:$BA$5,3,FALSE)</f>
        <v>10</v>
      </c>
      <c r="H12" s="17">
        <f>HLOOKUP(H1,Standings!$F$3:$BA$5,3,FALSE)</f>
        <v>54</v>
      </c>
      <c r="I12" s="17">
        <f>HLOOKUP(I1,Standings!$F$3:$BA$5,3,FALSE)</f>
        <v>19</v>
      </c>
      <c r="J12" s="17">
        <f>HLOOKUP(J1,Standings!$F$3:$BA$5,3,FALSE)</f>
        <v>4</v>
      </c>
      <c r="K12" s="17">
        <f>HLOOKUP(K1,Standings!$F$3:$BA$5,3,FALSE)</f>
        <v>25</v>
      </c>
      <c r="L12" s="17">
        <f>HLOOKUP(L1,Standings!$F$3:$BA$5,3,FALSE)</f>
        <v>16</v>
      </c>
      <c r="M12" s="17">
        <f>HLOOKUP(M1,Standings!$F$3:$BA$5,3,FALSE)</f>
        <v>3</v>
      </c>
      <c r="N12" s="17">
        <f>HLOOKUP(N1,Standings!$F$3:$BA$5,3,FALSE)</f>
        <v>12</v>
      </c>
      <c r="O12" s="17">
        <f>HLOOKUP(O1,Standings!$F$3:$BA$5,3,FALSE)</f>
        <v>6</v>
      </c>
      <c r="P12" s="17">
        <f>HLOOKUP(P1,Standings!$F$3:$BA$5,3,FALSE)</f>
        <v>17</v>
      </c>
      <c r="Q12" s="17">
        <f>HLOOKUP(Q1,Standings!$F$3:$BA$5,3,FALSE)</f>
        <v>10</v>
      </c>
      <c r="R12" s="17">
        <f>HLOOKUP(R1,Standings!$F$3:$BA$5,3,FALSE)</f>
        <v>60</v>
      </c>
      <c r="S12" s="17">
        <f>HLOOKUP(S1,Standings!$F$3:$BA$5,3,FALSE)</f>
        <v>68</v>
      </c>
      <c r="T12" s="17">
        <f>HLOOKUP(T1,Standings!$F$3:$BA$5,3,FALSE)</f>
        <v>45</v>
      </c>
      <c r="U12" s="17">
        <f>HLOOKUP(U1,Standings!$F$3:$BA$5,3,FALSE)</f>
        <v>7</v>
      </c>
      <c r="V12" s="17">
        <f>HLOOKUP(V1,Standings!$F$3:$BA$5,3,FALSE)</f>
        <v>5</v>
      </c>
      <c r="W12" s="17">
        <f>HLOOKUP(W1,Standings!$F$3:$BA$5,3,FALSE)</f>
        <v>8</v>
      </c>
      <c r="X12" s="17">
        <f>HLOOKUP(X1,Standings!$F$3:$BA$5,3,FALSE)</f>
        <v>5</v>
      </c>
      <c r="Y12" s="17">
        <f>HLOOKUP(Y1,Standings!$F$3:$BA$5,3,FALSE)</f>
        <v>9</v>
      </c>
      <c r="Z12" s="17">
        <f>HLOOKUP(Z1,Standings!$F$3:$BA$5,3,FALSE)</f>
        <v>20</v>
      </c>
      <c r="AA12" s="17">
        <f>HLOOKUP(AA1,Standings!$F$3:$BA$5,3,FALSE)</f>
        <v>3</v>
      </c>
      <c r="AB12" s="17">
        <f>HLOOKUP(AB1,Standings!$F$3:$BA$5,3,FALSE)</f>
        <v>27</v>
      </c>
      <c r="AC12" s="17">
        <f>HLOOKUP(AC1,Standings!$F$3:$BA$5,3,FALSE)</f>
        <v>21</v>
      </c>
      <c r="AD12" s="17">
        <f>HLOOKUP(AD1,Standings!$F$3:$BA$5,3,FALSE)</f>
        <v>35</v>
      </c>
      <c r="AE12" s="17">
        <f>HLOOKUP(AE1,Standings!$F$3:$BA$5,3,FALSE)</f>
        <v>4</v>
      </c>
      <c r="AF12" s="17">
        <f>HLOOKUP(AF1,Standings!$F$3:$BA$5,3,FALSE)</f>
        <v>30</v>
      </c>
      <c r="AG12" s="17">
        <f>HLOOKUP(AG1,Standings!$F$3:$BA$5,3,FALSE)</f>
        <v>5</v>
      </c>
      <c r="AH12" s="17">
        <f>HLOOKUP(AH1,Standings!$F$3:$BA$5,3,FALSE)</f>
        <v>13</v>
      </c>
      <c r="AI12" s="17">
        <f>HLOOKUP(AI1,Standings!$F$3:$BA$5,3,FALSE)</f>
        <v>50</v>
      </c>
      <c r="AJ12" s="17">
        <f>HLOOKUP(AJ1,Standings!$F$3:$BA$5,3,FALSE)</f>
        <v>3</v>
      </c>
      <c r="AK12" s="17">
        <f>HLOOKUP(AK1,Standings!$F$3:$BA$5,3,FALSE)</f>
        <v>5</v>
      </c>
      <c r="AL12" s="17">
        <f>HLOOKUP(AL1,Standings!$F$3:$BA$5,3,FALSE)</f>
        <v>9</v>
      </c>
      <c r="AM12" s="17">
        <f>HLOOKUP(AM1,Standings!$F$3:$BA$5,3,FALSE)</f>
        <v>13</v>
      </c>
      <c r="AN12" s="17">
        <f>HLOOKUP(AN1,Standings!$F$3:$BA$5,3,FALSE)</f>
        <v>6</v>
      </c>
      <c r="AO12" s="17">
        <f>HLOOKUP(AO1,Standings!$F$3:$BA$5,3,FALSE)</f>
        <v>11</v>
      </c>
      <c r="AP12" s="17">
        <f>HLOOKUP(AP1,Standings!$F$3:$BA$5,3,FALSE)</f>
        <v>70</v>
      </c>
      <c r="AQ12" s="17">
        <f>HLOOKUP(AQ1,Standings!$F$3:$BA$5,3,FALSE)</f>
        <v>14</v>
      </c>
      <c r="AR12" s="17">
        <f>HLOOKUP(AR1,Standings!$F$3:$BA$5,3,FALSE)</f>
        <v>26</v>
      </c>
      <c r="AS12" s="17">
        <f>HLOOKUP(AS1,Standings!$F$3:$BA$5,3,FALSE)</f>
        <v>7</v>
      </c>
      <c r="AT12" s="17">
        <f>HLOOKUP(AT1,Standings!$F$3:$BA$5,3,FALSE)</f>
        <v>20</v>
      </c>
      <c r="AU12" s="17">
        <f>HLOOKUP(AU1,Standings!$F$3:$BA$5,3,FALSE)</f>
        <v>18</v>
      </c>
      <c r="AV12" s="17">
        <f>HLOOKUP(AV1,Standings!$F$3:$BA$5,3,FALSE)</f>
        <v>23</v>
      </c>
      <c r="AW12" s="17">
        <f>HLOOKUP(AW1,Standings!$F$3:$BA$5,3,FALSE)</f>
        <v>5</v>
      </c>
    </row>
    <row r="13" spans="1:52" x14ac:dyDescent="0.25">
      <c r="A13" t="s">
        <v>134</v>
      </c>
      <c r="B13" s="38">
        <f t="shared" ref="B13:AW13" si="2">B10/B12</f>
        <v>0</v>
      </c>
      <c r="C13" s="38">
        <f t="shared" si="2"/>
        <v>0</v>
      </c>
      <c r="D13" s="38">
        <f t="shared" si="2"/>
        <v>0.2857142857142857</v>
      </c>
      <c r="E13" s="38">
        <f t="shared" si="2"/>
        <v>0</v>
      </c>
      <c r="F13" s="38">
        <f t="shared" si="2"/>
        <v>2.6315789473684209E-2</v>
      </c>
      <c r="G13" s="38">
        <f t="shared" si="2"/>
        <v>0.1</v>
      </c>
      <c r="H13" s="38">
        <f t="shared" si="2"/>
        <v>1.8518518518518517E-2</v>
      </c>
      <c r="I13" s="38">
        <f t="shared" si="2"/>
        <v>5.2631578947368418E-2</v>
      </c>
      <c r="J13" s="38">
        <f t="shared" si="2"/>
        <v>0.25</v>
      </c>
      <c r="K13" s="38">
        <f t="shared" si="2"/>
        <v>0</v>
      </c>
      <c r="L13" s="38">
        <f t="shared" si="2"/>
        <v>0</v>
      </c>
      <c r="M13" s="38">
        <f t="shared" si="2"/>
        <v>0</v>
      </c>
      <c r="N13" s="38">
        <f t="shared" si="2"/>
        <v>0</v>
      </c>
      <c r="O13" s="38">
        <f t="shared" si="2"/>
        <v>0</v>
      </c>
      <c r="P13" s="38">
        <f t="shared" si="2"/>
        <v>0</v>
      </c>
      <c r="Q13" s="38">
        <f t="shared" si="2"/>
        <v>0.1</v>
      </c>
      <c r="R13" s="38">
        <f t="shared" si="2"/>
        <v>0</v>
      </c>
      <c r="S13" s="38">
        <f t="shared" si="2"/>
        <v>0</v>
      </c>
      <c r="T13" s="38">
        <f t="shared" si="2"/>
        <v>4.4444444444444446E-2</v>
      </c>
      <c r="U13" s="38">
        <f t="shared" si="2"/>
        <v>0</v>
      </c>
      <c r="V13" s="38">
        <f t="shared" si="2"/>
        <v>0</v>
      </c>
      <c r="W13" s="38">
        <f t="shared" si="2"/>
        <v>0.125</v>
      </c>
      <c r="X13" s="38">
        <f t="shared" si="2"/>
        <v>0</v>
      </c>
      <c r="Y13" s="38">
        <f t="shared" si="2"/>
        <v>0.22222222222222221</v>
      </c>
      <c r="Z13" s="38">
        <f t="shared" si="2"/>
        <v>0.05</v>
      </c>
      <c r="AA13" s="38">
        <f t="shared" si="2"/>
        <v>0</v>
      </c>
      <c r="AB13" s="38">
        <f t="shared" si="2"/>
        <v>7.407407407407407E-2</v>
      </c>
      <c r="AC13" s="38">
        <f t="shared" si="2"/>
        <v>4.7619047619047616E-2</v>
      </c>
      <c r="AD13" s="38">
        <f t="shared" si="2"/>
        <v>2.8571428571428571E-2</v>
      </c>
      <c r="AE13" s="38">
        <f t="shared" si="2"/>
        <v>0.25</v>
      </c>
      <c r="AF13" s="38">
        <f t="shared" si="2"/>
        <v>0</v>
      </c>
      <c r="AG13" s="38">
        <f t="shared" si="2"/>
        <v>0</v>
      </c>
      <c r="AH13" s="38">
        <f t="shared" si="2"/>
        <v>0</v>
      </c>
      <c r="AI13" s="38">
        <f t="shared" si="2"/>
        <v>0</v>
      </c>
      <c r="AJ13" s="38">
        <f t="shared" si="2"/>
        <v>0.33333333333333331</v>
      </c>
      <c r="AK13" s="38">
        <f t="shared" si="2"/>
        <v>0.2</v>
      </c>
      <c r="AL13" s="38">
        <f t="shared" si="2"/>
        <v>0.22222222222222221</v>
      </c>
      <c r="AM13" s="38">
        <f t="shared" si="2"/>
        <v>0</v>
      </c>
      <c r="AN13" s="38">
        <f t="shared" si="2"/>
        <v>0</v>
      </c>
      <c r="AO13" s="38">
        <f t="shared" si="2"/>
        <v>0.18181818181818182</v>
      </c>
      <c r="AP13" s="38">
        <f t="shared" si="2"/>
        <v>1.4285714285714285E-2</v>
      </c>
      <c r="AQ13" s="38">
        <f t="shared" si="2"/>
        <v>0.14285714285714285</v>
      </c>
      <c r="AR13" s="38">
        <f t="shared" si="2"/>
        <v>3.8461538461538464E-2</v>
      </c>
      <c r="AS13" s="38">
        <f t="shared" si="2"/>
        <v>0</v>
      </c>
      <c r="AT13" s="38">
        <f t="shared" si="2"/>
        <v>0</v>
      </c>
      <c r="AU13" s="38">
        <f t="shared" si="2"/>
        <v>5.5555555555555552E-2</v>
      </c>
      <c r="AV13" s="38">
        <f t="shared" si="2"/>
        <v>8.6956521739130432E-2</v>
      </c>
      <c r="AW13" s="38">
        <f t="shared" si="2"/>
        <v>0</v>
      </c>
    </row>
    <row r="14" spans="1:52" x14ac:dyDescent="0.25">
      <c r="A14" t="s">
        <v>135</v>
      </c>
      <c r="B14" s="5">
        <f t="shared" ref="B14:AW14" si="3">RANK(B13,$B$13:$AW$13)</f>
        <v>25</v>
      </c>
      <c r="C14" s="5">
        <f t="shared" si="3"/>
        <v>25</v>
      </c>
      <c r="D14" s="5">
        <f t="shared" si="3"/>
        <v>2</v>
      </c>
      <c r="E14" s="5">
        <f t="shared" si="3"/>
        <v>25</v>
      </c>
      <c r="F14" s="5">
        <f t="shared" si="3"/>
        <v>22</v>
      </c>
      <c r="G14" s="5">
        <f t="shared" si="3"/>
        <v>11</v>
      </c>
      <c r="H14" s="5">
        <f t="shared" si="3"/>
        <v>23</v>
      </c>
      <c r="I14" s="5">
        <f t="shared" si="3"/>
        <v>16</v>
      </c>
      <c r="J14" s="5">
        <f t="shared" si="3"/>
        <v>3</v>
      </c>
      <c r="K14" s="5">
        <f t="shared" si="3"/>
        <v>25</v>
      </c>
      <c r="L14" s="5">
        <f t="shared" si="3"/>
        <v>25</v>
      </c>
      <c r="M14" s="5">
        <f t="shared" si="3"/>
        <v>25</v>
      </c>
      <c r="N14" s="5">
        <f t="shared" si="3"/>
        <v>25</v>
      </c>
      <c r="O14" s="5">
        <f t="shared" si="3"/>
        <v>25</v>
      </c>
      <c r="P14" s="5">
        <f t="shared" si="3"/>
        <v>25</v>
      </c>
      <c r="Q14" s="5">
        <f t="shared" si="3"/>
        <v>11</v>
      </c>
      <c r="R14" s="5">
        <f t="shared" si="3"/>
        <v>25</v>
      </c>
      <c r="S14" s="5">
        <f t="shared" si="3"/>
        <v>25</v>
      </c>
      <c r="T14" s="5">
        <f t="shared" si="3"/>
        <v>19</v>
      </c>
      <c r="U14" s="5">
        <f t="shared" si="3"/>
        <v>25</v>
      </c>
      <c r="V14" s="5">
        <f t="shared" si="3"/>
        <v>25</v>
      </c>
      <c r="W14" s="5">
        <f t="shared" si="3"/>
        <v>10</v>
      </c>
      <c r="X14" s="5">
        <f t="shared" si="3"/>
        <v>25</v>
      </c>
      <c r="Y14" s="5">
        <f t="shared" si="3"/>
        <v>5</v>
      </c>
      <c r="Z14" s="5">
        <f t="shared" si="3"/>
        <v>17</v>
      </c>
      <c r="AA14" s="5">
        <f t="shared" si="3"/>
        <v>25</v>
      </c>
      <c r="AB14" s="5">
        <f t="shared" si="3"/>
        <v>14</v>
      </c>
      <c r="AC14" s="5">
        <f t="shared" si="3"/>
        <v>18</v>
      </c>
      <c r="AD14" s="5">
        <f t="shared" si="3"/>
        <v>21</v>
      </c>
      <c r="AE14" s="5">
        <f t="shared" si="3"/>
        <v>3</v>
      </c>
      <c r="AF14" s="5">
        <f t="shared" si="3"/>
        <v>25</v>
      </c>
      <c r="AG14" s="5">
        <f t="shared" si="3"/>
        <v>25</v>
      </c>
      <c r="AH14" s="5">
        <f t="shared" si="3"/>
        <v>25</v>
      </c>
      <c r="AI14" s="5">
        <f t="shared" si="3"/>
        <v>25</v>
      </c>
      <c r="AJ14" s="5">
        <f t="shared" si="3"/>
        <v>1</v>
      </c>
      <c r="AK14" s="5">
        <f t="shared" si="3"/>
        <v>7</v>
      </c>
      <c r="AL14" s="5">
        <f t="shared" si="3"/>
        <v>5</v>
      </c>
      <c r="AM14" s="5">
        <f t="shared" si="3"/>
        <v>25</v>
      </c>
      <c r="AN14" s="5">
        <f t="shared" si="3"/>
        <v>25</v>
      </c>
      <c r="AO14" s="5">
        <f t="shared" si="3"/>
        <v>8</v>
      </c>
      <c r="AP14" s="5">
        <f t="shared" si="3"/>
        <v>24</v>
      </c>
      <c r="AQ14" s="5">
        <f t="shared" si="3"/>
        <v>9</v>
      </c>
      <c r="AR14" s="5">
        <f t="shared" si="3"/>
        <v>20</v>
      </c>
      <c r="AS14" s="5">
        <f t="shared" si="3"/>
        <v>25</v>
      </c>
      <c r="AT14" s="5">
        <f t="shared" si="3"/>
        <v>25</v>
      </c>
      <c r="AU14" s="5">
        <f t="shared" si="3"/>
        <v>15</v>
      </c>
      <c r="AV14" s="5">
        <f t="shared" si="3"/>
        <v>13</v>
      </c>
      <c r="AW14" s="5">
        <f t="shared" si="3"/>
        <v>25</v>
      </c>
    </row>
    <row r="16" spans="1:52" ht="21" customHeight="1" x14ac:dyDescent="0.35">
      <c r="A16" s="16" t="s">
        <v>136</v>
      </c>
    </row>
    <row r="17" spans="1:2" x14ac:dyDescent="0.25">
      <c r="A17" s="1" t="s">
        <v>137</v>
      </c>
    </row>
    <row r="18" spans="1:2" x14ac:dyDescent="0.25">
      <c r="B18" t="s">
        <v>138</v>
      </c>
    </row>
    <row r="19" spans="1:2" x14ac:dyDescent="0.25">
      <c r="B19" t="s">
        <v>139</v>
      </c>
    </row>
    <row r="20" spans="1:2" x14ac:dyDescent="0.25">
      <c r="B20" t="s">
        <v>140</v>
      </c>
    </row>
    <row r="21" spans="1:2" x14ac:dyDescent="0.25">
      <c r="B21" t="s">
        <v>141</v>
      </c>
    </row>
    <row r="22" spans="1:2" x14ac:dyDescent="0.25">
      <c r="A22" s="1" t="s">
        <v>142</v>
      </c>
    </row>
    <row r="23" spans="1:2" x14ac:dyDescent="0.25">
      <c r="B23" t="s">
        <v>143</v>
      </c>
    </row>
    <row r="24" spans="1:2" x14ac:dyDescent="0.25">
      <c r="B24" t="s">
        <v>144</v>
      </c>
    </row>
    <row r="25" spans="1:2" x14ac:dyDescent="0.25">
      <c r="B25" t="s">
        <v>145</v>
      </c>
    </row>
    <row r="26" spans="1:2" x14ac:dyDescent="0.25">
      <c r="B26" t="s">
        <v>146</v>
      </c>
    </row>
    <row r="27" spans="1:2" x14ac:dyDescent="0.25">
      <c r="B27" t="s">
        <v>147</v>
      </c>
    </row>
  </sheetData>
  <sortState xmlns:xlrd2="http://schemas.microsoft.com/office/spreadsheetml/2017/richdata2" ref="D33:D80">
    <sortCondition ref="D33:D80"/>
  </sortState>
  <conditionalFormatting sqref="B2:AW2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AW3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4:AW4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5:AW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AW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7:AW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8:AW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9:AW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0:AW10">
    <cfRule type="colorScale" priority="34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AW11">
    <cfRule type="colorScale" priority="3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AW12">
    <cfRule type="colorScale" priority="3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AW13">
    <cfRule type="colorScale" priority="3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AW14">
    <cfRule type="colorScale" priority="3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AW15">
    <cfRule type="colorScale" priority="3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734661-4938-4BFA-9BBA-148EB2110B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Include</vt:lpstr>
      <vt:lpstr>PickList</vt:lpstr>
      <vt:lpstr>Entries</vt:lpstr>
      <vt:lpstr>Standings</vt:lpstr>
      <vt:lpstr>Teams</vt:lpstr>
      <vt:lpstr>Payouts</vt:lpstr>
      <vt:lpstr>Match Results</vt:lpstr>
      <vt:lpstr>Standings!Print_Area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e78698</dc:creator>
  <cp:lastModifiedBy>John Bullock</cp:lastModifiedBy>
  <cp:lastPrinted>2022-11-29T18:38:20Z</cp:lastPrinted>
  <dcterms:created xsi:type="dcterms:W3CDTF">2010-05-19T18:14:19Z</dcterms:created>
  <dcterms:modified xsi:type="dcterms:W3CDTF">2026-06-18T12:14:43Z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0x010100B0746EB72D213A42B4BA8BF7286F10DC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